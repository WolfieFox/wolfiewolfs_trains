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Cargo table" sheetId="7" state="visible" r:id="rId10"/>
  </sheets>
  <externalReferences>
    <externalReference r:id="rId11"/>
    <externalReference r:id="rId12"/>
  </externalReferences>
  <definedNames>
    <definedName function="false" hidden="true" localSheetId="0" name="_xlnm._FilterDatabase" vbProcedure="false">Table!$A$1:$CH$308</definedName>
    <definedName function="false" hidden="false" name="ACEMUVEHICLES" vbProcedure="false">'[2]MU Tables'!$B$10</definedName>
    <definedName function="false" hidden="false" name="APTMUVehicles" vbProcedure="false">'[2]MU Tables'!$B$7</definedName>
    <definedName function="false" hidden="false" name="E320_12_NV" vbProcedure="false">'[2]Long unit configs'!$B$94</definedName>
    <definedName function="false" hidden="false" name="E320_12_ULEN" vbProcedure="false">'[2]Long unit configs'!$B$97</definedName>
    <definedName function="false" hidden="false" name="E320_12_VEH" vbProcedure="false">'[2]Long unit configs'!$B$93</definedName>
    <definedName function="false" hidden="false" name="E320_12_VLEN" vbProcedure="false">'[2]Long unit configs'!$B$96</definedName>
    <definedName function="false" hidden="false" name="E320_16_NV" vbProcedure="false">'[2]Long unit configs'!$B$81</definedName>
    <definedName function="false" hidden="false" name="E320_16_ULEN" vbProcedure="false">'[2]Long unit configs'!$B$84</definedName>
    <definedName function="false" hidden="false" name="E320_16_VEH" vbProcedure="false">'[2]Long unit configs'!$B$80</definedName>
    <definedName function="false" hidden="false" name="E320_16_VLEN" vbProcedure="false">'[2]Long unit configs'!$B$83</definedName>
    <definedName function="false" hidden="false" name="IETMUVEHICLES" vbProcedure="false">'[2]MU Tables'!$B$42</definedName>
    <definedName function="false" hidden="false" name="SPRINTERMUVEHICLES" vbProcedure="false">'[2]MU Tables'!$B$29</definedName>
    <definedName function="false" hidden="false" name="STAD_745_NS" vbProcedure="false">'Long unit configs'!$B$62</definedName>
    <definedName function="false" hidden="false" name="STAD_745_VEH" vbProcedure="false">'[2]Long unit configs'!$B$106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<sst xmlns="http://schemas.openxmlformats.org/spreadsheetml/2006/main" count="5953" uniqueCount="2285">
  <si>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</si>
  <si>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</si>
  <si>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</si>
  <si>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</si>
  <si>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</si>
  <si>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</si>
  <si>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</si>
  <si>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</si>
  <si>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</si>
  <si>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</si>
  <si>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</si>
  <si>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</si>
  <si>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</si>
  <si>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</si>
  <si>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</si>
  <si>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</si>
  <si>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</si>
  <si>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</si>
  <si>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</si>
  <si>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</si>
  <si>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</si>
  <si>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</si>
  <si>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</si>
  <si>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</si>
  <si>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</si>
  <si>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</si>
  <si>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</si>
  <si>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</si>
  <si>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</si>
  <si>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</si>
  <si>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</si>
  <si>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</si>
  <si>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</si>
  <si>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</si>
  <si>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</si>
  <si>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</si>
  <si>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</si>
  <si>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</si>
  <si>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</si>
  <si>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</si>
  <si>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</si>
  <si>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</si>
  <si>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</si>
  <si>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</si>
  <si>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</si>
  <si>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</si>
  <si>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</si>
  <si>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</si>
  <si>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</si>
  <si>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</si>
  <si>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</si>
  <si>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</si>
  <si>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</si>
  <si>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</si>
  <si>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</si>
  <si>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</si>
  <si>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</si>
  <si>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</si>
  <si>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</si>
  <si>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</si>
  <si>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</si>
  <si>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</si>
  <si>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</si>
  <si>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</si>
  <si>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</si>
  <si>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</si>
  <si>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</si>
  <si>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</si>
  <si>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</si>
  <si>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</si>
  <si>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</si>
  <si>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</si>
  <si>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</si>
  <si>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</si>
  <si>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</si>
  <si>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</si>
  <si>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</si>
  <si>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</si>
  <si>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</si>
  <si>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</si>
  <si>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</si>
  <si>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</si>
  <si>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</si>
  <si>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</si>
  <si>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</si>
  <si>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</si>
  <si>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</si>
  <si>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</si>
  <si>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</si>
  <si>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</si>
  <si>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</si>
  <si>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</si>
  <si>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</si>
  <si>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</si>
  <si>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</si>
  <si>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</si>
  <si>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</si>
  <si>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</si>
  <si>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</si>
  <si>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</si>
  <si>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</si>
  <si>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</si>
  <si>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</si>
  <si>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</si>
  <si>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</si>
  <si>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</si>
  <si>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</si>
  <si>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</si>
  <si>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</si>
  <si>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</si>
  <si>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</si>
  <si>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</si>
  <si>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</si>
  <si>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</si>
  <si>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</si>
  <si>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</si>
  <si>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</si>
  <si>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</si>
  <si>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</si>
  <si>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</si>
  <si>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</si>
  <si>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</si>
  <si>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</si>
  <si>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</si>
  <si>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</si>
  <si>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</si>
  <si>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</si>
  <si>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</si>
  <si>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</si>
  <si>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</si>
  <si>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</si>
  <si>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</si>
  <si>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</si>
  <si>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</si>
  <si>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</si>
  <si>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</si>
  <si>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</si>
  <si>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</si>
  <si>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</si>
  <si>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GT3 Tender</t>
  </si>
  <si>
    <t xml:space="preserve">ee_gt3_tender</t>
  </si>
  <si>
    <t xml:space="preserve">Early passenger carriage</t>
  </si>
  <si>
    <t xml:space="preserve">early_carriage</t>
  </si>
  <si>
    <t xml:space="preserve">FEAT_TRAINS</t>
  </si>
  <si>
    <t xml:space="preserve">wagon</t>
  </si>
  <si>
    <t xml:space="preserve">carriage</t>
  </si>
  <si>
    <t xml:space="preserve">PLATEWAY</t>
  </si>
  <si>
    <t xml:space="preserve">Passengers</t>
  </si>
  <si>
    <t xml:space="preserve">PASS</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</si>
  <si>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</si>
  <si>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</si>
  <si>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</si>
  <si>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</si>
  <si>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</si>
  <si>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</si>
  <si>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</si>
  <si>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</si>
  <si>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</si>
  <si>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</si>
  <si>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FOURTH_RAIL</t>
  </si>
  <si>
    <t xml:space="preserve">Early Tube carriages were nicknamed "Padded Cell" due to their tall cushion-backed seats and small windows.</t>
  </si>
  <si>
    <t xml:space="preserve">Clerestory carriage</t>
  </si>
  <si>
    <t xml:space="preserve">clerestory_carriage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</si>
  <si>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</si>
  <si>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</si>
  <si>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</si>
  <si>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</si>
  <si>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Pullman carriage</t>
  </si>
  <si>
    <t xml:space="preserve">passenger_coach_pullman</t>
  </si>
  <si>
    <t xml:space="preserve">luxury_carriage</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</si>
  <si>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</si>
  <si>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</si>
  <si>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</si>
  <si>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</si>
  <si>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</si>
  <si>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</si>
  <si>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</si>
  <si>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</si>
  <si>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</si>
  <si>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</si>
  <si>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</si>
  <si>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</si>
  <si>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</si>
  <si>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</si>
  <si>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</si>
  <si>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</si>
  <si>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</si>
  <si>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</si>
  <si>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</si>
  <si>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</si>
  <si>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buffet</t>
  </si>
  <si>
    <t xml:space="preserve">The Mk1 RMB (Restaurant Mini Buffet) is a TSO carriage in which some of the seating rows have been replaced with a small buffet service restaurant.</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</si>
  <si>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</si>
  <si>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</si>
  <si>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</si>
  <si>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</si>
  <si>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</si>
  <si>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</si>
  <si>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</si>
  <si>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</si>
  <si>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</si>
  <si>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</si>
  <si>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</si>
  <si>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</si>
  <si>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</si>
  <si>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</si>
  <si>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</si>
  <si>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</si>
  <si>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</si>
  <si>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</si>
  <si>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</si>
  <si>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</si>
  <si>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</si>
  <si>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</si>
  <si>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</si>
  <si>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</si>
  <si>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carriage (GUV)</t>
  </si>
  <si>
    <t xml:space="preserve">passenger_coach_mk3_guv</t>
  </si>
  <si>
    <t xml:space="preserve">!param_no_gameplay_units</t>
  </si>
  <si>
    <t xml:space="preserve">Parcel</t>
  </si>
  <si>
    <t xml:space="preserve">MAIL</t>
  </si>
  <si>
    <t xml:space="preserve">Mail Carriage</t>
  </si>
  <si>
    <t xml:space="preserve">BR did not build any carriage-based utility vans after the Mk1, but this vehicle is included as a "what could have been" if HSTs and express services had included a high speed parcels car.</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</si>
  <si>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</si>
  <si>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</si>
  <si>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</si>
  <si>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</si>
  <si>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</si>
  <si>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</si>
  <si>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</si>
  <si>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</si>
  <si>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</si>
  <si>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</si>
  <si>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</si>
  <si>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</si>
  <si>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</si>
  <si>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</si>
  <si>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</si>
  <si>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</si>
  <si>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</si>
  <si>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</si>
  <si>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</si>
  <si>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</si>
  <si>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</si>
  <si>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</si>
  <si>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</si>
  <si>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</si>
  <si>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</si>
  <si>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</si>
  <si>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</si>
  <si>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</si>
  <si>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</si>
  <si>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</si>
  <si>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</si>
  <si>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</si>
  <si>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</si>
  <si>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</si>
  <si>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</si>
  <si>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</si>
  <si>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</si>
  <si>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</si>
  <si>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</si>
  <si>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</si>
  <si>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</si>
  <si>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</si>
  <si>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</si>
  <si>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</si>
  <si>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</si>
  <si>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</si>
  <si>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</si>
  <si>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</si>
  <si>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</si>
  <si>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</si>
  <si>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</si>
  <si>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</si>
  <si>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</si>
  <si>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</si>
  <si>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</si>
  <si>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</si>
  <si>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</si>
  <si>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</si>
  <si>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</si>
  <si>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</si>
  <si>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</si>
  <si>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</si>
  <si>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</si>
  <si>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</si>
  <si>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</si>
  <si>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</si>
  <si>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</si>
  <si>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</si>
  <si>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</si>
  <si>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</si>
  <si>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</si>
  <si>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</si>
  <si>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</si>
  <si>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</si>
  <si>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</si>
  <si>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</si>
  <si>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</si>
  <si>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</si>
  <si>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Container</t>
  </si>
  <si>
    <t xml:space="preserve">GOOD</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</si>
  <si>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</si>
  <si>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</si>
  <si>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</si>
  <si>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</si>
  <si>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</si>
  <si>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</si>
  <si>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</si>
  <si>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</si>
  <si>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</si>
  <si>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</si>
  <si>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</si>
  <si>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</si>
  <si>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</si>
  <si>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</si>
  <si>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</si>
  <si>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</si>
  <si>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</si>
  <si>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</si>
  <si>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</si>
  <si>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</si>
  <si>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</si>
  <si>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</si>
  <si>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</si>
  <si>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</si>
  <si>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</si>
  <si>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</si>
  <si>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</si>
  <si>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</si>
  <si>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</si>
  <si>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</si>
  <si>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</si>
  <si>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</si>
  <si>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</si>
  <si>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</si>
  <si>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</si>
  <si>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</si>
  <si>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</si>
  <si>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</si>
  <si>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</si>
  <si>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</si>
  <si>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</si>
  <si>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</si>
  <si>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</si>
  <si>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</si>
  <si>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</si>
  <si>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</si>
  <si>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</si>
  <si>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</si>
  <si>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</si>
  <si>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</si>
  <si>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</si>
  <si>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</si>
  <si>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</si>
  <si>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</si>
  <si>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</si>
  <si>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</si>
  <si>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</si>
  <si>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</si>
  <si>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</si>
  <si>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</si>
  <si>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</si>
  <si>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</si>
  <si>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</si>
  <si>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</si>
  <si>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</si>
  <si>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</si>
  <si>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</si>
  <si>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</si>
  <si>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</si>
  <si>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</si>
  <si>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</si>
  <si>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</si>
  <si>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</si>
  <si>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</si>
  <si>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</si>
  <si>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</si>
  <si>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</si>
  <si>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</si>
  <si>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</si>
  <si>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</si>
  <si>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</si>
  <si>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</si>
  <si>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</si>
  <si>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</si>
  <si>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</si>
  <si>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</si>
  <si>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</si>
  <si>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</si>
  <si>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</si>
  <si>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</si>
  <si>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</si>
  <si>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</si>
  <si>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</si>
  <si>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</si>
  <si>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</si>
  <si>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</si>
  <si>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</si>
  <si>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</si>
  <si>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</si>
  <si>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</si>
  <si>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</si>
  <si>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</si>
  <si>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VDA van</t>
  </si>
  <si>
    <t xml:space="preserve">vda_van</t>
  </si>
  <si>
    <t xml:space="preserve">The VDA was BR's first air braked general purpose van, later used for the Speedlink freight network.</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</si>
  <si>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</si>
  <si>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</si>
  <si>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</si>
  <si>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</si>
  <si>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</si>
  <si>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</si>
  <si>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</si>
  <si>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</si>
  <si>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</si>
  <si>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</si>
  <si>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</si>
  <si>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</si>
  <si>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</si>
  <si>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</si>
  <si>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</si>
  <si>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</si>
  <si>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</si>
  <si>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</si>
  <si>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</si>
  <si>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</si>
  <si>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</si>
  <si>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</si>
  <si>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</si>
  <si>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</si>
  <si>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</si>
  <si>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</si>
  <si>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</si>
  <si>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</si>
  <si>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1 Horse</t>
  </si>
  <si>
    <t xml:space="preserve">horse</t>
  </si>
  <si>
    <t xml:space="preserve">horses</t>
  </si>
  <si>
    <t xml:space="preserve">Mixed Traffic</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</si>
  <si>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</si>
  <si>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</si>
  <si>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</si>
  <si>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</si>
  <si>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</si>
  <si>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</si>
  <si>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</si>
  <si>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</si>
  <si>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</si>
  <si>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</si>
  <si>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</si>
  <si>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</si>
  <si>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</si>
  <si>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</si>
  <si>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</si>
  <si>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</si>
  <si>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</si>
  <si>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</si>
  <si>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</si>
  <si>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</si>
  <si>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</si>
  <si>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</si>
  <si>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</si>
  <si>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</si>
  <si>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</si>
  <si>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</si>
  <si>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</si>
  <si>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</si>
  <si>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</si>
  <si>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</si>
  <si>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</si>
  <si>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</si>
  <si>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</si>
  <si>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</si>
  <si>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Express</t>
  </si>
  <si>
    <t xml:space="preserve">Crampton locomotives were designed for a low centre of gravity, to run at higher speeds on standard gauge track. Features included large driving wheels and an oval boiler.</t>
  </si>
  <si>
    <t xml:space="preserve">NER 1001 Class</t>
  </si>
  <si>
    <t xml:space="preserve">ner_1001_class</t>
  </si>
  <si>
    <t xml:space="preserve">Freight</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</si>
  <si>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</si>
  <si>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</si>
  <si>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</si>
  <si>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</si>
  <si>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</si>
  <si>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</si>
  <si>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</si>
  <si>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</si>
  <si>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</si>
  <si>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</si>
  <si>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</si>
  <si>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</si>
  <si>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vct</t>
  </si>
  <si>
    <t xml:space="preserve">The 700 class was a widely-produced freight engine. In its later years a sixth of the originally produced locomotives were sold to the Italian State Railway.</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</si>
  <si>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</si>
  <si>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</si>
  <si>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</si>
  <si>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</si>
  <si>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</si>
  <si>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</si>
  <si>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</si>
  <si>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</si>
  <si>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</si>
  <si>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</si>
  <si>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</si>
  <si>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</si>
  <si>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</si>
  <si>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</si>
  <si>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</si>
  <si>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</si>
  <si>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</si>
  <si>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</si>
  <si>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</si>
  <si>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</si>
  <si>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</si>
  <si>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</si>
  <si>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</si>
  <si>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</si>
  <si>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</si>
  <si>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</si>
  <si>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</si>
  <si>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</si>
  <si>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</si>
  <si>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</si>
  <si>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</si>
  <si>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</si>
  <si>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</si>
  <si>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</si>
  <si>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</si>
  <si>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</si>
  <si>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</si>
  <si>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</si>
  <si>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</si>
  <si>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</si>
  <si>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</si>
  <si>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</si>
  <si>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Passenger</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</si>
  <si>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</si>
  <si>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</si>
  <si>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</si>
  <si>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</si>
  <si>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</si>
  <si>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</si>
  <si>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</si>
  <si>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</si>
  <si>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</si>
  <si>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</si>
  <si>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</si>
  <si>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</si>
  <si>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</si>
  <si>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Midland Railway "Lickey Banker"</t>
  </si>
  <si>
    <t xml:space="preserve">lickey_banker</t>
  </si>
  <si>
    <t xml:space="preserve">The "Lickey Banker" was a single 0-10-0 engine built to help add power and tractive effort to trains climbing the 1 in 37 Lickey Incline.</t>
  </si>
  <si>
    <t xml:space="preserve">LNER Gresley K2 "Ragtimer"</t>
  </si>
  <si>
    <t xml:space="preserve">gresley_k2</t>
  </si>
  <si>
    <t xml:space="preserve">The Gresley K2 is a freight engine, designed for the GNR which had been using passenger engines to haul goods trains.</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</si>
  <si>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</si>
  <si>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</si>
  <si>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</si>
  <si>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LNER Raven EF1</t>
  </si>
  <si>
    <t xml:space="preserve">lner_raven_ef1</t>
  </si>
  <si>
    <t xml:space="preserve">The LNER EF1 is an early electric freight engine designed for hauling heavy coal trains.</t>
  </si>
  <si>
    <t xml:space="preserve">Fowler 4F</t>
  </si>
  <si>
    <t xml:space="preserve">fowler_4f</t>
  </si>
  <si>
    <t xml:space="preserve">The Fowler 4F is a development of the earlier Midland 3835 class.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</si>
  <si>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</si>
  <si>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</si>
  <si>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</si>
  <si>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GWR Castle Class</t>
  </si>
  <si>
    <t xml:space="preserve">gwr_castle_class</t>
  </si>
  <si>
    <t xml:space="preserve">The Castle Class is a large, powerful express locomotive designed by GWR Chief Mechanical Engineer Charles Collett</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</si>
  <si>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</si>
  <si>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</si>
  <si>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</si>
  <si>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</si>
  <si>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</si>
  <si>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</si>
  <si>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Caledonian 72 Class</t>
  </si>
  <si>
    <t xml:space="preserve">caledonian_72_class</t>
  </si>
  <si>
    <t xml:space="preserve">The Caledonian 72 class was a 4-4-0 express locomotive, later inherited by the LMS after grouping.</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</si>
  <si>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</si>
  <si>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</si>
  <si>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</si>
  <si>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LNWR 380 Class</t>
  </si>
  <si>
    <t xml:space="preserve">lnwr_380_class</t>
  </si>
  <si>
    <t xml:space="preserve">The LNWR 380 class is a large tank locomotive with an 0-8-4T chassis. It was derived from the LNWR's 0-8-0 tender engines and similar 0-8-2T tanks.</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</si>
  <si>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</si>
  <si>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</si>
  <si>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</si>
  <si>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</si>
  <si>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</si>
  <si>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</si>
  <si>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</si>
  <si>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</si>
  <si>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</si>
  <si>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</si>
  <si>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</si>
  <si>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</si>
  <si>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</si>
  <si>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</si>
  <si>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</si>
  <si>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</si>
  <si>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</si>
  <si>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</si>
  <si>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</si>
  <si>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</si>
  <si>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</si>
  <si>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</si>
  <si>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</si>
  <si>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</si>
  <si>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</si>
  <si>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</si>
  <si>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</si>
  <si>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</si>
  <si>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</si>
  <si>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</si>
  <si>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</si>
  <si>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</si>
  <si>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</si>
  <si>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</si>
  <si>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</si>
  <si>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</si>
  <si>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</si>
  <si>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</si>
  <si>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</si>
  <si>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</si>
  <si>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</si>
  <si>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</si>
  <si>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</si>
  <si>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</si>
  <si>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</si>
  <si>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</si>
  <si>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</si>
  <si>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</si>
  <si>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</si>
  <si>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</si>
  <si>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</si>
  <si>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</si>
  <si>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</si>
  <si>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</si>
  <si>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</si>
  <si>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</si>
  <si>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</si>
  <si>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</si>
  <si>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</si>
  <si>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</si>
  <si>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</si>
  <si>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</si>
  <si>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</si>
  <si>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</si>
  <si>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</si>
  <si>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</si>
  <si>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</si>
  <si>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</si>
  <si>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</si>
  <si>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</si>
  <si>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</si>
  <si>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</si>
  <si>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</si>
  <si>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</si>
  <si>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</si>
  <si>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</si>
  <si>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</si>
  <si>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</si>
  <si>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</si>
  <si>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</si>
  <si>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</si>
  <si>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</si>
  <si>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</si>
  <si>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</si>
  <si>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</si>
  <si>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diesel</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</si>
  <si>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</si>
  <si>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</si>
  <si>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</si>
  <si>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</si>
  <si>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</si>
  <si>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</si>
  <si>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</si>
  <si>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</si>
  <si>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</si>
  <si>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</si>
  <si>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</si>
  <si>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</si>
  <si>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</si>
  <si>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</si>
  <si>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</si>
  <si>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</si>
  <si>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</si>
  <si>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</si>
  <si>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Express (Electric)</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</si>
  <si>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</si>
  <si>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</si>
  <si>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</si>
  <si>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</si>
  <si>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</si>
  <si>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</si>
  <si>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</si>
  <si>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</si>
  <si>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</si>
  <si>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</si>
  <si>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</si>
  <si>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</si>
  <si>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</si>
  <si>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EE GT3</t>
  </si>
  <si>
    <t xml:space="preserve">ee_gt3</t>
  </si>
  <si>
    <t xml:space="preserve">gas_turbine</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</si>
  <si>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</si>
  <si>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</si>
  <si>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</si>
  <si>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</si>
  <si>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</si>
  <si>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</si>
  <si>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</si>
  <si>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</si>
  <si>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</si>
  <si>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</si>
  <si>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</si>
  <si>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</si>
  <si>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</si>
  <si>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</si>
  <si>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</si>
  <si>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</si>
  <si>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</si>
  <si>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</si>
  <si>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</si>
  <si>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</si>
  <si>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</si>
  <si>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</si>
  <si>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</si>
  <si>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</si>
  <si>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</si>
  <si>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</si>
  <si>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</si>
  <si>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</si>
  <si>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</si>
  <si>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</si>
  <si>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</si>
  <si>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</si>
  <si>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</si>
  <si>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</si>
  <si>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</si>
  <si>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</si>
  <si>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</si>
  <si>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</si>
  <si>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</si>
  <si>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</si>
  <si>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</si>
  <si>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</si>
  <si>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</si>
  <si>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</si>
  <si>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</si>
  <si>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</si>
  <si>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</si>
  <si>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</si>
  <si>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</si>
  <si>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</si>
  <si>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</si>
  <si>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</si>
  <si>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</si>
  <si>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</si>
  <si>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</si>
  <si>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</si>
  <si>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</si>
  <si>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</si>
  <si>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</si>
  <si>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</si>
  <si>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</si>
  <si>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</si>
  <si>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</si>
  <si>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</si>
  <si>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</si>
  <si>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</si>
  <si>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</si>
  <si>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</si>
  <si>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</si>
  <si>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</si>
  <si>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</si>
  <si>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</si>
  <si>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</si>
  <si>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</si>
  <si>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</si>
  <si>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</si>
  <si>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</si>
  <si>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</si>
  <si>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</si>
  <si>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</si>
  <si>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</si>
  <si>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</si>
  <si>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</si>
  <si>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Driving Van Trailer</t>
  </si>
  <si>
    <t xml:space="preserve">brel_class_91_dvt</t>
  </si>
  <si>
    <t xml:space="preserve">none</t>
  </si>
  <si>
    <t xml:space="preserve">This driving van trailer can be used with diesel and electric locomotives, either as a leading or trailing vehicle. It is recommended for use with the Class 91.</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</si>
  <si>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</si>
  <si>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</si>
  <si>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</si>
  <si>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</si>
  <si>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</si>
  <si>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</si>
  <si>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</si>
  <si>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</si>
  <si>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dual_electric</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</si>
  <si>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</si>
  <si>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</si>
  <si>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</si>
  <si>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</si>
  <si>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</si>
  <si>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</si>
  <si>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</si>
  <si>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</si>
  <si>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</si>
  <si>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</si>
  <si>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</si>
  <si>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</si>
  <si>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</si>
  <si>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</si>
  <si>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</si>
  <si>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</si>
  <si>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</si>
  <si>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</si>
  <si>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</si>
  <si>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</si>
  <si>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</si>
  <si>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</si>
  <si>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</si>
  <si>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GWR Railcar</t>
  </si>
  <si>
    <t xml:space="preserve">gwr_railcar</t>
  </si>
  <si>
    <t xml:space="preserve">multiple_unit</t>
  </si>
  <si>
    <t xml:space="preserve">DMU (Cheap)</t>
  </si>
  <si>
    <t xml:space="preserve">The GWR Railcars used AEC bus hardware in a lightweight streamlined body.</t>
  </si>
  <si>
    <t xml:space="preserve">Metro-Cammell Class 101</t>
  </si>
  <si>
    <t xml:space="preserve">class_101</t>
  </si>
  <si>
    <t xml:space="preserve">class_101,class_101_rev</t>
  </si>
  <si>
    <t xml:space="preserve">1,1</t>
  </si>
  <si>
    <t xml:space="preserve">DMU</t>
  </si>
  <si>
    <t xml:space="preserve">The Class 101 has a four speed gearbox with a manual shift. It was exceptionally long-lived, the final examples being retired in December 2003.</t>
  </si>
  <si>
    <t xml:space="preserve">NER Autocar</t>
  </si>
  <si>
    <t xml:space="preserve">ner_autocar</t>
  </si>
  <si>
    <t xml:space="preserve">petrol</t>
  </si>
  <si>
    <t xml:space="preserve">The NER Autocar is a petrol-electric railcar with a petrol engine driving two electric motors. It was the first use of an internal combustion engine in a railway vehicle.</t>
  </si>
  <si>
    <t xml:space="preserve">LNWR Electric Unit</t>
  </si>
  <si>
    <t xml:space="preserve">lnwr_emu</t>
  </si>
  <si>
    <t xml:space="preserve">lnwr_emu,passenger_coach_lnwr,lnwr_emu_rear</t>
  </si>
  <si>
    <t xml:space="preserve">1,0,1</t>
  </si>
  <si>
    <t xml:space="preserve">EMU</t>
  </si>
  <si>
    <t xml:space="preserve">The LNWR built electric multiple units for its inner suburban London routes, sharing track with the Bakerloo and District lines.</t>
  </si>
  <si>
    <t xml:space="preserve">Southern Railway 5-BEL</t>
  </si>
  <si>
    <t xml:space="preserve">sr_5bel</t>
  </si>
  <si>
    <t xml:space="preserve">sr_5bel,passenger_coach_pullman,passenger_coach_pullman,passenger_coach_pullman,sr_5bel_rear</t>
  </si>
  <si>
    <t xml:space="preserve">1,0,0,0,1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</si>
  <si>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</si>
  <si>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</si>
  <si>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</si>
  <si>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</si>
  <si>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</si>
  <si>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</si>
  <si>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</si>
  <si>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</si>
  <si>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</si>
  <si>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</si>
  <si>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</si>
  <si>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BR Class 506</t>
  </si>
  <si>
    <t xml:space="preserve">br_class_506</t>
  </si>
  <si>
    <t xml:space="preserve">br_class_506,br_class_506_mid,br_class_506_rear</t>
  </si>
  <si>
    <t xml:space="preserve">1,1,1</t>
  </si>
  <si>
    <t xml:space="preserve">The Class 506 was built by Metro Cammell and BRCW for the Woodhead Line.</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</si>
  <si>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</si>
  <si>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</si>
  <si>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</si>
  <si>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</si>
  <si>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</si>
  <si>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</si>
  <si>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</si>
  <si>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</si>
  <si>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BREL Class 421 "4 CIG"</t>
  </si>
  <si>
    <t xml:space="preserve">brel_class_421,passenger_coach_mk1,passenger_coach_mk1,brel_class_421_rear</t>
  </si>
  <si>
    <t xml:space="preserve">1,0,0,1</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</si>
  <si>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</si>
  <si>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</si>
  <si>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</si>
  <si>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</si>
  <si>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1,1,1,1</t>
  </si>
  <si>
    <t xml:space="preserve">DMU (Express)</t>
  </si>
  <si>
    <t xml:space="preserve">The AM10 was the first EMU to be based on the Mk2 carriage bodyshell. They were introduced as part of the West Coast Main Line electrification.</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</si>
  <si>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</si>
  <si>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</si>
  <si>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</si>
  <si>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</si>
  <si>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</si>
  <si>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</si>
  <si>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</si>
  <si>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</si>
  <si>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</si>
  <si>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</si>
  <si>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</si>
  <si>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</si>
  <si>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</si>
  <si>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</si>
  <si>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</si>
  <si>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</si>
  <si>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</si>
  <si>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</si>
  <si>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</si>
  <si>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</si>
  <si>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</si>
  <si>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</si>
  <si>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</si>
  <si>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</si>
  <si>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</si>
  <si>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</si>
  <si>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</si>
  <si>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</si>
  <si>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</si>
  <si>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</si>
  <si>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</si>
  <si>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</si>
  <si>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</si>
  <si>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</si>
  <si>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</si>
  <si>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</si>
  <si>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</si>
  <si>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</si>
  <si>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</si>
  <si>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</si>
  <si>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</si>
  <si>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</si>
  <si>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</si>
  <si>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</si>
  <si>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</si>
  <si>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</si>
  <si>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</si>
  <si>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0,0,0,0,0</t>
  </si>
  <si>
    <t xml:space="preserve">class_458_5</t>
  </si>
  <si>
    <t xml:space="preserve">param_max_mu_length == 2</t>
  </si>
  <si>
    <t xml:space="preserve">Alstom Class 458/5 "5JUP"</t>
  </si>
  <si>
    <t xml:space="preserve">class_458,alstom_juniper_mid,alstom_juniper_mid,alstom_juniper_mid,class_458_rear</t>
  </si>
  <si>
    <t xml:space="preserve">class_458</t>
  </si>
  <si>
    <t xml:space="preserve">alstom_juniper,alstom_juniper_4_tile</t>
  </si>
  <si>
    <t xml:space="preserve">mod</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</si>
  <si>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</si>
  <si>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</si>
  <si>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</si>
  <si>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</si>
  <si>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1,1,0,0,1</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</si>
  <si>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</si>
  <si>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</si>
  <si>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</si>
  <si>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0,0,0,0</t>
  </si>
  <si>
    <t xml:space="preserve">Alstom Class 390 "Pendolino"</t>
  </si>
  <si>
    <t xml:space="preserve">pendolino</t>
  </si>
  <si>
    <t xml:space="preserve">pendolino,pendolino_mid,pendolino_mid,pendolino_mid,pendolino_mid,pendolino_power,pendolino_mid,pendolino_rear</t>
  </si>
  <si>
    <t xml:space="preserve">1,1,0,0,0,1,0,1</t>
  </si>
  <si>
    <t xml:space="preserve">param_max_mu_length == 0</t>
  </si>
  <si>
    <t xml:space="preserve">The Pendolino is a tilting multiple unit with a design speed of 140mph.  The tilt system is supplied by Fiat Ferroviaria.</t>
  </si>
  <si>
    <t xml:space="preserve">pendolino_6_tile</t>
  </si>
  <si>
    <t xml:space="preserve">pendolino,pendolino_mid,pendolino_mid,pendolino_power,pendolino_mid,pendolino_rear</t>
  </si>
  <si>
    <t xml:space="preserve">0,0,0,0,0,0</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</si>
  <si>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</si>
  <si>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</si>
  <si>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</si>
  <si>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</si>
  <si>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</si>
  <si>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</si>
  <si>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</si>
  <si>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</si>
  <si>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</si>
  <si>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</si>
  <si>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</si>
  <si>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</si>
  <si>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</si>
  <si>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</si>
  <si>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</si>
  <si>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</si>
  <si>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</si>
  <si>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</si>
  <si>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</si>
  <si>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</si>
  <si>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</si>
  <si>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</si>
  <si>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</si>
  <si>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</si>
  <si>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</si>
  <si>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</si>
  <si>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</si>
  <si>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</si>
  <si>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</si>
  <si>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</si>
  <si>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</si>
  <si>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</si>
  <si>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</si>
  <si>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</si>
  <si>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</si>
  <si>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</si>
  <si>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</si>
  <si>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</si>
  <si>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1,1,0,0,0,1</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</si>
  <si>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</si>
  <si>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</si>
  <si>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</si>
  <si>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</si>
  <si>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</si>
  <si>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</si>
  <si>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</si>
  <si>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1,1,1,0,1</t>
  </si>
  <si>
    <t xml:space="preserve">The Capitalstar is an electric multiple unit designed specifically for the needs of the London Overground, with longitudinal seating, large amounts of standing room and wide doors for fast loading and unloading.</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</si>
  <si>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</si>
  <si>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</si>
  <si>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</si>
  <si>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</si>
  <si>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</si>
  <si>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</si>
  <si>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</si>
  <si>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</si>
  <si>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</si>
  <si>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</si>
  <si>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</si>
  <si>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</si>
  <si>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</si>
  <si>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</si>
  <si>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</si>
  <si>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</si>
  <si>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</si>
  <si>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</si>
  <si>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</si>
  <si>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</si>
  <si>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</si>
  <si>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</si>
  <si>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</si>
  <si>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</si>
  <si>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</si>
  <si>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</si>
  <si>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</si>
  <si>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</si>
  <si>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</si>
  <si>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</si>
  <si>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</si>
  <si>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</si>
  <si>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</si>
  <si>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</si>
  <si>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</si>
  <si>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</si>
  <si>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</si>
  <si>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</si>
  <si>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</si>
  <si>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</si>
  <si>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</si>
  <si>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class_345_aventra_6_tile</t>
  </si>
  <si>
    <t xml:space="preserve">class_345_aventra,class_345_aventra_power,class_345_aventra_mid,class_345_aventra_mid,class_345_aventra_mid,class_345_aventra_mid,class_345_aventra_rear</t>
  </si>
  <si>
    <t xml:space="preserve">0,0,0,0,0,0,0</t>
  </si>
  <si>
    <t xml:space="preserve">class_345_aventra_4_tile</t>
  </si>
  <si>
    <t xml:space="preserve">class_345_aventra,class_345_aventra_power,class_345_aventra_mid,class_345_aventra_rear</t>
  </si>
  <si>
    <t xml:space="preserve">class_700_city_4_tile</t>
  </si>
  <si>
    <t xml:space="preserve">class_700_city,class_700_city_tso,class_700_city_tso_rev,class_700_city_power,class_700_city_rear</t>
  </si>
  <si>
    <t xml:space="preserve">Stadler Class 777 "METRO"</t>
  </si>
  <si>
    <t xml:space="preserve">class_777</t>
  </si>
  <si>
    <t xml:space="preserve">BATTERY</t>
  </si>
  <si>
    <t xml:space="preserve">class_777,class_777_mid,class_777_mid_2,class_777_rear</t>
  </si>
  <si>
    <t xml:space="preserve">The Class 777 "METRO" is a dual-mode unit which charges a battery when on third rail power, which can be used to travel over unpowered track.</t>
  </si>
  <si>
    <t xml:space="preserve">Mather &amp; Platt C&amp;SLR Locomotive</t>
  </si>
  <si>
    <t xml:space="preserve">mather_locomotive</t>
  </si>
  <si>
    <t xml:space="preserve">tube</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</si>
  <si>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</si>
  <si>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</si>
  <si>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</si>
  <si>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</si>
  <si>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</si>
  <si>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</si>
  <si>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</si>
  <si>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</si>
  <si>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</si>
  <si>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</si>
  <si>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</si>
  <si>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</si>
  <si>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</si>
  <si>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</si>
  <si>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</si>
  <si>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</si>
  <si>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</si>
  <si>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</si>
  <si>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</si>
  <si>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</si>
  <si>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</si>
  <si>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</si>
  <si>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</si>
  <si>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</si>
  <si>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</si>
  <si>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</si>
  <si>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</si>
  <si>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</si>
  <si>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</si>
  <si>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</si>
  <si>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</si>
  <si>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</si>
  <si>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</si>
  <si>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</si>
  <si>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</si>
  <si>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</si>
  <si>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</si>
  <si>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</si>
  <si>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</si>
  <si>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</si>
  <si>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</si>
  <si>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</si>
  <si>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</si>
  <si>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1973 Stock (Capacity Bug)</t>
  </si>
  <si>
    <t xml:space="preserve">lu_1973_stock_bug</t>
  </si>
  <si>
    <t xml:space="preserve">0,0,0</t>
  </si>
  <si>
    <t xml:space="preserve">0 == 1</t>
  </si>
  <si>
    <t xml:space="preserve">This stock has a bug, it carries no passengers. You should not be able to build this or see it in the build window. It will be removed at the next compatibility-breaking change.</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</si>
  <si>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</si>
  <si>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</si>
  <si>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</si>
  <si>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</si>
  <si>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</si>
  <si>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</si>
  <si>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</si>
  <si>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</si>
  <si>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</si>
  <si>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</si>
  <si>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</si>
  <si>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</si>
  <si>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</si>
  <si>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</si>
  <si>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</si>
  <si>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</si>
  <si>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</si>
  <si>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</si>
  <si>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</si>
  <si>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</si>
  <si>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</si>
  <si>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</si>
  <si>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</si>
  <si>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</si>
  <si>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</si>
  <si>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</si>
  <si>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</si>
  <si>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</si>
  <si>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</si>
  <si>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</si>
  <si>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</si>
  <si>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</si>
  <si>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</si>
  <si>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</si>
  <si>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Trevithick Tender</t>
  </si>
  <si>
    <t xml:space="preserve">trevithick_tender</t>
  </si>
  <si>
    <t xml:space="preserve">GNR Tender</t>
  </si>
  <si>
    <t xml:space="preserve">gnr_tender</t>
  </si>
  <si>
    <t xml:space="preserve">LNWR Early Tender</t>
  </si>
  <si>
    <t xml:space="preserve">lnwr_early_tender</t>
  </si>
  <si>
    <t xml:space="preserve">Princess Tender</t>
  </si>
  <si>
    <t xml:space="preserve">princess_tender</t>
  </si>
  <si>
    <t xml:space="preserve">Star Tender</t>
  </si>
  <si>
    <t xml:space="preserve">star_tender</t>
  </si>
  <si>
    <t xml:space="preserve">early</t>
  </si>
  <si>
    <t xml:space="preserve">Iron Duke Tender</t>
  </si>
  <si>
    <t xml:space="preserve">iron_duke_tender</t>
  </si>
  <si>
    <t xml:space="preserve">Midland Tender (Old)</t>
  </si>
  <si>
    <t xml:space="preserve">midland_tender_old</t>
  </si>
  <si>
    <t xml:space="preserve">LNWR Tender</t>
  </si>
  <si>
    <t xml:space="preserve">lnwr_tender</t>
  </si>
  <si>
    <t xml:space="preserve">LNER Tender</t>
  </si>
  <si>
    <t xml:space="preserve">lner_tender</t>
  </si>
  <si>
    <t xml:space="preserve">Non-corridor carriage</t>
  </si>
  <si>
    <t xml:space="preserve">passenger_carriage_non_corridor</t>
  </si>
  <si>
    <t xml:space="preserve">Non-corridor carriages allow greater seating density, at the cost of passenger comfort.</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</si>
  <si>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</si>
  <si>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</si>
  <si>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</si>
  <si>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</si>
  <si>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</si>
  <si>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</si>
  <si>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</si>
  <si>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</si>
  <si>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</si>
  <si>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</si>
  <si>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</si>
  <si>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</si>
  <si>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</si>
  <si>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</si>
  <si>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By the 1970s BR had ceased to build carriages with the intention of adding parcel vans to passenger services, but that hasn't stopped railfans and modellers wondering what could have been.</t>
  </si>
  <si>
    <t xml:space="preserve">BR Mk2F carriage</t>
  </si>
  <si>
    <t xml:space="preserve">passenger_coach_mk2f_import</t>
  </si>
  <si>
    <t xml:space="preserve">CAF Mk5A carriage</t>
  </si>
  <si>
    <t xml:space="preserve">passenger_coach_mk5a</t>
  </si>
  <si>
    <t xml:space="preserve">The Mark 5A was built for loco-hauled services on the TransPennine Express, but was withdrawn barely four years after introduction.</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</si>
  <si>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</si>
  <si>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</si>
  <si>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</si>
  <si>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</si>
  <si>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</si>
  <si>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</si>
  <si>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</si>
  <si>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</si>
  <si>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</si>
  <si>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</si>
  <si>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</si>
  <si>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Forrester Single</t>
  </si>
  <si>
    <t xml:space="preserve">forrester_single</t>
  </si>
  <si>
    <t xml:space="preserve">George Forrester and Company built the first passenger tank locomotive to enter service. They were supplied to multiple railways in both tank and tender forms.</t>
  </si>
  <si>
    <t xml:space="preserve">GWR 2-2-2 "Star"</t>
  </si>
  <si>
    <t xml:space="preserve">gwr_222_star</t>
  </si>
  <si>
    <t xml:space="preserve">The first GWR Star class was typical of a 2-2-2 "single" passenger locomotive. They were given common names of stars, such as "Dog Star" and "Shooting Star"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</si>
  <si>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</si>
  <si>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</si>
  <si>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</si>
  <si>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</si>
  <si>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</si>
  <si>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</si>
  <si>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</si>
  <si>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</si>
  <si>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</si>
  <si>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GNR Stirling 4-2-2</t>
  </si>
  <si>
    <t xml:space="preserve">stirling_single</t>
  </si>
  <si>
    <t xml:space="preserve">Patrick Stirling's "singles" (also known as "eight footers" due to the large driving wheels) were designed to haul heavy express trains.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</si>
  <si>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</si>
  <si>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</si>
  <si>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</si>
  <si>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</si>
  <si>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</si>
  <si>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</si>
  <si>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GWR 3001 "Achilles"</t>
  </si>
  <si>
    <t xml:space="preserve">gwr_achilles</t>
  </si>
  <si>
    <t xml:space="preserve">na</t>
  </si>
  <si>
    <t xml:space="preserve">102x0x0</t>
  </si>
  <si>
    <t xml:space="preserve">William Dean's 3001 class was the last of the GWR's 2-2-2 singles. They were rebuilt early on with a 4-2-2 layout to prevent derailments caused by the heavy front axle load.</t>
  </si>
  <si>
    <t xml:space="preserve">LSWR F9 "Bug"</t>
  </si>
  <si>
    <t xml:space="preserve">lswr_f9</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</si>
  <si>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</si>
  <si>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</si>
  <si>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</si>
  <si>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</si>
  <si>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Class A55 "Decapod"</t>
  </si>
  <si>
    <t xml:space="preserve">ger_decapod</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</si>
  <si>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</si>
  <si>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</si>
  <si>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</si>
  <si>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edw</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</si>
  <si>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</si>
  <si>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</si>
  <si>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</si>
  <si>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</si>
  <si>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</si>
  <si>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</si>
  <si>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</si>
  <si>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</si>
  <si>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</si>
  <si>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</si>
  <si>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</si>
  <si>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</si>
  <si>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U1</t>
  </si>
  <si>
    <t xml:space="preserve">lner_u1</t>
  </si>
  <si>
    <t xml:space="preserve">lner_u1,lner_u1_mid,lner_u1_rear</t>
  </si>
  <si>
    <t xml:space="preserve">23,26</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</si>
  <si>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</si>
  <si>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</si>
  <si>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</si>
  <si>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</si>
  <si>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</si>
  <si>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</si>
  <si>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LNER Raven A2</t>
  </si>
  <si>
    <t xml:space="preserve">lner_raven_a2</t>
  </si>
  <si>
    <t xml:space="preserve">LNER Thompson B1</t>
  </si>
  <si>
    <t xml:space="preserve">lner_thompson_b1</t>
  </si>
  <si>
    <t xml:space="preserve">big4</t>
  </si>
  <si>
    <t xml:space="preserve">LNER's B2 was a mixed traffic locomotive, the early examples of which were named after breeds of antelope, with 61018 "Gnu" having the record for shortest name given to a British locomotive. </t>
  </si>
  <si>
    <t xml:space="preserve">Brown, Boverie &amp; Cie 18000</t>
  </si>
  <si>
    <t xml:space="preserve">bbc_18000</t>
  </si>
  <si>
    <t xml:space="preserve">Originally ordered by the GWR, the 18000 used a gas turbine to match the power output of the King Class. This resulted in it being unreliable and expensive to run.</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</si>
  <si>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</si>
  <si>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</si>
  <si>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</si>
  <si>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</si>
  <si>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</si>
  <si>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</si>
  <si>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</si>
  <si>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</si>
  <si>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</si>
  <si>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</si>
  <si>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</si>
  <si>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</si>
  <si>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</si>
  <si>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CAF Mk5A DVT</t>
  </si>
  <si>
    <t xml:space="preserve">passenger_coach_mk5a_dvt</t>
  </si>
  <si>
    <t xml:space="preserve">Mark 5A carriage sets include a driving van trailer, enabling loco-hauled trains to be driven from both ends.</t>
  </si>
  <si>
    <t xml:space="preserve">Cartic</t>
  </si>
  <si>
    <t xml:space="preserve">cartic</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</si>
  <si>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</si>
  <si>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</si>
  <si>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</si>
  <si>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</si>
  <si>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</si>
  <si>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</si>
  <si>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</si>
  <si>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</si>
  <si>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</si>
  <si>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</si>
  <si>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</si>
  <si>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</si>
  <si>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GRC&amp;W Class 128 Parcel Van</t>
  </si>
  <si>
    <t xml:space="preserve">class_128</t>
  </si>
  <si>
    <t xml:space="preserve">The Class 128 was built specifically for carrying parcels by the Gloucester Railway Carriage and Wagon Company.</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</si>
  <si>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</si>
  <si>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</si>
  <si>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</si>
  <si>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</si>
  <si>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</si>
  <si>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</si>
  <si>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</si>
  <si>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</si>
  <si>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</si>
  <si>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</si>
  <si>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</si>
  <si>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</si>
  <si>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</si>
  <si>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</si>
  <si>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</si>
  <si>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</si>
  <si>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</si>
  <si>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</si>
  <si>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</si>
  <si>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lbr</t>
  </si>
  <si>
    <t xml:space="preserve">GEC-Alsthom Class 374 "Eurostar e320"</t>
  </si>
  <si>
    <t xml:space="preserve">eurostar_e320</t>
  </si>
  <si>
    <t xml:space="preserve">Pony</t>
  </si>
  <si>
    <t xml:space="preserve">pony</t>
  </si>
  <si>
    <t xml:space="preserve">NARROW_GAUGE</t>
  </si>
  <si>
    <t xml:space="preserve">A smaller horse for a smaller railway.</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</si>
  <si>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</si>
  <si>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</si>
  <si>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</si>
  <si>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</si>
  <si>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</si>
  <si>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</si>
  <si>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</si>
  <si>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</si>
  <si>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</si>
  <si>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</si>
  <si>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</si>
  <si>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</si>
  <si>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</si>
  <si>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</si>
  <si>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</si>
  <si>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</si>
  <si>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</si>
  <si>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</si>
  <si>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</si>
  <si>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</si>
  <si>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</si>
  <si>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</si>
  <si>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</si>
  <si>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</si>
  <si>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</si>
  <si>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</si>
  <si>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</si>
  <si>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</si>
  <si>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</si>
  <si>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</si>
  <si>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</si>
  <si>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</si>
  <si>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</si>
  <si>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</si>
  <si>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</si>
  <si>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</si>
  <si>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</si>
  <si>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</si>
  <si>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</si>
  <si>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</si>
  <si>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</si>
  <si>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</si>
  <si>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</si>
  <si>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</si>
  <si>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</si>
  <si>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</si>
  <si>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</si>
  <si>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</si>
  <si>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</si>
  <si>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</si>
  <si>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</si>
  <si>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</si>
  <si>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</si>
  <si>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</si>
  <si>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</si>
  <si>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</si>
  <si>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</si>
  <si>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</si>
  <si>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</si>
  <si>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</si>
  <si>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</si>
  <si>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</si>
  <si>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</si>
  <si>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</si>
  <si>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</si>
  <si>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</si>
  <si>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</si>
  <si>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</si>
  <si>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</si>
  <si>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</si>
  <si>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</si>
  <si>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</si>
  <si>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</si>
  <si>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</si>
  <si>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</si>
  <si>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</si>
  <si>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</si>
  <si>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</si>
  <si>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</si>
  <si>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</si>
  <si>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</si>
  <si>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</si>
  <si>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</si>
  <si>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Midland Railway EMU (1 Car)</t>
  </si>
  <si>
    <t xml:space="preserve">mr_horsham_emu_1car</t>
  </si>
  <si>
    <t xml:space="preserve">mr_emu_dm</t>
  </si>
  <si>
    <t xml:space="preserve">mr_horsham_emu_2car,mr_horsham_emu_3car</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</si>
  <si>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</si>
  <si>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</si>
  <si>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</si>
  <si>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</si>
  <si>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</si>
  <si>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</si>
  <si>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</si>
  <si>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</si>
  <si>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</si>
  <si>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</si>
  <si>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</si>
  <si>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</si>
  <si>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</si>
  <si>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</si>
  <si>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</si>
  <si>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</si>
  <si>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</si>
  <si>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</si>
  <si>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</si>
  <si>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</si>
  <si>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</si>
  <si>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</si>
  <si>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</si>
  <si>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</si>
  <si>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</si>
  <si>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</si>
  <si>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</si>
  <si>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</si>
  <si>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</si>
  <si>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</si>
  <si>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</si>
  <si>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</si>
  <si>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</si>
  <si>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</si>
  <si>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</si>
  <si>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</si>
  <si>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</si>
  <si>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</si>
  <si>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</si>
  <si>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</si>
  <si>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</si>
  <si>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</si>
  <si>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</si>
  <si>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</si>
  <si>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</si>
  <si>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Ruston and Hornsby 48DS</t>
  </si>
  <si>
    <t xml:space="preserve">ruston_48</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</si>
  <si>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</si>
  <si>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</si>
  <si>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</si>
  <si>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</si>
  <si>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</si>
  <si>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</si>
  <si>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</si>
  <si>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</si>
  <si>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</si>
  <si>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</si>
  <si>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</si>
  <si>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</si>
  <si>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</si>
  <si>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</si>
  <si>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</si>
  <si>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</si>
  <si>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</si>
  <si>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</si>
  <si>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</si>
  <si>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</si>
  <si>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</si>
  <si>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</si>
  <si>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</si>
  <si>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</si>
  <si>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</si>
  <si>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</si>
  <si>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</si>
  <si>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</si>
  <si>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</si>
  <si>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</si>
  <si>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</si>
  <si>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</si>
  <si>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</si>
  <si>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</si>
  <si>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</si>
  <si>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</si>
  <si>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</si>
  <si>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</si>
  <si>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</si>
  <si>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</si>
  <si>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</si>
  <si>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blue_pullman</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</si>
  <si>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</si>
  <si>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</si>
  <si>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</si>
  <si>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</si>
  <si>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</si>
  <si>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</si>
  <si>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</si>
  <si>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</si>
  <si>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</si>
  <si>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</si>
  <si>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</si>
  <si>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</si>
  <si>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</si>
  <si>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</si>
  <si>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</si>
  <si>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</si>
  <si>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</si>
  <si>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</si>
  <si>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</si>
  <si>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</si>
  <si>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</si>
  <si>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</si>
  <si>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</si>
  <si>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</si>
  <si>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</si>
  <si>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</si>
  <si>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</si>
  <si>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</si>
  <si>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</si>
  <si>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</si>
  <si>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</si>
  <si>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</si>
  <si>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</si>
  <si>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</si>
  <si>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</si>
  <si>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</si>
  <si>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</si>
  <si>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</si>
  <si>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</si>
  <si>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</si>
  <si>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</si>
  <si>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</si>
  <si>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</si>
  <si>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</si>
  <si>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</si>
  <si>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</si>
  <si>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</si>
  <si>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</si>
  <si>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</si>
  <si>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</si>
  <si>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</si>
  <si>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</si>
  <si>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</si>
  <si>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</si>
  <si>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</si>
  <si>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</si>
  <si>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</si>
  <si>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</si>
  <si>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</si>
  <si>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</si>
  <si>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</si>
  <si>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</si>
  <si>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</si>
  <si>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</si>
  <si>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</si>
  <si>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</si>
  <si>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</si>
  <si>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</si>
  <si>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</si>
  <si>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</si>
  <si>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</si>
  <si>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</si>
  <si>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</si>
  <si>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</si>
  <si>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</si>
  <si>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</si>
  <si>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</si>
  <si>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</si>
  <si>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</si>
  <si>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</si>
  <si>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</si>
  <si>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</si>
  <si>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</si>
  <si>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</si>
  <si>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</si>
  <si>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</si>
  <si>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</si>
  <si>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</si>
  <si>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</si>
  <si>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</si>
  <si>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</si>
  <si>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</si>
  <si>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</si>
  <si>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</si>
  <si>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</si>
  <si>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</si>
  <si>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</si>
  <si>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</si>
  <si>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</si>
  <si>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</si>
  <si>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</si>
  <si>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</si>
  <si>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apt,apt_mid,apt_mid,apt_mid,apt_mid,apt_tbf2</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</si>
  <si>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</si>
  <si>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</si>
  <si>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</si>
  <si>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</si>
  <si>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</si>
  <si>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</si>
  <si>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</si>
  <si>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</si>
  <si>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</si>
  <si>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</si>
  <si>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</si>
  <si>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</si>
  <si>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</si>
  <si>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</si>
  <si>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</si>
  <si>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</si>
  <si>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</si>
  <si>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</si>
  <si>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</si>
  <si>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</si>
  <si>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</si>
  <si>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</si>
  <si>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</si>
  <si>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</si>
  <si>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</si>
  <si>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</si>
  <si>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</si>
  <si>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</si>
  <si>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</si>
  <si>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</si>
  <si>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</si>
  <si>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</si>
  <si>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</si>
  <si>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</si>
  <si>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</si>
  <si>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</si>
  <si>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</si>
  <si>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</si>
  <si>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</si>
  <si>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</si>
  <si>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</si>
  <si>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</si>
  <si>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</si>
  <si>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</si>
  <si>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</si>
  <si>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</si>
  <si>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</si>
  <si>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A depowered Class 43, proposed as a conversion from surplus power cars and now suitable for carrying baggage.</t>
  </si>
  <si>
    <t xml:space="preserve">BREL E-HST</t>
  </si>
  <si>
    <t xml:space="preserve">brel_ehst</t>
  </si>
  <si>
    <t xml:space="preserve">A proposed electric version of the Class 43 ‘HST’ Power Car was oft-discussed after the failure of the APT program.</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</si>
  <si>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</si>
  <si>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</si>
  <si>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</si>
  <si>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</si>
  <si>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</si>
  <si>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</si>
  <si>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</si>
  <si>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</si>
  <si>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</si>
  <si>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</si>
  <si>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</si>
  <si>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</si>
  <si>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</si>
  <si>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</si>
  <si>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</si>
  <si>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</si>
  <si>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</si>
  <si>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</si>
  <si>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</si>
  <si>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</si>
  <si>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</si>
  <si>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</si>
  <si>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</si>
  <si>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</si>
  <si>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</si>
  <si>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</si>
  <si>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</si>
  <si>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</si>
  <si>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</si>
  <si>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</si>
  <si>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</si>
  <si>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</si>
  <si>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</si>
  <si>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</si>
  <si>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</si>
  <si>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</si>
  <si>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</si>
  <si>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</si>
  <si>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</si>
  <si>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</si>
  <si>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</si>
  <si>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</si>
  <si>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</si>
  <si>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</si>
  <si>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</si>
  <si>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</si>
  <si>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</si>
  <si>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</si>
  <si>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</si>
  <si>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</si>
  <si>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</si>
  <si>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</si>
  <si>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</si>
  <si>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</si>
  <si>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</si>
  <si>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</si>
  <si>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</si>
  <si>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</si>
  <si>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</si>
  <si>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</si>
  <si>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</si>
  <si>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</si>
  <si>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</si>
  <si>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</si>
  <si>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</si>
  <si>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</si>
  <si>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</si>
  <si>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</si>
  <si>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</si>
  <si>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</si>
  <si>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</si>
  <si>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</si>
  <si>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</si>
  <si>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</si>
  <si>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</si>
  <si>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</si>
  <si>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</si>
  <si>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</si>
  <si>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</si>
  <si>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</si>
  <si>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</si>
  <si>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</si>
  <si>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</si>
  <si>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</si>
  <si>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</si>
  <si>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</si>
  <si>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</si>
  <si>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</si>
  <si>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</si>
  <si>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</si>
  <si>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</si>
  <si>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</si>
  <si>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</si>
  <si>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</si>
  <si>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</si>
  <si>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</si>
  <si>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</si>
  <si>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</si>
  <si>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</si>
  <si>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</si>
  <si>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</si>
  <si>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</si>
  <si>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</si>
  <si>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</si>
  <si>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</si>
  <si>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</si>
  <si>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</si>
  <si>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</si>
  <si>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</si>
  <si>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</si>
  <si>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</si>
  <si>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Hitachi Class 801/1 "Azuma"</t>
  </si>
  <si>
    <t xml:space="preserve">class_801_5</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</si>
  <si>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</si>
  <si>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</si>
  <si>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</si>
  <si>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Hitachi Class 802/0 "IET"</t>
  </si>
  <si>
    <t xml:space="preserve">class_802_5</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</si>
  <si>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</si>
  <si>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</si>
  <si>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</si>
  <si>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</si>
  <si>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</si>
  <si>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</si>
  <si>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</si>
  <si>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</si>
  <si>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</si>
  <si>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</si>
  <si>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</si>
  <si>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</si>
  <si>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</si>
  <si>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</si>
  <si>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</si>
  <si>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</si>
  <si>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</si>
  <si>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</si>
  <si>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</si>
  <si>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</si>
  <si>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</si>
  <si>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</si>
  <si>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</si>
  <si>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</si>
  <si>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</si>
  <si>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</si>
  <si>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</si>
  <si>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</si>
  <si>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</si>
  <si>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</si>
  <si>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</si>
  <si>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</si>
  <si>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</si>
  <si>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</si>
  <si>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</si>
  <si>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</si>
  <si>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</si>
  <si>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</si>
  <si>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</si>
  <si>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</si>
  <si>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</si>
  <si>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</si>
  <si>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</si>
  <si>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</si>
  <si>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</si>
  <si>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</si>
  <si>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</si>
  <si>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</si>
  <si>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</si>
  <si>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</si>
  <si>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</si>
  <si>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</si>
  <si>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</si>
  <si>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</si>
  <si>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</si>
  <si>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</si>
  <si>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</si>
  <si>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</si>
  <si>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</si>
  <si>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</si>
  <si>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</si>
  <si>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</si>
  <si>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</si>
  <si>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</si>
  <si>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</si>
  <si>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</si>
  <si>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</si>
  <si>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</si>
  <si>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</si>
  <si>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</si>
  <si>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</si>
  <si>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</si>
  <si>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</si>
  <si>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</si>
  <si>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</si>
  <si>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</si>
  <si>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</si>
  <si>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</si>
  <si>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</si>
  <si>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</si>
  <si>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</si>
  <si>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</si>
  <si>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</si>
  <si>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</si>
  <si>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</si>
  <si>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</si>
  <si>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</si>
  <si>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</si>
  <si>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</si>
  <si>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</si>
  <si>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</si>
  <si>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</si>
  <si>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</si>
  <si>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</si>
  <si>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</si>
  <si>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</si>
  <si>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</si>
  <si>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</si>
  <si>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</si>
  <si>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</si>
  <si>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</si>
  <si>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</si>
  <si>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</si>
  <si>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</si>
  <si>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</si>
  <si>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</si>
  <si>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</si>
  <si>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</si>
  <si>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</si>
  <si>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</si>
  <si>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</si>
  <si>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</si>
  <si>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</si>
  <si>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</si>
  <si>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</si>
  <si>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</si>
  <si>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</si>
  <si>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</si>
  <si>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</si>
  <si>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</si>
  <si>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</si>
  <si>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</si>
  <si>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</si>
  <si>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</si>
  <si>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</si>
  <si>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</si>
  <si>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</si>
  <si>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</si>
  <si>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</si>
  <si>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</si>
  <si>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</si>
  <si>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</si>
  <si>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</si>
  <si>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</si>
  <si>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</si>
  <si>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</si>
  <si>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</si>
  <si>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</si>
  <si>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</si>
  <si>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Era</t>
  </si>
  <si>
    <t xml:space="preserve">(name)</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</si>
  <si>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</si>
  <si>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</si>
  <si>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</si>
  <si>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</si>
  <si>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</si>
  <si>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</si>
  <si>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</si>
  <si>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</si>
  <si>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</si>
  <si>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</si>
  <si>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</si>
  <si>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</si>
  <si>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</si>
  <si>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</si>
  <si>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</si>
  <si>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</si>
  <si>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</si>
  <si>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</si>
  <si>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</si>
  <si>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</si>
  <si>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</si>
  <si>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</si>
  <si>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</si>
  <si>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</si>
  <si>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</si>
  <si>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</si>
  <si>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</si>
  <si>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</si>
  <si>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</si>
  <si>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</si>
  <si>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</si>
  <si>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</si>
  <si>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</si>
  <si>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</si>
  <si>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</si>
  <si>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</si>
  <si>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</si>
  <si>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</si>
  <si>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</si>
  <si>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</si>
  <si>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</si>
  <si>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</si>
  <si>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</si>
  <si>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</si>
  <si>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</si>
  <si>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</si>
  <si>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</si>
  <si>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</si>
  <si>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</si>
  <si>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</si>
  <si>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</si>
  <si>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</si>
  <si>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</si>
  <si>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</si>
  <si>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</si>
  <si>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</si>
  <si>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</si>
  <si>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</si>
  <si>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</si>
  <si>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</si>
  <si>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</si>
  <si>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</si>
  <si>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</si>
  <si>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</si>
  <si>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</si>
  <si>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</si>
  <si>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</si>
  <si>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</si>
  <si>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</si>
  <si>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</si>
  <si>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none_RAIL</t>
  </si>
  <si>
    <t xml:space="preserve">gas_turbine_RAIL</t>
  </si>
  <si>
    <t xml:space="preserve">Gas Turbine</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</si>
  <si>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</si>
  <si>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</si>
  <si>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</si>
  <si>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</si>
  <si>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</si>
  <si>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</si>
  <si>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</si>
  <si>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</si>
  <si>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</si>
  <si>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</si>
  <si>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</si>
  <si>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</si>
  <si>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</si>
  <si>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</si>
  <si>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</si>
  <si>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</si>
  <si>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</si>
  <si>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</si>
  <si>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</si>
  <si>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</si>
  <si>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</si>
  <si>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</si>
  <si>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</si>
  <si>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</si>
  <si>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</si>
  <si>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</si>
  <si>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</si>
  <si>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</si>
  <si>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</si>
  <si>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</si>
  <si>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</si>
  <si>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</si>
  <si>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</si>
  <si>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</si>
  <si>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</si>
  <si>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</si>
  <si>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</si>
  <si>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</si>
  <si>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</si>
  <si>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</si>
  <si>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</si>
  <si>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</si>
  <si>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</si>
  <si>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</si>
  <si>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</si>
  <si>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</si>
  <si>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</si>
  <si>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</si>
  <si>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</si>
  <si>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</si>
  <si>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</si>
  <si>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</si>
  <si>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</si>
  <si>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</si>
  <si>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</si>
  <si>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</si>
  <si>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</si>
  <si>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</si>
  <si>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</si>
  <si>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</si>
  <si>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</si>
  <si>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</si>
  <si>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</si>
  <si>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</si>
  <si>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</si>
  <si>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</si>
  <si>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</si>
  <si>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</si>
  <si>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</si>
  <si>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</si>
  <si>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</si>
  <si>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</si>
  <si>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</si>
  <si>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</si>
  <si>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</si>
  <si>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</si>
  <si>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</si>
  <si>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</si>
  <si>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</si>
  <si>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</si>
  <si>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</si>
  <si>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</si>
  <si>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</si>
  <si>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</si>
  <si>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</si>
  <si>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</si>
  <si>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</si>
  <si>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</si>
  <si>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</si>
  <si>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</si>
  <si>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</si>
  <si>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</si>
  <si>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</si>
  <si>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</si>
  <si>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</si>
  <si>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</si>
  <si>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</si>
  <si>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</si>
  <si>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</si>
  <si>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</si>
  <si>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</si>
  <si>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</si>
  <si>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</si>
  <si>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</si>
  <si>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</si>
  <si>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</si>
  <si>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</si>
  <si>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</si>
  <si>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</si>
  <si>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</si>
  <si>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</si>
  <si>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</si>
  <si>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</si>
  <si>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</si>
  <si>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</si>
  <si>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</si>
  <si>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</si>
  <si>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</si>
  <si>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</si>
  <si>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</si>
  <si>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</si>
  <si>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</si>
  <si>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</si>
  <si>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</si>
  <si>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</si>
  <si>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</si>
  <si>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</si>
  <si>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</si>
  <si>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</si>
  <si>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</si>
  <si>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</si>
  <si>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</si>
  <si>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</si>
  <si>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</si>
  <si>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</si>
  <si>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</si>
  <si>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</si>
  <si>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</si>
  <si>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</si>
  <si>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</si>
  <si>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</si>
  <si>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</si>
  <si>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</si>
  <si>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</si>
  <si>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</si>
  <si>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</si>
  <si>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</si>
  <si>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</si>
  <si>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</si>
  <si>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</si>
  <si>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</si>
  <si>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</si>
  <si>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</si>
  <si>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</si>
  <si>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</si>
  <si>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</si>
  <si>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</si>
  <si>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</si>
  <si>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</si>
  <si>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</si>
  <si>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</si>
  <si>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</si>
  <si>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</si>
  <si>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</si>
  <si>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</si>
  <si>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</si>
  <si>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</si>
  <si>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</si>
  <si>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</si>
  <si>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</si>
  <si>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</si>
  <si>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</si>
  <si>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</si>
  <si>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</si>
  <si>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</si>
  <si>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</si>
  <si>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</si>
  <si>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</si>
  <si>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</si>
  <si>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</si>
  <si>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</si>
  <si>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</si>
  <si>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</si>
  <si>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</si>
  <si>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</si>
  <si>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</si>
  <si>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</si>
  <si>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</si>
  <si>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</si>
  <si>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Mail</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</si>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</sst>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5">
    <numFmt numFmtId="164" formatCode="General"/>
    <numFmt numFmtId="165" formatCode="0.00"/>
    <numFmt numFmtId="166" formatCode="\£#,##0"/>
    <numFmt numFmtId="167" formatCode="0"/>
    <numFmt numFmtId="168"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b val="true"/>
      <sz val="11"/>
      <color rgb="FF000000"/>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6">
    <fill>
      <patternFill patternType="none"/>
    </fill>
    <fill>
      <patternFill patternType="gray125"/>
    </fill>
    <fill>
      <patternFill patternType="solid">
        <fgColor rgb="FFC6EFCE"/>
        <bgColor rgb="FFE2F0D9"/>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4" tint="0.4"/>
        <bgColor rgb="FFA5A5A5"/>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FF00"/>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2" borderId="0" applyFont="true" applyBorder="false" applyAlignment="true" applyProtection="false">
      <alignment horizontal="general" vertical="bottom" textRotation="0" wrapText="false" indent="0" shrinkToFit="false"/>
    </xf>
  </cellStyleXfs>
  <cellXfs count="5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5" borderId="1" xfId="0" applyFont="false" applyBorder="tru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3" borderId="1" xfId="0" applyFont="true" applyBorder="true" applyAlignment="false" applyProtection="false">
      <alignment horizontal="general" vertical="bottom" textRotation="0" wrapText="false" indent="0" shrinkToFit="false"/>
      <protection locked="true" hidden="false"/>
    </xf>
    <xf numFmtId="164" fontId="4" fillId="4" borderId="1" xfId="0" applyFont="true" applyBorder="tru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4" fontId="4" fillId="5" borderId="1" xfId="0" applyFont="true" applyBorder="true" applyAlignment="false" applyProtection="false">
      <alignment horizontal="general" vertical="bottom" textRotation="0" wrapText="false" indent="0" shrinkToFit="false"/>
      <protection locked="true" hidden="false"/>
    </xf>
    <xf numFmtId="164" fontId="4" fillId="6" borderId="1"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4" fillId="7" borderId="0" xfId="0" applyFont="true" applyBorder="false" applyAlignment="false" applyProtection="false">
      <alignment horizontal="general"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4" borderId="1"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5" borderId="1" xfId="0" applyFont="false" applyBorder="tru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8" fontId="0" fillId="0" borderId="0" xfId="0" applyFont="false" applyBorder="false" applyAlignment="true" applyProtection="true">
      <alignment horizontal="general" vertical="bottom" textRotation="0" wrapText="false" indent="0" shrinkToFit="false"/>
      <protection locked="false" hidden="false"/>
    </xf>
    <xf numFmtId="164" fontId="6" fillId="0" borderId="0" xfId="0" applyFont="true" applyBorder="fals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65" fontId="0" fillId="12" borderId="0" xfId="0" applyFont="false" applyBorder="false" applyAlignment="false" applyProtection="false">
      <alignment horizontal="general" vertical="bottom" textRotation="0" wrapText="false" indent="0" shrinkToFit="false"/>
      <protection locked="true" hidden="false"/>
    </xf>
    <xf numFmtId="166" fontId="0" fillId="13" borderId="0" xfId="0" applyFont="false" applyBorder="false" applyAlignment="false" applyProtection="fals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15" borderId="0" xfId="0" applyFont="true" applyBorder="false" applyAlignment="false" applyProtection="fals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false" hidden="false"/>
    </xf>
    <xf numFmtId="167" fontId="0" fillId="4" borderId="1" xfId="0" applyFont="false" applyBorder="true" applyAlignment="true" applyProtection="true">
      <alignment horizontal="general" vertical="bottom" textRotation="0" wrapText="false" indent="0" shrinkToFit="false"/>
      <protection locked="false" hidden="false"/>
    </xf>
    <xf numFmtId="164" fontId="0" fillId="12" borderId="0" xfId="0" applyFont="false" applyBorder="false" applyAlignment="true" applyProtection="true">
      <alignment horizontal="general" vertical="bottom" textRotation="0" wrapText="false" indent="0" shrinkToFit="false"/>
      <protection locked="false" hidden="false"/>
    </xf>
    <xf numFmtId="165" fontId="0" fillId="12" borderId="0" xfId="0" applyFont="false" applyBorder="false" applyAlignment="true" applyProtection="true">
      <alignment horizontal="general" vertical="bottom" textRotation="0" wrapText="false" indent="0" shrinkToFit="false"/>
      <protection locked="false" hidden="false"/>
    </xf>
    <xf numFmtId="168" fontId="0" fillId="13" borderId="0" xfId="0" applyFont="false" applyBorder="false" applyAlignment="true" applyProtection="true">
      <alignment horizontal="general" vertical="bottom" textRotation="0" wrapText="false" indent="0" shrinkToFit="false"/>
      <protection locked="false" hidden="false"/>
    </xf>
    <xf numFmtId="164" fontId="0" fillId="14" borderId="0" xfId="0" applyFont="false" applyBorder="false" applyAlignment="true" applyProtection="true">
      <alignment horizontal="general" vertical="bottom" textRotation="0" wrapText="false" indent="0" shrinkToFit="false"/>
      <protection locked="false" hidden="false"/>
    </xf>
    <xf numFmtId="164" fontId="6" fillId="7" borderId="0" xfId="0" applyFont="true" applyBorder="false" applyAlignment="true" applyProtection="true">
      <alignment horizontal="general" vertical="bottom" textRotation="0" wrapText="false" indent="0" shrinkToFit="false"/>
      <protection locked="false" hidden="false"/>
    </xf>
    <xf numFmtId="164" fontId="6" fillId="6" borderId="1" xfId="0" applyFont="true" applyBorder="true" applyAlignment="true" applyProtection="true">
      <alignment horizontal="general" vertical="bottom" textRotation="0" wrapText="false" indent="0" shrinkToFit="false"/>
      <protection locked="fals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4" fontId="8"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16">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D9D9D9"/>
          <bgColor rgb="FF000000"/>
        </patternFill>
      </fill>
    </dxf>
    <dxf>
      <font>
        <color rgb="FF9C0006"/>
      </font>
      <fill>
        <patternFill>
          <bgColor rgb="FFFFC7CE"/>
        </patternFill>
      </fill>
    </dxf>
    <dxf>
      <font>
        <name val="Calibri"/>
        <charset val="1"/>
        <family val="2"/>
        <color rgb="FF9C0006"/>
        <sz val="11"/>
      </font>
      <fill>
        <patternFill>
          <bgColor rgb="FFFFC7CE"/>
        </patternFill>
      </fill>
    </dxf>
    <dxf>
      <font>
        <color rgb="FF9C0006"/>
      </font>
      <fill>
        <patternFill/>
      </fill>
    </dxf>
    <dxf>
      <font>
        <color rgb="FF9C0006"/>
      </font>
      <fill>
        <patternFill/>
      </fill>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2F0D9"/>
      <rgbColor rgb="FFC6EFCE"/>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externalLink" Target="externalLinks/externalLink1.xml"/><Relationship Id="rId12" Type="http://schemas.openxmlformats.org/officeDocument/2006/relationships/externalLink" Target="externalLinks/externalLink2.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Community%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A1" t="str">
            <v>Length</v>
          </cell>
          <cell r="B1" t="str">
            <v>Configuration</v>
          </cell>
        </row>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steam_NARROW_GAUGE</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battery</v>
          </cell>
        </row>
        <row r="18">
          <cell r="M18" t="str">
            <v>lpgflywheel_RAIL</v>
          </cell>
        </row>
        <row r="19">
          <cell r="I19" t="str">
            <v>generator_car</v>
          </cell>
        </row>
        <row r="19">
          <cell r="M19" t="str">
            <v>wagon_PLATEWAY</v>
          </cell>
        </row>
        <row r="20">
          <cell r="I20" t="str">
            <v>Running cost factor</v>
          </cell>
        </row>
        <row r="20">
          <cell r="M20" t="str">
            <v>steam_PLATEWAY</v>
          </cell>
        </row>
        <row r="21">
          <cell r="I21">
            <v>1</v>
          </cell>
        </row>
        <row r="21">
          <cell r="M21" t="str">
            <v>carriage_PLATEWAY</v>
          </cell>
        </row>
        <row r="22">
          <cell r="I22">
            <v>0.85</v>
          </cell>
        </row>
        <row r="22">
          <cell r="M22" t="str">
            <v>horses_PLATEWAY</v>
          </cell>
        </row>
        <row r="23">
          <cell r="I23">
            <v>1.15</v>
          </cell>
        </row>
        <row r="23">
          <cell r="M23" t="str">
            <v>tube_FOURTH_RAIL</v>
          </cell>
        </row>
        <row r="24">
          <cell r="I24">
            <v>0.9</v>
          </cell>
        </row>
        <row r="24">
          <cell r="M24" t="str">
            <v>brake_PLATEWAY</v>
          </cell>
        </row>
        <row r="25">
          <cell r="I25">
            <v>0.85</v>
          </cell>
        </row>
        <row r="25">
          <cell r="M25" t="str">
            <v>carriage_FOURTH_RAIL</v>
          </cell>
        </row>
        <row r="26">
          <cell r="I26">
            <v>1.2</v>
          </cell>
        </row>
        <row r="26">
          <cell r="M26" t="str">
            <v>horses_NARROW_GAUGE</v>
          </cell>
        </row>
        <row r="27">
          <cell r="I27">
            <v>1.5</v>
          </cell>
        </row>
        <row r="27">
          <cell r="M27" t="str">
            <v>wagon_NARROW_GAUGE</v>
          </cell>
        </row>
        <row r="28">
          <cell r="I28">
            <v>1</v>
          </cell>
        </row>
        <row r="28">
          <cell r="M28" t="str">
            <v>diesel_NARROW_GAUGE</v>
          </cell>
        </row>
        <row r="29">
          <cell r="I29">
            <v>1</v>
          </cell>
        </row>
        <row r="29">
          <cell r="M29" t="str">
            <v>none_RAIL</v>
          </cell>
        </row>
        <row r="30">
          <cell r="I30">
            <v>0.9</v>
          </cell>
        </row>
        <row r="30">
          <cell r="M30" t="str">
            <v>gas_turbine_RAIL</v>
          </cell>
        </row>
        <row r="31">
          <cell r="I31">
            <v>0</v>
          </cell>
        </row>
        <row r="31">
          <cell r="M31" t="str">
            <v>petrol_NARROW_GAUGE</v>
          </cell>
        </row>
        <row r="32">
          <cell r="I32">
            <v>1.05</v>
          </cell>
        </row>
        <row r="32">
          <cell r="M32" t="str">
            <v>none_ELRL</v>
          </cell>
        </row>
        <row r="33">
          <cell r="I33">
            <v>0.98</v>
          </cell>
        </row>
        <row r="33">
          <cell r="M33" t="str">
            <v>dual_power_BATTERY</v>
          </cell>
        </row>
        <row r="34">
          <cell r="I34">
            <v>0.5</v>
          </cell>
        </row>
        <row r="34">
          <cell r="M34" t="str">
            <v>dual_electric_ELRL</v>
          </cell>
        </row>
        <row r="35">
          <cell r="I35">
            <v>0.85</v>
          </cell>
        </row>
        <row r="35">
          <cell r="M35" t="str">
            <v>generator_car_RAIL</v>
          </cell>
        </row>
        <row r="36">
          <cell r="I36">
            <v>1</v>
          </cell>
        </row>
        <row r="36">
          <cell r="M36" t="str">
            <v>power_desc</v>
          </cell>
        </row>
        <row r="37">
          <cell r="I37">
            <v>0.8</v>
          </cell>
        </row>
        <row r="37">
          <cell r="M37" t="str">
            <v>{BLACK}Powered by: {GOLD}Diesel</v>
          </cell>
        </row>
        <row r="38">
          <cell r="I38">
            <v>1</v>
          </cell>
        </row>
        <row r="38">
          <cell r="M38" t="str">
            <v>{BLACK}Powered by: {GOLD}Steam</v>
          </cell>
        </row>
        <row r="39">
          <cell r="I39" t="str">
            <v>Purchase cost factor</v>
          </cell>
        </row>
        <row r="39">
          <cell r="M39" t="str">
            <v>{BLACK}Powered by: {GOLD}25kV AC</v>
          </cell>
        </row>
        <row r="40">
          <cell r="I40">
            <v>2</v>
          </cell>
        </row>
        <row r="40">
          <cell r="M40" t="str">
            <v>{BLACK}Powered by: {GOLD}750V DC</v>
          </cell>
        </row>
        <row r="41">
          <cell r="I41">
            <v>2.3</v>
          </cell>
        </row>
        <row r="42">
          <cell r="I42">
            <v>1.7</v>
          </cell>
        </row>
        <row r="43">
          <cell r="I43">
            <v>2.5</v>
          </cell>
        </row>
        <row r="44">
          <cell r="I44">
            <v>2.4</v>
          </cell>
        </row>
        <row r="45">
          <cell r="I45">
            <v>0.6</v>
          </cell>
        </row>
        <row r="45">
          <cell r="M45" t="str">
            <v>{BLACK}Powered by: {GOLD}Steam</v>
          </cell>
        </row>
        <row r="46">
          <cell r="I46">
            <v>0.7</v>
          </cell>
        </row>
        <row r="46">
          <cell r="M46" t="str">
            <v>{BLACK}Powered by: {GOLD}750V DC / Diesel</v>
          </cell>
        </row>
        <row r="47">
          <cell r="I47">
            <v>0.45</v>
          </cell>
        </row>
        <row r="47">
          <cell r="M47" t="str">
            <v>{BLACK}Powered by: {GOLD}25kV AC / 750V DC</v>
          </cell>
        </row>
        <row r="48">
          <cell r="I48">
            <v>0.4</v>
          </cell>
        </row>
        <row r="49">
          <cell r="I49">
            <v>1.6</v>
          </cell>
        </row>
        <row r="50">
          <cell r="I50">
            <v>0</v>
          </cell>
        </row>
        <row r="51">
          <cell r="I51">
            <v>1.9</v>
          </cell>
        </row>
        <row r="51">
          <cell r="M51" t="str">
            <v>{BLACK}Powered by: {GOLD}Petrol</v>
          </cell>
        </row>
        <row r="52">
          <cell r="I52">
            <v>1.88</v>
          </cell>
        </row>
        <row r="52">
          <cell r="M52" t="str">
            <v>{BLACK}Powered by: {GOLD}25kV AC / Diesel</v>
          </cell>
        </row>
        <row r="53">
          <cell r="I53">
            <v>0.5</v>
          </cell>
        </row>
        <row r="53">
          <cell r="M53" t="str">
            <v>{BLACK}Powered by: {GOLD}LPG / Flywheel</v>
          </cell>
        </row>
        <row r="54">
          <cell r="I54">
            <v>2.3</v>
          </cell>
        </row>
        <row r="55">
          <cell r="I55">
            <v>2</v>
          </cell>
        </row>
        <row r="55">
          <cell r="M55" t="str">
            <v>{BLACK}Powered by: {GOLD}Steam</v>
          </cell>
        </row>
        <row r="56">
          <cell r="I56">
            <v>2.3</v>
          </cell>
        </row>
        <row r="57">
          <cell r="I57">
            <v>2</v>
          </cell>
        </row>
        <row r="57">
          <cell r="M57" t="str">
            <v>{BLACK}Powered by: {GOLD}Grass and hay</v>
          </cell>
        </row>
        <row r="58">
          <cell r="M58" t="str">
            <v>{BLACK}Powered by: {GOLD}630V DC</v>
          </cell>
        </row>
        <row r="61">
          <cell r="M61" t="str">
            <v>{BLACK}Powered by: {GOLD}Grass and hay</v>
          </cell>
        </row>
        <row r="63">
          <cell r="M63" t="str">
            <v>{BLACK}Powered by: {GOLD}Diesel</v>
          </cell>
        </row>
        <row r="65">
          <cell r="M65" t="str">
            <v>{BLACK}Powered by: {GOLD}Gas Turbine</v>
          </cell>
        </row>
        <row r="66">
          <cell r="M66" t="str">
            <v>{BLACK}Powered by: {GOLD}Petrol</v>
          </cell>
        </row>
        <row r="68">
          <cell r="M68" t="str">
            <v>{BLACK}Powered by: {GOLD}750V DC / Battery</v>
          </cell>
        </row>
        <row r="69">
          <cell r="M69" t="str">
            <v>{BLACK}Powered by: {GOLD}25kV AC</v>
          </cell>
        </row>
        <row r="70">
          <cell r="M70" t="str">
            <v>{BLACK}Powered by: {GOLD}Diesel</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steam_NARROW_GAUGE</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horses_NARROW_GAUGE</v>
          </cell>
        </row>
        <row r="27">
          <cell r="I27">
            <v>1</v>
          </cell>
        </row>
        <row r="27">
          <cell r="M27" t="str">
            <v>wagon_NARROW_GAUGE</v>
          </cell>
        </row>
        <row r="28">
          <cell r="I28">
            <v>0.9</v>
          </cell>
        </row>
        <row r="28">
          <cell r="M28" t="str">
            <v>diesel_NARROW_GAUGE</v>
          </cell>
        </row>
        <row r="29">
          <cell r="I29">
            <v>0</v>
          </cell>
        </row>
        <row r="29">
          <cell r="M29" t="str">
            <v>none_RAIL</v>
          </cell>
        </row>
        <row r="30">
          <cell r="I30">
            <v>1.05</v>
          </cell>
        </row>
        <row r="30">
          <cell r="M30" t="str">
            <v>gas_turbine_RAIL</v>
          </cell>
        </row>
        <row r="31">
          <cell r="I31">
            <v>0.98</v>
          </cell>
        </row>
        <row r="31">
          <cell r="M31" t="str">
            <v>petrol_NARROW_GAUGE</v>
          </cell>
        </row>
        <row r="32">
          <cell r="I32">
            <v>0.5</v>
          </cell>
        </row>
        <row r="32">
          <cell r="M32" t="str">
            <v>power_desc</v>
          </cell>
        </row>
        <row r="33">
          <cell r="I33">
            <v>0.85</v>
          </cell>
        </row>
        <row r="33">
          <cell r="M33" t="str">
            <v>{BLACK}Powered by: {GOLD}Diesel</v>
          </cell>
        </row>
        <row r="34">
          <cell r="I34">
            <v>1</v>
          </cell>
        </row>
        <row r="34">
          <cell r="M34" t="str">
            <v>{BLACK}Powered by: {GOLD}Steam</v>
          </cell>
        </row>
        <row r="35">
          <cell r="I35" t="str">
            <v>Purchase cost factor</v>
          </cell>
        </row>
        <row r="35">
          <cell r="M35" t="str">
            <v>{BLACK}Powered by: {GOLD}25kV AC</v>
          </cell>
        </row>
        <row r="36">
          <cell r="I36">
            <v>2</v>
          </cell>
        </row>
        <row r="36">
          <cell r="M36" t="str">
            <v>{BLACK}Powered by: {GOLD}750V DC</v>
          </cell>
        </row>
        <row r="37">
          <cell r="I37">
            <v>2.3</v>
          </cell>
        </row>
        <row r="38">
          <cell r="I38">
            <v>1.7</v>
          </cell>
        </row>
        <row r="39">
          <cell r="I39">
            <v>2.5</v>
          </cell>
        </row>
        <row r="40">
          <cell r="I40">
            <v>2.4</v>
          </cell>
        </row>
        <row r="41">
          <cell r="I41">
            <v>0.6</v>
          </cell>
        </row>
        <row r="41">
          <cell r="M41" t="str">
            <v>{BLACK}Powered by: {GOLD}Steam</v>
          </cell>
        </row>
        <row r="42">
          <cell r="I42">
            <v>0.7</v>
          </cell>
        </row>
        <row r="42">
          <cell r="M42" t="str">
            <v>{BLACK}Powered by: {GOLD}750V DC / Diesel</v>
          </cell>
        </row>
        <row r="43">
          <cell r="I43">
            <v>0.45</v>
          </cell>
        </row>
        <row r="43">
          <cell r="M43" t="str">
            <v>{BLACK}Powered by: {GOLD}25kV AC / 750V DC</v>
          </cell>
        </row>
        <row r="44">
          <cell r="I44">
            <v>0.4</v>
          </cell>
        </row>
        <row r="45">
          <cell r="I45">
            <v>1.6</v>
          </cell>
        </row>
        <row r="46">
          <cell r="I46">
            <v>0</v>
          </cell>
        </row>
        <row r="47">
          <cell r="I47">
            <v>1.9</v>
          </cell>
        </row>
        <row r="47">
          <cell r="M47" t="str">
            <v>{BLACK}Powered by: {GOLD}Petrol</v>
          </cell>
        </row>
        <row r="48">
          <cell r="I48">
            <v>1.88</v>
          </cell>
        </row>
        <row r="48">
          <cell r="M48" t="str">
            <v>{BLACK}Powered by: {GOLD}25kV AC / Diesel</v>
          </cell>
        </row>
        <row r="49">
          <cell r="I49">
            <v>0.5</v>
          </cell>
        </row>
        <row r="49">
          <cell r="M49" t="str">
            <v>{BLACK}Powered by: {GOLD}LPG / Flywheel</v>
          </cell>
        </row>
        <row r="50">
          <cell r="I50">
            <v>2.3</v>
          </cell>
        </row>
        <row r="51">
          <cell r="I51">
            <v>2</v>
          </cell>
        </row>
        <row r="51">
          <cell r="M51" t="str">
            <v>{BLACK}Powered by: {GOLD}Steam</v>
          </cell>
        </row>
        <row r="53">
          <cell r="M53" t="str">
            <v>{BLACK}Powered by: {GOLD}Grass and hay</v>
          </cell>
        </row>
        <row r="54">
          <cell r="M54" t="str">
            <v>{BLACK}Powered by: {GOLD}630V DC</v>
          </cell>
        </row>
        <row r="57">
          <cell r="M57" t="str">
            <v>{BLACK}Powered by: {GOLD}Grass and hay</v>
          </cell>
        </row>
        <row r="59">
          <cell r="M59" t="str">
            <v>{BLACK}Powered by: {GOLD}Diesel</v>
          </cell>
        </row>
        <row r="61">
          <cell r="M61" t="str">
            <v>{BLACK}Powered by: {GOLD}Gas Turbine</v>
          </cell>
        </row>
        <row r="62">
          <cell r="M62" t="str">
            <v>{BLACK}Powered by: {GOLD}Petrol</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D41" activeCellId="0" sqref="D41"/>
    </sheetView>
  </sheetViews>
  <sheetFormatPr defaultColWidth="8.6796875" defaultRowHeight="14.25" customHeight="false" zeroHeight="false" outlineLevelRow="0" outlineLevelCol="0"/>
  <cols>
    <col collapsed="false" customWidth="true" hidden="false" outlineLevel="0" max="1" min="1" style="0" width="37.18"/>
    <col collapsed="false" customWidth="true" hidden="false" outlineLevel="0" max="2" min="2" style="0" width="28.27"/>
    <col collapsed="false" customWidth="true" hidden="false" outlineLevel="0" max="7" min="3" style="0" width="13.27"/>
    <col collapsed="false" customWidth="true" hidden="false" outlineLevel="0" max="8" min="8" style="0" width="14.73"/>
    <col collapsed="false" customWidth="true" hidden="false" outlineLevel="0" max="9" min="9" style="0" width="13.45"/>
    <col collapsed="false" customWidth="true" hidden="false" outlineLevel="0" max="14" min="14" style="0" width="10.82"/>
    <col collapsed="false" customWidth="true" hidden="false" outlineLevel="0" max="15" min="15" style="1" width="10.82"/>
    <col collapsed="false" customWidth="true" hidden="false" outlineLevel="0" max="16" min="16" style="2" width="5.18"/>
    <col collapsed="false" customWidth="true" hidden="false" outlineLevel="0" max="17" min="17" style="2" width="7.27"/>
    <col collapsed="false" customWidth="true" hidden="false" outlineLevel="0" max="18" min="18" style="2" width="5.54"/>
    <col collapsed="false" customWidth="true" hidden="false" outlineLevel="0" max="19" min="19" style="2" width="10"/>
    <col collapsed="false" customWidth="true" hidden="false" outlineLevel="0" max="20" min="20" style="2" width="7.73"/>
    <col collapsed="false" customWidth="true" hidden="false" outlineLevel="0" max="21" min="21" style="2" width="11"/>
    <col collapsed="false" customWidth="true" hidden="false" outlineLevel="0" max="22" min="22" style="2" width="7.73"/>
    <col collapsed="false" customWidth="true" hidden="false" outlineLevel="0" max="23" min="23" style="0" width="10"/>
    <col collapsed="false" customWidth="true" hidden="false" outlineLevel="0" max="24" min="24" style="1" width="19.73"/>
    <col collapsed="false" customWidth="true" hidden="false" outlineLevel="0" max="25" min="25" style="0" width="13.27"/>
    <col collapsed="false" customWidth="true" hidden="false" outlineLevel="0" max="26" min="26" style="0" width="18"/>
    <col collapsed="false" customWidth="true" hidden="false" outlineLevel="0" max="27" min="27" style="3" width="8.45"/>
    <col collapsed="false" customWidth="true" hidden="false" outlineLevel="0" max="31" min="28" style="0" width="12.45"/>
    <col collapsed="false" customWidth="true" hidden="false" outlineLevel="0" max="32" min="32" style="0" width="10.54"/>
    <col collapsed="false" customWidth="true" hidden="false" outlineLevel="0" max="33" min="33" style="0" width="9.27"/>
    <col collapsed="false" customWidth="true" hidden="false" outlineLevel="0" max="34" min="34" style="0" width="10.54"/>
    <col collapsed="false" customWidth="true" hidden="false" outlineLevel="0" max="35" min="35" style="0" width="10.45"/>
    <col collapsed="false" customWidth="true" hidden="false" outlineLevel="0" max="36" min="36" style="4" width="9.18"/>
    <col collapsed="false" customWidth="true" hidden="false" outlineLevel="0" max="38" min="37" style="0" width="10.27"/>
    <col collapsed="false" customWidth="true" hidden="false" outlineLevel="0" max="39" min="39" style="0" width="26.82"/>
    <col collapsed="false" customWidth="true" hidden="false" outlineLevel="0" max="41" min="40" style="0" width="18.45"/>
    <col collapsed="false" customWidth="true" hidden="false" outlineLevel="0" max="43" min="42" style="5" width="18.45"/>
    <col collapsed="false" customWidth="true" hidden="false" outlineLevel="0" max="44" min="44" style="0" width="31.18"/>
    <col collapsed="false" customWidth="true" hidden="false" outlineLevel="0" max="45" min="45" style="0" width="17"/>
    <col collapsed="false" customWidth="true" hidden="false" outlineLevel="0" max="46" min="46" style="0" width="11.82"/>
    <col collapsed="false" customWidth="true" hidden="false" outlineLevel="0" max="47" min="47" style="0" width="13.18"/>
    <col collapsed="false" customWidth="true" hidden="false" outlineLevel="0" max="51" min="48" style="0" width="9.45"/>
    <col collapsed="false" customWidth="true" hidden="false" outlineLevel="0" max="52" min="52" style="0" width="18.73"/>
    <col collapsed="false" customWidth="true" hidden="false" outlineLevel="0" max="53" min="53" style="0" width="19.18"/>
    <col collapsed="false" customWidth="true" hidden="true" outlineLevel="0" max="54" min="54" style="0" width="15"/>
    <col collapsed="false" customWidth="true" hidden="true" outlineLevel="0" max="55" min="55" style="0" width="10"/>
    <col collapsed="false" customWidth="true" hidden="true" outlineLevel="0" max="56" min="56" style="0" width="9.18"/>
    <col collapsed="false" customWidth="true" hidden="true" outlineLevel="0" max="57" min="57" style="0" width="9.73"/>
    <col collapsed="false" customWidth="true" hidden="true" outlineLevel="0" max="58" min="58" style="0" width="12.45"/>
    <col collapsed="false" customWidth="true" hidden="true" outlineLevel="0" max="60" min="59" style="0" width="16"/>
    <col collapsed="false" customWidth="true" hidden="false" outlineLevel="0" max="64" min="62" style="0" width="11"/>
    <col collapsed="false" customWidth="true" hidden="false" outlineLevel="0" max="65" min="65" style="0" width="15.99"/>
    <col collapsed="false" customWidth="true" hidden="false" outlineLevel="0" max="70" min="70" style="0" width="52.31"/>
    <col collapsed="false" customWidth="true" hidden="false" outlineLevel="0" max="71" min="71" style="0" width="13.76"/>
    <col collapsed="false" customWidth="true" hidden="false" outlineLevel="0" max="73" min="72" style="0" width="31.18"/>
    <col collapsed="false" customWidth="true" hidden="false" outlineLevel="0" max="75" min="75" style="0" width="19.18"/>
    <col collapsed="false" customWidth="true" hidden="false" outlineLevel="0" max="76" min="76" style="0" width="12.73"/>
    <col collapsed="false" customWidth="true" hidden="false" outlineLevel="0" max="77" min="77" style="0" width="16.82"/>
    <col collapsed="false" customWidth="true" hidden="false" outlineLevel="0" max="78" min="78" style="0" width="15.54"/>
    <col collapsed="false" customWidth="true" hidden="false" outlineLevel="0" max="80" min="80" style="0" width="15.73"/>
    <col collapsed="false" customWidth="true" hidden="false" outlineLevel="0" max="81" min="81" style="0" width="21.73"/>
    <col collapsed="false" customWidth="true" hidden="false" outlineLevel="0" max="82" min="82" style="0" width="26.27"/>
    <col collapsed="false" customWidth="true" hidden="false" outlineLevel="0" max="83" min="83" style="6" width="26.27"/>
    <col collapsed="false" customWidth="true" hidden="false" outlineLevel="0" max="84" min="84" style="0" width="44.27"/>
    <col collapsed="false" customWidth="true" hidden="false" outlineLevel="0" max="85" min="85" style="0" width="38.45"/>
    <col collapsed="false" customWidth="true" hidden="false" outlineLevel="0" max="86" min="86" style="0" width="255.73"/>
    <col collapsed="false" customWidth="true" hidden="false" outlineLevel="0" max="87" min="87" style="0" width="13.27"/>
    <col collapsed="false" customWidth="true" hidden="false" outlineLevel="0" max="88" min="88" style="0" width="44.73"/>
  </cols>
  <sheetData>
    <row r="1" s="7" customFormat="true" ht="14.25" hidden="false" customHeight="false" outlineLevel="0" collapsed="false">
      <c r="A1" s="7" t="s">
        <v>0</v>
      </c>
      <c r="B1" s="7" t="s">
        <v>1</v>
      </c>
      <c r="C1" s="7" t="s">
        <v>2</v>
      </c>
      <c r="D1" s="7" t="s">
        <v>3</v>
      </c>
      <c r="E1" s="7" t="s">
        <v>4</v>
      </c>
      <c r="F1" s="7" t="s">
        <v>5</v>
      </c>
      <c r="G1" s="7" t="s">
        <v>6</v>
      </c>
      <c r="H1" s="7" t="s">
        <v>7</v>
      </c>
      <c r="I1" s="7" t="s">
        <v>8</v>
      </c>
      <c r="J1" s="7" t="s">
        <v>9</v>
      </c>
      <c r="K1" s="7" t="s">
        <v>10</v>
      </c>
      <c r="L1" s="7" t="s">
        <v>11</v>
      </c>
      <c r="M1" s="7" t="s">
        <v>12</v>
      </c>
      <c r="N1" s="7" t="s">
        <v>13</v>
      </c>
      <c r="O1" s="8" t="s">
        <v>14</v>
      </c>
      <c r="P1" s="9" t="s">
        <v>15</v>
      </c>
      <c r="Q1" s="9" t="s">
        <v>16</v>
      </c>
      <c r="R1" s="9" t="s">
        <v>17</v>
      </c>
      <c r="S1" s="9" t="s">
        <v>18</v>
      </c>
      <c r="T1" s="9" t="s">
        <v>19</v>
      </c>
      <c r="U1" s="9" t="s">
        <v>20</v>
      </c>
      <c r="V1" s="9" t="s">
        <v>21</v>
      </c>
      <c r="W1" s="7" t="s">
        <v>22</v>
      </c>
      <c r="X1" s="8" t="s">
        <v>23</v>
      </c>
      <c r="Y1" s="7" t="s">
        <v>24</v>
      </c>
      <c r="Z1" s="7" t="s">
        <v>25</v>
      </c>
      <c r="AA1" s="10" t="s">
        <v>26</v>
      </c>
      <c r="AB1" s="7" t="s">
        <v>27</v>
      </c>
      <c r="AC1" s="7" t="s">
        <v>28</v>
      </c>
      <c r="AD1" s="7" t="s">
        <v>29</v>
      </c>
      <c r="AE1" s="7" t="s">
        <v>30</v>
      </c>
      <c r="AF1" s="7" t="s">
        <v>31</v>
      </c>
      <c r="AG1" s="7" t="s">
        <v>32</v>
      </c>
      <c r="AH1" s="7" t="s">
        <v>33</v>
      </c>
      <c r="AI1" s="7" t="s">
        <v>34</v>
      </c>
      <c r="AJ1" s="11" t="s">
        <v>35</v>
      </c>
      <c r="AK1" s="7" t="s">
        <v>36</v>
      </c>
      <c r="AL1" s="7" t="s">
        <v>37</v>
      </c>
      <c r="AM1" s="7" t="s">
        <v>38</v>
      </c>
      <c r="AN1" s="7" t="s">
        <v>39</v>
      </c>
      <c r="AO1" s="7" t="s">
        <v>40</v>
      </c>
      <c r="AP1" s="12" t="s">
        <v>41</v>
      </c>
      <c r="AQ1" s="12" t="s">
        <v>42</v>
      </c>
      <c r="AR1" s="7" t="s">
        <v>43</v>
      </c>
      <c r="AS1" s="7" t="s">
        <v>44</v>
      </c>
      <c r="AT1" s="7" t="s">
        <v>45</v>
      </c>
      <c r="AU1" s="7" t="s">
        <v>46</v>
      </c>
      <c r="AV1" s="7" t="s">
        <v>47</v>
      </c>
      <c r="AW1" s="13"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c r="BP1" s="7" t="s">
        <v>67</v>
      </c>
      <c r="BQ1" s="7" t="s">
        <v>68</v>
      </c>
      <c r="BR1" s="7" t="s">
        <v>69</v>
      </c>
      <c r="BS1" s="7" t="s">
        <v>70</v>
      </c>
      <c r="BT1" s="7" t="s">
        <v>71</v>
      </c>
      <c r="BU1" s="7" t="s">
        <v>72</v>
      </c>
      <c r="BV1" s="7" t="s">
        <v>73</v>
      </c>
      <c r="BW1" s="7" t="s">
        <v>74</v>
      </c>
      <c r="BX1" s="7" t="s">
        <v>75</v>
      </c>
      <c r="BY1" s="7" t="s">
        <v>76</v>
      </c>
      <c r="BZ1" s="7" t="s">
        <v>77</v>
      </c>
      <c r="CA1" s="7" t="s">
        <v>78</v>
      </c>
      <c r="CB1" s="7" t="s">
        <v>79</v>
      </c>
      <c r="CC1" s="7" t="s">
        <v>80</v>
      </c>
      <c r="CD1" s="7" t="s">
        <v>81</v>
      </c>
      <c r="CE1" s="14" t="s">
        <v>82</v>
      </c>
      <c r="CF1" s="7" t="s">
        <v>83</v>
      </c>
      <c r="CG1" s="7" t="s">
        <v>84</v>
      </c>
      <c r="CH1" s="7" t="s">
        <v>85</v>
      </c>
      <c r="CI1" s="7" t="s">
        <v>86</v>
      </c>
      <c r="CJ1" s="7" t="s">
        <v>87</v>
      </c>
      <c r="CK1" s="7" t="s">
        <v>88</v>
      </c>
      <c r="CL1" s="7" t="s">
        <v>89</v>
      </c>
      <c r="CM1" s="0"/>
    </row>
    <row r="2" customFormat="false" ht="14.25" hidden="false" customHeight="false" outlineLevel="0" collapsed="false">
      <c r="A2" s="0" t="s">
        <v>90</v>
      </c>
      <c r="B2" s="15" t="s">
        <v>91</v>
      </c>
      <c r="C2" s="0" t="n">
        <v>-1</v>
      </c>
      <c r="E2" s="0" t="n">
        <v>-1</v>
      </c>
      <c r="G2" s="0" t="s">
        <v>38</v>
      </c>
      <c r="H2" s="0" t="s">
        <v>38</v>
      </c>
      <c r="I2" s="0" t="s">
        <v>92</v>
      </c>
      <c r="J2" s="0" t="n">
        <v>1900</v>
      </c>
      <c r="W2" s="0" t="n">
        <v>42</v>
      </c>
      <c r="AA2" s="3" t="str">
        <f aca="false">IF(AND(W2&gt;0,Z2&gt;0),(Z2/((W2+X2)*10)),"")</f>
        <v/>
      </c>
      <c r="AF2" s="0" t="n">
        <v>7.5</v>
      </c>
      <c r="AG2" s="0" t="n">
        <v>8</v>
      </c>
      <c r="AJ2" s="4" t="n">
        <v>0</v>
      </c>
      <c r="AK2" s="0" t="str">
        <f aca="false">CONCATENATE(VLOOKUP(AL2, 'Voxel Sizes'!$A$2:$B$18,2,FALSE()),"x",INT(AH2*15), "x", INT(AI2*15))</f>
        <v>82x0x0</v>
      </c>
      <c r="AL2" s="0" t="n">
        <f aca="false">ROUND(15*((AG2*10)/256),0)</f>
        <v>5</v>
      </c>
      <c r="AN2" s="0" t="str">
        <f aca="false">CONCATENATE(VLOOKUP(AL2,Constants!$A$2:$C$16,IF(AM2&lt;&gt;"", 3, 2), FALSE()),IF(AM2&lt;&gt;"",CONCATENATE(",",VLOOKUP(AM2,$B:$AN,39,FALSE())),""))</f>
        <v>2,1,2</v>
      </c>
      <c r="AX2" s="0" t="n">
        <v>30</v>
      </c>
      <c r="AY2" s="16" t="str">
        <f aca="false">IF(L2&lt;&gt;"",MAX(16,(L2-J2)+8),"")</f>
        <v/>
      </c>
      <c r="BB2" s="0" t="n">
        <f aca="false">MIN(AB2/150, 1)*30</f>
        <v>0</v>
      </c>
      <c r="BC2" s="0" t="n">
        <f aca="false">MIN(N2/4000, 1)*20</f>
        <v>0</v>
      </c>
      <c r="BD2" s="0" t="n">
        <f aca="false">MIN(Z2/400,1)*20</f>
        <v>0</v>
      </c>
      <c r="BE2" s="3" t="n">
        <f aca="false">1-(MAX(J2-1900, 0)/750)</f>
        <v>1</v>
      </c>
      <c r="BF2" s="0" t="n">
        <f aca="false">((MAX($M2,1)*MIN($AJ2/300,1)))*IF(G2="Wagon",50,10)</f>
        <v>0</v>
      </c>
      <c r="BG2" s="0" t="n">
        <f aca="false">VLOOKUP($H2,Constants!$I:$K, 2, FALSE())</f>
        <v>0</v>
      </c>
      <c r="BH2" s="0" t="n">
        <f aca="false">VLOOKUP($H2,Constants!$I:$K, 3, FALSE())*IF(AND(G2="multiple_unit",AB2&lt;110),0.75,1)</f>
        <v>0</v>
      </c>
      <c r="BI2" s="0" t="n">
        <f aca="false">INT(POWER(((Constants!$G$2+$BB2+$BC2+$BD2+$BF2)*$BE2)*$BH2, 1.05))+$BA2</f>
        <v>0</v>
      </c>
      <c r="BJ2" s="0" t="n">
        <f aca="false">INT(POWER((((Constants!$G$1+$BB2+$BC2+$BD2+$BF2)*($BE2))*$BG2),IF($G2="wagon",1,1.2)))+$AZ2</f>
        <v>0</v>
      </c>
      <c r="BK2" s="17" t="n">
        <f aca="false">BI2*IF($G2="wagon",62.5,781.25)</f>
        <v>0</v>
      </c>
      <c r="BL2" s="17" t="n">
        <f aca="false">BJ2*IF($G2="wagon",2.73,81.25)</f>
        <v>0</v>
      </c>
      <c r="CA2" s="0" t="str">
        <f aca="false">VLOOKUP(J2,Eras!$A$2:$C$10, 2, TRUE())</f>
        <v>edw</v>
      </c>
      <c r="CC2" s="0" t="str">
        <f aca="false">CONCATENATE(CA2,"_",CB2)</f>
        <v>edw_</v>
      </c>
      <c r="CD2" s="0" t="str">
        <f aca="false">_xlfn.CONCAT(H2, "_",I2)</f>
        <v>tender_RAIL</v>
      </c>
      <c r="CE2" s="6" t="str">
        <f aca="false" t="array" ref="CE2:CE2">_xlfn.CONCAT("{BLACK}Length: {GOLD}", TEXT(ROUNDUP(IF(AQ2&lt;&gt;"",SUM(VALUE(_xlfn.TEXTSPLIT(AQ2, ","))), SUM(VALUE(_xlfn.TEXTSPLIT(AN2, ",")))*IF(M2, M2, 1))/16, 1), "#,##0.0"), " tiles{}")</f>
        <v>{BLACK}Length: {GOLD}0.4 tiles{}</v>
      </c>
      <c r="CF2" s="0" t="str">
        <f aca="false">VLOOKUP($CD2, Constants!$M:$N, 2, FALSE())</f>
        <v/>
      </c>
      <c r="CG2" s="0" t="str">
        <f aca="false">IF(M2&gt;1,_xlfn.CONCAT("{BLACK}Cars: {GOLD}", M2),"")</f>
        <v/>
      </c>
      <c r="CI2" s="0" t="str">
        <f aca="false">IF($BU2="!param_no_gameplay_units","{GREEN}Included for gameplay purposes","")</f>
        <v/>
      </c>
      <c r="CJ2" s="0" t="str">
        <f aca="false">IF(BX2="buffet","{YELLOW}25% long distance bonus for consist{}",IF(BZ2="BRAKE","{YELLOW}Speed bonus for slow wagons{}",IF(BW2&gt;190,CONCATENATE("{YELLOW}",INT((BW2-185)/1.85),"% bonus for long distance travel{}"),IF(AND(BW2&lt;180,BW2&lt;&gt;0),CONCATENATE("{YELLOW}",INT((185-BW2)/1.85),"% penalty for long distance travel{}"),""))))</f>
        <v/>
      </c>
      <c r="CK2" s="0" t="str">
        <f aca="false">_xlfn.CONCAT(CF2,IF(CF2&lt;&gt;""," ",""),CG2,IF(OR(CG2&lt;&gt;"",CF2&lt;&gt;""),"{}",""),CE2,CJ2,"{SILVER}",CH2,IF(CI2&lt;&gt;"","{}{}",""),CI2)</f>
        <v>{BLACK}Length: {GOLD}0.4 tiles{}{SILVER}</v>
      </c>
    </row>
    <row r="3" customFormat="false" ht="14.25" hidden="false" customHeight="false" outlineLevel="0" collapsed="false">
      <c r="A3" s="0" t="s">
        <v>93</v>
      </c>
      <c r="B3" s="15" t="s">
        <v>94</v>
      </c>
      <c r="C3" s="0" t="n">
        <v>-1</v>
      </c>
      <c r="E3" s="0" t="n">
        <v>-1</v>
      </c>
      <c r="G3" s="0" t="s">
        <v>38</v>
      </c>
      <c r="H3" s="0" t="s">
        <v>38</v>
      </c>
      <c r="I3" s="0" t="s">
        <v>92</v>
      </c>
      <c r="J3" s="0" t="n">
        <v>1815</v>
      </c>
      <c r="W3" s="0" t="n">
        <v>42</v>
      </c>
      <c r="AA3" s="3" t="str">
        <f aca="false">IF(AND(W3&gt;0,Z3&gt;0),(Z3/((W3+X3)*10)),"")</f>
        <v/>
      </c>
      <c r="AF3" s="0" t="n">
        <v>7.5</v>
      </c>
      <c r="AG3" s="0" t="n">
        <v>6</v>
      </c>
      <c r="AJ3" s="4" t="n">
        <v>0</v>
      </c>
      <c r="AK3" s="0" t="str">
        <f aca="false">CONCATENATE(VLOOKUP(AL3, 'Voxel Sizes'!$A$2:$B$18,2,FALSE()),"x",INT(AH3*15), "x", INT(AI3*15))</f>
        <v>60x0x0</v>
      </c>
      <c r="AL3" s="0" t="n">
        <f aca="false">ROUND(15*((AG3*10)/256),0)</f>
        <v>4</v>
      </c>
      <c r="AN3" s="0" t="str">
        <f aca="false">CONCATENATE(VLOOKUP(AL3,Constants!$A$2:$C$16,IF(AM3&lt;&gt;"", 3, 2), FALSE()),IF(AM3&lt;&gt;"",CONCATENATE(",",VLOOKUP(AM3,$B:$AN,39,FALSE())),""))</f>
        <v>1,2,1</v>
      </c>
      <c r="AX3" s="0" t="n">
        <v>30</v>
      </c>
      <c r="AY3" s="16" t="str">
        <f aca="false">IF(L3&lt;&gt;"",MAX(16,(L3-J3)+8),"")</f>
        <v/>
      </c>
      <c r="BB3" s="0" t="n">
        <f aca="false">MIN(AB3/150, 1)*30</f>
        <v>0</v>
      </c>
      <c r="BC3" s="0" t="n">
        <f aca="false">MIN(N3/4000, 1)*20</f>
        <v>0</v>
      </c>
      <c r="BD3" s="0" t="n">
        <f aca="false">MIN(Z3/400,1)*20</f>
        <v>0</v>
      </c>
      <c r="BE3" s="3" t="n">
        <f aca="false">1-(MAX(J3-1900, 0)/750)</f>
        <v>1</v>
      </c>
      <c r="BF3" s="0" t="n">
        <f aca="false">((MAX($M3,1)*MIN($AJ3/300,1)))*IF(G3="Wagon",50,10)</f>
        <v>0</v>
      </c>
      <c r="BG3" s="0" t="n">
        <f aca="false">VLOOKUP($H3,Constants!$I:$K, 2, FALSE())</f>
        <v>0</v>
      </c>
      <c r="BH3" s="0" t="n">
        <f aca="false">VLOOKUP($H3,Constants!$I:$K, 3, FALSE())*IF(AND(G3="multiple_unit",AB3&lt;110),0.75,1)</f>
        <v>0</v>
      </c>
      <c r="BI3" s="0" t="n">
        <f aca="false">INT(POWER(((Constants!$G$2+$BB3+$BC3+$BD3+$BF3)*$BE3)*$BH3, 1.05))+$BA3</f>
        <v>0</v>
      </c>
      <c r="BJ3" s="0" t="n">
        <f aca="false">INT(POWER((((Constants!$G$1+$BB3+$BC3+$BD3+$BF3)*($BE3))*$BG3),IF($G3="wagon",1,1.2)))+$AZ3</f>
        <v>0</v>
      </c>
      <c r="BK3" s="17" t="n">
        <f aca="false">BI3*IF($G3="wagon",62.5,781.25)</f>
        <v>0</v>
      </c>
      <c r="BL3" s="17" t="n">
        <f aca="false">BJ3*IF($G3="wagon",2.73,81.25)</f>
        <v>0</v>
      </c>
      <c r="CA3" s="0" t="str">
        <f aca="false">VLOOKUP(J3,Eras!$A$2:$C$10, 2, TRUE())</f>
        <v>early</v>
      </c>
      <c r="CC3" s="0" t="str">
        <f aca="false">CONCATENATE(CA3,"_",CB3)</f>
        <v>early_</v>
      </c>
      <c r="CD3" s="0" t="str">
        <f aca="false">_xlfn.CONCAT(H3, "_",I3)</f>
        <v>tender_RAIL</v>
      </c>
      <c r="CE3" s="6" t="str">
        <f aca="false" t="array" ref="CE3:CE3">_xlfn.CONCAT("{BLACK}Length: {GOLD}", TEXT(ROUNDUP(IF(AQ3&lt;&gt;"",SUM(VALUE(_xlfn.TEXTSPLIT(AQ3, ","))), SUM(VALUE(_xlfn.TEXTSPLIT(AN3, ",")))*IF(M3, M3, 1))/16, 1), "#,##0.0"), " tiles{}")</f>
        <v>{BLACK}Length: {GOLD}0.3 tiles{}</v>
      </c>
      <c r="CF3" s="0" t="str">
        <f aca="false">VLOOKUP($CD3, Constants!$M:$N, 2, FALSE())</f>
        <v/>
      </c>
      <c r="CG3" s="0" t="str">
        <f aca="false">IF(M3&gt;1,_xlfn.CONCAT("{BLACK}Cars: {GOLD}", M3),"")</f>
        <v/>
      </c>
      <c r="CI3" s="0" t="str">
        <f aca="false">IF($BU3="!param_no_gameplay_units","{GREEN}Included for gameplay purposes","")</f>
        <v/>
      </c>
      <c r="CJ3" s="0" t="str">
        <f aca="false">IF(BX3="buffet","{YELLOW}25% long distance bonus for consist{}",IF(BZ3="BRAKE","{YELLOW}Speed bonus for slow wagons{}",IF(BW3&gt;190,CONCATENATE("{YELLOW}",INT((BW3-185)/1.85),"% bonus for long distance travel{}"),IF(AND(BW3&lt;180,BW3&lt;&gt;0),CONCATENATE("{YELLOW}",INT((185-BW3)/1.85),"% penalty for long distance travel{}"),""))))</f>
        <v/>
      </c>
      <c r="CK3" s="0" t="str">
        <f aca="false">_xlfn.CONCAT(CF3,IF(CF3&lt;&gt;""," ",""),CG3,IF(OR(CG3&lt;&gt;"",CF3&lt;&gt;""),"{}",""),CE3,CJ3,"{SILVER}",CH3,IF(CI3&lt;&gt;"","{}{}",""),CI3)</f>
        <v>{BLACK}Length: {GOLD}0.3 tiles{}{SILVER}</v>
      </c>
    </row>
    <row r="4" customFormat="false" ht="14.25" hidden="false" customHeight="false" outlineLevel="0" collapsed="false">
      <c r="A4" s="0" t="s">
        <v>95</v>
      </c>
      <c r="B4" s="15" t="s">
        <v>96</v>
      </c>
      <c r="C4" s="0" t="n">
        <v>-1</v>
      </c>
      <c r="E4" s="0" t="n">
        <v>-1</v>
      </c>
      <c r="G4" s="0" t="s">
        <v>38</v>
      </c>
      <c r="H4" s="0" t="s">
        <v>38</v>
      </c>
      <c r="I4" s="0" t="s">
        <v>92</v>
      </c>
      <c r="J4" s="0" t="n">
        <v>1825</v>
      </c>
      <c r="W4" s="0" t="n">
        <v>42</v>
      </c>
      <c r="AA4" s="3" t="str">
        <f aca="false">IF(AND(W4&gt;0,Z4&gt;0),(Z4/((W4+X4)*10)),"")</f>
        <v/>
      </c>
      <c r="AF4" s="0" t="n">
        <v>7.5</v>
      </c>
      <c r="AG4" s="0" t="n">
        <v>6</v>
      </c>
      <c r="AJ4" s="4" t="n">
        <v>0</v>
      </c>
      <c r="AK4" s="0" t="str">
        <f aca="false">CONCATENATE(VLOOKUP(AL4, 'Voxel Sizes'!$A$2:$B$18,2,FALSE()),"x",INT(AH4*15), "x", INT(AI4*15))</f>
        <v>60x0x0</v>
      </c>
      <c r="AL4" s="0" t="n">
        <f aca="false">ROUND(15*((AG4*10)/256),0)</f>
        <v>4</v>
      </c>
      <c r="AN4" s="0" t="str">
        <f aca="false">CONCATENATE(VLOOKUP(AL4,Constants!$A$2:$C$16,IF(AM4&lt;&gt;"", 3, 2), FALSE()),IF(AM4&lt;&gt;"",CONCATENATE(",",VLOOKUP(AM4,$B:$AN,39,FALSE())),""))</f>
        <v>1,2,1</v>
      </c>
      <c r="AX4" s="0" t="n">
        <v>30</v>
      </c>
      <c r="AY4" s="16" t="str">
        <f aca="false">IF(L4&lt;&gt;"",MAX(16,(L4-J4)+8),"")</f>
        <v/>
      </c>
      <c r="BB4" s="0" t="n">
        <f aca="false">MIN(AB4/150, 1)*30</f>
        <v>0</v>
      </c>
      <c r="BC4" s="0" t="n">
        <f aca="false">MIN(N4/4000, 1)*20</f>
        <v>0</v>
      </c>
      <c r="BD4" s="0" t="n">
        <f aca="false">MIN(Z4/400,1)*20</f>
        <v>0</v>
      </c>
      <c r="BE4" s="3" t="n">
        <f aca="false">1-(MAX(J4-1900, 0)/750)</f>
        <v>1</v>
      </c>
      <c r="BF4" s="0" t="n">
        <f aca="false">((MAX($M4,1)*MIN($AJ4/300,1)))*IF(G4="Wagon",50,10)</f>
        <v>0</v>
      </c>
      <c r="BG4" s="0" t="n">
        <f aca="false">VLOOKUP($H4,Constants!$I:$K, 2, FALSE())</f>
        <v>0</v>
      </c>
      <c r="BH4" s="0" t="n">
        <f aca="false">VLOOKUP($H4,Constants!$I:$K, 3, FALSE())*IF(AND(G4="multiple_unit",AB4&lt;110),0.75,1)</f>
        <v>0</v>
      </c>
      <c r="BI4" s="0" t="n">
        <f aca="false">INT(POWER(((Constants!$G$2+$BB4+$BC4+$BD4+$BF4)*$BE4)*$BH4, 1.05))+$BA4</f>
        <v>0</v>
      </c>
      <c r="BJ4" s="0" t="n">
        <f aca="false">INT(POWER((((Constants!$G$1+$BB4+$BC4+$BD4+$BF4)*($BE4))*$BG4),IF($G4="wagon",1,1.2)))+$AZ4</f>
        <v>0</v>
      </c>
      <c r="BK4" s="17" t="n">
        <f aca="false">BI4*IF($G4="wagon",62.5,781.25)</f>
        <v>0</v>
      </c>
      <c r="BL4" s="17" t="n">
        <f aca="false">BJ4*IF($G4="wagon",2.73,81.25)</f>
        <v>0</v>
      </c>
      <c r="CA4" s="0" t="str">
        <f aca="false">VLOOKUP(J4,Eras!$A$2:$C$10, 2, TRUE())</f>
        <v>early</v>
      </c>
      <c r="CC4" s="0" t="str">
        <f aca="false">CONCATENATE(CA4,"_",CB4)</f>
        <v>early_</v>
      </c>
      <c r="CD4" s="0" t="str">
        <f aca="false">_xlfn.CONCAT(H4, "_",I4)</f>
        <v>tender_RAIL</v>
      </c>
      <c r="CE4" s="6" t="str">
        <f aca="false" t="array" ref="CE4:CE4">_xlfn.CONCAT("{BLACK}Length: {GOLD}", TEXT(ROUNDUP(IF(AQ4&lt;&gt;"",SUM(VALUE(_xlfn.TEXTSPLIT(AQ4, ","))), SUM(VALUE(_xlfn.TEXTSPLIT(AN4, ",")))*IF(M4, M4, 1))/16, 1), "#,##0.0"), " tiles{}")</f>
        <v>{BLACK}Length: {GOLD}0.3 tiles{}</v>
      </c>
      <c r="CF4" s="0" t="str">
        <f aca="false">VLOOKUP($CD4, Constants!$M:$N, 2, FALSE())</f>
        <v/>
      </c>
      <c r="CG4" s="0" t="str">
        <f aca="false">IF(M4&gt;1,_xlfn.CONCAT("{BLACK}Cars: {GOLD}", M4),"")</f>
        <v/>
      </c>
      <c r="CI4" s="0" t="str">
        <f aca="false">IF($BU4="!param_no_gameplay_units","{GREEN}Included for gameplay purposes","")</f>
        <v/>
      </c>
      <c r="CJ4" s="0" t="str">
        <f aca="false">IF(BX4="buffet","{YELLOW}25% long distance bonus for consist{}",IF(BZ4="BRAKE","{YELLOW}Speed bonus for slow wagons{}",IF(BW4&gt;190,CONCATENATE("{YELLOW}",INT((BW4-185)/1.85),"% bonus for long distance travel{}"),IF(AND(BW4&lt;180,BW4&lt;&gt;0),CONCATENATE("{YELLOW}",INT((185-BW4)/1.85),"% penalty for long distance travel{}"),""))))</f>
        <v/>
      </c>
      <c r="CK4" s="0" t="str">
        <f aca="false">_xlfn.CONCAT(CF4,IF(CF4&lt;&gt;""," ",""),CG4,IF(OR(CG4&lt;&gt;"",CF4&lt;&gt;""),"{}",""),CE4,CJ4,"{SILVER}",CH4,IF(CI4&lt;&gt;"","{}{}",""),CI4)</f>
        <v>{BLACK}Length: {GOLD}0.3 tiles{}{SILVER}</v>
      </c>
    </row>
    <row r="5" customFormat="false" ht="14.25" hidden="false" customHeight="false" outlineLevel="0" collapsed="false">
      <c r="A5" s="0" t="s">
        <v>97</v>
      </c>
      <c r="B5" s="15" t="s">
        <v>98</v>
      </c>
      <c r="C5" s="0" t="n">
        <v>-1</v>
      </c>
      <c r="E5" s="0" t="n">
        <v>-1</v>
      </c>
      <c r="G5" s="0" t="s">
        <v>38</v>
      </c>
      <c r="H5" s="0" t="s">
        <v>38</v>
      </c>
      <c r="I5" s="0" t="s">
        <v>92</v>
      </c>
      <c r="J5" s="0" t="n">
        <v>1815</v>
      </c>
      <c r="W5" s="0" t="n">
        <v>42</v>
      </c>
      <c r="AA5" s="3" t="str">
        <f aca="false">IF(AND(W5&gt;0,Z5&gt;0),(Z5/((W5+X5)*10)),"")</f>
        <v/>
      </c>
      <c r="AF5" s="0" t="n">
        <v>7.5</v>
      </c>
      <c r="AG5" s="0" t="n">
        <v>6</v>
      </c>
      <c r="AJ5" s="4" t="n">
        <v>0</v>
      </c>
      <c r="AK5" s="0" t="str">
        <f aca="false">CONCATENATE(VLOOKUP(AL5, 'Voxel Sizes'!$A$2:$B$18,2,FALSE()),"x",INT(AH5*15), "x", INT(AI5*15))</f>
        <v>60x0x0</v>
      </c>
      <c r="AL5" s="0" t="n">
        <f aca="false">ROUND(15*((AG5*10)/256),0)</f>
        <v>4</v>
      </c>
      <c r="AN5" s="0" t="str">
        <f aca="false">CONCATENATE(VLOOKUP(AL5,Constants!$A$2:$C$16,IF(AM5&lt;&gt;"", 3, 2), FALSE()),IF(AM5&lt;&gt;"",CONCATENATE(",",VLOOKUP(AM5,$B:$AN,39,FALSE())),""))</f>
        <v>1,2,1</v>
      </c>
      <c r="AX5" s="0" t="n">
        <v>30</v>
      </c>
      <c r="AY5" s="16" t="str">
        <f aca="false">IF(L5&lt;&gt;"",MAX(16,(L5-J5)+8),"")</f>
        <v/>
      </c>
      <c r="BB5" s="0" t="n">
        <f aca="false">MIN(AB5/150, 1)*30</f>
        <v>0</v>
      </c>
      <c r="BC5" s="0" t="n">
        <f aca="false">MIN(N5/4000, 1)*20</f>
        <v>0</v>
      </c>
      <c r="BD5" s="0" t="n">
        <f aca="false">MIN(Z5/400,1)*20</f>
        <v>0</v>
      </c>
      <c r="BE5" s="3" t="n">
        <f aca="false">1-(MAX(J5-1900, 0)/750)</f>
        <v>1</v>
      </c>
      <c r="BF5" s="0" t="n">
        <f aca="false">((MAX($M5,1)*MIN($AJ5/300,1)))*IF(G5="Wagon",50,10)</f>
        <v>0</v>
      </c>
      <c r="BG5" s="0" t="n">
        <f aca="false">VLOOKUP($H5,Constants!$I:$K, 2, FALSE())</f>
        <v>0</v>
      </c>
      <c r="BH5" s="0" t="n">
        <f aca="false">VLOOKUP($H5,Constants!$I:$K, 3, FALSE())*IF(AND(G5="multiple_unit",AB5&lt;110),0.75,1)</f>
        <v>0</v>
      </c>
      <c r="BI5" s="0" t="n">
        <f aca="false">INT(POWER(((Constants!$G$2+$BB5+$BC5+$BD5+$BF5)*$BE5)*$BH5, 1.05))+$BA5</f>
        <v>0</v>
      </c>
      <c r="BJ5" s="0" t="n">
        <f aca="false">INT(POWER((((Constants!$G$1+$BB5+$BC5+$BD5+$BF5)*($BE5))*$BG5),IF($G5="wagon",1,1.2)))+$AZ5</f>
        <v>0</v>
      </c>
      <c r="BK5" s="17" t="n">
        <f aca="false">BI5*IF($G5="wagon",62.5,781.25)</f>
        <v>0</v>
      </c>
      <c r="BL5" s="17" t="n">
        <f aca="false">BJ5*IF($G5="wagon",2.73,81.25)</f>
        <v>0</v>
      </c>
      <c r="CA5" s="0" t="str">
        <f aca="false">VLOOKUP(J5,Eras!$A$2:$C$10, 2, TRUE())</f>
        <v>early</v>
      </c>
      <c r="CC5" s="0" t="str">
        <f aca="false">CONCATENATE(CA5,"_",CB5)</f>
        <v>early_</v>
      </c>
      <c r="CD5" s="0" t="str">
        <f aca="false">_xlfn.CONCAT(H5, "_",I5)</f>
        <v>tender_RAIL</v>
      </c>
      <c r="CE5" s="6" t="str">
        <f aca="false" t="array" ref="CE5:CE5">_xlfn.CONCAT("{BLACK}Length: {GOLD}", TEXT(ROUNDUP(IF(AQ5&lt;&gt;"",SUM(VALUE(_xlfn.TEXTSPLIT(AQ5, ","))), SUM(VALUE(_xlfn.TEXTSPLIT(AN5, ",")))*IF(M5, M5, 1))/16, 1), "#,##0.0"), " tiles{}")</f>
        <v>{BLACK}Length: {GOLD}0.3 tiles{}</v>
      </c>
      <c r="CF5" s="0" t="str">
        <f aca="false">VLOOKUP($CD5, Constants!$M:$N, 2, FALSE())</f>
        <v/>
      </c>
      <c r="CG5" s="0" t="str">
        <f aca="false">IF(M5&gt;1,_xlfn.CONCAT("{BLACK}Cars: {GOLD}", M5),"")</f>
        <v/>
      </c>
      <c r="CI5" s="0" t="str">
        <f aca="false">IF($BU5="!param_no_gameplay_units","{GREEN}Included for gameplay purposes","")</f>
        <v/>
      </c>
      <c r="CJ5" s="0" t="str">
        <f aca="false">IF(BX5="buffet","{YELLOW}25% long distance bonus for consist{}",IF(BZ5="BRAKE","{YELLOW}Speed bonus for slow wagons{}",IF(BW5&gt;190,CONCATENATE("{YELLOW}",INT((BW5-185)/1.85),"% bonus for long distance travel{}"),IF(AND(BW5&lt;180,BW5&lt;&gt;0),CONCATENATE("{YELLOW}",INT((185-BW5)/1.85),"% penalty for long distance travel{}"),""))))</f>
        <v/>
      </c>
      <c r="CK5" s="0" t="str">
        <f aca="false">_xlfn.CONCAT(CF5,IF(CF5&lt;&gt;""," ",""),CG5,IF(OR(CG5&lt;&gt;"",CF5&lt;&gt;""),"{}",""),CE5,CJ5,"{SILVER}",CH5,IF(CI5&lt;&gt;"","{}{}",""),CI5)</f>
        <v>{BLACK}Length: {GOLD}0.3 tiles{}{SILVER}</v>
      </c>
    </row>
    <row r="6" customFormat="false" ht="14.25" hidden="false" customHeight="false" outlineLevel="0" collapsed="false">
      <c r="A6" s="0" t="s">
        <v>99</v>
      </c>
      <c r="B6" s="15" t="s">
        <v>100</v>
      </c>
      <c r="C6" s="0" t="n">
        <v>-1</v>
      </c>
      <c r="E6" s="0" t="n">
        <v>-1</v>
      </c>
      <c r="G6" s="0" t="s">
        <v>38</v>
      </c>
      <c r="H6" s="0" t="s">
        <v>38</v>
      </c>
      <c r="I6" s="0" t="s">
        <v>92</v>
      </c>
      <c r="J6" s="0" t="n">
        <v>1815</v>
      </c>
      <c r="W6" s="0" t="n">
        <v>42</v>
      </c>
      <c r="AA6" s="3" t="str">
        <f aca="false">IF(AND(W6&gt;0,Z6&gt;0),(Z6/((W6+X6)*10)),"")</f>
        <v/>
      </c>
      <c r="AF6" s="0" t="n">
        <v>7.5</v>
      </c>
      <c r="AG6" s="0" t="n">
        <v>6</v>
      </c>
      <c r="AJ6" s="4" t="n">
        <v>0</v>
      </c>
      <c r="AK6" s="0" t="str">
        <f aca="false">CONCATENATE(VLOOKUP(AL6, 'Voxel Sizes'!$A$2:$B$18,2,FALSE()),"x",INT(AH6*15), "x", INT(AI6*15))</f>
        <v>60x0x0</v>
      </c>
      <c r="AL6" s="0" t="n">
        <f aca="false">ROUND(15*((AG6*10)/256),0)</f>
        <v>4</v>
      </c>
      <c r="AN6" s="0" t="str">
        <f aca="false">CONCATENATE(VLOOKUP(AL6,Constants!$A$2:$C$16,IF(AM6&lt;&gt;"", 3, 2), FALSE()),IF(AM6&lt;&gt;"",CONCATENATE(",",VLOOKUP(AM6,$B:$AN,39,FALSE())),""))</f>
        <v>1,2,1</v>
      </c>
      <c r="AX6" s="0" t="n">
        <v>30</v>
      </c>
      <c r="AY6" s="16" t="str">
        <f aca="false">IF(L6&lt;&gt;"",MAX(16,(L6-J6)+8),"")</f>
        <v/>
      </c>
      <c r="BB6" s="0" t="n">
        <f aca="false">MIN(AB6/150, 1)*30</f>
        <v>0</v>
      </c>
      <c r="BC6" s="0" t="n">
        <f aca="false">MIN(N6/4000, 1)*20</f>
        <v>0</v>
      </c>
      <c r="BD6" s="0" t="n">
        <f aca="false">MIN(Z6/400,1)*20</f>
        <v>0</v>
      </c>
      <c r="BE6" s="3" t="n">
        <f aca="false">1-(MAX(J6-1900, 0)/750)</f>
        <v>1</v>
      </c>
      <c r="BF6" s="0" t="n">
        <f aca="false">((MAX($M6,1)*MIN($AJ6/300,1)))*IF(G6="Wagon",50,10)</f>
        <v>0</v>
      </c>
      <c r="BG6" s="0" t="n">
        <f aca="false">VLOOKUP($H6,Constants!$I:$K, 2, FALSE())</f>
        <v>0</v>
      </c>
      <c r="BH6" s="0" t="n">
        <f aca="false">VLOOKUP($H6,Constants!$I:$K, 3, FALSE())*IF(AND(G6="multiple_unit",AB6&lt;110),0.75,1)</f>
        <v>0</v>
      </c>
      <c r="BI6" s="0" t="n">
        <f aca="false">INT(POWER(((Constants!$G$2+$BB6+$BC6+$BD6+$BF6)*$BE6)*$BH6, 1.05))+$BA6</f>
        <v>0</v>
      </c>
      <c r="BJ6" s="0" t="n">
        <f aca="false">INT(POWER((((Constants!$G$1+$BB6+$BC6+$BD6+$BF6)*($BE6))*$BG6),IF($G6="wagon",1,1.2)))+$AZ6</f>
        <v>0</v>
      </c>
      <c r="BK6" s="17" t="n">
        <f aca="false">BI6*IF($G6="wagon",62.5,781.25)</f>
        <v>0</v>
      </c>
      <c r="BL6" s="17" t="n">
        <f aca="false">BJ6*IF($G6="wagon",2.73,81.25)</f>
        <v>0</v>
      </c>
      <c r="CA6" s="0" t="str">
        <f aca="false">VLOOKUP(J6,Eras!$A$2:$C$10, 2, TRUE())</f>
        <v>early</v>
      </c>
      <c r="CC6" s="0" t="str">
        <f aca="false">CONCATENATE(CA6,"_",CB6)</f>
        <v>early_</v>
      </c>
      <c r="CD6" s="0" t="str">
        <f aca="false">_xlfn.CONCAT(H6, "_",I6)</f>
        <v>tender_RAIL</v>
      </c>
      <c r="CE6" s="6" t="str">
        <f aca="false" t="array" ref="CE6:CE6">_xlfn.CONCAT("{BLACK}Length: {GOLD}", TEXT(ROUNDUP(IF(AQ6&lt;&gt;"",SUM(VALUE(_xlfn.TEXTSPLIT(AQ6, ","))), SUM(VALUE(_xlfn.TEXTSPLIT(AN6, ",")))*IF(M6, M6, 1))/16, 1), "#,##0.0"), " tiles{}")</f>
        <v>{BLACK}Length: {GOLD}0.3 tiles{}</v>
      </c>
      <c r="CF6" s="0" t="str">
        <f aca="false">VLOOKUP($CD6, Constants!$M:$N, 2, FALSE())</f>
        <v/>
      </c>
      <c r="CG6" s="0" t="str">
        <f aca="false">IF(M6&gt;1,_xlfn.CONCAT("{BLACK}Cars: {GOLD}", M6),"")</f>
        <v/>
      </c>
      <c r="CI6" s="0" t="str">
        <f aca="false">IF($BU6="!param_no_gameplay_units","{GREEN}Included for gameplay purposes","")</f>
        <v/>
      </c>
      <c r="CJ6" s="0" t="str">
        <f aca="false">IF(BX6="buffet","{YELLOW}25% long distance bonus for consist{}",IF(BZ6="BRAKE","{YELLOW}Speed bonus for slow wagons{}",IF(BW6&gt;190,CONCATENATE("{YELLOW}",INT((BW6-185)/1.85),"% bonus for long distance travel{}"),IF(AND(BW6&lt;180,BW6&lt;&gt;0),CONCATENATE("{YELLOW}",INT((185-BW6)/1.85),"% penalty for long distance travel{}"),""))))</f>
        <v/>
      </c>
      <c r="CK6" s="0" t="str">
        <f aca="false">_xlfn.CONCAT(CF6,IF(CF6&lt;&gt;""," ",""),CG6,IF(OR(CG6&lt;&gt;"",CF6&lt;&gt;""),"{}",""),CE6,CJ6,"{SILVER}",CH6,IF(CI6&lt;&gt;"","{}{}",""),CI6)</f>
        <v>{BLACK}Length: {GOLD}0.3 tiles{}{SILVER}</v>
      </c>
    </row>
    <row r="7" customFormat="false" ht="14.25" hidden="false" customHeight="false" outlineLevel="0" collapsed="false">
      <c r="A7" s="0" t="s">
        <v>101</v>
      </c>
      <c r="B7" s="15" t="s">
        <v>102</v>
      </c>
      <c r="C7" s="0" t="n">
        <v>-1</v>
      </c>
      <c r="E7" s="0" t="n">
        <v>-1</v>
      </c>
      <c r="G7" s="0" t="s">
        <v>38</v>
      </c>
      <c r="H7" s="0" t="s">
        <v>38</v>
      </c>
      <c r="I7" s="0" t="s">
        <v>92</v>
      </c>
      <c r="J7" s="0" t="n">
        <v>1830</v>
      </c>
      <c r="W7" s="0" t="n">
        <v>42</v>
      </c>
      <c r="AA7" s="3" t="str">
        <f aca="false">IF(AND(W7&gt;0,Z7&gt;0),(Z7/((W7+X7)*10)),"")</f>
        <v/>
      </c>
      <c r="AF7" s="0" t="n">
        <v>7.5</v>
      </c>
      <c r="AG7" s="0" t="n">
        <v>6</v>
      </c>
      <c r="AJ7" s="4" t="n">
        <v>0</v>
      </c>
      <c r="AK7" s="0" t="str">
        <f aca="false">CONCATENATE(VLOOKUP(AL7, 'Voxel Sizes'!$A$2:$B$18,2,FALSE()),"x",INT(AH7*15), "x", INT(AI7*15))</f>
        <v>60x0x0</v>
      </c>
      <c r="AL7" s="0" t="n">
        <f aca="false">ROUND(15*((AG7*10)/256),0)</f>
        <v>4</v>
      </c>
      <c r="AN7" s="0" t="str">
        <f aca="false">CONCATENATE(VLOOKUP(AL7,Constants!$A$2:$C$16,IF(AM7&lt;&gt;"", 3, 2), FALSE()),IF(AM7&lt;&gt;"",CONCATENATE(",",VLOOKUP(AM7,$B:$AN,39,FALSE())),""))</f>
        <v>1,2,1</v>
      </c>
      <c r="AX7" s="0" t="n">
        <v>30</v>
      </c>
      <c r="AY7" s="16" t="str">
        <f aca="false">IF(L7&lt;&gt;"",MAX(16,(L7-J7)+8),"")</f>
        <v/>
      </c>
      <c r="BB7" s="0" t="n">
        <f aca="false">MIN(AB7/150, 1)*30</f>
        <v>0</v>
      </c>
      <c r="BC7" s="0" t="n">
        <f aca="false">MIN(N7/4000, 1)*20</f>
        <v>0</v>
      </c>
      <c r="BD7" s="0" t="n">
        <f aca="false">MIN(Z7/400,1)*20</f>
        <v>0</v>
      </c>
      <c r="BE7" s="3" t="n">
        <f aca="false">1-(MAX(J7-1900, 0)/750)</f>
        <v>1</v>
      </c>
      <c r="BF7" s="0" t="n">
        <f aca="false">((MAX($M7,1)*MIN($AJ7/300,1)))*IF(G7="Wagon",50,10)</f>
        <v>0</v>
      </c>
      <c r="BG7" s="0" t="n">
        <f aca="false">VLOOKUP($H7,Constants!$I:$K, 2, FALSE())</f>
        <v>0</v>
      </c>
      <c r="BH7" s="0" t="n">
        <f aca="false">VLOOKUP($H7,Constants!$I:$K, 3, FALSE())*IF(AND(G7="multiple_unit",AB7&lt;110),0.75,1)</f>
        <v>0</v>
      </c>
      <c r="BI7" s="0" t="n">
        <f aca="false">INT(POWER(((Constants!$G$2+$BB7+$BC7+$BD7+$BF7)*$BE7)*$BH7, 1.05))+$BA7</f>
        <v>0</v>
      </c>
      <c r="BJ7" s="0" t="n">
        <f aca="false">INT(POWER((((Constants!$G$1+$BB7+$BC7+$BD7+$BF7)*($BE7))*$BG7),IF($G7="wagon",1,1.2)))+$AZ7</f>
        <v>0</v>
      </c>
      <c r="BK7" s="17" t="n">
        <f aca="false">BI7*IF($G7="wagon",62.5,781.25)</f>
        <v>0</v>
      </c>
      <c r="BL7" s="17" t="n">
        <f aca="false">BJ7*IF($G7="wagon",2.73,81.25)</f>
        <v>0</v>
      </c>
      <c r="CA7" s="0" t="str">
        <f aca="false">VLOOKUP(J7,Eras!$A$2:$C$10, 2, TRUE())</f>
        <v>early</v>
      </c>
      <c r="CC7" s="0" t="str">
        <f aca="false">CONCATENATE(CA7,"_",CB7)</f>
        <v>early_</v>
      </c>
      <c r="CD7" s="0" t="str">
        <f aca="false">_xlfn.CONCAT(H7, "_",I7)</f>
        <v>tender_RAIL</v>
      </c>
      <c r="CE7" s="6" t="str">
        <f aca="false" t="array" ref="CE7:CE7">_xlfn.CONCAT("{BLACK}Length: {GOLD}", TEXT(ROUNDUP(IF(AQ7&lt;&gt;"",SUM(VALUE(_xlfn.TEXTSPLIT(AQ7, ","))), SUM(VALUE(_xlfn.TEXTSPLIT(AN7, ",")))*IF(M7, M7, 1))/16, 1), "#,##0.0"), " tiles{}")</f>
        <v>{BLACK}Length: {GOLD}0.3 tiles{}</v>
      </c>
      <c r="CF7" s="0" t="str">
        <f aca="false">VLOOKUP($CD7, Constants!$M:$N, 2, FALSE())</f>
        <v/>
      </c>
      <c r="CG7" s="0" t="str">
        <f aca="false">IF(M7&gt;1,_xlfn.CONCAT("{BLACK}Cars: {GOLD}", M7),"")</f>
        <v/>
      </c>
      <c r="CI7" s="0" t="str">
        <f aca="false">IF($BU7="!param_no_gameplay_units","{GREEN}Included for gameplay purposes","")</f>
        <v/>
      </c>
      <c r="CJ7" s="0" t="str">
        <f aca="false">IF(BX7="buffet","{YELLOW}25% long distance bonus for consist{}",IF(BZ7="BRAKE","{YELLOW}Speed bonus for slow wagons{}",IF(BW7&gt;190,CONCATENATE("{YELLOW}",INT((BW7-185)/1.85),"% bonus for long distance travel{}"),IF(AND(BW7&lt;180,BW7&lt;&gt;0),CONCATENATE("{YELLOW}",INT((185-BW7)/1.85),"% penalty for long distance travel{}"),""))))</f>
        <v/>
      </c>
      <c r="CK7" s="0" t="str">
        <f aca="false">_xlfn.CONCAT(CF7,IF(CF7&lt;&gt;""," ",""),CG7,IF(OR(CG7&lt;&gt;"",CF7&lt;&gt;""),"{}",""),CE7,CJ7,"{SILVER}",CH7,IF(CI7&lt;&gt;"","{}{}",""),CI7)</f>
        <v>{BLACK}Length: {GOLD}0.3 tiles{}{SILVER}</v>
      </c>
    </row>
    <row r="8" customFormat="false" ht="14.25" hidden="false" customHeight="false" outlineLevel="0" collapsed="false">
      <c r="A8" s="0" t="s">
        <v>103</v>
      </c>
      <c r="B8" s="15" t="s">
        <v>104</v>
      </c>
      <c r="C8" s="0" t="n">
        <v>-1</v>
      </c>
      <c r="E8" s="0" t="n">
        <v>-1</v>
      </c>
      <c r="G8" s="0" t="s">
        <v>38</v>
      </c>
      <c r="H8" s="0" t="s">
        <v>38</v>
      </c>
      <c r="I8" s="0" t="s">
        <v>92</v>
      </c>
      <c r="J8" s="0" t="n">
        <v>1830</v>
      </c>
      <c r="W8" s="0" t="n">
        <v>42</v>
      </c>
      <c r="AA8" s="3" t="str">
        <f aca="false">IF(AND(W8&gt;0,Z8&gt;0),(Z8/((W8+X8)*10)),"")</f>
        <v/>
      </c>
      <c r="AF8" s="0" t="n">
        <v>7.5</v>
      </c>
      <c r="AG8" s="0" t="n">
        <v>6</v>
      </c>
      <c r="AJ8" s="4" t="n">
        <v>0</v>
      </c>
      <c r="AK8" s="0" t="str">
        <f aca="false">CONCATENATE(VLOOKUP(AL8, 'Voxel Sizes'!$A$2:$B$18,2,FALSE()),"x",INT(AH8*15), "x", INT(AI8*15))</f>
        <v>60x0x0</v>
      </c>
      <c r="AL8" s="0" t="n">
        <f aca="false">ROUND(15*((AG8*10)/256),0)</f>
        <v>4</v>
      </c>
      <c r="AN8" s="0" t="str">
        <f aca="false">CONCATENATE(VLOOKUP(AL8,Constants!$A$2:$C$16,IF(AM8&lt;&gt;"", 3, 2), FALSE()),IF(AM8&lt;&gt;"",CONCATENATE(",",VLOOKUP(AM8,$B:$AN,39,FALSE())),""))</f>
        <v>1,2,1</v>
      </c>
      <c r="AX8" s="0" t="n">
        <v>30</v>
      </c>
      <c r="AY8" s="16" t="str">
        <f aca="false">IF(L8&lt;&gt;"",MAX(16,(L8-J8)+8),"")</f>
        <v/>
      </c>
      <c r="BB8" s="0" t="n">
        <f aca="false">MIN(AB8/150, 1)*30</f>
        <v>0</v>
      </c>
      <c r="BC8" s="0" t="n">
        <f aca="false">MIN(N8/4000, 1)*20</f>
        <v>0</v>
      </c>
      <c r="BD8" s="0" t="n">
        <f aca="false">MIN(Z8/400,1)*20</f>
        <v>0</v>
      </c>
      <c r="BE8" s="3" t="n">
        <f aca="false">1-(MAX(J8-1900, 0)/750)</f>
        <v>1</v>
      </c>
      <c r="BF8" s="0" t="n">
        <f aca="false">((MAX($M8,1)*MIN($AJ8/300,1)))*IF(G8="Wagon",50,10)</f>
        <v>0</v>
      </c>
      <c r="BG8" s="0" t="n">
        <f aca="false">VLOOKUP($H8,Constants!$I:$K, 2, FALSE())</f>
        <v>0</v>
      </c>
      <c r="BH8" s="0" t="n">
        <f aca="false">VLOOKUP($H8,Constants!$I:$K, 3, FALSE())*IF(AND(G8="multiple_unit",AB8&lt;110),0.75,1)</f>
        <v>0</v>
      </c>
      <c r="BI8" s="0" t="n">
        <f aca="false">INT(POWER(((Constants!$G$2+$BB8+$BC8+$BD8+$BF8)*$BE8)*$BH8, 1.05))+$BA8</f>
        <v>0</v>
      </c>
      <c r="BJ8" s="0" t="n">
        <f aca="false">INT(POWER((((Constants!$G$1+$BB8+$BC8+$BD8+$BF8)*($BE8))*$BG8),IF($G8="wagon",1,1.2)))+$AZ8</f>
        <v>0</v>
      </c>
      <c r="BK8" s="17" t="n">
        <f aca="false">BI8*IF($G8="wagon",62.5,781.25)</f>
        <v>0</v>
      </c>
      <c r="BL8" s="17" t="n">
        <f aca="false">BJ8*IF($G8="wagon",2.73,81.25)</f>
        <v>0</v>
      </c>
      <c r="CA8" s="0" t="str">
        <f aca="false">VLOOKUP(J8,Eras!$A$2:$C$10, 2, TRUE())</f>
        <v>early</v>
      </c>
      <c r="CC8" s="0" t="str">
        <f aca="false">CONCATENATE(CA8,"_",CB8)</f>
        <v>early_</v>
      </c>
      <c r="CD8" s="0" t="str">
        <f aca="false">_xlfn.CONCAT(H8, "_",I8)</f>
        <v>tender_RAIL</v>
      </c>
      <c r="CE8" s="6" t="str">
        <f aca="false" t="array" ref="CE8:CE8">_xlfn.CONCAT("{BLACK}Length: {GOLD}", TEXT(ROUNDUP(IF(AQ8&lt;&gt;"",SUM(VALUE(_xlfn.TEXTSPLIT(AQ8, ","))), SUM(VALUE(_xlfn.TEXTSPLIT(AN8, ",")))*IF(M8, M8, 1))/16, 1), "#,##0.0"), " tiles{}")</f>
        <v>{BLACK}Length: {GOLD}0.3 tiles{}</v>
      </c>
      <c r="CF8" s="0" t="str">
        <f aca="false">VLOOKUP($CD8, Constants!$M:$N, 2, FALSE())</f>
        <v/>
      </c>
      <c r="CG8" s="0" t="str">
        <f aca="false">IF(M8&gt;1,_xlfn.CONCAT("{BLACK}Cars: {GOLD}", M8),"")</f>
        <v/>
      </c>
      <c r="CI8" s="0" t="str">
        <f aca="false">IF($BU8="!param_no_gameplay_units","{GREEN}Included for gameplay purposes","")</f>
        <v/>
      </c>
      <c r="CJ8" s="0" t="str">
        <f aca="false">IF(BX8="buffet","{YELLOW}25% long distance bonus for consist{}",IF(BZ8="BRAKE","{YELLOW}Speed bonus for slow wagons{}",IF(BW8&gt;190,CONCATENATE("{YELLOW}",INT((BW8-185)/1.85),"% bonus for long distance travel{}"),IF(AND(BW8&lt;180,BW8&lt;&gt;0),CONCATENATE("{YELLOW}",INT((185-BW8)/1.85),"% penalty for long distance travel{}"),""))))</f>
        <v/>
      </c>
      <c r="CK8" s="0" t="str">
        <f aca="false">_xlfn.CONCAT(CF8,IF(CF8&lt;&gt;""," ",""),CG8,IF(OR(CG8&lt;&gt;"",CF8&lt;&gt;""),"{}",""),CE8,CJ8,"{SILVER}",CH8,IF(CI8&lt;&gt;"","{}{}",""),CI8)</f>
        <v>{BLACK}Length: {GOLD}0.3 tiles{}{SILVER}</v>
      </c>
    </row>
    <row r="9" customFormat="false" ht="14.25" hidden="false" customHeight="false" outlineLevel="0" collapsed="false">
      <c r="A9" s="0" t="s">
        <v>105</v>
      </c>
      <c r="B9" s="15" t="s">
        <v>106</v>
      </c>
      <c r="C9" s="0" t="n">
        <v>-1</v>
      </c>
      <c r="E9" s="0" t="n">
        <v>-1</v>
      </c>
      <c r="G9" s="0" t="s">
        <v>38</v>
      </c>
      <c r="H9" s="0" t="s">
        <v>38</v>
      </c>
      <c r="I9" s="0" t="s">
        <v>92</v>
      </c>
      <c r="J9" s="0" t="n">
        <v>1850</v>
      </c>
      <c r="W9" s="0" t="n">
        <v>42</v>
      </c>
      <c r="AA9" s="3" t="str">
        <f aca="false">IF(AND(W9&gt;0,Z9&gt;0),(Z9/((W9+X9)*10)),"")</f>
        <v/>
      </c>
      <c r="AF9" s="0" t="n">
        <v>7.5</v>
      </c>
      <c r="AG9" s="0" t="n">
        <v>6</v>
      </c>
      <c r="AJ9" s="4" t="n">
        <v>0</v>
      </c>
      <c r="AK9" s="0" t="str">
        <f aca="false">CONCATENATE(VLOOKUP(AL9, 'Voxel Sizes'!$A$2:$B$18,2,FALSE()),"x",INT(AH9*15), "x", INT(AI9*15))</f>
        <v>60x0x0</v>
      </c>
      <c r="AL9" s="0" t="n">
        <f aca="false">ROUND(15*((AG9*10)/256),0)</f>
        <v>4</v>
      </c>
      <c r="AN9" s="0" t="str">
        <f aca="false">CONCATENATE(VLOOKUP(AL9,Constants!$A$2:$C$16,IF(AM9&lt;&gt;"", 3, 2), FALSE()),IF(AM9&lt;&gt;"",CONCATENATE(",",VLOOKUP(AM9,$B:$AN,39,FALSE())),""))</f>
        <v>1,2,1</v>
      </c>
      <c r="AX9" s="0" t="n">
        <v>30</v>
      </c>
      <c r="AY9" s="16" t="str">
        <f aca="false">IF(L9&lt;&gt;"",MAX(16,(L9-J9)+8),"")</f>
        <v/>
      </c>
      <c r="BB9" s="0" t="n">
        <f aca="false">MIN(AB9/150, 1)*30</f>
        <v>0</v>
      </c>
      <c r="BC9" s="0" t="n">
        <f aca="false">MIN(N9/4000, 1)*20</f>
        <v>0</v>
      </c>
      <c r="BD9" s="0" t="n">
        <f aca="false">MIN(Z9/400,1)*20</f>
        <v>0</v>
      </c>
      <c r="BE9" s="3" t="n">
        <f aca="false">1-(MAX(J9-1900, 0)/750)</f>
        <v>1</v>
      </c>
      <c r="BF9" s="0" t="n">
        <f aca="false">((MAX($M9,1)*MIN($AJ9/300,1)))*IF(G9="Wagon",50,10)</f>
        <v>0</v>
      </c>
      <c r="BG9" s="0" t="n">
        <f aca="false">VLOOKUP($H9,Constants!$I:$K, 2, FALSE())</f>
        <v>0</v>
      </c>
      <c r="BH9" s="0" t="n">
        <f aca="false">VLOOKUP($H9,Constants!$I:$K, 3, FALSE())*IF(AND(G9="multiple_unit",AB9&lt;110),0.75,1)</f>
        <v>0</v>
      </c>
      <c r="BI9" s="0" t="n">
        <f aca="false">INT(POWER(((Constants!$G$2+$BB9+$BC9+$BD9+$BF9)*$BE9)*$BH9, 1.05))+$BA9</f>
        <v>0</v>
      </c>
      <c r="BJ9" s="0" t="n">
        <f aca="false">INT(POWER((((Constants!$G$1+$BB9+$BC9+$BD9+$BF9)*($BE9))*$BG9),IF($G9="wagon",1,1.2)))+$AZ9</f>
        <v>0</v>
      </c>
      <c r="BK9" s="17" t="n">
        <f aca="false">BI9*IF($G9="wagon",62.5,781.25)</f>
        <v>0</v>
      </c>
      <c r="BL9" s="17" t="n">
        <f aca="false">BJ9*IF($G9="wagon",2.73,81.25)</f>
        <v>0</v>
      </c>
      <c r="CA9" s="0" t="str">
        <f aca="false">VLOOKUP(J9,Eras!$A$2:$C$10, 2, TRUE())</f>
        <v>vct</v>
      </c>
      <c r="CC9" s="0" t="str">
        <f aca="false">CONCATENATE(CA9,"_",CB9)</f>
        <v>vct_</v>
      </c>
      <c r="CD9" s="0" t="str">
        <f aca="false">_xlfn.CONCAT(H9, "_",I9)</f>
        <v>tender_RAIL</v>
      </c>
      <c r="CE9" s="6" t="str">
        <f aca="false" t="array" ref="CE9:CE9">_xlfn.CONCAT("{BLACK}Length: {GOLD}", TEXT(ROUNDUP(IF(AQ9&lt;&gt;"",SUM(VALUE(_xlfn.TEXTSPLIT(AQ9, ","))), SUM(VALUE(_xlfn.TEXTSPLIT(AN9, ",")))*IF(M9, M9, 1))/16, 1), "#,##0.0"), " tiles{}")</f>
        <v>{BLACK}Length: {GOLD}0.3 tiles{}</v>
      </c>
      <c r="CF9" s="0" t="str">
        <f aca="false">VLOOKUP($CD9, Constants!$M:$N, 2, FALSE())</f>
        <v/>
      </c>
      <c r="CG9" s="0" t="str">
        <f aca="false">IF(M9&gt;1,_xlfn.CONCAT("{BLACK}Cars: {GOLD}", M9),"")</f>
        <v/>
      </c>
      <c r="CI9" s="0" t="str">
        <f aca="false">IF($BU9="!param_no_gameplay_units","{GREEN}Included for gameplay purposes","")</f>
        <v/>
      </c>
      <c r="CJ9" s="0" t="str">
        <f aca="false">IF(BX9="buffet","{YELLOW}25% long distance bonus for consist{}",IF(BZ9="BRAKE","{YELLOW}Speed bonus for slow wagons{}",IF(BW9&gt;190,CONCATENATE("{YELLOW}",INT((BW9-185)/1.85),"% bonus for long distance travel{}"),IF(AND(BW9&lt;180,BW9&lt;&gt;0),CONCATENATE("{YELLOW}",INT((185-BW9)/1.85),"% penalty for long distance travel{}"),""))))</f>
        <v/>
      </c>
      <c r="CK9" s="0" t="str">
        <f aca="false">_xlfn.CONCAT(CF9,IF(CF9&lt;&gt;""," ",""),CG9,IF(OR(CG9&lt;&gt;"",CF9&lt;&gt;""),"{}",""),CE9,CJ9,"{SILVER}",CH9,IF(CI9&lt;&gt;"","{}{}",""),CI9)</f>
        <v>{BLACK}Length: {GOLD}0.3 tiles{}{SILVER}</v>
      </c>
    </row>
    <row r="10" customFormat="false" ht="14.25" hidden="false" customHeight="false" outlineLevel="0" collapsed="false">
      <c r="A10" s="0" t="s">
        <v>107</v>
      </c>
      <c r="B10" s="15" t="s">
        <v>108</v>
      </c>
      <c r="C10" s="0" t="n">
        <v>-1</v>
      </c>
      <c r="E10" s="0" t="n">
        <v>-1</v>
      </c>
      <c r="G10" s="0" t="s">
        <v>38</v>
      </c>
      <c r="H10" s="0" t="s">
        <v>38</v>
      </c>
      <c r="I10" s="0" t="s">
        <v>92</v>
      </c>
      <c r="J10" s="0" t="n">
        <v>1850</v>
      </c>
      <c r="W10" s="0" t="n">
        <v>42</v>
      </c>
      <c r="AA10" s="3" t="str">
        <f aca="false">IF(AND(W10&gt;0,Z10&gt;0),(Z10/((W10+X10)*10)),"")</f>
        <v/>
      </c>
      <c r="AF10" s="0" t="n">
        <v>7.5</v>
      </c>
      <c r="AG10" s="0" t="n">
        <v>6</v>
      </c>
      <c r="AJ10" s="4" t="n">
        <v>0</v>
      </c>
      <c r="AK10" s="0" t="str">
        <f aca="false">CONCATENATE(VLOOKUP(AL10, 'Voxel Sizes'!$A$2:$B$18,2,FALSE()),"x",INT(AH10*15), "x", INT(AI10*15))</f>
        <v>60x0x0</v>
      </c>
      <c r="AL10" s="0" t="n">
        <f aca="false">ROUND(15*((AG10*10)/256),0)</f>
        <v>4</v>
      </c>
      <c r="AN10" s="0" t="str">
        <f aca="false">CONCATENATE(VLOOKUP(AL10,Constants!$A$2:$C$16,IF(AM10&lt;&gt;"", 3, 2), FALSE()),IF(AM10&lt;&gt;"",CONCATENATE(",",VLOOKUP(AM10,$B:$AN,39,FALSE())),""))</f>
        <v>1,2,1</v>
      </c>
      <c r="AX10" s="0" t="n">
        <v>30</v>
      </c>
      <c r="AY10" s="16" t="str">
        <f aca="false">IF(L10&lt;&gt;"",MAX(16,(L10-J10)+8),"")</f>
        <v/>
      </c>
      <c r="BB10" s="0" t="n">
        <f aca="false">MIN(AB10/150, 1)*30</f>
        <v>0</v>
      </c>
      <c r="BC10" s="0" t="n">
        <f aca="false">MIN(N10/4000, 1)*20</f>
        <v>0</v>
      </c>
      <c r="BD10" s="0" t="n">
        <f aca="false">MIN(Z10/400,1)*20</f>
        <v>0</v>
      </c>
      <c r="BE10" s="3" t="n">
        <f aca="false">1-(MAX(J10-1900, 0)/750)</f>
        <v>1</v>
      </c>
      <c r="BF10" s="0" t="n">
        <f aca="false">((MAX($M10,1)*MIN($AJ10/300,1)))*IF(G10="Wagon",50,10)</f>
        <v>0</v>
      </c>
      <c r="BG10" s="0" t="n">
        <f aca="false">VLOOKUP($H10,Constants!$I:$K, 2, FALSE())</f>
        <v>0</v>
      </c>
      <c r="BH10" s="0" t="n">
        <f aca="false">VLOOKUP($H10,Constants!$I:$K, 3, FALSE())*IF(AND(G10="multiple_unit",AB10&lt;110),0.75,1)</f>
        <v>0</v>
      </c>
      <c r="BI10" s="0" t="n">
        <f aca="false">INT(POWER(((Constants!$G$2+$BB10+$BC10+$BD10+$BF10)*$BE10)*$BH10, 1.05))+$BA10</f>
        <v>0</v>
      </c>
      <c r="BJ10" s="0" t="n">
        <f aca="false">INT(POWER((((Constants!$G$1+$BB10+$BC10+$BD10+$BF10)*($BE10))*$BG10),IF($G10="wagon",1,1.2)))+$AZ10</f>
        <v>0</v>
      </c>
      <c r="BK10" s="17" t="n">
        <f aca="false">BI10*IF($G10="wagon",62.5,781.25)</f>
        <v>0</v>
      </c>
      <c r="BL10" s="17" t="n">
        <f aca="false">BJ10*IF($G10="wagon",2.73,81.25)</f>
        <v>0</v>
      </c>
      <c r="CA10" s="0" t="str">
        <f aca="false">VLOOKUP(J10,Eras!$A$2:$C$10, 2, TRUE())</f>
        <v>vct</v>
      </c>
      <c r="CC10" s="0" t="str">
        <f aca="false">CONCATENATE(CA10,"_",CB10)</f>
        <v>vct_</v>
      </c>
      <c r="CD10" s="0" t="str">
        <f aca="false">_xlfn.CONCAT(H10, "_",I10)</f>
        <v>tender_RAIL</v>
      </c>
      <c r="CE10" s="6" t="str">
        <f aca="false" t="array" ref="CE10:CE10">_xlfn.CONCAT("{BLACK}Length: {GOLD}", TEXT(ROUNDUP(IF(AQ10&lt;&gt;"",SUM(VALUE(_xlfn.TEXTSPLIT(AQ10, ","))), SUM(VALUE(_xlfn.TEXTSPLIT(AN10, ",")))*IF(M10, M10, 1))/16, 1), "#,##0.0"), " tiles{}")</f>
        <v>{BLACK}Length: {GOLD}0.3 tiles{}</v>
      </c>
      <c r="CF10" s="0" t="str">
        <f aca="false">VLOOKUP($CD10, Constants!$M:$N, 2, FALSE())</f>
        <v/>
      </c>
      <c r="CG10" s="0" t="str">
        <f aca="false">IF(M10&gt;1,_xlfn.CONCAT("{BLACK}Cars: {GOLD}", M10),"")</f>
        <v/>
      </c>
      <c r="CI10" s="0" t="str">
        <f aca="false">IF($BU10="!param_no_gameplay_units","{GREEN}Included for gameplay purposes","")</f>
        <v/>
      </c>
      <c r="CJ10" s="0" t="str">
        <f aca="false">IF(BX10="buffet","{YELLOW}25% long distance bonus for consist{}",IF(BZ10="BRAKE","{YELLOW}Speed bonus for slow wagons{}",IF(BW10&gt;190,CONCATENATE("{YELLOW}",INT((BW10-185)/1.85),"% bonus for long distance travel{}"),IF(AND(BW10&lt;180,BW10&lt;&gt;0),CONCATENATE("{YELLOW}",INT((185-BW10)/1.85),"% penalty for long distance travel{}"),""))))</f>
        <v/>
      </c>
      <c r="CK10" s="0" t="str">
        <f aca="false">_xlfn.CONCAT(CF10,IF(CF10&lt;&gt;""," ",""),CG10,IF(OR(CG10&lt;&gt;"",CF10&lt;&gt;""),"{}",""),CE10,CJ10,"{SILVER}",CH10,IF(CI10&lt;&gt;"","{}{}",""),CI10)</f>
        <v>{BLACK}Length: {GOLD}0.3 tiles{}{SILVER}</v>
      </c>
    </row>
    <row r="11" customFormat="false" ht="14.25" hidden="false" customHeight="false" outlineLevel="0" collapsed="false">
      <c r="A11" s="0" t="s">
        <v>109</v>
      </c>
      <c r="B11" s="15" t="s">
        <v>110</v>
      </c>
      <c r="C11" s="0" t="n">
        <v>-1</v>
      </c>
      <c r="E11" s="0" t="n">
        <v>-1</v>
      </c>
      <c r="G11" s="0" t="s">
        <v>38</v>
      </c>
      <c r="H11" s="0" t="s">
        <v>38</v>
      </c>
      <c r="I11" s="0" t="s">
        <v>92</v>
      </c>
      <c r="J11" s="0" t="n">
        <v>1875</v>
      </c>
      <c r="W11" s="0" t="n">
        <v>42</v>
      </c>
      <c r="AA11" s="3" t="str">
        <f aca="false">IF(AND(W11&gt;0,Z11&gt;0),(Z11/((W11+X11)*10)),"")</f>
        <v/>
      </c>
      <c r="AF11" s="0" t="n">
        <v>7.5</v>
      </c>
      <c r="AG11" s="0" t="n">
        <v>8</v>
      </c>
      <c r="AJ11" s="4" t="n">
        <v>0</v>
      </c>
      <c r="AK11" s="0" t="str">
        <f aca="false">CONCATENATE(VLOOKUP(AL11, 'Voxel Sizes'!$A$2:$B$18,2,FALSE()),"x",INT(AH11*15), "x", INT(AI11*15))</f>
        <v>82x0x0</v>
      </c>
      <c r="AL11" s="0" t="n">
        <f aca="false">ROUND(15*((AG11*10)/256),0)</f>
        <v>5</v>
      </c>
      <c r="AN11" s="0" t="str">
        <f aca="false">CONCATENATE(VLOOKUP(AL11,Constants!$A$2:$C$16,IF(AM11&lt;&gt;"", 3, 2), FALSE()),IF(AM11&lt;&gt;"",CONCATENATE(",",VLOOKUP(AM11,$B:$AN,39,FALSE())),""))</f>
        <v>2,1,2</v>
      </c>
      <c r="AX11" s="0" t="n">
        <v>30</v>
      </c>
      <c r="AY11" s="16" t="str">
        <f aca="false">IF(L11&lt;&gt;"",MAX(16,(L11-J11)+8),"")</f>
        <v/>
      </c>
      <c r="BB11" s="0" t="n">
        <f aca="false">MIN(AB11/150, 1)*30</f>
        <v>0</v>
      </c>
      <c r="BC11" s="0" t="n">
        <f aca="false">MIN(N11/4000, 1)*20</f>
        <v>0</v>
      </c>
      <c r="BD11" s="0" t="n">
        <f aca="false">MIN(Z11/400,1)*20</f>
        <v>0</v>
      </c>
      <c r="BE11" s="3" t="n">
        <f aca="false">1-(MAX(J11-1900, 0)/750)</f>
        <v>1</v>
      </c>
      <c r="BF11" s="0" t="n">
        <f aca="false">((MAX($M11,1)*MIN($AJ11/300,1)))*IF(G11="Wagon",50,10)</f>
        <v>0</v>
      </c>
      <c r="BG11" s="0" t="n">
        <f aca="false">VLOOKUP($H11,Constants!$I:$K, 2, FALSE())</f>
        <v>0</v>
      </c>
      <c r="BH11" s="0" t="n">
        <f aca="false">VLOOKUP($H11,Constants!$I:$K, 3, FALSE())*IF(AND(G11="multiple_unit",AB11&lt;110),0.75,1)</f>
        <v>0</v>
      </c>
      <c r="BI11" s="0" t="n">
        <f aca="false">INT(POWER(((Constants!$G$2+$BB11+$BC11+$BD11+$BF11)*$BE11)*$BH11, 1.05))+$BA11</f>
        <v>0</v>
      </c>
      <c r="BJ11" s="0" t="n">
        <f aca="false">INT(POWER((((Constants!$G$1+$BB11+$BC11+$BD11+$BF11)*($BE11))*$BG11),IF($G11="wagon",1,1.2)))+$AZ11</f>
        <v>0</v>
      </c>
      <c r="BK11" s="17" t="n">
        <f aca="false">BI11*IF($G11="wagon",62.5,781.25)</f>
        <v>0</v>
      </c>
      <c r="BL11" s="17" t="n">
        <f aca="false">BJ11*IF($G11="wagon",2.73,81.25)</f>
        <v>0</v>
      </c>
      <c r="CA11" s="0" t="str">
        <f aca="false">VLOOKUP(J11,Eras!$A$2:$C$10, 2, TRUE())</f>
        <v>vct</v>
      </c>
      <c r="CC11" s="0" t="str">
        <f aca="false">CONCATENATE(CA11,"_",CB11)</f>
        <v>vct_</v>
      </c>
      <c r="CD11" s="0" t="str">
        <f aca="false">_xlfn.CONCAT(H11, "_",I11)</f>
        <v>tender_RAIL</v>
      </c>
      <c r="CE11" s="6" t="str">
        <f aca="false" t="array" ref="CE11:CE11">_xlfn.CONCAT("{BLACK}Length: {GOLD}", TEXT(ROUNDUP(IF(AQ11&lt;&gt;"",SUM(VALUE(_xlfn.TEXTSPLIT(AQ11, ","))), SUM(VALUE(_xlfn.TEXTSPLIT(AN11, ",")))*IF(M11, M11, 1))/16, 1), "#,##0.0"), " tiles{}")</f>
        <v>{BLACK}Length: {GOLD}0.4 tiles{}</v>
      </c>
      <c r="CF11" s="0" t="str">
        <f aca="false">VLOOKUP($CD11, Constants!$M:$N, 2, FALSE())</f>
        <v/>
      </c>
      <c r="CG11" s="0" t="str">
        <f aca="false">IF(M11&gt;1,_xlfn.CONCAT("{BLACK}Cars: {GOLD}", M11),"")</f>
        <v/>
      </c>
      <c r="CI11" s="0" t="str">
        <f aca="false">IF($BU11="!param_no_gameplay_units","{GREEN}Included for gameplay purposes","")</f>
        <v/>
      </c>
      <c r="CJ11" s="0" t="str">
        <f aca="false">IF(BX11="buffet","{YELLOW}25% long distance bonus for consist{}",IF(BZ11="BRAKE","{YELLOW}Speed bonus for slow wagons{}",IF(BW11&gt;190,CONCATENATE("{YELLOW}",INT((BW11-185)/1.85),"% bonus for long distance travel{}"),IF(AND(BW11&lt;180,BW11&lt;&gt;0),CONCATENATE("{YELLOW}",INT((185-BW11)/1.85),"% penalty for long distance travel{}"),""))))</f>
        <v/>
      </c>
      <c r="CK11" s="0" t="str">
        <f aca="false">_xlfn.CONCAT(CF11,IF(CF11&lt;&gt;""," ",""),CG11,IF(OR(CG11&lt;&gt;"",CF11&lt;&gt;""),"{}",""),CE11,CJ11,"{SILVER}",CH11,IF(CI11&lt;&gt;"","{}{}",""),CI11)</f>
        <v>{BLACK}Length: {GOLD}0.4 tiles{}{SILVER}</v>
      </c>
    </row>
    <row r="12" customFormat="false" ht="14.25" hidden="false" customHeight="false" outlineLevel="0" collapsed="false">
      <c r="A12" s="0" t="s">
        <v>111</v>
      </c>
      <c r="B12" s="15" t="s">
        <v>112</v>
      </c>
      <c r="C12" s="0" t="n">
        <v>-1</v>
      </c>
      <c r="E12" s="0" t="n">
        <v>-1</v>
      </c>
      <c r="G12" s="0" t="s">
        <v>38</v>
      </c>
      <c r="H12" s="0" t="s">
        <v>38</v>
      </c>
      <c r="I12" s="0" t="s">
        <v>92</v>
      </c>
      <c r="J12" s="0" t="n">
        <v>1900</v>
      </c>
      <c r="W12" s="0" t="n">
        <v>42</v>
      </c>
      <c r="AA12" s="3" t="str">
        <f aca="false">IF(AND(W12&gt;0,Z12&gt;0),(Z12/((W12+X12)*10)),"")</f>
        <v/>
      </c>
      <c r="AF12" s="0" t="n">
        <v>7.5</v>
      </c>
      <c r="AG12" s="0" t="n">
        <v>8</v>
      </c>
      <c r="AJ12" s="4" t="n">
        <v>0</v>
      </c>
      <c r="AK12" s="0" t="str">
        <f aca="false">CONCATENATE(VLOOKUP(AL12, 'Voxel Sizes'!$A$2:$B$18,2,FALSE()),"x",INT(AH12*15), "x", INT(AI12*15))</f>
        <v>82x0x0</v>
      </c>
      <c r="AL12" s="0" t="n">
        <f aca="false">ROUND(15*((AG12*10)/256),0)</f>
        <v>5</v>
      </c>
      <c r="AN12" s="0" t="str">
        <f aca="false">CONCATENATE(VLOOKUP(AL12,Constants!$A$2:$C$16,IF(AM12&lt;&gt;"", 3, 2), FALSE()),IF(AM12&lt;&gt;"",CONCATENATE(",",VLOOKUP(AM12,$B:$AN,39,FALSE())),""))</f>
        <v>2,1,2</v>
      </c>
      <c r="AX12" s="0" t="n">
        <v>30</v>
      </c>
      <c r="AY12" s="16" t="str">
        <f aca="false">IF(L12&lt;&gt;"",MAX(16,(L12-J12)+8),"")</f>
        <v/>
      </c>
      <c r="BB12" s="0" t="n">
        <f aca="false">MIN(AB12/150, 1)*30</f>
        <v>0</v>
      </c>
      <c r="BC12" s="0" t="n">
        <f aca="false">MIN(N12/4000, 1)*20</f>
        <v>0</v>
      </c>
      <c r="BD12" s="0" t="n">
        <f aca="false">MIN(Z12/400,1)*20</f>
        <v>0</v>
      </c>
      <c r="BE12" s="3" t="n">
        <f aca="false">1-(MAX(J12-1900, 0)/750)</f>
        <v>1</v>
      </c>
      <c r="BF12" s="0" t="n">
        <f aca="false">((MAX($M12,1)*MIN($AJ12/300,1)))*IF(G12="Wagon",50,10)</f>
        <v>0</v>
      </c>
      <c r="BG12" s="0" t="n">
        <f aca="false">VLOOKUP($H12,Constants!$I:$K, 2, FALSE())</f>
        <v>0</v>
      </c>
      <c r="BH12" s="0" t="n">
        <f aca="false">VLOOKUP($H12,Constants!$I:$K, 3, FALSE())*IF(AND(G12="multiple_unit",AB12&lt;110),0.75,1)</f>
        <v>0</v>
      </c>
      <c r="BI12" s="0" t="n">
        <f aca="false">INT(POWER(((Constants!$G$2+$BB12+$BC12+$BD12+$BF12)*$BE12)*$BH12, 1.05))+$BA12</f>
        <v>0</v>
      </c>
      <c r="BJ12" s="0" t="n">
        <f aca="false">INT(POWER((((Constants!$G$1+$BB12+$BC12+$BD12+$BF12)*($BE12))*$BG12),IF($G12="wagon",1,1.2)))+$AZ12</f>
        <v>0</v>
      </c>
      <c r="BK12" s="17" t="n">
        <f aca="false">BI12*IF($G12="wagon",62.5,781.25)</f>
        <v>0</v>
      </c>
      <c r="BL12" s="17" t="n">
        <f aca="false">BJ12*IF($G12="wagon",2.73,81.25)</f>
        <v>0</v>
      </c>
      <c r="CA12" s="0" t="str">
        <f aca="false">VLOOKUP(J12,Eras!$A$2:$C$10, 2, TRUE())</f>
        <v>edw</v>
      </c>
      <c r="CC12" s="0" t="str">
        <f aca="false">CONCATENATE(CA12,"_",CB12)</f>
        <v>edw_</v>
      </c>
      <c r="CD12" s="0" t="str">
        <f aca="false">_xlfn.CONCAT(H12, "_",I12)</f>
        <v>tender_RAIL</v>
      </c>
      <c r="CE12" s="6" t="str">
        <f aca="false" t="array" ref="CE12:CE12">_xlfn.CONCAT("{BLACK}Length: {GOLD}", TEXT(ROUNDUP(IF(AQ12&lt;&gt;"",SUM(VALUE(_xlfn.TEXTSPLIT(AQ12, ","))), SUM(VALUE(_xlfn.TEXTSPLIT(AN12, ",")))*IF(M12, M12, 1))/16, 1), "#,##0.0"), " tiles{}")</f>
        <v>{BLACK}Length: {GOLD}0.4 tiles{}</v>
      </c>
      <c r="CF12" s="0" t="str">
        <f aca="false">VLOOKUP($CD12, Constants!$M:$N, 2, FALSE())</f>
        <v/>
      </c>
      <c r="CG12" s="0" t="str">
        <f aca="false">IF(M12&gt;1,_xlfn.CONCAT("{BLACK}Cars: {GOLD}", M12),"")</f>
        <v/>
      </c>
      <c r="CI12" s="0" t="str">
        <f aca="false">IF($BU12="!param_no_gameplay_units","{GREEN}Included for gameplay purposes","")</f>
        <v/>
      </c>
      <c r="CJ12" s="0" t="str">
        <f aca="false">IF(BX12="buffet","{YELLOW}25% long distance bonus for consist{}",IF(BZ12="BRAKE","{YELLOW}Speed bonus for slow wagons{}",IF(BW12&gt;190,CONCATENATE("{YELLOW}",INT((BW12-185)/1.85),"% bonus for long distance travel{}"),IF(AND(BW12&lt;180,BW12&lt;&gt;0),CONCATENATE("{YELLOW}",INT((185-BW12)/1.85),"% penalty for long distance travel{}"),""))))</f>
        <v/>
      </c>
      <c r="CK12" s="0" t="str">
        <f aca="false">_xlfn.CONCAT(CF12,IF(CF12&lt;&gt;""," ",""),CG12,IF(OR(CG12&lt;&gt;"",CF12&lt;&gt;""),"{}",""),CE12,CJ12,"{SILVER}",CH12,IF(CI12&lt;&gt;"","{}{}",""),CI12)</f>
        <v>{BLACK}Length: {GOLD}0.4 tiles{}{SILVER}</v>
      </c>
    </row>
    <row r="13" customFormat="false" ht="14.25" hidden="false" customHeight="false" outlineLevel="0" collapsed="false">
      <c r="A13" s="0" t="s">
        <v>113</v>
      </c>
      <c r="B13" s="15" t="s">
        <v>114</v>
      </c>
      <c r="C13" s="0" t="n">
        <v>-1</v>
      </c>
      <c r="E13" s="0" t="n">
        <v>-1</v>
      </c>
      <c r="G13" s="0" t="s">
        <v>38</v>
      </c>
      <c r="H13" s="0" t="s">
        <v>38</v>
      </c>
      <c r="I13" s="0" t="s">
        <v>92</v>
      </c>
      <c r="J13" s="0" t="n">
        <v>1900</v>
      </c>
      <c r="W13" s="0" t="n">
        <v>42</v>
      </c>
      <c r="AA13" s="3" t="str">
        <f aca="false">IF(AND(W13&gt;0,Z13&gt;0),(Z13/((W13+X13)*10)),"")</f>
        <v/>
      </c>
      <c r="AF13" s="0" t="n">
        <v>7.5</v>
      </c>
      <c r="AG13" s="0" t="n">
        <v>8</v>
      </c>
      <c r="AJ13" s="4" t="n">
        <v>0</v>
      </c>
      <c r="AK13" s="0" t="str">
        <f aca="false">CONCATENATE(VLOOKUP(AL13, 'Voxel Sizes'!$A$2:$B$18,2,FALSE()),"x",INT(AH13*15), "x", INT(AI13*15))</f>
        <v>82x0x0</v>
      </c>
      <c r="AL13" s="0" t="n">
        <f aca="false">ROUND(15*((AG13*10)/256),0)</f>
        <v>5</v>
      </c>
      <c r="AN13" s="0" t="str">
        <f aca="false">CONCATENATE(VLOOKUP(AL13,Constants!$A$2:$C$16,IF(AM13&lt;&gt;"", 3, 2), FALSE()),IF(AM13&lt;&gt;"",CONCATENATE(",",VLOOKUP(AM13,$B:$AN,39,FALSE())),""))</f>
        <v>2,1,2</v>
      </c>
      <c r="AX13" s="0" t="n">
        <v>30</v>
      </c>
      <c r="AY13" s="16" t="str">
        <f aca="false">IF(L13&lt;&gt;"",MAX(16,(L13-J13)+8),"")</f>
        <v/>
      </c>
      <c r="BB13" s="0" t="n">
        <f aca="false">MIN(AB13/150, 1)*30</f>
        <v>0</v>
      </c>
      <c r="BC13" s="0" t="n">
        <f aca="false">MIN(N13/4000, 1)*20</f>
        <v>0</v>
      </c>
      <c r="BD13" s="0" t="n">
        <f aca="false">MIN(Z13/400,1)*20</f>
        <v>0</v>
      </c>
      <c r="BE13" s="3" t="n">
        <f aca="false">1-(MAX(J13-1900, 0)/750)</f>
        <v>1</v>
      </c>
      <c r="BF13" s="0" t="n">
        <f aca="false">((MAX($M13,1)*MIN($AJ13/300,1)))*IF(G13="Wagon",50,10)</f>
        <v>0</v>
      </c>
      <c r="BG13" s="0" t="n">
        <f aca="false">VLOOKUP($H13,Constants!$I:$K, 2, FALSE())</f>
        <v>0</v>
      </c>
      <c r="BH13" s="0" t="n">
        <f aca="false">VLOOKUP($H13,Constants!$I:$K, 3, FALSE())*IF(AND(G13="multiple_unit",AB13&lt;110),0.75,1)</f>
        <v>0</v>
      </c>
      <c r="BI13" s="0" t="n">
        <f aca="false">INT(POWER(((Constants!$G$2+$BB13+$BC13+$BD13+$BF13)*$BE13)*$BH13, 1.05))+$BA13</f>
        <v>0</v>
      </c>
      <c r="BJ13" s="0" t="n">
        <f aca="false">INT(POWER((((Constants!$G$1+$BB13+$BC13+$BD13+$BF13)*($BE13))*$BG13),IF($G13="wagon",1,1.2)))+$AZ13</f>
        <v>0</v>
      </c>
      <c r="BK13" s="17" t="n">
        <f aca="false">BI13*IF($G13="wagon",62.5,781.25)</f>
        <v>0</v>
      </c>
      <c r="BL13" s="17" t="n">
        <f aca="false">BJ13*IF($G13="wagon",2.73,81.25)</f>
        <v>0</v>
      </c>
      <c r="CA13" s="0" t="str">
        <f aca="false">VLOOKUP(J13,Eras!$A$2:$C$10, 2, TRUE())</f>
        <v>edw</v>
      </c>
      <c r="CC13" s="0" t="str">
        <f aca="false">CONCATENATE(CA13,"_",CB13)</f>
        <v>edw_</v>
      </c>
      <c r="CD13" s="0" t="str">
        <f aca="false">_xlfn.CONCAT(H13, "_",I13)</f>
        <v>tender_RAIL</v>
      </c>
      <c r="CE13" s="6" t="str">
        <f aca="false" t="array" ref="CE13:CE13">_xlfn.CONCAT("{BLACK}Length: {GOLD}", TEXT(ROUNDUP(IF(AQ13&lt;&gt;"",SUM(VALUE(_xlfn.TEXTSPLIT(AQ13, ","))), SUM(VALUE(_xlfn.TEXTSPLIT(AN13, ",")))*IF(M13, M13, 1))/16, 1), "#,##0.0"), " tiles{}")</f>
        <v>{BLACK}Length: {GOLD}0.4 tiles{}</v>
      </c>
      <c r="CF13" s="0" t="str">
        <f aca="false">VLOOKUP($CD13, Constants!$M:$N, 2, FALSE())</f>
        <v/>
      </c>
      <c r="CG13" s="0" t="str">
        <f aca="false">IF(M13&gt;1,_xlfn.CONCAT("{BLACK}Cars: {GOLD}", M13),"")</f>
        <v/>
      </c>
      <c r="CI13" s="0" t="str">
        <f aca="false">IF($BU13="!param_no_gameplay_units","{GREEN}Included for gameplay purposes","")</f>
        <v/>
      </c>
      <c r="CJ13" s="0" t="str">
        <f aca="false">IF(BX13="buffet","{YELLOW}25% long distance bonus for consist{}",IF(BZ13="BRAKE","{YELLOW}Speed bonus for slow wagons{}",IF(BW13&gt;190,CONCATENATE("{YELLOW}",INT((BW13-185)/1.85),"% bonus for long distance travel{}"),IF(AND(BW13&lt;180,BW13&lt;&gt;0),CONCATENATE("{YELLOW}",INT((185-BW13)/1.85),"% penalty for long distance travel{}"),""))))</f>
        <v/>
      </c>
      <c r="CK13" s="0" t="str">
        <f aca="false">_xlfn.CONCAT(CF13,IF(CF13&lt;&gt;""," ",""),CG13,IF(OR(CG13&lt;&gt;"",CF13&lt;&gt;""),"{}",""),CE13,CJ13,"{SILVER}",CH13,IF(CI13&lt;&gt;"","{}{}",""),CI13)</f>
        <v>{BLACK}Length: {GOLD}0.4 tiles{}{SILVER}</v>
      </c>
    </row>
    <row r="14" customFormat="false" ht="14.25" hidden="false" customHeight="false" outlineLevel="0" collapsed="false">
      <c r="A14" s="0" t="s">
        <v>115</v>
      </c>
      <c r="B14" s="15" t="s">
        <v>116</v>
      </c>
      <c r="C14" s="0" t="n">
        <v>-1</v>
      </c>
      <c r="E14" s="0" t="n">
        <v>-1</v>
      </c>
      <c r="G14" s="0" t="s">
        <v>38</v>
      </c>
      <c r="H14" s="0" t="s">
        <v>38</v>
      </c>
      <c r="I14" s="0" t="s">
        <v>92</v>
      </c>
      <c r="J14" s="0" t="n">
        <v>1900</v>
      </c>
      <c r="W14" s="0" t="n">
        <v>42</v>
      </c>
      <c r="AA14" s="3" t="str">
        <f aca="false">IF(AND(W14&gt;0,Z14&gt;0),(Z14/((W14+X14)*10)),"")</f>
        <v/>
      </c>
      <c r="AF14" s="0" t="n">
        <v>7.5</v>
      </c>
      <c r="AG14" s="0" t="n">
        <v>8</v>
      </c>
      <c r="AJ14" s="4" t="n">
        <v>0</v>
      </c>
      <c r="AK14" s="0" t="str">
        <f aca="false">CONCATENATE(VLOOKUP(AL14, 'Voxel Sizes'!$A$2:$B$18,2,FALSE()),"x",INT(AH14*15), "x", INT(AI14*15))</f>
        <v>82x0x0</v>
      </c>
      <c r="AL14" s="0" t="n">
        <f aca="false">ROUND(15*((AG14*10)/256),0)</f>
        <v>5</v>
      </c>
      <c r="AN14" s="0" t="str">
        <f aca="false">CONCATENATE(VLOOKUP(AL14,Constants!$A$2:$C$16,IF(AM14&lt;&gt;"", 3, 2), FALSE()),IF(AM14&lt;&gt;"",CONCATENATE(",",VLOOKUP(AM14,$B:$AN,39,FALSE())),""))</f>
        <v>2,1,2</v>
      </c>
      <c r="AX14" s="0" t="n">
        <v>30</v>
      </c>
      <c r="AY14" s="16" t="str">
        <f aca="false">IF(L14&lt;&gt;"",MAX(16,(L14-J14)+8),"")</f>
        <v/>
      </c>
      <c r="BB14" s="0" t="n">
        <f aca="false">MIN(AB14/150, 1)*30</f>
        <v>0</v>
      </c>
      <c r="BC14" s="0" t="n">
        <f aca="false">MIN(N14/4000, 1)*20</f>
        <v>0</v>
      </c>
      <c r="BD14" s="0" t="n">
        <f aca="false">MIN(Z14/400,1)*20</f>
        <v>0</v>
      </c>
      <c r="BE14" s="3" t="n">
        <f aca="false">1-(MAX(J14-1900, 0)/750)</f>
        <v>1</v>
      </c>
      <c r="BF14" s="0" t="n">
        <f aca="false">((MAX($M14,1)*MIN($AJ14/300,1)))*IF(G14="Wagon",50,10)</f>
        <v>0</v>
      </c>
      <c r="BG14" s="0" t="n">
        <f aca="false">VLOOKUP($H14,Constants!$I:$K, 2, FALSE())</f>
        <v>0</v>
      </c>
      <c r="BH14" s="0" t="n">
        <f aca="false">VLOOKUP($H14,Constants!$I:$K, 3, FALSE())*IF(AND(G14="multiple_unit",AB14&lt;110),0.75,1)</f>
        <v>0</v>
      </c>
      <c r="BI14" s="0" t="n">
        <f aca="false">INT(POWER(((Constants!$G$2+$BB14+$BC14+$BD14+$BF14)*$BE14)*$BH14, 1.05))+$BA14</f>
        <v>0</v>
      </c>
      <c r="BJ14" s="0" t="n">
        <f aca="false">INT(POWER((((Constants!$G$1+$BB14+$BC14+$BD14+$BF14)*($BE14))*$BG14),IF($G14="wagon",1,1.2)))+$AZ14</f>
        <v>0</v>
      </c>
      <c r="BK14" s="17" t="n">
        <f aca="false">BI14*IF($G14="wagon",62.5,781.25)</f>
        <v>0</v>
      </c>
      <c r="BL14" s="17" t="n">
        <f aca="false">BJ14*IF($G14="wagon",2.73,81.25)</f>
        <v>0</v>
      </c>
      <c r="CA14" s="0" t="str">
        <f aca="false">VLOOKUP(J14,Eras!$A$2:$C$10, 2, TRUE())</f>
        <v>edw</v>
      </c>
      <c r="CC14" s="0" t="str">
        <f aca="false">CONCATENATE(CA14,"_",CB14)</f>
        <v>edw_</v>
      </c>
      <c r="CD14" s="0" t="str">
        <f aca="false">_xlfn.CONCAT(H14, "_",I14)</f>
        <v>tender_RAIL</v>
      </c>
      <c r="CE14" s="6" t="str">
        <f aca="false" t="array" ref="CE14:CE14">_xlfn.CONCAT("{BLACK}Length: {GOLD}", TEXT(ROUNDUP(IF(AQ14&lt;&gt;"",SUM(VALUE(_xlfn.TEXTSPLIT(AQ14, ","))), SUM(VALUE(_xlfn.TEXTSPLIT(AN14, ",")))*IF(M14, M14, 1))/16, 1), "#,##0.0"), " tiles{}")</f>
        <v>{BLACK}Length: {GOLD}0.4 tiles{}</v>
      </c>
      <c r="CF14" s="0" t="str">
        <f aca="false">VLOOKUP($CD14, Constants!$M:$N, 2, FALSE())</f>
        <v/>
      </c>
      <c r="CG14" s="0" t="str">
        <f aca="false">IF(M14&gt;1,_xlfn.CONCAT("{BLACK}Cars: {GOLD}", M14),"")</f>
        <v/>
      </c>
      <c r="CI14" s="0" t="str">
        <f aca="false">IF($BU14="!param_no_gameplay_units","{GREEN}Included for gameplay purposes","")</f>
        <v/>
      </c>
      <c r="CJ14" s="0" t="str">
        <f aca="false">IF(BX14="buffet","{YELLOW}25% long distance bonus for consist{}",IF(BZ14="BRAKE","{YELLOW}Speed bonus for slow wagons{}",IF(BW14&gt;190,CONCATENATE("{YELLOW}",INT((BW14-185)/1.85),"% bonus for long distance travel{}"),IF(AND(BW14&lt;180,BW14&lt;&gt;0),CONCATENATE("{YELLOW}",INT((185-BW14)/1.85),"% penalty for long distance travel{}"),""))))</f>
        <v/>
      </c>
      <c r="CK14" s="0" t="str">
        <f aca="false">_xlfn.CONCAT(CF14,IF(CF14&lt;&gt;""," ",""),CG14,IF(OR(CG14&lt;&gt;"",CF14&lt;&gt;""),"{}",""),CE14,CJ14,"{SILVER}",CH14,IF(CI14&lt;&gt;"","{}{}",""),CI14)</f>
        <v>{BLACK}Length: {GOLD}0.4 tiles{}{SILVER}</v>
      </c>
    </row>
    <row r="15" customFormat="false" ht="14.25" hidden="false" customHeight="false" outlineLevel="0" collapsed="false">
      <c r="A15" s="0" t="s">
        <v>117</v>
      </c>
      <c r="B15" s="15" t="s">
        <v>118</v>
      </c>
      <c r="C15" s="0" t="n">
        <v>-1</v>
      </c>
      <c r="E15" s="0" t="n">
        <v>-1</v>
      </c>
      <c r="G15" s="0" t="s">
        <v>38</v>
      </c>
      <c r="H15" s="0" t="s">
        <v>38</v>
      </c>
      <c r="I15" s="0" t="s">
        <v>92</v>
      </c>
      <c r="J15" s="0" t="n">
        <v>1900</v>
      </c>
      <c r="W15" s="0" t="n">
        <v>42</v>
      </c>
      <c r="AA15" s="3" t="str">
        <f aca="false">IF(AND(W15&gt;0,Z15&gt;0),(Z15/((W15+X15)*10)),"")</f>
        <v/>
      </c>
      <c r="AF15" s="0" t="n">
        <v>7.5</v>
      </c>
      <c r="AG15" s="0" t="n">
        <v>8</v>
      </c>
      <c r="AJ15" s="4" t="n">
        <v>0</v>
      </c>
      <c r="AK15" s="0" t="str">
        <f aca="false">CONCATENATE(VLOOKUP(AL15, 'Voxel Sizes'!$A$2:$B$18,2,FALSE()),"x",INT(AH15*15), "x", INT(AI15*15))</f>
        <v>82x0x0</v>
      </c>
      <c r="AL15" s="0" t="n">
        <f aca="false">ROUND(15*((AG15*10)/256),0)</f>
        <v>5</v>
      </c>
      <c r="AN15" s="0" t="str">
        <f aca="false">CONCATENATE(VLOOKUP(AL15,Constants!$A$2:$C$16,IF(AM15&lt;&gt;"", 3, 2), FALSE()),IF(AM15&lt;&gt;"",CONCATENATE(",",VLOOKUP(AM15,$B:$AN,39,FALSE())),""))</f>
        <v>2,1,2</v>
      </c>
      <c r="AX15" s="0" t="n">
        <v>30</v>
      </c>
      <c r="AY15" s="16" t="str">
        <f aca="false">IF(L15&lt;&gt;"",MAX(16,(L15-J15)+8),"")</f>
        <v/>
      </c>
      <c r="BB15" s="0" t="n">
        <f aca="false">MIN(AB15/150, 1)*30</f>
        <v>0</v>
      </c>
      <c r="BC15" s="0" t="n">
        <f aca="false">MIN(N15/4000, 1)*20</f>
        <v>0</v>
      </c>
      <c r="BD15" s="0" t="n">
        <f aca="false">MIN(Z15/400,1)*20</f>
        <v>0</v>
      </c>
      <c r="BE15" s="3" t="n">
        <f aca="false">1-(MAX(J15-1900, 0)/750)</f>
        <v>1</v>
      </c>
      <c r="BF15" s="0" t="n">
        <f aca="false">((MAX($M15,1)*MIN($AJ15/300,1)))*IF(G15="Wagon",50,10)</f>
        <v>0</v>
      </c>
      <c r="BG15" s="0" t="n">
        <f aca="false">VLOOKUP($H15,Constants!$I:$K, 2, FALSE())</f>
        <v>0</v>
      </c>
      <c r="BH15" s="0" t="n">
        <f aca="false">VLOOKUP($H15,Constants!$I:$K, 3, FALSE())*IF(AND(G15="multiple_unit",AB15&lt;110),0.75,1)</f>
        <v>0</v>
      </c>
      <c r="BI15" s="0" t="n">
        <f aca="false">INT(POWER(((Constants!$G$2+$BB15+$BC15+$BD15+$BF15)*$BE15)*$BH15, 1.05))+$BA15</f>
        <v>0</v>
      </c>
      <c r="BJ15" s="0" t="n">
        <f aca="false">INT(POWER((((Constants!$G$1+$BB15+$BC15+$BD15+$BF15)*($BE15))*$BG15),IF($G15="wagon",1,1.2)))+$AZ15</f>
        <v>0</v>
      </c>
      <c r="BK15" s="17" t="n">
        <f aca="false">BI15*IF($G15="wagon",62.5,781.25)</f>
        <v>0</v>
      </c>
      <c r="BL15" s="17" t="n">
        <f aca="false">BJ15*IF($G15="wagon",2.73,81.25)</f>
        <v>0</v>
      </c>
      <c r="CA15" s="0" t="str">
        <f aca="false">VLOOKUP(J15,Eras!$A$2:$C$10, 2, TRUE())</f>
        <v>edw</v>
      </c>
      <c r="CC15" s="0" t="str">
        <f aca="false">CONCATENATE(CA15,"_",CB15)</f>
        <v>edw_</v>
      </c>
      <c r="CD15" s="0" t="str">
        <f aca="false">_xlfn.CONCAT(H15, "_",I15)</f>
        <v>tender_RAIL</v>
      </c>
      <c r="CE15" s="6" t="str">
        <f aca="false" t="array" ref="CE15:CE15">_xlfn.CONCAT("{BLACK}Length: {GOLD}", TEXT(ROUNDUP(IF(AQ15&lt;&gt;"",SUM(VALUE(_xlfn.TEXTSPLIT(AQ15, ","))), SUM(VALUE(_xlfn.TEXTSPLIT(AN15, ",")))*IF(M15, M15, 1))/16, 1), "#,##0.0"), " tiles{}")</f>
        <v>{BLACK}Length: {GOLD}0.4 tiles{}</v>
      </c>
      <c r="CF15" s="0" t="str">
        <f aca="false">VLOOKUP($CD15, Constants!$M:$N, 2, FALSE())</f>
        <v/>
      </c>
      <c r="CG15" s="0" t="str">
        <f aca="false">IF(M15&gt;1,_xlfn.CONCAT("{BLACK}Cars: {GOLD}", M15),"")</f>
        <v/>
      </c>
      <c r="CI15" s="0" t="str">
        <f aca="false">IF($BU15="!param_no_gameplay_units","{GREEN}Included for gameplay purposes","")</f>
        <v/>
      </c>
      <c r="CJ15" s="0" t="str">
        <f aca="false">IF(BX15="buffet","{YELLOW}25% long distance bonus for consist{}",IF(BZ15="BRAKE","{YELLOW}Speed bonus for slow wagons{}",IF(BW15&gt;190,CONCATENATE("{YELLOW}",INT((BW15-185)/1.85),"% bonus for long distance travel{}"),IF(AND(BW15&lt;180,BW15&lt;&gt;0),CONCATENATE("{YELLOW}",INT((185-BW15)/1.85),"% penalty for long distance travel{}"),""))))</f>
        <v/>
      </c>
      <c r="CK15" s="0" t="str">
        <f aca="false">_xlfn.CONCAT(CF15,IF(CF15&lt;&gt;""," ",""),CG15,IF(OR(CG15&lt;&gt;"",CF15&lt;&gt;""),"{}",""),CE15,CJ15,"{SILVER}",CH15,IF(CI15&lt;&gt;"","{}{}",""),CI15)</f>
        <v>{BLACK}Length: {GOLD}0.4 tiles{}{SILVER}</v>
      </c>
    </row>
    <row r="16" customFormat="false" ht="14.25" hidden="false" customHeight="false" outlineLevel="0" collapsed="false">
      <c r="A16" s="0" t="s">
        <v>119</v>
      </c>
      <c r="B16" s="15" t="s">
        <v>120</v>
      </c>
      <c r="C16" s="0" t="n">
        <v>-1</v>
      </c>
      <c r="E16" s="0" t="n">
        <v>-1</v>
      </c>
      <c r="G16" s="0" t="s">
        <v>38</v>
      </c>
      <c r="H16" s="0" t="s">
        <v>38</v>
      </c>
      <c r="I16" s="0" t="s">
        <v>92</v>
      </c>
      <c r="J16" s="0" t="n">
        <v>1920</v>
      </c>
      <c r="W16" s="0" t="n">
        <v>52</v>
      </c>
      <c r="AA16" s="3" t="str">
        <f aca="false">IF(AND(W16&gt;0,Z16&gt;0),(Z16/((W16+X16)*10)),"")</f>
        <v/>
      </c>
      <c r="AF16" s="0" t="n">
        <v>7.64</v>
      </c>
      <c r="AG16" s="0" t="n">
        <v>8</v>
      </c>
      <c r="AJ16" s="4" t="n">
        <v>0</v>
      </c>
      <c r="AK16" s="0" t="str">
        <f aca="false">CONCATENATE(VLOOKUP(AL16, 'Voxel Sizes'!$A$2:$B$18,2,FALSE()),"x",INT(AH16*15), "x", INT(AI16*15))</f>
        <v>82x0x0</v>
      </c>
      <c r="AL16" s="0" t="n">
        <f aca="false">ROUND(15*((AG16*10)/256),0)</f>
        <v>5</v>
      </c>
      <c r="AN16" s="0" t="str">
        <f aca="false">CONCATENATE(VLOOKUP(AL16,Constants!$A$2:$C$16,IF(AM16&lt;&gt;"", 3, 2), FALSE()),IF(AM16&lt;&gt;"",CONCATENATE(",",VLOOKUP(AM16,$B:$AN,39,FALSE())),""))</f>
        <v>2,1,2</v>
      </c>
      <c r="AX16" s="0" t="n">
        <v>30</v>
      </c>
      <c r="AY16" s="16" t="str">
        <f aca="false">IF(L16&lt;&gt;"",MAX(16,(L16-J16)+8),"")</f>
        <v/>
      </c>
      <c r="BB16" s="0" t="n">
        <f aca="false">MIN(AB16/150, 1)*30</f>
        <v>0</v>
      </c>
      <c r="BC16" s="0" t="n">
        <f aca="false">MIN(N16/4000, 1)*20</f>
        <v>0</v>
      </c>
      <c r="BD16" s="0" t="n">
        <f aca="false">MIN(Z16/400,1)*20</f>
        <v>0</v>
      </c>
      <c r="BE16" s="3" t="n">
        <f aca="false">1-(MAX(J16-1900, 0)/750)</f>
        <v>0.973333333333333</v>
      </c>
      <c r="BF16" s="0" t="n">
        <f aca="false">((MAX($M16,1)*MIN($AJ16/300,1)))*IF(G16="Wagon",50,10)</f>
        <v>0</v>
      </c>
      <c r="BG16" s="0" t="n">
        <f aca="false">VLOOKUP($H16,Constants!$I:$K, 2, FALSE())</f>
        <v>0</v>
      </c>
      <c r="BH16" s="0" t="n">
        <f aca="false">VLOOKUP($H16,Constants!$I:$K, 3, FALSE())*IF(AND(G16="multiple_unit",AB16&lt;110),0.75,1)</f>
        <v>0</v>
      </c>
      <c r="BI16" s="0" t="n">
        <f aca="false">INT(POWER(((Constants!$G$2+$BB16+$BC16+$BD16+$BF16)*$BE16)*$BH16, 1.05))+$BA16</f>
        <v>0</v>
      </c>
      <c r="BJ16" s="0" t="n">
        <f aca="false">INT(POWER((((Constants!$G$1+$BB16+$BC16+$BD16+$BF16)*($BE16))*$BG16),IF($G16="wagon",1,1.2)))+$AZ16</f>
        <v>0</v>
      </c>
      <c r="BK16" s="17" t="n">
        <f aca="false">BI16*IF($G16="wagon",62.5,781.25)</f>
        <v>0</v>
      </c>
      <c r="BL16" s="17" t="n">
        <f aca="false">BJ16*IF($G16="wagon",2.73,81.25)</f>
        <v>0</v>
      </c>
      <c r="CA16" s="0" t="str">
        <f aca="false">VLOOKUP(J16,Eras!$A$2:$C$10, 2, TRUE())</f>
        <v>edw</v>
      </c>
      <c r="CC16" s="0" t="str">
        <f aca="false">CONCATENATE(CA16,"_",CB16)</f>
        <v>edw_</v>
      </c>
      <c r="CD16" s="0" t="str">
        <f aca="false">_xlfn.CONCAT(H16, "_",I16)</f>
        <v>tender_RAIL</v>
      </c>
      <c r="CE16" s="6" t="str">
        <f aca="false" t="array" ref="CE16:CE16">_xlfn.CONCAT("{BLACK}Length: {GOLD}", TEXT(ROUNDUP(IF(AQ16&lt;&gt;"",SUM(VALUE(_xlfn.TEXTSPLIT(AQ16, ","))), SUM(VALUE(_xlfn.TEXTSPLIT(AN16, ",")))*IF(M16, M16, 1))/16, 1), "#,##0.0"), " tiles{}")</f>
        <v>{BLACK}Length: {GOLD}0.4 tiles{}</v>
      </c>
      <c r="CF16" s="0" t="str">
        <f aca="false">VLOOKUP($CD16, Constants!$M:$N, 2, FALSE())</f>
        <v/>
      </c>
      <c r="CG16" s="0" t="str">
        <f aca="false">IF(M16&gt;1,_xlfn.CONCAT("{BLACK}Cars: {GOLD}", M16),"")</f>
        <v/>
      </c>
      <c r="CI16" s="0" t="str">
        <f aca="false">IF($BU16="!param_no_gameplay_units","{GREEN}Included for gameplay purposes","")</f>
        <v/>
      </c>
      <c r="CJ16" s="0" t="str">
        <f aca="false">IF(BX16="buffet","{YELLOW}25% long distance bonus for consist{}",IF(BZ16="BRAKE","{YELLOW}Speed bonus for slow wagons{}",IF(BW16&gt;190,CONCATENATE("{YELLOW}",INT((BW16-185)/1.85),"% bonus for long distance travel{}"),IF(AND(BW16&lt;180,BW16&lt;&gt;0),CONCATENATE("{YELLOW}",INT((185-BW16)/1.85),"% penalty for long distance travel{}"),""))))</f>
        <v/>
      </c>
      <c r="CK16" s="0" t="str">
        <f aca="false">_xlfn.CONCAT(CF16,IF(CF16&lt;&gt;""," ",""),CG16,IF(OR(CG16&lt;&gt;"",CF16&lt;&gt;""),"{}",""),CE16,CJ16,"{SILVER}",CH16,IF(CI16&lt;&gt;"","{}{}",""),CI16)</f>
        <v>{BLACK}Length: {GOLD}0.4 tiles{}{SILVER}</v>
      </c>
    </row>
    <row r="17" customFormat="false" ht="14.25" hidden="false" customHeight="false" outlineLevel="0" collapsed="false">
      <c r="A17" s="0" t="s">
        <v>121</v>
      </c>
      <c r="B17" s="15" t="s">
        <v>122</v>
      </c>
      <c r="C17" s="0" t="n">
        <v>-1</v>
      </c>
      <c r="E17" s="0" t="n">
        <v>-1</v>
      </c>
      <c r="G17" s="0" t="s">
        <v>38</v>
      </c>
      <c r="H17" s="0" t="s">
        <v>38</v>
      </c>
      <c r="I17" s="0" t="s">
        <v>92</v>
      </c>
      <c r="J17" s="0" t="n">
        <v>1925</v>
      </c>
      <c r="W17" s="0" t="n">
        <v>52</v>
      </c>
      <c r="AA17" s="3" t="str">
        <f aca="false">IF(AND(W17&gt;0,Z17&gt;0),(Z17/((W17+X17)*10)),"")</f>
        <v/>
      </c>
      <c r="AF17" s="0" t="n">
        <v>7.64</v>
      </c>
      <c r="AG17" s="0" t="n">
        <v>8</v>
      </c>
      <c r="AJ17" s="4" t="n">
        <v>0</v>
      </c>
      <c r="AK17" s="0" t="str">
        <f aca="false">CONCATENATE(VLOOKUP(AL17, 'Voxel Sizes'!$A$2:$B$18,2,FALSE()),"x",INT(AH17*15), "x", INT(AI17*15))</f>
        <v>82x0x0</v>
      </c>
      <c r="AL17" s="0" t="n">
        <f aca="false">ROUND(15*((AG17*10)/256),0)</f>
        <v>5</v>
      </c>
      <c r="AN17" s="0" t="str">
        <f aca="false">CONCATENATE(VLOOKUP(AL17,Constants!$A$2:$C$16,IF(AM17&lt;&gt;"", 3, 2), FALSE()),IF(AM17&lt;&gt;"",CONCATENATE(",",VLOOKUP(AM17,$B:$AN,39,FALSE())),""))</f>
        <v>2,1,2</v>
      </c>
      <c r="AX17" s="0" t="n">
        <v>30</v>
      </c>
      <c r="AY17" s="16" t="str">
        <f aca="false">IF(L17&lt;&gt;"",MAX(16,(L17-J17)+8),"")</f>
        <v/>
      </c>
      <c r="BB17" s="0" t="n">
        <f aca="false">MIN(AB17/150, 1)*30</f>
        <v>0</v>
      </c>
      <c r="BC17" s="0" t="n">
        <f aca="false">MIN(N17/4000, 1)*20</f>
        <v>0</v>
      </c>
      <c r="BD17" s="0" t="n">
        <f aca="false">MIN(Z17/400,1)*20</f>
        <v>0</v>
      </c>
      <c r="BE17" s="3" t="n">
        <f aca="false">1-(MAX(J17-1900, 0)/750)</f>
        <v>0.966666666666667</v>
      </c>
      <c r="BF17" s="0" t="n">
        <f aca="false">((MAX($M17,1)*MIN($AJ17/300,1)))*IF(G17="Wagon",50,10)</f>
        <v>0</v>
      </c>
      <c r="BG17" s="0" t="n">
        <f aca="false">VLOOKUP($H17,Constants!$I:$K, 2, FALSE())</f>
        <v>0</v>
      </c>
      <c r="BH17" s="0" t="n">
        <f aca="false">VLOOKUP($H17,Constants!$I:$K, 3, FALSE())*IF(AND(G17="multiple_unit",AB17&lt;110),0.75,1)</f>
        <v>0</v>
      </c>
      <c r="BI17" s="0" t="n">
        <f aca="false">INT(POWER(((Constants!$G$2+$BB17+$BC17+$BD17+$BF17)*$BE17)*$BH17, 1.05))+$BA17</f>
        <v>0</v>
      </c>
      <c r="BJ17" s="0" t="n">
        <f aca="false">INT(POWER((((Constants!$G$1+$BB17+$BC17+$BD17+$BF17)*($BE17))*$BG17),IF($G17="wagon",1,1.2)))+$AZ17</f>
        <v>0</v>
      </c>
      <c r="BK17" s="17" t="n">
        <f aca="false">BI17*IF($G17="wagon",62.5,781.25)</f>
        <v>0</v>
      </c>
      <c r="BL17" s="17" t="n">
        <f aca="false">BJ17*IF($G17="wagon",2.73,81.25)</f>
        <v>0</v>
      </c>
      <c r="CA17" s="0" t="str">
        <f aca="false">VLOOKUP(J17,Eras!$A$2:$C$10, 2, TRUE())</f>
        <v>big4</v>
      </c>
      <c r="CC17" s="0" t="str">
        <f aca="false">CONCATENATE(CA17,"_",CB17)</f>
        <v>big4_</v>
      </c>
      <c r="CD17" s="0" t="str">
        <f aca="false">_xlfn.CONCAT(H17, "_",I17)</f>
        <v>tender_RAIL</v>
      </c>
      <c r="CE17" s="6" t="str">
        <f aca="false" t="array" ref="CE17:CE17">_xlfn.CONCAT("{BLACK}Length: {GOLD}", TEXT(ROUNDUP(IF(AQ17&lt;&gt;"",SUM(VALUE(_xlfn.TEXTSPLIT(AQ17, ","))), SUM(VALUE(_xlfn.TEXTSPLIT(AN17, ",")))*IF(M17, M17, 1))/16, 1), "#,##0.0"), " tiles{}")</f>
        <v>{BLACK}Length: {GOLD}0.4 tiles{}</v>
      </c>
      <c r="CF17" s="0" t="str">
        <f aca="false">VLOOKUP($CD17, Constants!$M:$N, 2, FALSE())</f>
        <v/>
      </c>
      <c r="CG17" s="0" t="str">
        <f aca="false">IF(M17&gt;1,_xlfn.CONCAT("{BLACK}Cars: {GOLD}", M17),"")</f>
        <v/>
      </c>
      <c r="CI17" s="0" t="str">
        <f aca="false">IF($BU17="!param_no_gameplay_units","{GREEN}Included for gameplay purposes","")</f>
        <v/>
      </c>
      <c r="CJ17" s="0" t="str">
        <f aca="false">IF(BX17="buffet","{YELLOW}25% long distance bonus for consist{}",IF(BZ17="BRAKE","{YELLOW}Speed bonus for slow wagons{}",IF(BW17&gt;190,CONCATENATE("{YELLOW}",INT((BW17-185)/1.85),"% bonus for long distance travel{}"),IF(AND(BW17&lt;180,BW17&lt;&gt;0),CONCATENATE("{YELLOW}",INT((185-BW17)/1.85),"% penalty for long distance travel{}"),""))))</f>
        <v/>
      </c>
      <c r="CK17" s="0" t="str">
        <f aca="false">_xlfn.CONCAT(CF17,IF(CF17&lt;&gt;""," ",""),CG17,IF(OR(CG17&lt;&gt;"",CF17&lt;&gt;""),"{}",""),CE17,CJ17,"{SILVER}",CH17,IF(CI17&lt;&gt;"","{}{}",""),CI17)</f>
        <v>{BLACK}Length: {GOLD}0.4 tiles{}{SILVER}</v>
      </c>
    </row>
    <row r="18" customFormat="false" ht="14.25" hidden="false" customHeight="false" outlineLevel="0" collapsed="false">
      <c r="A18" s="0" t="s">
        <v>123</v>
      </c>
      <c r="B18" s="15" t="s">
        <v>124</v>
      </c>
      <c r="C18" s="0" t="n">
        <v>-1</v>
      </c>
      <c r="E18" s="0" t="n">
        <v>-1</v>
      </c>
      <c r="G18" s="0" t="s">
        <v>38</v>
      </c>
      <c r="H18" s="0" t="s">
        <v>38</v>
      </c>
      <c r="I18" s="0" t="s">
        <v>92</v>
      </c>
      <c r="J18" s="0" t="n">
        <v>1925</v>
      </c>
      <c r="W18" s="0" t="n">
        <v>52</v>
      </c>
      <c r="AA18" s="3" t="str">
        <f aca="false">IF(AND(W18&gt;0,Z18&gt;0),(Z18/((W18+X18)*10)),"")</f>
        <v/>
      </c>
      <c r="AF18" s="0" t="n">
        <v>7.64</v>
      </c>
      <c r="AG18" s="0" t="n">
        <v>8</v>
      </c>
      <c r="AJ18" s="4" t="n">
        <v>0</v>
      </c>
      <c r="AK18" s="0" t="str">
        <f aca="false">CONCATENATE(VLOOKUP(AL18, 'Voxel Sizes'!$A$2:$B$18,2,FALSE()),"x",INT(AH18*15), "x", INT(AI18*15))</f>
        <v>82x0x0</v>
      </c>
      <c r="AL18" s="0" t="n">
        <f aca="false">ROUND(15*((AG18*10)/256),0)</f>
        <v>5</v>
      </c>
      <c r="AN18" s="0" t="str">
        <f aca="false">CONCATENATE(VLOOKUP(AL18,Constants!$A$2:$C$16,IF(AM18&lt;&gt;"", 3, 2), FALSE()),IF(AM18&lt;&gt;"",CONCATENATE(",",VLOOKUP(AM18,$B:$AN,39,FALSE())),""))</f>
        <v>2,1,2</v>
      </c>
      <c r="AX18" s="0" t="n">
        <v>30</v>
      </c>
      <c r="AY18" s="16" t="str">
        <f aca="false">IF(L18&lt;&gt;"",MAX(16,(L18-J18)+8),"")</f>
        <v/>
      </c>
      <c r="BB18" s="0" t="n">
        <f aca="false">MIN(AB18/150, 1)*30</f>
        <v>0</v>
      </c>
      <c r="BC18" s="0" t="n">
        <f aca="false">MIN(N18/4000, 1)*20</f>
        <v>0</v>
      </c>
      <c r="BD18" s="0" t="n">
        <f aca="false">MIN(Z18/400,1)*20</f>
        <v>0</v>
      </c>
      <c r="BE18" s="3" t="n">
        <f aca="false">1-(MAX(J18-1900, 0)/750)</f>
        <v>0.966666666666667</v>
      </c>
      <c r="BF18" s="0" t="n">
        <f aca="false">((MAX($M18,1)*MIN($AJ18/300,1)))*IF(G18="Wagon",50,10)</f>
        <v>0</v>
      </c>
      <c r="BG18" s="0" t="n">
        <f aca="false">VLOOKUP($H18,Constants!$I:$K, 2, FALSE())</f>
        <v>0</v>
      </c>
      <c r="BH18" s="0" t="n">
        <f aca="false">VLOOKUP($H18,Constants!$I:$K, 3, FALSE())*IF(AND(G18="multiple_unit",AB18&lt;110),0.75,1)</f>
        <v>0</v>
      </c>
      <c r="BI18" s="0" t="n">
        <f aca="false">INT(POWER(((Constants!$G$2+$BB18+$BC18+$BD18+$BF18)*$BE18)*$BH18, 1.05))+$BA18</f>
        <v>0</v>
      </c>
      <c r="BJ18" s="0" t="n">
        <f aca="false">INT(POWER((((Constants!$G$1+$BB18+$BC18+$BD18+$BF18)*($BE18))*$BG18),IF($G18="wagon",1,1.2)))+$AZ18</f>
        <v>0</v>
      </c>
      <c r="BK18" s="17" t="n">
        <f aca="false">BI18*IF($G18="wagon",62.5,781.25)</f>
        <v>0</v>
      </c>
      <c r="BL18" s="17" t="n">
        <f aca="false">BJ18*IF($G18="wagon",2.73,81.25)</f>
        <v>0</v>
      </c>
      <c r="CA18" s="0" t="str">
        <f aca="false">VLOOKUP(J18,Eras!$A$2:$C$10, 2, TRUE())</f>
        <v>big4</v>
      </c>
      <c r="CC18" s="0" t="str">
        <f aca="false">CONCATENATE(CA18,"_",CB18)</f>
        <v>big4_</v>
      </c>
      <c r="CD18" s="0" t="str">
        <f aca="false">_xlfn.CONCAT(H18, "_",I18)</f>
        <v>tender_RAIL</v>
      </c>
      <c r="CE18" s="6" t="str">
        <f aca="false" t="array" ref="CE18:CE18">_xlfn.CONCAT("{BLACK}Length: {GOLD}", TEXT(ROUNDUP(IF(AQ18&lt;&gt;"",SUM(VALUE(_xlfn.TEXTSPLIT(AQ18, ","))), SUM(VALUE(_xlfn.TEXTSPLIT(AN18, ",")))*IF(M18, M18, 1))/16, 1), "#,##0.0"), " tiles{}")</f>
        <v>{BLACK}Length: {GOLD}0.4 tiles{}</v>
      </c>
      <c r="CF18" s="0" t="str">
        <f aca="false">VLOOKUP($CD18, Constants!$M:$N, 2, FALSE())</f>
        <v/>
      </c>
      <c r="CG18" s="0" t="str">
        <f aca="false">IF(M18&gt;1,_xlfn.CONCAT("{BLACK}Cars: {GOLD}", M18),"")</f>
        <v/>
      </c>
      <c r="CI18" s="0" t="str">
        <f aca="false">IF($BU18="!param_no_gameplay_units","{GREEN}Included for gameplay purposes","")</f>
        <v/>
      </c>
      <c r="CJ18" s="0" t="str">
        <f aca="false">IF(BX18="buffet","{YELLOW}25% long distance bonus for consist{}",IF(BZ18="BRAKE","{YELLOW}Speed bonus for slow wagons{}",IF(BW18&gt;190,CONCATENATE("{YELLOW}",INT((BW18-185)/1.85),"% bonus for long distance travel{}"),IF(AND(BW18&lt;180,BW18&lt;&gt;0),CONCATENATE("{YELLOW}",INT((185-BW18)/1.85),"% penalty for long distance travel{}"),""))))</f>
        <v/>
      </c>
      <c r="CK18" s="0" t="str">
        <f aca="false">_xlfn.CONCAT(CF18,IF(CF18&lt;&gt;""," ",""),CG18,IF(OR(CG18&lt;&gt;"",CF18&lt;&gt;""),"{}",""),CE18,CJ18,"{SILVER}",CH18,IF(CI18&lt;&gt;"","{}{}",""),CI18)</f>
        <v>{BLACK}Length: {GOLD}0.4 tiles{}{SILVER}</v>
      </c>
    </row>
    <row r="19" customFormat="false" ht="14.25" hidden="false" customHeight="false" outlineLevel="0" collapsed="false">
      <c r="A19" s="0" t="s">
        <v>125</v>
      </c>
      <c r="B19" s="15" t="s">
        <v>126</v>
      </c>
      <c r="C19" s="0" t="n">
        <v>-1</v>
      </c>
      <c r="E19" s="0" t="n">
        <v>-1</v>
      </c>
      <c r="G19" s="0" t="s">
        <v>38</v>
      </c>
      <c r="H19" s="0" t="s">
        <v>38</v>
      </c>
      <c r="I19" s="0" t="s">
        <v>92</v>
      </c>
      <c r="J19" s="0" t="n">
        <v>1925</v>
      </c>
      <c r="W19" s="0" t="n">
        <v>52</v>
      </c>
      <c r="AA19" s="3" t="str">
        <f aca="false">IF(AND(W19&gt;0,Z19&gt;0),(Z19/((W19+X19)*10)),"")</f>
        <v/>
      </c>
      <c r="AF19" s="0" t="n">
        <v>7.64</v>
      </c>
      <c r="AG19" s="0" t="n">
        <v>8</v>
      </c>
      <c r="AJ19" s="4" t="n">
        <v>0</v>
      </c>
      <c r="AK19" s="0" t="str">
        <f aca="false">CONCATENATE(VLOOKUP(AL19, 'Voxel Sizes'!$A$2:$B$18,2,FALSE()),"x",INT(AH19*15), "x", INT(AI19*15))</f>
        <v>82x0x0</v>
      </c>
      <c r="AL19" s="0" t="n">
        <f aca="false">ROUND(15*((AG19*10)/256),0)</f>
        <v>5</v>
      </c>
      <c r="AN19" s="0" t="str">
        <f aca="false">CONCATENATE(VLOOKUP(AL19,Constants!$A$2:$C$16,IF(AM19&lt;&gt;"", 3, 2), FALSE()),IF(AM19&lt;&gt;"",CONCATENATE(",",VLOOKUP(AM19,$B:$AN,39,FALSE())),""))</f>
        <v>2,1,2</v>
      </c>
      <c r="AX19" s="0" t="n">
        <v>30</v>
      </c>
      <c r="AY19" s="16" t="str">
        <f aca="false">IF(L19&lt;&gt;"",MAX(16,(L19-J19)+8),"")</f>
        <v/>
      </c>
      <c r="BB19" s="0" t="n">
        <f aca="false">MIN(AB19/150, 1)*30</f>
        <v>0</v>
      </c>
      <c r="BC19" s="0" t="n">
        <f aca="false">MIN(N19/4000, 1)*20</f>
        <v>0</v>
      </c>
      <c r="BD19" s="0" t="n">
        <f aca="false">MIN(Z19/400,1)*20</f>
        <v>0</v>
      </c>
      <c r="BE19" s="3" t="n">
        <f aca="false">1-(MAX(J19-1900, 0)/750)</f>
        <v>0.966666666666667</v>
      </c>
      <c r="BF19" s="0" t="n">
        <f aca="false">((MAX($M19,1)*MIN($AJ19/300,1)))*IF(G19="Wagon",50,10)</f>
        <v>0</v>
      </c>
      <c r="BG19" s="0" t="n">
        <f aca="false">VLOOKUP($H19,Constants!$I:$K, 2, FALSE())</f>
        <v>0</v>
      </c>
      <c r="BH19" s="0" t="n">
        <f aca="false">VLOOKUP($H19,Constants!$I:$K, 3, FALSE())*IF(AND(G19="multiple_unit",AB19&lt;110),0.75,1)</f>
        <v>0</v>
      </c>
      <c r="BI19" s="0" t="n">
        <f aca="false">INT(POWER(((Constants!$G$2+$BB19+$BC19+$BD19+$BF19)*$BE19)*$BH19, 1.05))+$BA19</f>
        <v>0</v>
      </c>
      <c r="BJ19" s="0" t="n">
        <f aca="false">INT(POWER((((Constants!$G$1+$BB19+$BC19+$BD19+$BF19)*($BE19))*$BG19),IF($G19="wagon",1,1.2)))+$AZ19</f>
        <v>0</v>
      </c>
      <c r="BK19" s="17" t="n">
        <f aca="false">BI19*IF($G19="wagon",62.5,781.25)</f>
        <v>0</v>
      </c>
      <c r="BL19" s="17" t="n">
        <f aca="false">BJ19*IF($G19="wagon",2.73,81.25)</f>
        <v>0</v>
      </c>
      <c r="CA19" s="0" t="str">
        <f aca="false">VLOOKUP(J19,Eras!$A$2:$C$10, 2, TRUE())</f>
        <v>big4</v>
      </c>
      <c r="CC19" s="0" t="str">
        <f aca="false">CONCATENATE(CA19,"_",CB19)</f>
        <v>big4_</v>
      </c>
      <c r="CD19" s="0" t="str">
        <f aca="false">_xlfn.CONCAT(H19, "_",I19)</f>
        <v>tender_RAIL</v>
      </c>
      <c r="CE19" s="6" t="str">
        <f aca="false" t="array" ref="CE19:CE19">_xlfn.CONCAT("{BLACK}Length: {GOLD}", TEXT(ROUNDUP(IF(AQ19&lt;&gt;"",SUM(VALUE(_xlfn.TEXTSPLIT(AQ19, ","))), SUM(VALUE(_xlfn.TEXTSPLIT(AN19, ",")))*IF(M19, M19, 1))/16, 1), "#,##0.0"), " tiles{}")</f>
        <v>{BLACK}Length: {GOLD}0.4 tiles{}</v>
      </c>
      <c r="CF19" s="0" t="str">
        <f aca="false">VLOOKUP($CD19, Constants!$M:$N, 2, FALSE())</f>
        <v/>
      </c>
      <c r="CG19" s="0" t="str">
        <f aca="false">IF(M19&gt;1,_xlfn.CONCAT("{BLACK}Cars: {GOLD}", M19),"")</f>
        <v/>
      </c>
      <c r="CI19" s="0" t="str">
        <f aca="false">IF($BU19="!param_no_gameplay_units","{GREEN}Included for gameplay purposes","")</f>
        <v/>
      </c>
      <c r="CJ19" s="0" t="str">
        <f aca="false">IF(BX19="buffet","{YELLOW}25% long distance bonus for consist{}",IF(BZ19="BRAKE","{YELLOW}Speed bonus for slow wagons{}",IF(BW19&gt;190,CONCATENATE("{YELLOW}",INT((BW19-185)/1.85),"% bonus for long distance travel{}"),IF(AND(BW19&lt;180,BW19&lt;&gt;0),CONCATENATE("{YELLOW}",INT((185-BW19)/1.85),"% penalty for long distance travel{}"),""))))</f>
        <v/>
      </c>
      <c r="CK19" s="0" t="str">
        <f aca="false">_xlfn.CONCAT(CF19,IF(CF19&lt;&gt;""," ",""),CG19,IF(OR(CG19&lt;&gt;"",CF19&lt;&gt;""),"{}",""),CE19,CJ19,"{SILVER}",CH19,IF(CI19&lt;&gt;"","{}{}",""),CI19)</f>
        <v>{BLACK}Length: {GOLD}0.4 tiles{}{SILVER}</v>
      </c>
    </row>
    <row r="20" customFormat="false" ht="14.25" hidden="false" customHeight="false" outlineLevel="0" collapsed="false">
      <c r="A20" s="0" t="s">
        <v>127</v>
      </c>
      <c r="B20" s="15" t="s">
        <v>128</v>
      </c>
      <c r="C20" s="0" t="n">
        <v>-1</v>
      </c>
      <c r="E20" s="0" t="n">
        <v>-1</v>
      </c>
      <c r="G20" s="0" t="s">
        <v>38</v>
      </c>
      <c r="H20" s="0" t="s">
        <v>38</v>
      </c>
      <c r="I20" s="0" t="s">
        <v>92</v>
      </c>
      <c r="J20" s="0" t="n">
        <v>1927</v>
      </c>
      <c r="W20" s="0" t="n">
        <v>53</v>
      </c>
      <c r="AA20" s="3" t="str">
        <f aca="false">IF(AND(W20&gt;0,Z20&gt;0),(Z20/((W20+X20)*10)),"")</f>
        <v/>
      </c>
      <c r="AF20" s="0" t="n">
        <v>7.5</v>
      </c>
      <c r="AG20" s="0" t="n">
        <v>8</v>
      </c>
      <c r="AJ20" s="4" t="n">
        <v>0</v>
      </c>
      <c r="AK20" s="0" t="str">
        <f aca="false">CONCATENATE(VLOOKUP(AL20, 'Voxel Sizes'!$A$2:$B$18,2,FALSE()),"x",INT(AH20*15), "x", INT(AI20*15))</f>
        <v>82x0x0</v>
      </c>
      <c r="AL20" s="0" t="n">
        <f aca="false">ROUND(15*((AG20*10)/256),0)</f>
        <v>5</v>
      </c>
      <c r="AN20" s="0" t="str">
        <f aca="false">CONCATENATE(VLOOKUP(AL20,Constants!$A$2:$C$16,IF(AM20&lt;&gt;"", 3, 2), FALSE()),IF(AM20&lt;&gt;"",CONCATENATE(",",VLOOKUP(AM20,$B:$AN,39,FALSE())),""))</f>
        <v>2,1,2</v>
      </c>
      <c r="AX20" s="0" t="n">
        <v>30</v>
      </c>
      <c r="AY20" s="16" t="str">
        <f aca="false">IF(L20&lt;&gt;"",MAX(16,(L20-J20)+8),"")</f>
        <v/>
      </c>
      <c r="BB20" s="0" t="n">
        <f aca="false">MIN(AB20/150, 1)*30</f>
        <v>0</v>
      </c>
      <c r="BC20" s="0" t="n">
        <f aca="false">MIN(N20/4000, 1)*20</f>
        <v>0</v>
      </c>
      <c r="BD20" s="0" t="n">
        <f aca="false">MIN(Z20/400,1)*20</f>
        <v>0</v>
      </c>
      <c r="BE20" s="3" t="n">
        <f aca="false">1-(MAX(J20-1900, 0)/750)</f>
        <v>0.964</v>
      </c>
      <c r="BF20" s="0" t="n">
        <f aca="false">((MAX($M20,1)*MIN($AJ20/300,1)))*IF(G20="Wagon",50,10)</f>
        <v>0</v>
      </c>
      <c r="BG20" s="0" t="n">
        <f aca="false">VLOOKUP($H20,Constants!$I:$K, 2, FALSE())</f>
        <v>0</v>
      </c>
      <c r="BH20" s="0" t="n">
        <f aca="false">VLOOKUP($H20,Constants!$I:$K, 3, FALSE())*IF(AND(G20="multiple_unit",AB20&lt;110),0.75,1)</f>
        <v>0</v>
      </c>
      <c r="BI20" s="0" t="n">
        <f aca="false">INT(POWER(((Constants!$G$2+$BB20+$BC20+$BD20+$BF20)*$BE20)*$BH20, 1.05))+$BA20</f>
        <v>0</v>
      </c>
      <c r="BJ20" s="0" t="n">
        <f aca="false">INT(POWER((((Constants!$G$1+$BB20+$BC20+$BD20+$BF20)*($BE20))*$BG20),IF($G20="wagon",1,1.2)))+$AZ20</f>
        <v>0</v>
      </c>
      <c r="BK20" s="17" t="n">
        <f aca="false">BI20*IF($G20="wagon",62.5,781.25)</f>
        <v>0</v>
      </c>
      <c r="BL20" s="17" t="n">
        <f aca="false">BJ20*IF($G20="wagon",2.73,81.25)</f>
        <v>0</v>
      </c>
      <c r="CA20" s="0" t="str">
        <f aca="false">VLOOKUP(J20,Eras!$A$2:$C$10, 2, TRUE())</f>
        <v>big4</v>
      </c>
      <c r="CC20" s="0" t="str">
        <f aca="false">CONCATENATE(CA20,"_",CB20)</f>
        <v>big4_</v>
      </c>
      <c r="CD20" s="0" t="str">
        <f aca="false">_xlfn.CONCAT(H20, "_",I20)</f>
        <v>tender_RAIL</v>
      </c>
      <c r="CE20" s="6" t="str">
        <f aca="false" t="array" ref="CE20:CE20">_xlfn.CONCAT("{BLACK}Length: {GOLD}", TEXT(ROUNDUP(IF(AQ20&lt;&gt;"",SUM(VALUE(_xlfn.TEXTSPLIT(AQ20, ","))), SUM(VALUE(_xlfn.TEXTSPLIT(AN20, ",")))*IF(M20, M20, 1))/16, 1), "#,##0.0"), " tiles{}")</f>
        <v>{BLACK}Length: {GOLD}0.4 tiles{}</v>
      </c>
      <c r="CF20" s="0" t="str">
        <f aca="false">VLOOKUP($CD20, Constants!$M:$N, 2, FALSE())</f>
        <v/>
      </c>
      <c r="CG20" s="0" t="str">
        <f aca="false">IF(M20&gt;1,_xlfn.CONCAT("{BLACK}Cars: {GOLD}", M20),"")</f>
        <v/>
      </c>
      <c r="CI20" s="0" t="str">
        <f aca="false">IF($BU20="!param_no_gameplay_units","{GREEN}Included for gameplay purposes","")</f>
        <v/>
      </c>
      <c r="CJ20" s="0" t="str">
        <f aca="false">IF(BX20="buffet","{YELLOW}25% long distance bonus for consist{}",IF(BZ20="BRAKE","{YELLOW}Speed bonus for slow wagons{}",IF(BW20&gt;190,CONCATENATE("{YELLOW}",INT((BW20-185)/1.85),"% bonus for long distance travel{}"),IF(AND(BW20&lt;180,BW20&lt;&gt;0),CONCATENATE("{YELLOW}",INT((185-BW20)/1.85),"% penalty for long distance travel{}"),""))))</f>
        <v/>
      </c>
      <c r="CK20" s="0" t="str">
        <f aca="false">_xlfn.CONCAT(CF20,IF(CF20&lt;&gt;""," ",""),CG20,IF(OR(CG20&lt;&gt;"",CF20&lt;&gt;""),"{}",""),CE20,CJ20,"{SILVER}",CH20,IF(CI20&lt;&gt;"","{}{}",""),CI20)</f>
        <v>{BLACK}Length: {GOLD}0.4 tiles{}{SILVER}</v>
      </c>
    </row>
    <row r="21" customFormat="false" ht="14.25" hidden="false" customHeight="false" outlineLevel="0" collapsed="false">
      <c r="A21" s="0" t="s">
        <v>129</v>
      </c>
      <c r="B21" s="15" t="s">
        <v>130</v>
      </c>
      <c r="C21" s="0" t="n">
        <v>-1</v>
      </c>
      <c r="E21" s="0" t="n">
        <v>-1</v>
      </c>
      <c r="G21" s="0" t="s">
        <v>38</v>
      </c>
      <c r="H21" s="0" t="s">
        <v>38</v>
      </c>
      <c r="I21" s="0" t="s">
        <v>92</v>
      </c>
      <c r="J21" s="0" t="n">
        <v>1935</v>
      </c>
      <c r="W21" s="0" t="n">
        <v>42</v>
      </c>
      <c r="AA21" s="3" t="str">
        <f aca="false">IF(AND(W21&gt;0,Z21&gt;0),(Z21/((W21+X21)*10)),"")</f>
        <v/>
      </c>
      <c r="AF21" s="0" t="n">
        <v>7.5</v>
      </c>
      <c r="AG21" s="0" t="n">
        <v>8</v>
      </c>
      <c r="AJ21" s="4" t="n">
        <v>0</v>
      </c>
      <c r="AK21" s="0" t="str">
        <f aca="false">CONCATENATE(VLOOKUP(AL21, 'Voxel Sizes'!$A$2:$B$18,2,FALSE()),"x",INT(AH21*15), "x", INT(AI21*15))</f>
        <v>82x0x0</v>
      </c>
      <c r="AL21" s="0" t="n">
        <f aca="false">ROUND(15*((AG21*10)/256),0)</f>
        <v>5</v>
      </c>
      <c r="AN21" s="0" t="str">
        <f aca="false">CONCATENATE(VLOOKUP(AL21,Constants!$A$2:$C$16,IF(AM21&lt;&gt;"", 3, 2), FALSE()),IF(AM21&lt;&gt;"",CONCATENATE(",",VLOOKUP(AM21,$B:$AN,39,FALSE())),""))</f>
        <v>2,1,2</v>
      </c>
      <c r="AX21" s="0" t="n">
        <v>30</v>
      </c>
      <c r="AY21" s="16" t="str">
        <f aca="false">IF(L21&lt;&gt;"",MAX(16,(L21-J21)+8),"")</f>
        <v/>
      </c>
      <c r="BB21" s="0" t="n">
        <f aca="false">MIN(AB21/150, 1)*30</f>
        <v>0</v>
      </c>
      <c r="BC21" s="0" t="n">
        <f aca="false">MIN(N21/4000, 1)*20</f>
        <v>0</v>
      </c>
      <c r="BD21" s="0" t="n">
        <f aca="false">MIN(Z21/400,1)*20</f>
        <v>0</v>
      </c>
      <c r="BE21" s="3" t="n">
        <f aca="false">1-(MAX(J21-1900, 0)/750)</f>
        <v>0.953333333333333</v>
      </c>
      <c r="BF21" s="0" t="n">
        <f aca="false">((MAX($M21,1)*MIN($AJ21/300,1)))*IF(G21="Wagon",50,10)</f>
        <v>0</v>
      </c>
      <c r="BG21" s="0" t="n">
        <f aca="false">VLOOKUP($H21,Constants!$I:$K, 2, FALSE())</f>
        <v>0</v>
      </c>
      <c r="BH21" s="0" t="n">
        <f aca="false">VLOOKUP($H21,Constants!$I:$K, 3, FALSE())*IF(AND(G21="multiple_unit",AB21&lt;110),0.75,1)</f>
        <v>0</v>
      </c>
      <c r="BI21" s="0" t="n">
        <f aca="false">INT(POWER(((Constants!$G$2+$BB21+$BC21+$BD21+$BF21)*$BE21)*$BH21, 1.05))+$BA21</f>
        <v>0</v>
      </c>
      <c r="BJ21" s="0" t="n">
        <f aca="false">INT(POWER((((Constants!$G$1+$BB21+$BC21+$BD21+$BF21)*($BE21))*$BG21),IF($G21="wagon",1,1.2)))+$AZ21</f>
        <v>0</v>
      </c>
      <c r="BK21" s="17" t="n">
        <f aca="false">BI21*IF($G21="wagon",62.5,781.25)</f>
        <v>0</v>
      </c>
      <c r="BL21" s="17" t="n">
        <f aca="false">BJ21*IF($G21="wagon",2.73,81.25)</f>
        <v>0</v>
      </c>
      <c r="CA21" s="0" t="str">
        <f aca="false">VLOOKUP(J21,Eras!$A$2:$C$10, 2, TRUE())</f>
        <v>big4</v>
      </c>
      <c r="CC21" s="0" t="str">
        <f aca="false">CONCATENATE(CA21,"_",CB21)</f>
        <v>big4_</v>
      </c>
      <c r="CD21" s="0" t="str">
        <f aca="false">_xlfn.CONCAT(H21, "_",I21)</f>
        <v>tender_RAIL</v>
      </c>
      <c r="CE21" s="6" t="str">
        <f aca="false" t="array" ref="CE21:CE21">_xlfn.CONCAT("{BLACK}Length: {GOLD}", TEXT(ROUNDUP(IF(AQ21&lt;&gt;"",SUM(VALUE(_xlfn.TEXTSPLIT(AQ21, ","))), SUM(VALUE(_xlfn.TEXTSPLIT(AN21, ",")))*IF(M21, M21, 1))/16, 1), "#,##0.0"), " tiles{}")</f>
        <v>{BLACK}Length: {GOLD}0.4 tiles{}</v>
      </c>
      <c r="CF21" s="0" t="str">
        <f aca="false">VLOOKUP($CD21, Constants!$M:$N, 2, FALSE())</f>
        <v/>
      </c>
      <c r="CG21" s="0" t="str">
        <f aca="false">IF(M21&gt;1,_xlfn.CONCAT("{BLACK}Cars: {GOLD}", M21),"")</f>
        <v/>
      </c>
      <c r="CI21" s="0" t="str">
        <f aca="false">IF($BU21="!param_no_gameplay_units","{GREEN}Included for gameplay purposes","")</f>
        <v/>
      </c>
      <c r="CJ21" s="0" t="str">
        <f aca="false">IF(BX21="buffet","{YELLOW}25% long distance bonus for consist{}",IF(BZ21="BRAKE","{YELLOW}Speed bonus for slow wagons{}",IF(BW21&gt;190,CONCATENATE("{YELLOW}",INT((BW21-185)/1.85),"% bonus for long distance travel{}"),IF(AND(BW21&lt;180,BW21&lt;&gt;0),CONCATENATE("{YELLOW}",INT((185-BW21)/1.85),"% penalty for long distance travel{}"),""))))</f>
        <v/>
      </c>
      <c r="CK21" s="0" t="str">
        <f aca="false">_xlfn.CONCAT(CF21,IF(CF21&lt;&gt;""," ",""),CG21,IF(OR(CG21&lt;&gt;"",CF21&lt;&gt;""),"{}",""),CE21,CJ21,"{SILVER}",CH21,IF(CI21&lt;&gt;"","{}{}",""),CI21)</f>
        <v>{BLACK}Length: {GOLD}0.4 tiles{}{SILVER}</v>
      </c>
    </row>
    <row r="22" customFormat="false" ht="13.5" hidden="false" customHeight="true" outlineLevel="0" collapsed="false">
      <c r="A22" s="0" t="s">
        <v>131</v>
      </c>
      <c r="B22" s="15" t="s">
        <v>132</v>
      </c>
      <c r="C22" s="0" t="n">
        <v>-1</v>
      </c>
      <c r="E22" s="0" t="n">
        <v>-1</v>
      </c>
      <c r="G22" s="0" t="s">
        <v>38</v>
      </c>
      <c r="H22" s="0" t="s">
        <v>38</v>
      </c>
      <c r="I22" s="0" t="s">
        <v>92</v>
      </c>
      <c r="J22" s="0" t="n">
        <v>1941</v>
      </c>
      <c r="W22" s="0" t="n">
        <v>52</v>
      </c>
      <c r="AA22" s="3" t="str">
        <f aca="false">IF(AND(W22&gt;0,Z22&gt;0),(Z22/((W22+X22)*10)),"")</f>
        <v/>
      </c>
      <c r="AF22" s="0" t="n">
        <v>7.64</v>
      </c>
      <c r="AG22" s="0" t="n">
        <v>8</v>
      </c>
      <c r="AJ22" s="4" t="n">
        <v>0</v>
      </c>
      <c r="AK22" s="0" t="str">
        <f aca="false">CONCATENATE(VLOOKUP(AL22, 'Voxel Sizes'!$A$2:$B$18,2,FALSE()),"x",INT(AH22*15), "x", INT(AI22*15))</f>
        <v>82x0x0</v>
      </c>
      <c r="AL22" s="0" t="n">
        <f aca="false">ROUND(15*((AG22*10)/256),0)</f>
        <v>5</v>
      </c>
      <c r="AN22" s="0" t="str">
        <f aca="false">CONCATENATE(VLOOKUP(AL22,Constants!$A$2:$C$16,IF(AM22&lt;&gt;"", 3, 2), FALSE()),IF(AM22&lt;&gt;"",CONCATENATE(",",VLOOKUP(AM22,$B:$AN,39,FALSE())),""))</f>
        <v>2,1,2</v>
      </c>
      <c r="AX22" s="0" t="n">
        <v>30</v>
      </c>
      <c r="AY22" s="16" t="str">
        <f aca="false">IF(L22&lt;&gt;"",MAX(16,(L22-J22)+8),"")</f>
        <v/>
      </c>
      <c r="BB22" s="0" t="n">
        <f aca="false">MIN(AB22/150, 1)*30</f>
        <v>0</v>
      </c>
      <c r="BC22" s="0" t="n">
        <f aca="false">MIN(N22/4000, 1)*20</f>
        <v>0</v>
      </c>
      <c r="BD22" s="0" t="n">
        <f aca="false">MIN(Z22/400,1)*20</f>
        <v>0</v>
      </c>
      <c r="BE22" s="3" t="n">
        <f aca="false">1-(MAX(J22-1900, 0)/750)</f>
        <v>0.945333333333333</v>
      </c>
      <c r="BF22" s="0" t="n">
        <f aca="false">((MAX($M22,1)*MIN($AJ22/300,1)))*IF(G22="Wagon",50,10)</f>
        <v>0</v>
      </c>
      <c r="BG22" s="0" t="n">
        <f aca="false">VLOOKUP($H22,Constants!$I:$K, 2, FALSE())</f>
        <v>0</v>
      </c>
      <c r="BH22" s="0" t="n">
        <f aca="false">VLOOKUP($H22,Constants!$I:$K, 3, FALSE())*IF(AND(G22="multiple_unit",AB22&lt;110),0.75,1)</f>
        <v>0</v>
      </c>
      <c r="BI22" s="0" t="n">
        <f aca="false">INT(POWER(((Constants!$G$2+$BB22+$BC22+$BD22+$BF22)*$BE22)*$BH22, 1.05))+$BA22</f>
        <v>0</v>
      </c>
      <c r="BJ22" s="0" t="n">
        <f aca="false">INT(POWER((((Constants!$G$1+$BB22+$BC22+$BD22+$BF22)*($BE22))*$BG22),IF($G22="wagon",1,1.2)))+$AZ22</f>
        <v>0</v>
      </c>
      <c r="BK22" s="17" t="n">
        <f aca="false">BI22*IF($G22="wagon",62.5,781.25)</f>
        <v>0</v>
      </c>
      <c r="BL22" s="17" t="n">
        <f aca="false">BJ22*IF($G22="wagon",2.73,81.25)</f>
        <v>0</v>
      </c>
      <c r="CA22" s="0" t="str">
        <f aca="false">VLOOKUP(J22,Eras!$A$2:$C$10, 2, TRUE())</f>
        <v>big4</v>
      </c>
      <c r="CC22" s="0" t="str">
        <f aca="false">CONCATENATE(CA22,"_",CB22)</f>
        <v>big4_</v>
      </c>
      <c r="CD22" s="0" t="str">
        <f aca="false">_xlfn.CONCAT(H22, "_",I22)</f>
        <v>tender_RAIL</v>
      </c>
      <c r="CE22" s="6" t="str">
        <f aca="false" t="array" ref="CE22:CE22">_xlfn.CONCAT("{BLACK}Length: {GOLD}", TEXT(ROUNDUP(IF(AQ22&lt;&gt;"",SUM(VALUE(_xlfn.TEXTSPLIT(AQ22, ","))), SUM(VALUE(_xlfn.TEXTSPLIT(AN22, ",")))*IF(M22, M22, 1))/16, 1), "#,##0.0"), " tiles{}")</f>
        <v>{BLACK}Length: {GOLD}0.4 tiles{}</v>
      </c>
      <c r="CF22" s="0" t="str">
        <f aca="false">VLOOKUP($CD22, Constants!$M:$N, 2, FALSE())</f>
        <v/>
      </c>
      <c r="CG22" s="0" t="str">
        <f aca="false">IF(M22&gt;1,_xlfn.CONCAT("{BLACK}Cars: {GOLD}", M22),"")</f>
        <v/>
      </c>
      <c r="CI22" s="0" t="str">
        <f aca="false">IF($BU22="!param_no_gameplay_units","{GREEN}Included for gameplay purposes","")</f>
        <v/>
      </c>
      <c r="CJ22" s="0" t="str">
        <f aca="false">IF(BX22="buffet","{YELLOW}25% long distance bonus for consist{}",IF(BZ22="BRAKE","{YELLOW}Speed bonus for slow wagons{}",IF(BW22&gt;190,CONCATENATE("{YELLOW}",INT((BW22-185)/1.85),"% bonus for long distance travel{}"),IF(AND(BW22&lt;180,BW22&lt;&gt;0),CONCATENATE("{YELLOW}",INT((185-BW22)/1.85),"% penalty for long distance travel{}"),""))))</f>
        <v/>
      </c>
      <c r="CK22" s="0" t="str">
        <f aca="false">_xlfn.CONCAT(CF22,IF(CF22&lt;&gt;""," ",""),CG22,IF(OR(CG22&lt;&gt;"",CF22&lt;&gt;""),"{}",""),CE22,CJ22,"{SILVER}",CH22,IF(CI22&lt;&gt;"","{}{}",""),CI22)</f>
        <v>{BLACK}Length: {GOLD}0.4 tiles{}{SILVER}</v>
      </c>
    </row>
    <row r="23" customFormat="false" ht="14.25" hidden="false" customHeight="false" outlineLevel="0" collapsed="false">
      <c r="A23" s="0" t="s">
        <v>133</v>
      </c>
      <c r="B23" s="15" t="s">
        <v>134</v>
      </c>
      <c r="C23" s="0" t="n">
        <v>-1</v>
      </c>
      <c r="E23" s="0" t="n">
        <v>-1</v>
      </c>
      <c r="G23" s="0" t="s">
        <v>38</v>
      </c>
      <c r="H23" s="0" t="s">
        <v>38</v>
      </c>
      <c r="I23" s="0" t="s">
        <v>92</v>
      </c>
      <c r="J23" s="0" t="n">
        <v>1942</v>
      </c>
      <c r="W23" s="0" t="n">
        <v>52</v>
      </c>
      <c r="AA23" s="3" t="str">
        <f aca="false">IF(AND(W23&gt;0,Z23&gt;0),(Z23/((W23+X23)*10)),"")</f>
        <v/>
      </c>
      <c r="AF23" s="0" t="n">
        <v>6</v>
      </c>
      <c r="AG23" s="0" t="n">
        <v>6</v>
      </c>
      <c r="AJ23" s="4" t="n">
        <v>0</v>
      </c>
      <c r="AK23" s="0" t="str">
        <f aca="false">CONCATENATE(VLOOKUP(AL23, 'Voxel Sizes'!$A$2:$B$18,2,FALSE()),"x",INT(AH23*15), "x", INT(AI23*15))</f>
        <v>60x0x0</v>
      </c>
      <c r="AL23" s="0" t="n">
        <f aca="false">ROUND(15*((AG23*10)/256),0)</f>
        <v>4</v>
      </c>
      <c r="AN23" s="0" t="str">
        <f aca="false">CONCATENATE(VLOOKUP(AL23,Constants!$A$2:$C$16,IF(AM23&lt;&gt;"", 3, 2), FALSE()),IF(AM23&lt;&gt;"",CONCATENATE(",",VLOOKUP(AM23,$B:$AN,39,FALSE())),""))</f>
        <v>1,2,1</v>
      </c>
      <c r="AX23" s="0" t="n">
        <v>30</v>
      </c>
      <c r="AY23" s="16" t="str">
        <f aca="false">IF(L23&lt;&gt;"",MAX(16,(L23-J23)+8),"")</f>
        <v/>
      </c>
      <c r="BB23" s="0" t="n">
        <f aca="false">MIN(AB23/150, 1)*30</f>
        <v>0</v>
      </c>
      <c r="BC23" s="0" t="n">
        <f aca="false">MIN(N23/4000, 1)*20</f>
        <v>0</v>
      </c>
      <c r="BD23" s="0" t="n">
        <f aca="false">MIN(Z23/400,1)*20</f>
        <v>0</v>
      </c>
      <c r="BE23" s="3" t="n">
        <f aca="false">1-(MAX(J23-1900, 0)/750)</f>
        <v>0.944</v>
      </c>
      <c r="BF23" s="0" t="n">
        <f aca="false">((MAX($M23,1)*MIN($AJ23/300,1)))*IF(G23="Wagon",50,10)</f>
        <v>0</v>
      </c>
      <c r="BG23" s="0" t="n">
        <f aca="false">VLOOKUP($H23,Constants!$I:$K, 2, FALSE())</f>
        <v>0</v>
      </c>
      <c r="BH23" s="0" t="n">
        <f aca="false">VLOOKUP($H23,Constants!$I:$K, 3, FALSE())*IF(AND(G23="multiple_unit",AB23&lt;110),0.75,1)</f>
        <v>0</v>
      </c>
      <c r="BI23" s="0" t="n">
        <f aca="false">INT(POWER(((Constants!$G$2+$BB23+$BC23+$BD23+$BF23)*$BE23)*$BH23, 1.05))+$BA23</f>
        <v>0</v>
      </c>
      <c r="BJ23" s="0" t="n">
        <f aca="false">INT(POWER((((Constants!$G$1+$BB23+$BC23+$BD23+$BF23)*($BE23))*$BG23),IF($G23="wagon",1,1.2)))+$AZ23</f>
        <v>0</v>
      </c>
      <c r="BK23" s="17" t="n">
        <f aca="false">BI23*IF($G23="wagon",62.5,781.25)</f>
        <v>0</v>
      </c>
      <c r="BL23" s="17" t="n">
        <f aca="false">BJ23*IF($G23="wagon",2.73,81.25)</f>
        <v>0</v>
      </c>
      <c r="CA23" s="0" t="str">
        <f aca="false">VLOOKUP(J23,Eras!$A$2:$C$10, 2, TRUE())</f>
        <v>big4</v>
      </c>
      <c r="CC23" s="0" t="str">
        <f aca="false">CONCATENATE(CA23,"_",CB23)</f>
        <v>big4_</v>
      </c>
      <c r="CD23" s="0" t="str">
        <f aca="false">_xlfn.CONCAT(H23, "_",I23)</f>
        <v>tender_RAIL</v>
      </c>
      <c r="CE23" s="6" t="str">
        <f aca="false" t="array" ref="CE23:CE23">_xlfn.CONCAT("{BLACK}Length: {GOLD}", TEXT(ROUNDUP(IF(AQ23&lt;&gt;"",SUM(VALUE(_xlfn.TEXTSPLIT(AQ23, ","))), SUM(VALUE(_xlfn.TEXTSPLIT(AN23, ",")))*IF(M23, M23, 1))/16, 1), "#,##0.0"), " tiles{}")</f>
        <v>{BLACK}Length: {GOLD}0.3 tiles{}</v>
      </c>
      <c r="CF23" s="0" t="str">
        <f aca="false">VLOOKUP($CD23, Constants!$M:$N, 2, FALSE())</f>
        <v/>
      </c>
      <c r="CG23" s="0" t="str">
        <f aca="false">IF(M23&gt;1,_xlfn.CONCAT("{BLACK}Cars: {GOLD}", M23),"")</f>
        <v/>
      </c>
      <c r="CI23" s="0" t="str">
        <f aca="false">IF($BU23="!param_no_gameplay_units","{GREEN}Included for gameplay purposes","")</f>
        <v/>
      </c>
      <c r="CJ23" s="0" t="str">
        <f aca="false">IF(BX23="buffet","{YELLOW}25% long distance bonus for consist{}",IF(BZ23="BRAKE","{YELLOW}Speed bonus for slow wagons{}",IF(BW23&gt;190,CONCATENATE("{YELLOW}",INT((BW23-185)/1.85),"% bonus for long distance travel{}"),IF(AND(BW23&lt;180,BW23&lt;&gt;0),CONCATENATE("{YELLOW}",INT((185-BW23)/1.85),"% penalty for long distance travel{}"),""))))</f>
        <v/>
      </c>
      <c r="CK23" s="0" t="str">
        <f aca="false">_xlfn.CONCAT(CF23,IF(CF23&lt;&gt;""," ",""),CG23,IF(OR(CG23&lt;&gt;"",CF23&lt;&gt;""),"{}",""),CE23,CJ23,"{SILVER}",CH23,IF(CI23&lt;&gt;"","{}{}",""),CI23)</f>
        <v>{BLACK}Length: {GOLD}0.3 tiles{}{SILVER}</v>
      </c>
    </row>
    <row r="24" customFormat="false" ht="14.25" hidden="false" customHeight="false" outlineLevel="0" collapsed="false">
      <c r="A24" s="0" t="s">
        <v>135</v>
      </c>
      <c r="B24" s="15" t="s">
        <v>136</v>
      </c>
      <c r="C24" s="0" t="n">
        <v>-1</v>
      </c>
      <c r="E24" s="0" t="n">
        <v>-1</v>
      </c>
      <c r="G24" s="0" t="s">
        <v>38</v>
      </c>
      <c r="H24" s="0" t="s">
        <v>38</v>
      </c>
      <c r="I24" s="0" t="s">
        <v>92</v>
      </c>
      <c r="J24" s="0" t="n">
        <v>1943</v>
      </c>
      <c r="W24" s="0" t="n">
        <v>52</v>
      </c>
      <c r="AA24" s="3" t="str">
        <f aca="false">IF(AND(W24&gt;0,Z24&gt;0),(Z24/((W24+X24)*10)),"")</f>
        <v/>
      </c>
      <c r="AF24" s="0" t="n">
        <v>6</v>
      </c>
      <c r="AG24" s="0" t="n">
        <v>6</v>
      </c>
      <c r="AJ24" s="4" t="n">
        <v>0</v>
      </c>
      <c r="AK24" s="0" t="str">
        <f aca="false">CONCATENATE(VLOOKUP(AL24, 'Voxel Sizes'!$A$2:$B$18,2,FALSE()),"x",INT(AH24*15), "x", INT(AI24*15))</f>
        <v>60x0x0</v>
      </c>
      <c r="AL24" s="0" t="n">
        <f aca="false">ROUND(15*((AG24*10)/256),0)</f>
        <v>4</v>
      </c>
      <c r="AN24" s="0" t="str">
        <f aca="false">CONCATENATE(VLOOKUP(AL24,Constants!$A$2:$C$16,IF(AM24&lt;&gt;"", 3, 2), FALSE()),IF(AM24&lt;&gt;"",CONCATENATE(",",VLOOKUP(AM24,$B:$AN,39,FALSE())),""))</f>
        <v>1,2,1</v>
      </c>
      <c r="AX24" s="0" t="n">
        <v>30</v>
      </c>
      <c r="AY24" s="16" t="str">
        <f aca="false">IF(L24&lt;&gt;"",MAX(16,(L24-J24)+8),"")</f>
        <v/>
      </c>
      <c r="BB24" s="0" t="n">
        <f aca="false">MIN(AB24/150, 1)*30</f>
        <v>0</v>
      </c>
      <c r="BC24" s="0" t="n">
        <f aca="false">MIN(N24/4000, 1)*20</f>
        <v>0</v>
      </c>
      <c r="BD24" s="0" t="n">
        <f aca="false">MIN(Z24/400,1)*20</f>
        <v>0</v>
      </c>
      <c r="BE24" s="3" t="n">
        <f aca="false">1-(MAX(J24-1900, 0)/750)</f>
        <v>0.942666666666667</v>
      </c>
      <c r="BF24" s="0" t="n">
        <f aca="false">((MAX($M24,1)*MIN($AJ24/300,1)))*IF(G24="Wagon",50,10)</f>
        <v>0</v>
      </c>
      <c r="BG24" s="0" t="n">
        <f aca="false">VLOOKUP($H24,Constants!$I:$K, 2, FALSE())</f>
        <v>0</v>
      </c>
      <c r="BH24" s="0" t="n">
        <f aca="false">VLOOKUP($H24,Constants!$I:$K, 3, FALSE())*IF(AND(G24="multiple_unit",AB24&lt;110),0.75,1)</f>
        <v>0</v>
      </c>
      <c r="BI24" s="0" t="n">
        <f aca="false">INT(POWER(((Constants!$G$2+$BB24+$BC24+$BD24+$BF24)*$BE24)*$BH24, 1.05))+$BA24</f>
        <v>0</v>
      </c>
      <c r="BJ24" s="0" t="n">
        <f aca="false">INT(POWER((((Constants!$G$1+$BB24+$BC24+$BD24+$BF24)*($BE24))*$BG24),IF($G24="wagon",1,1.2)))+$AZ24</f>
        <v>0</v>
      </c>
      <c r="BK24" s="17" t="n">
        <f aca="false">BI24*IF($G24="wagon",62.5,781.25)</f>
        <v>0</v>
      </c>
      <c r="BL24" s="17" t="n">
        <f aca="false">BJ24*IF($G24="wagon",2.73,81.25)</f>
        <v>0</v>
      </c>
      <c r="CA24" s="0" t="str">
        <f aca="false">VLOOKUP(J24,Eras!$A$2:$C$10, 2, TRUE())</f>
        <v>big4</v>
      </c>
      <c r="CC24" s="0" t="str">
        <f aca="false">CONCATENATE(CA24,"_",CB24)</f>
        <v>big4_</v>
      </c>
      <c r="CD24" s="0" t="str">
        <f aca="false">_xlfn.CONCAT(H24, "_",I24)</f>
        <v>tender_RAIL</v>
      </c>
      <c r="CE24" s="6" t="str">
        <f aca="false" t="array" ref="CE24:CE24">_xlfn.CONCAT("{BLACK}Length: {GOLD}", TEXT(ROUNDUP(IF(AQ24&lt;&gt;"",SUM(VALUE(_xlfn.TEXTSPLIT(AQ24, ","))), SUM(VALUE(_xlfn.TEXTSPLIT(AN24, ",")))*IF(M24, M24, 1))/16, 1), "#,##0.0"), " tiles{}")</f>
        <v>{BLACK}Length: {GOLD}0.3 tiles{}</v>
      </c>
      <c r="CF24" s="0" t="str">
        <f aca="false">VLOOKUP($CD24, Constants!$M:$N, 2, FALSE())</f>
        <v/>
      </c>
      <c r="CG24" s="0" t="str">
        <f aca="false">IF(M24&gt;1,_xlfn.CONCAT("{BLACK}Cars: {GOLD}", M24),"")</f>
        <v/>
      </c>
      <c r="CI24" s="0" t="str">
        <f aca="false">IF($BU24="!param_no_gameplay_units","{GREEN}Included for gameplay purposes","")</f>
        <v/>
      </c>
      <c r="CJ24" s="0" t="str">
        <f aca="false">IF(BX24="buffet","{YELLOW}25% long distance bonus for consist{}",IF(BZ24="BRAKE","{YELLOW}Speed bonus for slow wagons{}",IF(BW24&gt;190,CONCATENATE("{YELLOW}",INT((BW24-185)/1.85),"% bonus for long distance travel{}"),IF(AND(BW24&lt;180,BW24&lt;&gt;0),CONCATENATE("{YELLOW}",INT((185-BW24)/1.85),"% penalty for long distance travel{}"),""))))</f>
        <v/>
      </c>
      <c r="CK24" s="0" t="str">
        <f aca="false">_xlfn.CONCAT(CF24,IF(CF24&lt;&gt;""," ",""),CG24,IF(OR(CG24&lt;&gt;"",CF24&lt;&gt;""),"{}",""),CE24,CJ24,"{SILVER}",CH24,IF(CI24&lt;&gt;"","{}{}",""),CI24)</f>
        <v>{BLACK}Length: {GOLD}0.3 tiles{}{SILVER}</v>
      </c>
    </row>
    <row r="25" customFormat="false" ht="14.25" hidden="false" customHeight="false" outlineLevel="0" collapsed="false">
      <c r="A25" s="0" t="s">
        <v>137</v>
      </c>
      <c r="B25" s="15" t="s">
        <v>138</v>
      </c>
      <c r="C25" s="0" t="n">
        <v>-1</v>
      </c>
      <c r="E25" s="0" t="n">
        <v>-1</v>
      </c>
      <c r="G25" s="0" t="s">
        <v>38</v>
      </c>
      <c r="H25" s="0" t="s">
        <v>38</v>
      </c>
      <c r="I25" s="0" t="s">
        <v>92</v>
      </c>
      <c r="J25" s="0" t="n">
        <v>1946</v>
      </c>
      <c r="W25" s="0" t="n">
        <v>52</v>
      </c>
      <c r="AA25" s="3" t="str">
        <f aca="false">IF(AND(W25&gt;0,Z25&gt;0),(Z25/((W25+X25)*10)),"")</f>
        <v/>
      </c>
      <c r="AF25" s="0" t="n">
        <v>6</v>
      </c>
      <c r="AG25" s="0" t="n">
        <v>6</v>
      </c>
      <c r="AJ25" s="4" t="n">
        <v>0</v>
      </c>
      <c r="AK25" s="0" t="str">
        <f aca="false">CONCATENATE(VLOOKUP(AL25, 'Voxel Sizes'!$A$2:$B$18,2,FALSE()),"x",INT(AH25*15), "x", INT(AI25*15))</f>
        <v>60x0x0</v>
      </c>
      <c r="AL25" s="0" t="n">
        <f aca="false">ROUND(15*((AG25*10)/256),0)</f>
        <v>4</v>
      </c>
      <c r="AN25" s="0" t="str">
        <f aca="false">CONCATENATE(VLOOKUP(AL25,Constants!$A$2:$C$16,IF(AM25&lt;&gt;"", 3, 2), FALSE()),IF(AM25&lt;&gt;"",CONCATENATE(",",VLOOKUP(AM25,$B:$AN,39,FALSE())),""))</f>
        <v>1,2,1</v>
      </c>
      <c r="AX25" s="0" t="n">
        <v>30</v>
      </c>
      <c r="AY25" s="16" t="str">
        <f aca="false">IF(L25&lt;&gt;"",MAX(16,(L25-J25)+8),"")</f>
        <v/>
      </c>
      <c r="BB25" s="0" t="n">
        <f aca="false">MIN(AB25/150, 1)*30</f>
        <v>0</v>
      </c>
      <c r="BC25" s="0" t="n">
        <f aca="false">MIN(N25/4000, 1)*20</f>
        <v>0</v>
      </c>
      <c r="BD25" s="0" t="n">
        <f aca="false">MIN(Z25/400,1)*20</f>
        <v>0</v>
      </c>
      <c r="BE25" s="3" t="n">
        <f aca="false">1-(MAX(J25-1900, 0)/750)</f>
        <v>0.938666666666667</v>
      </c>
      <c r="BF25" s="0" t="n">
        <f aca="false">((MAX($M25,1)*MIN($AJ25/300,1)))*IF(G25="Wagon",50,10)</f>
        <v>0</v>
      </c>
      <c r="BG25" s="0" t="n">
        <f aca="false">VLOOKUP($H25,Constants!$I:$K, 2, FALSE())</f>
        <v>0</v>
      </c>
      <c r="BH25" s="0" t="n">
        <f aca="false">VLOOKUP($H25,Constants!$I:$K, 3, FALSE())*IF(AND(G25="multiple_unit",AB25&lt;110),0.75,1)</f>
        <v>0</v>
      </c>
      <c r="BI25" s="0" t="n">
        <f aca="false">INT(POWER(((Constants!$G$2+$BB25+$BC25+$BD25+$BF25)*$BE25)*$BH25, 1.05))+$BA25</f>
        <v>0</v>
      </c>
      <c r="BJ25" s="0" t="n">
        <f aca="false">INT(POWER((((Constants!$G$1+$BB25+$BC25+$BD25+$BF25)*($BE25))*$BG25),IF($G25="wagon",1,1.2)))+$AZ25</f>
        <v>0</v>
      </c>
      <c r="BK25" s="17" t="n">
        <f aca="false">BI25*IF($G25="wagon",62.5,781.25)</f>
        <v>0</v>
      </c>
      <c r="BL25" s="17" t="n">
        <f aca="false">BJ25*IF($G25="wagon",2.73,81.25)</f>
        <v>0</v>
      </c>
      <c r="CA25" s="0" t="str">
        <f aca="false">VLOOKUP(J25,Eras!$A$2:$C$10, 2, TRUE())</f>
        <v>big4</v>
      </c>
      <c r="CC25" s="0" t="str">
        <f aca="false">CONCATENATE(CA25,"_",CB25)</f>
        <v>big4_</v>
      </c>
      <c r="CD25" s="0" t="str">
        <f aca="false">_xlfn.CONCAT(H25, "_",I25)</f>
        <v>tender_RAIL</v>
      </c>
      <c r="CE25" s="6" t="str">
        <f aca="false" t="array" ref="CE25:CE25">_xlfn.CONCAT("{BLACK}Length: {GOLD}", TEXT(ROUNDUP(IF(AQ25&lt;&gt;"",SUM(VALUE(_xlfn.TEXTSPLIT(AQ25, ","))), SUM(VALUE(_xlfn.TEXTSPLIT(AN25, ",")))*IF(M25, M25, 1))/16, 1), "#,##0.0"), " tiles{}")</f>
        <v>{BLACK}Length: {GOLD}0.3 tiles{}</v>
      </c>
      <c r="CF25" s="0" t="str">
        <f aca="false">VLOOKUP($CD25, Constants!$M:$N, 2, FALSE())</f>
        <v/>
      </c>
      <c r="CG25" s="0" t="str">
        <f aca="false">IF(M25&gt;1,_xlfn.CONCAT("{BLACK}Cars: {GOLD}", M25),"")</f>
        <v/>
      </c>
      <c r="CI25" s="0" t="str">
        <f aca="false">IF($BU25="!param_no_gameplay_units","{GREEN}Included for gameplay purposes","")</f>
        <v/>
      </c>
      <c r="CJ25" s="0" t="str">
        <f aca="false">IF(BX25="buffet","{YELLOW}25% long distance bonus for consist{}",IF(BZ25="BRAKE","{YELLOW}Speed bonus for slow wagons{}",IF(BW25&gt;190,CONCATENATE("{YELLOW}",INT((BW25-185)/1.85),"% bonus for long distance travel{}"),IF(AND(BW25&lt;180,BW25&lt;&gt;0),CONCATENATE("{YELLOW}",INT((185-BW25)/1.85),"% penalty for long distance travel{}"),""))))</f>
        <v/>
      </c>
      <c r="CK25" s="0" t="str">
        <f aca="false">_xlfn.CONCAT(CF25,IF(CF25&lt;&gt;""," ",""),CG25,IF(OR(CG25&lt;&gt;"",CF25&lt;&gt;""),"{}",""),CE25,CJ25,"{SILVER}",CH25,IF(CI25&lt;&gt;"","{}{}",""),CI25)</f>
        <v>{BLACK}Length: {GOLD}0.3 tiles{}{SILVER}</v>
      </c>
    </row>
    <row r="26" customFormat="false" ht="14.25" hidden="false" customHeight="false" outlineLevel="0" collapsed="false">
      <c r="A26" s="0" t="s">
        <v>139</v>
      </c>
      <c r="B26" s="15" t="s">
        <v>140</v>
      </c>
      <c r="C26" s="0" t="n">
        <v>-1</v>
      </c>
      <c r="E26" s="0" t="n">
        <v>-1</v>
      </c>
      <c r="G26" s="0" t="s">
        <v>38</v>
      </c>
      <c r="H26" s="0" t="s">
        <v>38</v>
      </c>
      <c r="I26" s="0" t="s">
        <v>92</v>
      </c>
      <c r="J26" s="0" t="n">
        <v>1958</v>
      </c>
      <c r="W26" s="0" t="n">
        <v>52</v>
      </c>
      <c r="AA26" s="3" t="str">
        <f aca="false">IF(AND(W26&gt;0,Z26&gt;0),(Z26/((W26+X26)*10)),"")</f>
        <v/>
      </c>
      <c r="AF26" s="0" t="n">
        <v>6</v>
      </c>
      <c r="AG26" s="0" t="n">
        <v>8</v>
      </c>
      <c r="AJ26" s="4" t="n">
        <v>0</v>
      </c>
      <c r="AK26" s="0" t="str">
        <f aca="false">CONCATENATE(VLOOKUP(AL26, 'Voxel Sizes'!$A$2:$B$18,2,FALSE()),"x",INT(AH26*15), "x", INT(AI26*15))</f>
        <v>82x0x0</v>
      </c>
      <c r="AL26" s="0" t="n">
        <f aca="false">ROUND(15*((AG26*10)/256),0)</f>
        <v>5</v>
      </c>
      <c r="AN26" s="0" t="str">
        <f aca="false">CONCATENATE(VLOOKUP(AL26,Constants!$A$2:$C$16,IF(AM26&lt;&gt;"", 3, 2), FALSE()),IF(AM26&lt;&gt;"",CONCATENATE(",",VLOOKUP(AM26,$B:$AN,39,FALSE())),""))</f>
        <v>2,1,2</v>
      </c>
      <c r="AX26" s="0" t="n">
        <v>30</v>
      </c>
      <c r="AY26" s="16" t="str">
        <f aca="false">IF(L26&lt;&gt;"",MAX(16,(L26-J26)+8),"")</f>
        <v/>
      </c>
      <c r="BB26" s="0" t="n">
        <f aca="false">MIN(AB26/150, 1)*30</f>
        <v>0</v>
      </c>
      <c r="BC26" s="0" t="n">
        <f aca="false">MIN(N26/4000, 1)*20</f>
        <v>0</v>
      </c>
      <c r="BD26" s="0" t="n">
        <f aca="false">MIN(Z26/400,1)*20</f>
        <v>0</v>
      </c>
      <c r="BE26" s="3" t="n">
        <f aca="false">1-(MAX(J26-1900, 0)/750)</f>
        <v>0.922666666666667</v>
      </c>
      <c r="BF26" s="0" t="n">
        <f aca="false">((MAX($M26,1)*MIN($AJ26/300,1)))*IF(G26="Wagon",50,10)</f>
        <v>0</v>
      </c>
      <c r="BG26" s="0" t="n">
        <f aca="false">VLOOKUP($H26,Constants!$I:$K, 2, FALSE())</f>
        <v>0</v>
      </c>
      <c r="BH26" s="0" t="n">
        <f aca="false">VLOOKUP($H26,Constants!$I:$K, 3, FALSE())*IF(AND(G26="multiple_unit",AB26&lt;110),0.75,1)</f>
        <v>0</v>
      </c>
      <c r="BI26" s="0" t="n">
        <f aca="false">INT(POWER(((Constants!$G$2+$BB26+$BC26+$BD26+$BF26)*$BE26)*$BH26, 1.05))+$BA26</f>
        <v>0</v>
      </c>
      <c r="BJ26" s="0" t="n">
        <f aca="false">INT(POWER((((Constants!$G$1+$BB26+$BC26+$BD26+$BF26)*($BE26))*$BG26),IF($G26="wagon",1,1.2)))+$AZ26</f>
        <v>0</v>
      </c>
      <c r="BK26" s="17" t="n">
        <f aca="false">BI26*IF($G26="wagon",62.5,781.25)</f>
        <v>0</v>
      </c>
      <c r="BL26" s="17" t="n">
        <f aca="false">BJ26*IF($G26="wagon",2.73,81.25)</f>
        <v>0</v>
      </c>
      <c r="CA26" s="0" t="str">
        <f aca="false">VLOOKUP(J26,Eras!$A$2:$C$10, 2, TRUE())</f>
        <v>dsl</v>
      </c>
      <c r="CC26" s="0" t="str">
        <f aca="false">CONCATENATE(CA26,"_",CB26)</f>
        <v>dsl_</v>
      </c>
      <c r="CD26" s="0" t="str">
        <f aca="false">_xlfn.CONCAT(H26, "_",I26)</f>
        <v>tender_RAIL</v>
      </c>
      <c r="CE26" s="6" t="str">
        <f aca="false" t="array" ref="CE26:CE26">_xlfn.CONCAT("{BLACK}Length: {GOLD}", TEXT(ROUNDUP(IF(AQ26&lt;&gt;"",SUM(VALUE(_xlfn.TEXTSPLIT(AQ26, ","))), SUM(VALUE(_xlfn.TEXTSPLIT(AN26, ",")))*IF(M26, M26, 1))/16, 1), "#,##0.0"), " tiles{}")</f>
        <v>{BLACK}Length: {GOLD}0.4 tiles{}</v>
      </c>
      <c r="CF26" s="0" t="str">
        <f aca="false">VLOOKUP($CD26, Constants!$M:$N, 2, FALSE())</f>
        <v/>
      </c>
      <c r="CG26" s="0" t="str">
        <f aca="false">IF(M26&gt;1,_xlfn.CONCAT("{BLACK}Cars: {GOLD}", M26),"")</f>
        <v/>
      </c>
      <c r="CI26" s="0" t="str">
        <f aca="false">IF($BU26="!param_no_gameplay_units","{GREEN}Included for gameplay purposes","")</f>
        <v/>
      </c>
      <c r="CJ26" s="0" t="str">
        <f aca="false">IF(BX26="buffet","{YELLOW}25% long distance bonus for consist{}",IF(BZ26="BRAKE","{YELLOW}Speed bonus for slow wagons{}",IF(BW26&gt;190,CONCATENATE("{YELLOW}",INT((BW26-185)/1.85),"% bonus for long distance travel{}"),IF(AND(BW26&lt;180,BW26&lt;&gt;0),CONCATENATE("{YELLOW}",INT((185-BW26)/1.85),"% penalty for long distance travel{}"),""))))</f>
        <v/>
      </c>
      <c r="CK26" s="0" t="str">
        <f aca="false">_xlfn.CONCAT(CF26,IF(CF26&lt;&gt;""," ",""),CG26,IF(OR(CG26&lt;&gt;"",CF26&lt;&gt;""),"{}",""),CE26,CJ26,"{SILVER}",CH26,IF(CI26&lt;&gt;"","{}{}",""),CI26)</f>
        <v>{BLACK}Length: {GOLD}0.4 tiles{}{SILVER}</v>
      </c>
    </row>
    <row r="27" customFormat="false" ht="14.25" hidden="false" customHeight="false" outlineLevel="0" collapsed="false">
      <c r="A27" s="0" t="s">
        <v>141</v>
      </c>
      <c r="B27" s="15" t="s">
        <v>142</v>
      </c>
      <c r="C27" s="0" t="n">
        <v>10</v>
      </c>
      <c r="E27" s="0" t="n">
        <v>1001</v>
      </c>
      <c r="F27" s="0" t="s">
        <v>143</v>
      </c>
      <c r="G27" s="0" t="s">
        <v>144</v>
      </c>
      <c r="H27" s="0" t="s">
        <v>145</v>
      </c>
      <c r="I27" s="0" t="s">
        <v>146</v>
      </c>
      <c r="J27" s="0" t="n">
        <v>1700</v>
      </c>
      <c r="L27" s="0" t="n">
        <v>1870</v>
      </c>
      <c r="W27" s="0" t="n">
        <v>8</v>
      </c>
      <c r="Y27" s="0" t="n">
        <v>3</v>
      </c>
      <c r="AA27" s="3" t="str">
        <f aca="false">IF(AND(W27&gt;0,Z27&gt;0),(Z27/((W27+X27)*10)),"")</f>
        <v/>
      </c>
      <c r="AB27" s="0" t="n">
        <v>45</v>
      </c>
      <c r="AC27" s="0" t="n">
        <f aca="false">ROUND(AB27*1.6, 0)</f>
        <v>72</v>
      </c>
      <c r="AF27" s="0" t="n">
        <v>8</v>
      </c>
      <c r="AG27" s="0" t="n">
        <v>8</v>
      </c>
      <c r="AJ27" s="4" t="n">
        <v>18</v>
      </c>
      <c r="AK27" s="0" t="str">
        <f aca="false">CONCATENATE(VLOOKUP(AL27, 'Voxel Sizes'!$A$2:$B$18,2,FALSE()),"x",INT(AH27*15), "x", INT(AI27*15))</f>
        <v>82x0x0</v>
      </c>
      <c r="AL27" s="0" t="n">
        <f aca="false">ROUND(15*((AG27*10)/256),0)</f>
        <v>5</v>
      </c>
      <c r="AN27" s="0" t="str">
        <f aca="false">CONCATENATE(VLOOKUP(AL27,Constants!$A$2:$C$16,IF(AM27&lt;&gt;"", 3, 2), FALSE()),IF(AM27&lt;&gt;"",CONCATENATE(",",VLOOKUP(AM27,$B:$AN,39,FALSE())),""))</f>
        <v>2,1,2</v>
      </c>
      <c r="AX27" s="0" t="n">
        <v>30</v>
      </c>
      <c r="AY27" s="16" t="n">
        <f aca="false">IF(L27&lt;&gt;"",MAX(16,(L27-J27)+8),"")</f>
        <v>178</v>
      </c>
      <c r="AZ27" s="0" t="n">
        <v>10</v>
      </c>
      <c r="BA27" s="0" t="n">
        <v>10</v>
      </c>
      <c r="BB27" s="0" t="n">
        <f aca="false">MIN(AB27/150, 1)*30</f>
        <v>9</v>
      </c>
      <c r="BC27" s="0" t="n">
        <f aca="false">MIN(N27/4000, 1)*20</f>
        <v>0</v>
      </c>
      <c r="BD27" s="0" t="n">
        <f aca="false">MIN(Z27/400,1)*20</f>
        <v>0</v>
      </c>
      <c r="BE27" s="3" t="n">
        <f aca="false">1-(MAX(J27-1900, 0)/750)</f>
        <v>1</v>
      </c>
      <c r="BF27" s="0" t="n">
        <f aca="false">((MAX($M27,1)*MIN($AJ27/300,1)))*IF(G27="Wagon",50,10)</f>
        <v>3</v>
      </c>
      <c r="BG27" s="0" t="n">
        <f aca="false">VLOOKUP($H27,Constants!$I:$K, 2, FALSE())</f>
        <v>1.2</v>
      </c>
      <c r="BH27" s="0" t="n">
        <f aca="false">VLOOKUP($H27,Constants!$I:$K, 3, FALSE())*IF(AND(G27="multiple_unit",AB27&lt;110),0.75,1)</f>
        <v>0.6</v>
      </c>
      <c r="BI27" s="0" t="n">
        <f aca="false">INT(POWER(((Constants!$G$2+$BB27+$BC27+$BD27+$BF27)*$BE27)*$BH27, 1.05))+$BA27</f>
        <v>21</v>
      </c>
      <c r="BJ27" s="0" t="n">
        <f aca="false">INT(POWER((((Constants!$G$1+$BB27+$BC27+$BD27+$BF27)*($BE27))*$BG27),IF($G27="wagon",1,1.2)))+$AZ27</f>
        <v>42</v>
      </c>
      <c r="BK27" s="17" t="n">
        <f aca="false">BI27*IF($G27="wagon",62.5,781.25)</f>
        <v>1312.5</v>
      </c>
      <c r="BL27" s="17" t="n">
        <f aca="false">BJ27*IF($G27="wagon",2.73,81.25)</f>
        <v>114.66</v>
      </c>
      <c r="BV27" s="0" t="n">
        <v>10</v>
      </c>
      <c r="BW27" s="0" t="n">
        <v>185</v>
      </c>
      <c r="BY27" s="0" t="s">
        <v>147</v>
      </c>
      <c r="BZ27" s="0" t="s">
        <v>148</v>
      </c>
      <c r="CA27" s="0" t="str">
        <f aca="false">VLOOKUP(J27,Eras!$A$2:$C$10, 2, TRUE())</f>
        <v>early</v>
      </c>
      <c r="CB27" s="0" t="s">
        <v>149</v>
      </c>
      <c r="CC27" s="0" t="str">
        <f aca="false">CONCATENATE(CA27,"_",CB27)</f>
        <v>early_Carriage</v>
      </c>
      <c r="CD27" s="0" t="str">
        <f aca="false">_xlfn.CONCAT(H27, "_",I27)</f>
        <v>carriage_PLATEWAY</v>
      </c>
      <c r="CE27" s="6" t="str">
        <f aca="false" t="array" ref="CE27:CE27">_xlfn.CONCAT("{BLACK}Length: {GOLD}", TEXT(ROUNDUP(IF(AQ27&lt;&gt;"",SUM(VALUE(_xlfn.TEXTSPLIT(AQ27, ","))), SUM(VALUE(_xlfn.TEXTSPLIT(AN27, ",")))*IF(M27, M27, 1))/16, 1), "#,##0.0"), " tiles{}")</f>
        <v>{BLACK}Length: {GOLD}0.4 tiles{}</v>
      </c>
      <c r="CF27" s="0" t="str">
        <f aca="false">VLOOKUP($CD27, Constants!$M:$N, 2, FALSE())</f>
        <v/>
      </c>
      <c r="CG27" s="0" t="str">
        <f aca="false">IF(M27&gt;1,_xlfn.CONCAT("{BLACK}Cars: {GOLD}", M27),"")</f>
        <v/>
      </c>
      <c r="CH27" s="0" t="s">
        <v>150</v>
      </c>
      <c r="CI27" s="0" t="str">
        <f aca="false">IF($BU27="!param_no_gameplay_units","{GREEN}Included for gameplay purposes","")</f>
        <v/>
      </c>
      <c r="CJ27" s="0" t="str">
        <f aca="false">IF(BX27="buffet","{YELLOW}25% long distance bonus for consist{}",IF(BZ27="BRAKE","{YELLOW}Speed bonus for slow wagons{}",IF(BW27&gt;190,CONCATENATE("{YELLOW}",INT((BW27-185)/1.85),"% bonus for long distance travel{}"),IF(AND(BW27&lt;180,BW27&lt;&gt;0),CONCATENATE("{YELLOW}",INT((185-BW27)/1.85),"% penalty for long distance travel{}"),""))))</f>
        <v/>
      </c>
      <c r="CK27" s="0" t="str">
        <f aca="false">_xlfn.CONCAT(CF27,IF(CF27&lt;&gt;""," ",""),CG27,IF(OR(CG27&lt;&gt;"",CF27&lt;&gt;""),"{}",""),CE27,CJ27,"{SILVER}",CH27,IF(CI27&lt;&gt;"","{}{}",""),CI27)</f>
        <v>{BLACK}Length: {GOLD}0.4 tiles{}{SILVER}The first enclosed passenger carriages were adapted from stagecoach bodies, with wooden frames.</v>
      </c>
    </row>
    <row r="28" customFormat="false" ht="14.25" hidden="false" customHeight="false" outlineLevel="0" collapsed="false">
      <c r="A28" s="0" t="s">
        <v>151</v>
      </c>
      <c r="B28" s="15" t="s">
        <v>152</v>
      </c>
      <c r="C28" s="0" t="n">
        <v>11</v>
      </c>
      <c r="E28" s="0" t="n">
        <v>1002</v>
      </c>
      <c r="F28" s="0" t="s">
        <v>143</v>
      </c>
      <c r="G28" s="0" t="s">
        <v>144</v>
      </c>
      <c r="H28" s="0" t="s">
        <v>145</v>
      </c>
      <c r="I28" s="0" t="s">
        <v>92</v>
      </c>
      <c r="J28" s="0" t="n">
        <v>1855</v>
      </c>
      <c r="L28" s="0" t="n">
        <v>1900</v>
      </c>
      <c r="W28" s="0" t="n">
        <v>18</v>
      </c>
      <c r="Y28" s="0" t="n">
        <v>4</v>
      </c>
      <c r="AA28" s="3" t="str">
        <f aca="false">IF(AND(W28&gt;0,Z28&gt;0),(Z28/((W28+X28)*10)),"")</f>
        <v/>
      </c>
      <c r="AB28" s="0" t="n">
        <v>65</v>
      </c>
      <c r="AC28" s="0" t="n">
        <f aca="false">ROUND(AB28*1.6, 0)</f>
        <v>104</v>
      </c>
      <c r="AF28" s="0" t="n">
        <v>10</v>
      </c>
      <c r="AG28" s="0" t="n">
        <v>10</v>
      </c>
      <c r="AJ28" s="4" t="n">
        <v>24</v>
      </c>
      <c r="AK28" s="0" t="str">
        <f aca="false">CONCATENATE(VLOOKUP(AL28, 'Voxel Sizes'!$A$2:$B$18,2,FALSE()),"x",INT(AH28*15), "x", INT(AI28*15))</f>
        <v>102x0x0</v>
      </c>
      <c r="AL28" s="0" t="n">
        <f aca="false">ROUND(15*((AG28*10)/256),0)</f>
        <v>6</v>
      </c>
      <c r="AN28" s="0" t="str">
        <f aca="false">CONCATENATE(VLOOKUP(AL28,Constants!$A$2:$C$16,IF(AM28&lt;&gt;"", 3, 2), FALSE()),IF(AM28&lt;&gt;"",CONCATENATE(",",VLOOKUP(AM28,$B:$AN,39,FALSE())),""))</f>
        <v>2,2,2</v>
      </c>
      <c r="AX28" s="0" t="n">
        <v>30</v>
      </c>
      <c r="AY28" s="16" t="n">
        <f aca="false">IF(L28&lt;&gt;"",MAX(16,(L28-J28)+8),"")</f>
        <v>53</v>
      </c>
      <c r="AZ28" s="0" t="n">
        <v>35</v>
      </c>
      <c r="BA28" s="0" t="n">
        <v>42</v>
      </c>
      <c r="BB28" s="0" t="n">
        <f aca="false">MIN(AB28/150, 1)*30</f>
        <v>13</v>
      </c>
      <c r="BC28" s="0" t="n">
        <f aca="false">MIN(N28/4000, 1)*20</f>
        <v>0</v>
      </c>
      <c r="BD28" s="0" t="n">
        <f aca="false">MIN(Z28/400,1)*20</f>
        <v>0</v>
      </c>
      <c r="BE28" s="3" t="n">
        <f aca="false">1-(MAX(J28-1900, 0)/750)</f>
        <v>1</v>
      </c>
      <c r="BF28" s="0" t="n">
        <f aca="false">((MAX($M28,1)*MIN($AJ28/300,1)))*IF(G28="Wagon",50,10)</f>
        <v>4</v>
      </c>
      <c r="BG28" s="0" t="n">
        <f aca="false">VLOOKUP($H28,Constants!$I:$K, 2, FALSE())</f>
        <v>1.2</v>
      </c>
      <c r="BH28" s="0" t="n">
        <f aca="false">VLOOKUP($H28,Constants!$I:$K, 3, FALSE())*IF(AND(G28="multiple_unit",AB28&lt;110),0.75,1)</f>
        <v>0.6</v>
      </c>
      <c r="BI28" s="0" t="n">
        <f aca="false">INT(POWER(((Constants!$G$2+$BB28+$BC28+$BD28+$BF28)*$BE28)*$BH28, 1.05))+$BA28</f>
        <v>57</v>
      </c>
      <c r="BJ28" s="0" t="n">
        <f aca="false">INT(POWER((((Constants!$G$1+$BB28+$BC28+$BD28+$BF28)*($BE28))*$BG28),IF($G28="wagon",1,1.2)))+$AZ28</f>
        <v>73</v>
      </c>
      <c r="BK28" s="17" t="n">
        <f aca="false">BI28*IF($G28="wagon",62.5,781.25)</f>
        <v>3562.5</v>
      </c>
      <c r="BL28" s="17" t="n">
        <f aca="false">BJ28*IF($G28="wagon",2.73,81.25)</f>
        <v>199.29</v>
      </c>
      <c r="BV28" s="0" t="n">
        <v>10</v>
      </c>
      <c r="BW28" s="0" t="n">
        <v>185</v>
      </c>
      <c r="BY28" s="0" t="s">
        <v>147</v>
      </c>
      <c r="BZ28" s="0" t="s">
        <v>148</v>
      </c>
      <c r="CA28" s="0" t="str">
        <f aca="false">VLOOKUP(J28,Eras!$A$2:$C$10, 2, TRUE())</f>
        <v>vct</v>
      </c>
      <c r="CB28" s="0" t="s">
        <v>149</v>
      </c>
      <c r="CC28" s="0" t="str">
        <f aca="false">CONCATENATE(CA28,"_",CB28)</f>
        <v>vct_Carriage</v>
      </c>
      <c r="CD28" s="0" t="str">
        <f aca="false">_xlfn.CONCAT(H28, "_",I28)</f>
        <v>carriage_RAIL</v>
      </c>
      <c r="CE28" s="6" t="str">
        <f aca="false" t="array" ref="CE28:CE28">_xlfn.CONCAT("{BLACK}Length: {GOLD}", TEXT(ROUNDUP(IF(AQ28&lt;&gt;"",SUM(VALUE(_xlfn.TEXTSPLIT(AQ28, ","))), SUM(VALUE(_xlfn.TEXTSPLIT(AN28, ",")))*IF(M28, M28, 1))/16, 1), "#,##0.0"), " tiles{}")</f>
        <v>{BLACK}Length: {GOLD}0.4 tiles{}</v>
      </c>
      <c r="CF28" s="0" t="str">
        <f aca="false">VLOOKUP($CD28, Constants!$M:$N, 2, FALSE())</f>
        <v/>
      </c>
      <c r="CG28" s="0" t="str">
        <f aca="false">IF(M28&gt;1,_xlfn.CONCAT("{BLACK}Cars: {GOLD}", M28),"")</f>
        <v/>
      </c>
      <c r="CH28" s="0" t="s">
        <v>153</v>
      </c>
      <c r="CI28" s="0" t="str">
        <f aca="false">IF($BU28="!param_no_gameplay_units","{GREEN}Included for gameplay purposes","")</f>
        <v/>
      </c>
      <c r="CJ28" s="0" t="str">
        <f aca="false">IF(BX28="buffet","{YELLOW}25% long distance bonus for consist{}",IF(BZ28="BRAKE","{YELLOW}Speed bonus for slow wagons{}",IF(BW28&gt;190,CONCATENATE("{YELLOW}",INT((BW28-185)/1.85),"% bonus for long distance travel{}"),IF(AND(BW28&lt;180,BW28&lt;&gt;0),CONCATENATE("{YELLOW}",INT((185-BW28)/1.85),"% penalty for long distance travel{}"),""))))</f>
        <v/>
      </c>
      <c r="CK28" s="0" t="str">
        <f aca="false">_xlfn.CONCAT(CF28,IF(CF28&lt;&gt;""," ",""),CG28,IF(OR(CG28&lt;&gt;"",CF28&lt;&gt;""),"{}",""),CE28,CJ28,"{SILVER}",CH28,IF(CI28&lt;&gt;"","{}{}",""),CI28)</f>
        <v>{BLACK}Length: {GOLD}0.4 tiles{}{SILVER}Railway carriages from the 1850s to 1870s tended to be built on wooden or wrought iron frames of around 20-24ft in length, with oil lighting internally.</v>
      </c>
    </row>
    <row r="29" customFormat="false" ht="14.25" hidden="false" customHeight="true" outlineLevel="0" collapsed="false">
      <c r="A29" s="0" t="s">
        <v>154</v>
      </c>
      <c r="B29" s="15" t="s">
        <v>155</v>
      </c>
      <c r="C29" s="0" t="n">
        <v>12</v>
      </c>
      <c r="E29" s="0" t="n">
        <v>1003</v>
      </c>
      <c r="F29" s="0" t="s">
        <v>143</v>
      </c>
      <c r="G29" s="0" t="s">
        <v>144</v>
      </c>
      <c r="H29" s="0" t="s">
        <v>145</v>
      </c>
      <c r="I29" s="0" t="s">
        <v>92</v>
      </c>
      <c r="J29" s="0" t="n">
        <v>1875</v>
      </c>
      <c r="L29" s="0" t="n">
        <v>1915</v>
      </c>
      <c r="W29" s="0" t="n">
        <v>21</v>
      </c>
      <c r="Y29" s="0" t="n">
        <v>4</v>
      </c>
      <c r="AA29" s="3" t="str">
        <f aca="false">IF(AND(W29&gt;0,Z29&gt;0),(Z29/((W29+X29)*10)),"")</f>
        <v/>
      </c>
      <c r="AB29" s="0" t="n">
        <v>75</v>
      </c>
      <c r="AC29" s="0" t="n">
        <f aca="false">ROUND(AB29*1.6, 0)</f>
        <v>120</v>
      </c>
      <c r="AF29" s="0" t="n">
        <v>12</v>
      </c>
      <c r="AG29" s="0" t="n">
        <v>12</v>
      </c>
      <c r="AJ29" s="4" t="n">
        <v>30</v>
      </c>
      <c r="AK29" s="0" t="str">
        <f aca="false">CONCATENATE(VLOOKUP(AL29, 'Voxel Sizes'!$A$2:$B$18,2,FALSE()),"x",INT(AH29*15), "x", INT(AI29*15))</f>
        <v>120x0x0</v>
      </c>
      <c r="AL29" s="0" t="n">
        <f aca="false">ROUND(15*((AG29*10)/256),0)</f>
        <v>7</v>
      </c>
      <c r="AN29" s="0" t="str">
        <f aca="false">CONCATENATE(VLOOKUP(AL29,Constants!$A$2:$C$16,IF(AM29&lt;&gt;"", 3, 2), FALSE()),IF(AM29&lt;&gt;"",CONCATENATE(",",VLOOKUP(AM29,$B:$AN,39,FALSE())),""))</f>
        <v>2,3,2</v>
      </c>
      <c r="AX29" s="0" t="n">
        <v>30</v>
      </c>
      <c r="AY29" s="16" t="n">
        <f aca="false">IF(L29&lt;&gt;"",MAX(16,(L29-J29)+8),"")</f>
        <v>48</v>
      </c>
      <c r="AZ29" s="0" t="n">
        <v>58</v>
      </c>
      <c r="BA29" s="0" t="n">
        <v>48</v>
      </c>
      <c r="BB29" s="0" t="n">
        <f aca="false">MIN(AB29/150, 1)*30</f>
        <v>15</v>
      </c>
      <c r="BC29" s="0" t="n">
        <f aca="false">MIN(N29/4000, 1)*20</f>
        <v>0</v>
      </c>
      <c r="BD29" s="0" t="n">
        <f aca="false">MIN(Z29/400,1)*20</f>
        <v>0</v>
      </c>
      <c r="BE29" s="3" t="n">
        <f aca="false">1-(MAX(J29-1900, 0)/750)</f>
        <v>1</v>
      </c>
      <c r="BF29" s="0" t="n">
        <f aca="false">((MAX($M29,1)*MIN($AJ29/300,1)))*IF(G29="Wagon",50,10)</f>
        <v>5</v>
      </c>
      <c r="BG29" s="0" t="n">
        <f aca="false">VLOOKUP($H29,Constants!$I:$K, 2, FALSE())</f>
        <v>1.2</v>
      </c>
      <c r="BH29" s="0" t="n">
        <f aca="false">VLOOKUP($H29,Constants!$I:$K, 3, FALSE())*IF(AND(G29="multiple_unit",AB29&lt;110),0.75,1)</f>
        <v>0.6</v>
      </c>
      <c r="BI29" s="0" t="n">
        <f aca="false">INT(POWER(((Constants!$G$2+$BB29+$BC29+$BD29+$BF29)*$BE29)*$BH29, 1.05))+$BA29</f>
        <v>65</v>
      </c>
      <c r="BJ29" s="0" t="n">
        <f aca="false">INT(POWER((((Constants!$G$1+$BB29+$BC29+$BD29+$BF29)*($BE29))*$BG29),IF($G29="wagon",1,1.2)))+$AZ29</f>
        <v>100</v>
      </c>
      <c r="BK29" s="17" t="n">
        <f aca="false">BI29*IF($G29="wagon",62.5,781.25)</f>
        <v>4062.5</v>
      </c>
      <c r="BL29" s="17" t="n">
        <f aca="false">BJ29*IF($G29="wagon",2.73,81.25)</f>
        <v>273</v>
      </c>
      <c r="BV29" s="0" t="n">
        <v>11</v>
      </c>
      <c r="BW29" s="0" t="n">
        <v>185</v>
      </c>
      <c r="BY29" s="0" t="s">
        <v>147</v>
      </c>
      <c r="BZ29" s="0" t="s">
        <v>148</v>
      </c>
      <c r="CA29" s="0" t="str">
        <f aca="false">VLOOKUP(J29,Eras!$A$2:$C$10, 2, TRUE())</f>
        <v>vct</v>
      </c>
      <c r="CB29" s="0" t="s">
        <v>149</v>
      </c>
      <c r="CC29" s="0" t="str">
        <f aca="false">CONCATENATE(CA29,"_",CB29)</f>
        <v>vct_Carriage</v>
      </c>
      <c r="CD29" s="0" t="str">
        <f aca="false">_xlfn.CONCAT(H29, "_",I29)</f>
        <v>carriage_RAIL</v>
      </c>
      <c r="CE29" s="6" t="str">
        <f aca="false" t="array" ref="CE29:CE29">_xlfn.CONCAT("{BLACK}Length: {GOLD}", TEXT(ROUNDUP(IF(AQ29&lt;&gt;"",SUM(VALUE(_xlfn.TEXTSPLIT(AQ29, ","))), SUM(VALUE(_xlfn.TEXTSPLIT(AN29, ",")))*IF(M29, M29, 1))/16, 1), "#,##0.0"), " tiles{}")</f>
        <v>{BLACK}Length: {GOLD}0.5 tiles{}</v>
      </c>
      <c r="CF29" s="0" t="str">
        <f aca="false">VLOOKUP($CD29, Constants!$M:$N, 2, FALSE())</f>
        <v/>
      </c>
      <c r="CG29" s="0" t="str">
        <f aca="false">IF(M29&gt;1,_xlfn.CONCAT("{BLACK}Cars: {GOLD}", M29),"")</f>
        <v/>
      </c>
      <c r="CH29" s="0" t="s">
        <v>156</v>
      </c>
      <c r="CI29" s="0" t="str">
        <f aca="false">IF($BU29="!param_no_gameplay_units","{GREEN}Included for gameplay purposes","")</f>
        <v/>
      </c>
      <c r="CJ29" s="0" t="str">
        <f aca="false">IF(BX29="buffet","{YELLOW}25% long distance bonus for consist{}",IF(BZ29="BRAKE","{YELLOW}Speed bonus for slow wagons{}",IF(BW29&gt;190,CONCATENATE("{YELLOW}",INT((BW29-185)/1.85),"% bonus for long distance travel{}"),IF(AND(BW29&lt;180,BW29&lt;&gt;0),CONCATENATE("{YELLOW}",INT((185-BW29)/1.85),"% penalty for long distance travel{}"),""))))</f>
        <v/>
      </c>
      <c r="CK29" s="0" t="str">
        <f aca="false">_xlfn.CONCAT(CF29,IF(CF29&lt;&gt;""," ",""),CG29,IF(OR(CG29&lt;&gt;"",CF29&lt;&gt;""),"{}",""),CE29,CJ29,"{SILVER}",CH29,IF(CI29&lt;&gt;"","{}{}",""),CI29)</f>
        <v>{BLACK}Length: {GOLD}0.5 tiles{}{SILVER}After early experiments for royal saloons, smoother and faster-running six wheel carriages with then-modern fixtures such as gas lighting became common from the 1870s, displacing older four wheeled stock to smaller suburban lines.</v>
      </c>
    </row>
    <row r="30" customFormat="false" ht="14.25" hidden="false" customHeight="false" outlineLevel="0" collapsed="false">
      <c r="A30" s="0" t="s">
        <v>157</v>
      </c>
      <c r="B30" s="15" t="s">
        <v>158</v>
      </c>
      <c r="C30" s="0" t="n">
        <v>13</v>
      </c>
      <c r="E30" s="0" t="n">
        <v>1004</v>
      </c>
      <c r="F30" s="0" t="s">
        <v>143</v>
      </c>
      <c r="G30" s="0" t="s">
        <v>144</v>
      </c>
      <c r="H30" s="0" t="s">
        <v>145</v>
      </c>
      <c r="I30" s="0" t="s">
        <v>159</v>
      </c>
      <c r="J30" s="0" t="n">
        <v>1889</v>
      </c>
      <c r="L30" s="0" t="n">
        <v>1924</v>
      </c>
      <c r="W30" s="0" t="n">
        <v>15</v>
      </c>
      <c r="Y30" s="0" t="n">
        <v>7</v>
      </c>
      <c r="AA30" s="3" t="str">
        <f aca="false">IF(AND(W30&gt;0,Z30&gt;0),(Z30/((W30+X30)*10)),"")</f>
        <v/>
      </c>
      <c r="AB30" s="0" t="n">
        <v>30</v>
      </c>
      <c r="AC30" s="0" t="n">
        <f aca="false">ROUND(AB30*1.6, 0)</f>
        <v>48</v>
      </c>
      <c r="AF30" s="0" t="n">
        <v>14</v>
      </c>
      <c r="AG30" s="0" t="n">
        <v>14</v>
      </c>
      <c r="AJ30" s="4" t="n">
        <v>66</v>
      </c>
      <c r="AK30" s="0" t="str">
        <f aca="false">CONCATENATE(VLOOKUP(AL30, 'Voxel Sizes'!$A$2:$B$18,2,FALSE()),"x",INT(AH30*15), "x", INT(AI30*15))</f>
        <v>136x0x0</v>
      </c>
      <c r="AL30" s="0" t="n">
        <f aca="false">ROUND(15*((AG30*10)/256),0)</f>
        <v>8</v>
      </c>
      <c r="AN30" s="0" t="str">
        <f aca="false">CONCATENATE(VLOOKUP(AL30,Constants!$A$2:$C$16,IF(AM30&lt;&gt;"", 3, 2), FALSE()),IF(AM30&lt;&gt;"",CONCATENATE(",",VLOOKUP(AM30,$B:$AN,39,FALSE())),""))</f>
        <v>2,4,2</v>
      </c>
      <c r="AX30" s="0" t="n">
        <v>30</v>
      </c>
      <c r="AY30" s="16" t="n">
        <f aca="false">IF(L30&lt;&gt;"",MAX(16,(L30-J30)+8),"")</f>
        <v>43</v>
      </c>
      <c r="AZ30" s="0" t="n">
        <v>41</v>
      </c>
      <c r="BA30" s="0" t="n">
        <v>20</v>
      </c>
      <c r="BB30" s="0" t="n">
        <f aca="false">MIN(AB30/150, 1)*30</f>
        <v>6</v>
      </c>
      <c r="BC30" s="0" t="n">
        <f aca="false">MIN(N30/4000, 1)*20</f>
        <v>0</v>
      </c>
      <c r="BD30" s="0" t="n">
        <f aca="false">MIN(Z30/400,1)*20</f>
        <v>0</v>
      </c>
      <c r="BE30" s="3" t="n">
        <f aca="false">1-(MAX(J30-1900, 0)/750)</f>
        <v>1</v>
      </c>
      <c r="BF30" s="0" t="n">
        <f aca="false">((MAX($M30,1)*MIN($AJ30/300,1)))*IF(G30="Wagon",50,10)</f>
        <v>11</v>
      </c>
      <c r="BG30" s="0" t="n">
        <f aca="false">VLOOKUP($H30,Constants!$I:$K, 2, FALSE())</f>
        <v>1.2</v>
      </c>
      <c r="BH30" s="0" t="n">
        <f aca="false">VLOOKUP($H30,Constants!$I:$K, 3, FALSE())*IF(AND(G30="multiple_unit",AB30&lt;110),0.75,1)</f>
        <v>0.6</v>
      </c>
      <c r="BI30" s="0" t="n">
        <f aca="false">INT(POWER(((Constants!$G$2+$BB30+$BC30+$BD30+$BF30)*$BE30)*$BH30, 1.05))+$BA30</f>
        <v>35</v>
      </c>
      <c r="BJ30" s="0" t="n">
        <f aca="false">INT(POWER((((Constants!$G$1+$BB30+$BC30+$BD30+$BF30)*($BE30))*$BG30),IF($G30="wagon",1,1.2)))+$AZ30</f>
        <v>79</v>
      </c>
      <c r="BK30" s="17" t="n">
        <f aca="false">BI30*IF($G30="wagon",62.5,781.25)</f>
        <v>2187.5</v>
      </c>
      <c r="BL30" s="17" t="n">
        <f aca="false">BJ30*IF($G30="wagon",2.73,81.25)</f>
        <v>215.67</v>
      </c>
      <c r="BV30" s="0" t="n">
        <v>1</v>
      </c>
      <c r="BW30" s="0" t="n">
        <v>120</v>
      </c>
      <c r="BY30" s="0" t="s">
        <v>147</v>
      </c>
      <c r="BZ30" s="0" t="s">
        <v>148</v>
      </c>
      <c r="CA30" s="0" t="str">
        <f aca="false">VLOOKUP(J30,Eras!$A$2:$C$10, 2, TRUE())</f>
        <v>vct</v>
      </c>
      <c r="CB30" s="0" t="s">
        <v>149</v>
      </c>
      <c r="CC30" s="0" t="str">
        <f aca="false">CONCATENATE(CA30,"_",CB30)</f>
        <v>vct_Carriage</v>
      </c>
      <c r="CD30" s="0" t="str">
        <f aca="false">_xlfn.CONCAT(H30, "_",I30)</f>
        <v>carriage_FOURTH_RAIL</v>
      </c>
      <c r="CE30" s="6" t="str">
        <f aca="false" t="array" ref="CE30:CE30">_xlfn.CONCAT("{BLACK}Length: {GOLD}", TEXT(ROUNDUP(IF(AQ30&lt;&gt;"",SUM(VALUE(_xlfn.TEXTSPLIT(AQ30, ","))), SUM(VALUE(_xlfn.TEXTSPLIT(AN30, ",")))*IF(M30, M30, 1))/16, 1), "#,##0.0"), " tiles{}")</f>
        <v>{BLACK}Length: {GOLD}0.5 tiles{}</v>
      </c>
      <c r="CF30" s="0" t="str">
        <f aca="false">VLOOKUP($CD30, Constants!$M:$N, 2, FALSE())</f>
        <v/>
      </c>
      <c r="CG30" s="0" t="str">
        <f aca="false">IF(M30&gt;1,_xlfn.CONCAT("{BLACK}Cars: {GOLD}", M30),"")</f>
        <v/>
      </c>
      <c r="CH30" s="0" t="s">
        <v>160</v>
      </c>
      <c r="CI30" s="0" t="str">
        <f aca="false">IF($BU30="!param_no_gameplay_units","{GREEN}Included for gameplay purposes","")</f>
        <v/>
      </c>
      <c r="CJ30" s="0" t="str">
        <f aca="false">IF(BX30="buffet","{YELLOW}25% long distance bonus for consist{}",IF(BZ30="BRAKE","{YELLOW}Speed bonus for slow wagons{}",IF(BW30&gt;190,CONCATENATE("{YELLOW}",INT((BW30-185)/1.85),"% bonus for long distance travel{}"),IF(AND(BW30&lt;180,BW30&lt;&gt;0),CONCATENATE("{YELLOW}",INT((185-BW30)/1.85),"% penalty for long distance travel{}"),""))))</f>
        <v>{YELLOW}35% penalty for long distance travel{}</v>
      </c>
      <c r="CK30" s="0" t="str">
        <f aca="false">_xlfn.CONCAT(CF30,IF(CF30&lt;&gt;""," ",""),CG30,IF(OR(CG30&lt;&gt;"",CF30&lt;&gt;""),"{}",""),CE30,CJ30,"{SILVER}",CH30,IF(CI30&lt;&gt;"","{}{}",""),CI30)</f>
        <v>{BLACK}Length: {GOLD}0.5 tiles{}{YELLOW}35% penalty for long distance travel{}{SILVER}Early Tube carriages were nicknamed "Padded Cell" due to their tall cushion-backed seats and small windows.</v>
      </c>
    </row>
    <row r="31" customFormat="false" ht="14.25" hidden="false" customHeight="false" outlineLevel="0" collapsed="false">
      <c r="A31" s="0" t="s">
        <v>161</v>
      </c>
      <c r="B31" s="15" t="s">
        <v>162</v>
      </c>
      <c r="C31" s="0" t="n">
        <v>14</v>
      </c>
      <c r="E31" s="0" t="n">
        <v>1005</v>
      </c>
      <c r="F31" s="0" t="s">
        <v>143</v>
      </c>
      <c r="G31" s="0" t="s">
        <v>144</v>
      </c>
      <c r="H31" s="0" t="s">
        <v>145</v>
      </c>
      <c r="I31" s="0" t="s">
        <v>92</v>
      </c>
      <c r="J31" s="0" t="n">
        <v>1892</v>
      </c>
      <c r="L31" s="0" t="n">
        <v>1935</v>
      </c>
      <c r="W31" s="0" t="n">
        <v>28</v>
      </c>
      <c r="Y31" s="0" t="n">
        <v>4</v>
      </c>
      <c r="AA31" s="3" t="str">
        <f aca="false">IF(AND(W31&gt;0,Z31&gt;0),(Z31/((W31+X31)*10)),"")</f>
        <v/>
      </c>
      <c r="AB31" s="0" t="n">
        <v>90</v>
      </c>
      <c r="AC31" s="0" t="n">
        <f aca="false">ROUND(AB31*1.6, 0)</f>
        <v>144</v>
      </c>
      <c r="AF31" s="0" t="n">
        <v>16.2</v>
      </c>
      <c r="AG31" s="0" t="n">
        <v>16.2</v>
      </c>
      <c r="AH31" s="0" t="n">
        <v>2.8</v>
      </c>
      <c r="AJ31" s="4" t="n">
        <v>42</v>
      </c>
      <c r="AK31" s="0" t="str">
        <f aca="false">CONCATENATE(VLOOKUP(AL31, 'Voxel Sizes'!$A$2:$B$18,2,FALSE()),"x",INT(AH31*15), "x", INT(AI31*15))</f>
        <v>152x42x0</v>
      </c>
      <c r="AL31" s="0" t="n">
        <f aca="false">ROUND(15*((AG31*10)/256),0)</f>
        <v>9</v>
      </c>
      <c r="AN31" s="0" t="str">
        <f aca="false">CONCATENATE(VLOOKUP(AL31,Constants!$A$2:$C$16,IF(AM31&lt;&gt;"", 3, 2), FALSE()),IF(AM31&lt;&gt;"",CONCATENATE(",",VLOOKUP(AM31,$B:$AN,39,FALSE())),""))</f>
        <v>2,5,2</v>
      </c>
      <c r="AX31" s="0" t="n">
        <v>30</v>
      </c>
      <c r="AY31" s="16" t="n">
        <f aca="false">IF(L31&lt;&gt;"",MAX(16,(L31-J31)+8),"")</f>
        <v>51</v>
      </c>
      <c r="AZ31" s="0" t="n">
        <v>69</v>
      </c>
      <c r="BA31" s="0" t="n">
        <f aca="false">19*3</f>
        <v>57</v>
      </c>
      <c r="BB31" s="0" t="n">
        <f aca="false">MIN(AB31/150, 1)*30</f>
        <v>18</v>
      </c>
      <c r="BC31" s="0" t="n">
        <f aca="false">MIN(N31/4000, 1)*20</f>
        <v>0</v>
      </c>
      <c r="BD31" s="0" t="n">
        <f aca="false">MIN(Z31/400,1)*20</f>
        <v>0</v>
      </c>
      <c r="BE31" s="3" t="n">
        <f aca="false">1-(MAX(J31-1900, 0)/750)</f>
        <v>1</v>
      </c>
      <c r="BF31" s="0" t="n">
        <f aca="false">((MAX($M31,1)*MIN($AJ31/300,1)))*IF(G31="Wagon",50,10)</f>
        <v>7</v>
      </c>
      <c r="BG31" s="0" t="n">
        <f aca="false">VLOOKUP($H31,Constants!$I:$K, 2, FALSE())</f>
        <v>1.2</v>
      </c>
      <c r="BH31" s="0" t="n">
        <f aca="false">VLOOKUP($H31,Constants!$I:$K, 3, FALSE())*IF(AND(G31="multiple_unit",AB31&lt;110),0.75,1)</f>
        <v>0.6</v>
      </c>
      <c r="BI31" s="0" t="n">
        <f aca="false">INT(POWER(((Constants!$G$2+$BB31+$BC31+$BD31+$BF31)*$BE31)*$BH31, 1.05))+$BA31</f>
        <v>77</v>
      </c>
      <c r="BJ31" s="0" t="n">
        <f aca="false">INT(POWER((((Constants!$G$1+$BB31+$BC31+$BD31+$BF31)*($BE31))*$BG31),IF($G31="wagon",1,1.2)))+$AZ31</f>
        <v>117</v>
      </c>
      <c r="BK31" s="17" t="n">
        <f aca="false">BI31*IF($G31="wagon",62.5,781.25)</f>
        <v>4812.5</v>
      </c>
      <c r="BL31" s="17" t="n">
        <f aca="false">BJ31*IF($G31="wagon",2.73,81.25)</f>
        <v>319.41</v>
      </c>
      <c r="BV31" s="0" t="n">
        <v>1</v>
      </c>
      <c r="BW31" s="0" t="n">
        <v>185</v>
      </c>
      <c r="BY31" s="0" t="s">
        <v>147</v>
      </c>
      <c r="BZ31" s="0" t="s">
        <v>148</v>
      </c>
      <c r="CA31" s="0" t="str">
        <f aca="false">VLOOKUP(J31,Eras!$A$2:$C$10, 2, TRUE())</f>
        <v>vct</v>
      </c>
      <c r="CB31" s="0" t="s">
        <v>149</v>
      </c>
      <c r="CC31" s="0" t="str">
        <f aca="false">CONCATENATE(CA31,"_",CB31)</f>
        <v>vct_Carriage</v>
      </c>
      <c r="CD31" s="0" t="str">
        <f aca="false">_xlfn.CONCAT(H31, "_",I31)</f>
        <v>carriage_RAIL</v>
      </c>
      <c r="CE31" s="6" t="str">
        <f aca="false" t="array" ref="CE31:CE31">_xlfn.CONCAT("{BLACK}Length: {GOLD}", TEXT(ROUNDUP(IF(AQ31&lt;&gt;"",SUM(VALUE(_xlfn.TEXTSPLIT(AQ31, ","))), SUM(VALUE(_xlfn.TEXTSPLIT(AN31, ",")))*IF(M31, M31, 1))/16, 1), "#,##0.0"), " tiles{}")</f>
        <v>{BLACK}Length: {GOLD}0.6 tiles{}</v>
      </c>
      <c r="CF31" s="0" t="str">
        <f aca="false">VLOOKUP($CD31, Constants!$M:$N, 2, FALSE())</f>
        <v/>
      </c>
      <c r="CG31" s="0" t="str">
        <f aca="false">IF(M31&gt;1,_xlfn.CONCAT("{BLACK}Cars: {GOLD}", M31),"")</f>
        <v/>
      </c>
      <c r="CH31" s="0" t="s">
        <v>163</v>
      </c>
      <c r="CI31" s="0" t="str">
        <f aca="false">IF($BU31="!param_no_gameplay_units","{GREEN}Included for gameplay purposes","")</f>
        <v/>
      </c>
      <c r="CJ31" s="0" t="str">
        <f aca="false">IF(BX31="buffet","{YELLOW}25% long distance bonus for consist{}",IF(BZ31="BRAKE","{YELLOW}Speed bonus for slow wagons{}",IF(BW31&gt;190,CONCATENATE("{YELLOW}",INT((BW31-185)/1.85),"% bonus for long distance travel{}"),IF(AND(BW31&lt;180,BW31&lt;&gt;0),CONCATENATE("{YELLOW}",INT((185-BW31)/1.85),"% penalty for long distance travel{}"),""))))</f>
        <v/>
      </c>
      <c r="CK31" s="0" t="str">
        <f aca="false">_xlfn.CONCAT(CF31,IF(CF31&lt;&gt;""," ",""),CG31,IF(OR(CG31&lt;&gt;"",CF31&lt;&gt;""),"{}",""),CE31,CJ31,"{SILVER}",CH31,IF(CI31&lt;&gt;"","{}{}",""),CI31)</f>
        <v>{BLACK}Length: {GOLD}0.6 tiles{}{SILVER}Toward the end of the Victorian era, passenger carriages began to be mounted on bogies rather than fixed axles. Many featured clerestory-style roofs.</v>
      </c>
    </row>
    <row r="32" customFormat="false" ht="14.25" hidden="false" customHeight="false" outlineLevel="0" collapsed="false">
      <c r="A32" s="0" t="s">
        <v>164</v>
      </c>
      <c r="B32" s="15" t="s">
        <v>165</v>
      </c>
      <c r="C32" s="0" t="n">
        <v>15</v>
      </c>
      <c r="E32" s="0" t="n">
        <v>1006</v>
      </c>
      <c r="F32" s="0" t="s">
        <v>143</v>
      </c>
      <c r="G32" s="0" t="s">
        <v>144</v>
      </c>
      <c r="H32" s="0" t="s">
        <v>145</v>
      </c>
      <c r="I32" s="0" t="s">
        <v>92</v>
      </c>
      <c r="J32" s="0" t="n">
        <v>1904</v>
      </c>
      <c r="L32" s="0" t="n">
        <v>1955</v>
      </c>
      <c r="W32" s="0" t="n">
        <v>34</v>
      </c>
      <c r="Y32" s="0" t="n">
        <v>5</v>
      </c>
      <c r="AA32" s="3" t="str">
        <f aca="false">IF(AND(W32&gt;0,Z32&gt;0),(Z32/((W32+X32)*10)),"")</f>
        <v/>
      </c>
      <c r="AB32" s="0" t="n">
        <v>100</v>
      </c>
      <c r="AC32" s="0" t="n">
        <f aca="false">ROUND(AB32*1.6, 0)</f>
        <v>160</v>
      </c>
      <c r="AF32" s="0" t="n">
        <v>17.7</v>
      </c>
      <c r="AG32" s="0" t="n">
        <v>17.7</v>
      </c>
      <c r="AH32" s="0" t="n">
        <v>2.83</v>
      </c>
      <c r="AI32" s="0" t="n">
        <v>3.79</v>
      </c>
      <c r="AJ32" s="4" t="n">
        <v>48</v>
      </c>
      <c r="AK32" s="0" t="str">
        <f aca="false">CONCATENATE(VLOOKUP(AL32, 'Voxel Sizes'!$A$2:$B$18,2,FALSE()),"x",INT(AH32*15), "x", INT(AI32*15))</f>
        <v>164x42x56</v>
      </c>
      <c r="AL32" s="0" t="n">
        <f aca="false">ROUND(15*((AG32*10)/256),0)</f>
        <v>10</v>
      </c>
      <c r="AN32" s="0" t="str">
        <f aca="false">CONCATENATE(VLOOKUP(AL32,Constants!$A$2:$C$16,IF(AM32&lt;&gt;"", 3, 2), FALSE()),IF(AM32&lt;&gt;"",CONCATENATE(",",VLOOKUP(AM32,$B:$AN,39,FALSE())),""))</f>
        <v>4,2,4</v>
      </c>
      <c r="AX32" s="0" t="n">
        <v>30</v>
      </c>
      <c r="AY32" s="16" t="n">
        <f aca="false">IF(L32&lt;&gt;"",MAX(16,(L32-J32)+8),"")</f>
        <v>59</v>
      </c>
      <c r="AZ32" s="0" t="n">
        <v>72</v>
      </c>
      <c r="BA32" s="0" t="n">
        <f aca="false">20*3</f>
        <v>60</v>
      </c>
      <c r="BB32" s="0" t="n">
        <f aca="false">MIN(AB32/150, 1)*30</f>
        <v>20</v>
      </c>
      <c r="BC32" s="0" t="n">
        <f aca="false">MIN(N32/4000, 1)*20</f>
        <v>0</v>
      </c>
      <c r="BD32" s="0" t="n">
        <f aca="false">MIN(Z32/400,1)*20</f>
        <v>0</v>
      </c>
      <c r="BE32" s="3" t="n">
        <f aca="false">1-(MAX(J32-1900, 0)/750)</f>
        <v>0.994666666666667</v>
      </c>
      <c r="BF32" s="0" t="n">
        <f aca="false">((MAX($M32,1)*MIN($AJ32/300,1)))*IF(G32="Wagon",50,10)</f>
        <v>8</v>
      </c>
      <c r="BG32" s="0" t="n">
        <f aca="false">VLOOKUP($H32,Constants!$I:$K, 2, FALSE())</f>
        <v>1.2</v>
      </c>
      <c r="BH32" s="0" t="n">
        <f aca="false">VLOOKUP($H32,Constants!$I:$K, 3, FALSE())*IF(AND(G32="multiple_unit",AB32&lt;110),0.75,1)</f>
        <v>0.6</v>
      </c>
      <c r="BI32" s="0" t="n">
        <f aca="false">INT(POWER(((Constants!$G$2+$BB32+$BC32+$BD32+$BF32)*$BE32)*$BH32, 1.05))+$BA32</f>
        <v>82</v>
      </c>
      <c r="BJ32" s="0" t="n">
        <f aca="false">INT(POWER((((Constants!$G$1+$BB32+$BC32+$BD32+$BF32)*($BE32))*$BG32),IF($G32="wagon",1,1.2)))+$AZ32</f>
        <v>123</v>
      </c>
      <c r="BK32" s="17" t="n">
        <f aca="false">BI32*IF($G32="wagon",62.5,781.25)</f>
        <v>5125</v>
      </c>
      <c r="BL32" s="17" t="n">
        <f aca="false">BJ32*IF($G32="wagon",2.73,81.25)</f>
        <v>335.79</v>
      </c>
      <c r="BV32" s="0" t="n">
        <v>1</v>
      </c>
      <c r="BW32" s="0" t="n">
        <v>185</v>
      </c>
      <c r="BY32" s="0" t="s">
        <v>147</v>
      </c>
      <c r="BZ32" s="0" t="s">
        <v>148</v>
      </c>
      <c r="CA32" s="0" t="str">
        <f aca="false">VLOOKUP(J32,Eras!$A$2:$C$10, 2, TRUE())</f>
        <v>edw</v>
      </c>
      <c r="CB32" s="0" t="s">
        <v>149</v>
      </c>
      <c r="CC32" s="0" t="str">
        <f aca="false">CONCATENATE(CA32,"_",CB32)</f>
        <v>edw_Carriage</v>
      </c>
      <c r="CD32" s="0" t="str">
        <f aca="false">_xlfn.CONCAT(H32, "_",I32)</f>
        <v>carriage_RAIL</v>
      </c>
      <c r="CE32" s="6" t="str">
        <f aca="false" t="array" ref="CE32:CE32">_xlfn.CONCAT("{BLACK}Length: {GOLD}", TEXT(ROUNDUP(IF(AQ32&lt;&gt;"",SUM(VALUE(_xlfn.TEXTSPLIT(AQ32, ","))), SUM(VALUE(_xlfn.TEXTSPLIT(AN32, ",")))*IF(M32, M32, 1))/16, 1), "#,##0.0"), " tiles{}")</f>
        <v>{BLACK}Length: {GOLD}0.7 tiles{}</v>
      </c>
      <c r="CF32" s="0" t="str">
        <f aca="false">VLOOKUP($CD32, Constants!$M:$N, 2, FALSE())</f>
        <v/>
      </c>
      <c r="CG32" s="0" t="str">
        <f aca="false">IF(M32&gt;1,_xlfn.CONCAT("{BLACK}Cars: {GOLD}", M32),"")</f>
        <v/>
      </c>
      <c r="CH32" s="0" t="s">
        <v>166</v>
      </c>
      <c r="CI32" s="0" t="str">
        <f aca="false">IF($BU32="!param_no_gameplay_units","{GREEN}Included for gameplay purposes","")</f>
        <v/>
      </c>
      <c r="CJ32" s="0" t="str">
        <f aca="false">IF(BX32="buffet","{YELLOW}25% long distance bonus for consist{}",IF(BZ32="BRAKE","{YELLOW}Speed bonus for slow wagons{}",IF(BW32&gt;190,CONCATENATE("{YELLOW}",INT((BW32-185)/1.85),"% bonus for long distance travel{}"),IF(AND(BW32&lt;180,BW32&lt;&gt;0),CONCATENATE("{YELLOW}",INT((185-BW32)/1.85),"% penalty for long distance travel{}"),""))))</f>
        <v/>
      </c>
      <c r="CK32" s="0" t="str">
        <f aca="false">_xlfn.CONCAT(CF32,IF(CF32&lt;&gt;""," ",""),CG32,IF(OR(CG32&lt;&gt;"",CF32&lt;&gt;""),"{}",""),CE32,CJ32,"{SILVER}",CH32,IF(CI32&lt;&gt;"","{}{}",""),CI32)</f>
        <v>{BLACK}Length: {GOLD}0.7 tiles{}{SILVER}In the early 20th century passenger coaches were stretched to greater lengths. This is a typical LNWR design.</v>
      </c>
    </row>
    <row r="33" customFormat="false" ht="14.25" hidden="false" customHeight="false" outlineLevel="0" collapsed="false">
      <c r="A33" s="0" t="s">
        <v>167</v>
      </c>
      <c r="B33" s="15" t="s">
        <v>168</v>
      </c>
      <c r="C33" s="0" t="n">
        <v>16</v>
      </c>
      <c r="E33" s="0" t="n">
        <v>1007</v>
      </c>
      <c r="F33" s="0" t="s">
        <v>143</v>
      </c>
      <c r="G33" s="0" t="s">
        <v>144</v>
      </c>
      <c r="H33" s="0" t="s">
        <v>169</v>
      </c>
      <c r="I33" s="0" t="s">
        <v>92</v>
      </c>
      <c r="J33" s="0" t="n">
        <v>1928</v>
      </c>
      <c r="L33" s="0" t="n">
        <v>1970</v>
      </c>
      <c r="W33" s="0" t="n">
        <v>40</v>
      </c>
      <c r="Y33" s="0" t="n">
        <v>4</v>
      </c>
      <c r="AA33" s="3" t="str">
        <f aca="false">IF(AND(W33&gt;0,Z33&gt;0),(Z33/((W33+X33)*10)),"")</f>
        <v/>
      </c>
      <c r="AB33" s="0" t="n">
        <v>105</v>
      </c>
      <c r="AC33" s="0" t="n">
        <f aca="false">ROUND(AB33*1.6, 0)</f>
        <v>168</v>
      </c>
      <c r="AF33" s="0" t="n">
        <v>20</v>
      </c>
      <c r="AG33" s="0" t="n">
        <v>20</v>
      </c>
      <c r="AJ33" s="4" t="n">
        <v>48</v>
      </c>
      <c r="AK33" s="0" t="str">
        <f aca="false">CONCATENATE(VLOOKUP(AL33, 'Voxel Sizes'!$A$2:$B$18,2,FALSE()),"x",INT(AH33*15), "x", INT(AI33*15))</f>
        <v>198x0x0</v>
      </c>
      <c r="AL33" s="0" t="n">
        <f aca="false">ROUND(15*((AG33*10)/256),0)</f>
        <v>12</v>
      </c>
      <c r="AN33" s="0" t="str">
        <f aca="false">CONCATENATE(VLOOKUP(AL33,Constants!$A$2:$C$16,IF(AM33&lt;&gt;"", 3, 2), FALSE()),IF(AM33&lt;&gt;"",CONCATENATE(",",VLOOKUP(AM33,$B:$AN,39,FALSE())),""))</f>
        <v>4,4,4</v>
      </c>
      <c r="AX33" s="0" t="n">
        <v>30</v>
      </c>
      <c r="AY33" s="16" t="n">
        <f aca="false">IF(L33&lt;&gt;"",MAX(16,(L33-J33)+8),"")</f>
        <v>50</v>
      </c>
      <c r="AZ33" s="0" t="n">
        <v>93</v>
      </c>
      <c r="BA33" s="0" t="n">
        <f aca="false">26*3</f>
        <v>78</v>
      </c>
      <c r="BB33" s="0" t="n">
        <f aca="false">MIN(AB33/150, 1)*30</f>
        <v>21</v>
      </c>
      <c r="BC33" s="0" t="n">
        <f aca="false">MIN(N33/4000, 1)*20</f>
        <v>0</v>
      </c>
      <c r="BD33" s="0" t="n">
        <f aca="false">MIN(Z33/400,1)*20</f>
        <v>0</v>
      </c>
      <c r="BE33" s="3" t="n">
        <f aca="false">1-(MAX(J33-1900, 0)/750)</f>
        <v>0.962666666666667</v>
      </c>
      <c r="BF33" s="0" t="n">
        <f aca="false">((MAX($M33,1)*MIN($AJ33/300,1)))*IF(G33="Wagon",50,10)</f>
        <v>8</v>
      </c>
      <c r="BG33" s="0" t="n">
        <f aca="false">VLOOKUP($H33,Constants!$I:$K, 2, FALSE())</f>
        <v>1.5</v>
      </c>
      <c r="BH33" s="0" t="n">
        <f aca="false">VLOOKUP($H33,Constants!$I:$K, 3, FALSE())*IF(AND(G33="multiple_unit",AB33&lt;110),0.75,1)</f>
        <v>0.7</v>
      </c>
      <c r="BI33" s="0" t="n">
        <f aca="false">INT(POWER(((Constants!$G$2+$BB33+$BC33+$BD33+$BF33)*$BE33)*$BH33, 1.05))+$BA33</f>
        <v>104</v>
      </c>
      <c r="BJ33" s="0" t="n">
        <f aca="false">INT(POWER((((Constants!$G$1+$BB33+$BC33+$BD33+$BF33)*($BE33))*$BG33),IF($G33="wagon",1,1.2)))+$AZ33</f>
        <v>156</v>
      </c>
      <c r="BK33" s="17" t="n">
        <f aca="false">BI33*IF($G33="wagon",62.5,781.25)</f>
        <v>6500</v>
      </c>
      <c r="BL33" s="17" t="n">
        <f aca="false">BJ33*IF($G33="wagon",2.73,81.25)</f>
        <v>425.88</v>
      </c>
      <c r="BV33" s="0" t="n">
        <v>1</v>
      </c>
      <c r="BW33" s="0" t="n">
        <v>260</v>
      </c>
      <c r="BY33" s="0" t="s">
        <v>147</v>
      </c>
      <c r="BZ33" s="0" t="s">
        <v>148</v>
      </c>
      <c r="CA33" s="0" t="str">
        <f aca="false">VLOOKUP(J33,Eras!$A$2:$C$10, 2, TRUE())</f>
        <v>big4</v>
      </c>
      <c r="CB33" s="0" t="s">
        <v>149</v>
      </c>
      <c r="CC33" s="0" t="str">
        <f aca="false">CONCATENATE(CA33,"_",CB33)</f>
        <v>big4_Carriage</v>
      </c>
      <c r="CD33" s="0" t="str">
        <f aca="false">_xlfn.CONCAT(H33, "_",I33)</f>
        <v>luxury_carriage_RAIL</v>
      </c>
      <c r="CE33" s="6" t="str">
        <f aca="false" t="array" ref="CE33:CE33">_xlfn.CONCAT("{BLACK}Length: {GOLD}", TEXT(ROUNDUP(IF(AQ33&lt;&gt;"",SUM(VALUE(_xlfn.TEXTSPLIT(AQ33, ","))), SUM(VALUE(_xlfn.TEXTSPLIT(AN33, ",")))*IF(M33, M33, 1))/16, 1), "#,##0.0"), " tiles{}")</f>
        <v>{BLACK}Length: {GOLD}0.8 tiles{}</v>
      </c>
      <c r="CF33" s="0" t="str">
        <f aca="false">VLOOKUP($CD33, Constants!$M:$N, 2, FALSE())</f>
        <v/>
      </c>
      <c r="CG33" s="0" t="str">
        <f aca="false">IF(M33&gt;1,_xlfn.CONCAT("{BLACK}Cars: {GOLD}", M33),"")</f>
        <v/>
      </c>
      <c r="CH33" s="0" t="s">
        <v>170</v>
      </c>
      <c r="CI33" s="0" t="str">
        <f aca="false">IF($BU33="!param_no_gameplay_units","{GREEN}Included for gameplay purposes","")</f>
        <v/>
      </c>
      <c r="CJ33" s="0" t="str">
        <f aca="false">IF(BX33="buffet","{YELLOW}25% long distance bonus for consist{}",IF(BZ33="BRAKE","{YELLOW}Speed bonus for slow wagons{}",IF(BW33&gt;190,CONCATENATE("{YELLOW}",INT((BW33-185)/1.85),"% bonus for long distance travel{}"),IF(AND(BW33&lt;180,BW33&lt;&gt;0),CONCATENATE("{YELLOW}",INT((185-BW33)/1.85),"% penalty for long distance travel{}"),""))))</f>
        <v>{YELLOW}40% bonus for long distance travel{}</v>
      </c>
      <c r="CK33" s="0" t="str">
        <f aca="false">_xlfn.CONCAT(CF33,IF(CF33&lt;&gt;""," ",""),CG33,IF(OR(CG33&lt;&gt;"",CF33&lt;&gt;""),"{}",""),CE33,CJ33,"{SILVER}",CH33,IF(CI33&lt;&gt;"","{}{}",""),CI33)</f>
        <v>{BLACK}Length: {GOLD}0.8 tiles{}{YELLOW}40% bonus for long distance travel{}{SILVER}The luxurious Pullman cars were large and heavy, with many still in use today for restaurant services.</v>
      </c>
    </row>
    <row r="34" customFormat="false" ht="14.25" hidden="false" customHeight="false" outlineLevel="0" collapsed="false">
      <c r="A34" s="0" t="s">
        <v>171</v>
      </c>
      <c r="B34" s="15" t="s">
        <v>172</v>
      </c>
      <c r="C34" s="0" t="n">
        <v>17</v>
      </c>
      <c r="E34" s="0" t="n">
        <v>1008</v>
      </c>
      <c r="F34" s="0" t="s">
        <v>143</v>
      </c>
      <c r="G34" s="0" t="s">
        <v>144</v>
      </c>
      <c r="H34" s="0" t="s">
        <v>169</v>
      </c>
      <c r="I34" s="0" t="s">
        <v>92</v>
      </c>
      <c r="J34" s="0" t="n">
        <v>1931</v>
      </c>
      <c r="L34" s="0" t="n">
        <v>1965</v>
      </c>
      <c r="W34" s="0" t="n">
        <v>36</v>
      </c>
      <c r="Y34" s="0" t="n">
        <v>5</v>
      </c>
      <c r="AA34" s="3" t="str">
        <f aca="false">IF(AND(W34&gt;0,Z34&gt;0),(Z34/((W34+X34)*10)),"")</f>
        <v/>
      </c>
      <c r="AB34" s="0" t="n">
        <v>130</v>
      </c>
      <c r="AC34" s="0" t="n">
        <f aca="false">ROUND(AB34*1.6, 0)</f>
        <v>208</v>
      </c>
      <c r="AF34" s="0" t="n">
        <v>17.7</v>
      </c>
      <c r="AG34" s="0" t="n">
        <v>17.7</v>
      </c>
      <c r="AH34" s="0" t="n">
        <v>2.83</v>
      </c>
      <c r="AI34" s="0" t="n">
        <v>3.79</v>
      </c>
      <c r="AJ34" s="4" t="n">
        <v>45</v>
      </c>
      <c r="AK34" s="0" t="str">
        <f aca="false">CONCATENATE(VLOOKUP(AL34, 'Voxel Sizes'!$A$2:$B$18,2,FALSE()),"x",INT(AH34*15), "x", INT(AI34*15))</f>
        <v>164x42x56</v>
      </c>
      <c r="AL34" s="0" t="n">
        <f aca="false">ROUND(15*((AG34*10)/256),0)</f>
        <v>10</v>
      </c>
      <c r="AN34" s="0" t="str">
        <f aca="false">CONCATENATE(VLOOKUP(AL34,Constants!$A$2:$C$16,IF(AM34&lt;&gt;"", 3, 2), FALSE()),IF(AM34&lt;&gt;"",CONCATENATE(",",VLOOKUP(AM34,$B:$AN,39,FALSE())),""))</f>
        <v>4,2,4</v>
      </c>
      <c r="AW34" s="0" t="s">
        <v>173</v>
      </c>
      <c r="AX34" s="0" t="n">
        <v>30</v>
      </c>
      <c r="AY34" s="16" t="n">
        <f aca="false">IF(L34&lt;&gt;"",MAX(16,(L34-J34)+8),"")</f>
        <v>42</v>
      </c>
      <c r="AZ34" s="0" t="n">
        <v>102</v>
      </c>
      <c r="BA34" s="0" t="n">
        <f aca="false">31*3</f>
        <v>93</v>
      </c>
      <c r="BB34" s="0" t="n">
        <f aca="false">MIN(AB34/150, 1)*30</f>
        <v>26</v>
      </c>
      <c r="BC34" s="0" t="n">
        <f aca="false">MIN(N34/4000, 1)*20</f>
        <v>0</v>
      </c>
      <c r="BD34" s="0" t="n">
        <f aca="false">MIN(Z34/400,1)*20</f>
        <v>0</v>
      </c>
      <c r="BE34" s="3" t="n">
        <f aca="false">1-(MAX(J34-1900, 0)/750)</f>
        <v>0.958666666666667</v>
      </c>
      <c r="BF34" s="0" t="n">
        <f aca="false">((MAX($M34,1)*MIN($AJ34/300,1)))*IF(G34="Wagon",50,10)</f>
        <v>7.5</v>
      </c>
      <c r="BG34" s="0" t="n">
        <f aca="false">VLOOKUP($H34,Constants!$I:$K, 2, FALSE())</f>
        <v>1.5</v>
      </c>
      <c r="BH34" s="0" t="n">
        <f aca="false">VLOOKUP($H34,Constants!$I:$K, 3, FALSE())*IF(AND(G34="multiple_unit",AB34&lt;110),0.75,1)</f>
        <v>0.7</v>
      </c>
      <c r="BI34" s="0" t="n">
        <f aca="false">INT(POWER(((Constants!$G$2+$BB34+$BC34+$BD34+$BF34)*$BE34)*$BH34, 1.05))+$BA34</f>
        <v>123</v>
      </c>
      <c r="BJ34" s="0" t="n">
        <f aca="false">INT(POWER((((Constants!$G$1+$BB34+$BC34+$BD34+$BF34)*($BE34))*$BG34),IF($G34="wagon",1,1.2)))+$AZ34</f>
        <v>171</v>
      </c>
      <c r="BK34" s="17" t="n">
        <f aca="false">BI34*IF($G34="wagon",62.5,781.25)</f>
        <v>7687.5</v>
      </c>
      <c r="BL34" s="17" t="n">
        <f aca="false">BJ34*IF($G34="wagon",2.73,81.25)</f>
        <v>466.83</v>
      </c>
      <c r="BV34" s="0" t="n">
        <v>1</v>
      </c>
      <c r="BW34" s="0" t="n">
        <v>222</v>
      </c>
      <c r="BY34" s="0" t="s">
        <v>147</v>
      </c>
      <c r="BZ34" s="0" t="s">
        <v>148</v>
      </c>
      <c r="CA34" s="0" t="str">
        <f aca="false">VLOOKUP(J34,Eras!$A$2:$C$10, 2, TRUE())</f>
        <v>big4</v>
      </c>
      <c r="CB34" s="0" t="s">
        <v>149</v>
      </c>
      <c r="CC34" s="0" t="str">
        <f aca="false">CONCATENATE(CA34,"_",CB34)</f>
        <v>big4_Carriage</v>
      </c>
      <c r="CD34" s="0" t="str">
        <f aca="false">_xlfn.CONCAT(H34, "_",I34)</f>
        <v>luxury_carriage_RAIL</v>
      </c>
      <c r="CE34" s="6" t="str">
        <f aca="false" t="array" ref="CE34:CE34">_xlfn.CONCAT("{BLACK}Length: {GOLD}", TEXT(ROUNDUP(IF(AQ34&lt;&gt;"",SUM(VALUE(_xlfn.TEXTSPLIT(AQ34, ","))), SUM(VALUE(_xlfn.TEXTSPLIT(AN34, ",")))*IF(M34, M34, 1))/16, 1), "#,##0.0"), " tiles{}")</f>
        <v>{BLACK}Length: {GOLD}0.7 tiles{}</v>
      </c>
      <c r="CF34" s="0" t="str">
        <f aca="false">VLOOKUP($CD34, Constants!$M:$N, 2, FALSE())</f>
        <v/>
      </c>
      <c r="CG34" s="0" t="str">
        <f aca="false">IF(M34&gt;1,_xlfn.CONCAT("{BLACK}Cars: {GOLD}", M34),"")</f>
        <v/>
      </c>
      <c r="CH34" s="0" t="s">
        <v>174</v>
      </c>
      <c r="CI34" s="0" t="str">
        <f aca="false">IF($BU34="!param_no_gameplay_units","{GREEN}Included for gameplay purposes","")</f>
        <v/>
      </c>
      <c r="CJ34" s="0" t="str">
        <f aca="false">IF(BX34="buffet","{YELLOW}25% long distance bonus for consist{}",IF(BZ34="BRAKE","{YELLOW}Speed bonus for slow wagons{}",IF(BW34&gt;190,CONCATENATE("{YELLOW}",INT((BW34-185)/1.85),"% bonus for long distance travel{}"),IF(AND(BW34&lt;180,BW34&lt;&gt;0),CONCATENATE("{YELLOW}",INT((185-BW34)/1.85),"% penalty for long distance travel{}"),""))))</f>
        <v>{YELLOW}20% bonus for long distance travel{}</v>
      </c>
      <c r="CK34" s="0" t="str">
        <f aca="false">_xlfn.CONCAT(CF34,IF(CF34&lt;&gt;""," ",""),CG34,IF(OR(CG34&lt;&gt;"",CF34&lt;&gt;""),"{}",""),CE34,CJ34,"{SILVER}",CH34,IF(CI34&lt;&gt;"","{}{}",""),CI34)</f>
        <v>{BLACK}Length: {GOLD}0.7 tiles{}{YELLOW}20% bonus for long distance travel{}{SILVER}As express services increased in speed, carriages were streamlined with valances between bogies and flexible walls connecting each carriage.</v>
      </c>
    </row>
    <row r="35" customFormat="false" ht="13.5" hidden="false" customHeight="true" outlineLevel="0" collapsed="false">
      <c r="A35" s="0" t="s">
        <v>175</v>
      </c>
      <c r="B35" s="15" t="s">
        <v>176</v>
      </c>
      <c r="C35" s="0" t="n">
        <v>18</v>
      </c>
      <c r="E35" s="0" t="n">
        <v>1009</v>
      </c>
      <c r="F35" s="0" t="s">
        <v>143</v>
      </c>
      <c r="G35" s="0" t="s">
        <v>144</v>
      </c>
      <c r="H35" s="0" t="s">
        <v>145</v>
      </c>
      <c r="I35" s="0" t="s">
        <v>92</v>
      </c>
      <c r="J35" s="0" t="n">
        <v>1951</v>
      </c>
      <c r="K35" s="0" t="n">
        <v>1963</v>
      </c>
      <c r="L35" s="0" t="n">
        <v>1974</v>
      </c>
      <c r="W35" s="0" t="n">
        <v>32.5</v>
      </c>
      <c r="Y35" s="0" t="n">
        <v>5</v>
      </c>
      <c r="AA35" s="3" t="str">
        <f aca="false">IF(AND(W35&gt;0,Z35&gt;0),(Z35/((W35+X35)*10)),"")</f>
        <v/>
      </c>
      <c r="AB35" s="0" t="n">
        <v>100</v>
      </c>
      <c r="AC35" s="0" t="n">
        <f aca="false">ROUND(AB35*1.6, 0)</f>
        <v>160</v>
      </c>
      <c r="AF35" s="0" t="n">
        <v>19.3</v>
      </c>
      <c r="AG35" s="0" t="n">
        <v>20</v>
      </c>
      <c r="AJ35" s="4" t="n">
        <v>63</v>
      </c>
      <c r="AK35" s="0" t="str">
        <f aca="false">CONCATENATE(VLOOKUP(AL35, 'Voxel Sizes'!$A$2:$B$18,2,FALSE()),"x",INT(AH35*15), "x", INT(AI35*15))</f>
        <v>198x0x0</v>
      </c>
      <c r="AL35" s="0" t="n">
        <f aca="false">ROUND(15*((AG35*10)/256),0)</f>
        <v>12</v>
      </c>
      <c r="AN35" s="0" t="str">
        <f aca="false">CONCATENATE(VLOOKUP(AL35,Constants!$A$2:$C$16,IF(AM35&lt;&gt;"", 3, 2), FALSE()),IF(AM35&lt;&gt;"",CONCATENATE(",",VLOOKUP(AM35,$B:$AN,39,FALSE())),""))</f>
        <v>4,4,4</v>
      </c>
      <c r="AX35" s="0" t="n">
        <v>30</v>
      </c>
      <c r="AY35" s="16" t="n">
        <f aca="false">IF(L35&lt;&gt;"",MAX(16,(L35-J35)+8),"")</f>
        <v>31</v>
      </c>
      <c r="AZ35" s="0" t="n">
        <v>76</v>
      </c>
      <c r="BA35" s="0" t="n">
        <f aca="false">23*3</f>
        <v>69</v>
      </c>
      <c r="BB35" s="0" t="n">
        <f aca="false">MIN(AB35/150, 1)*30</f>
        <v>20</v>
      </c>
      <c r="BC35" s="0" t="n">
        <f aca="false">MIN(N35/4000, 1)*20</f>
        <v>0</v>
      </c>
      <c r="BD35" s="0" t="n">
        <f aca="false">MIN(Z35/400,1)*20</f>
        <v>0</v>
      </c>
      <c r="BE35" s="3" t="n">
        <f aca="false">1-(MAX(J35-1900, 0)/750)</f>
        <v>0.932</v>
      </c>
      <c r="BF35" s="0" t="n">
        <f aca="false">((MAX($M35,1)*MIN($AJ35/300,1)))*IF(G35="Wagon",50,10)</f>
        <v>10.5</v>
      </c>
      <c r="BG35" s="0" t="n">
        <f aca="false">VLOOKUP($H35,Constants!$I:$K, 2, FALSE())</f>
        <v>1.2</v>
      </c>
      <c r="BH35" s="0" t="n">
        <f aca="false">VLOOKUP($H35,Constants!$I:$K, 3, FALSE())*IF(AND(G35="multiple_unit",AB35&lt;110),0.75,1)</f>
        <v>0.6</v>
      </c>
      <c r="BI35" s="0" t="n">
        <f aca="false">INT(POWER(((Constants!$G$2+$BB35+$BC35+$BD35+$BF35)*$BE35)*$BH35, 1.05))+$BA35</f>
        <v>92</v>
      </c>
      <c r="BJ35" s="0" t="n">
        <f aca="false">INT(POWER((((Constants!$G$1+$BB35+$BC35+$BD35+$BF35)*($BE35))*$BG35),IF($G35="wagon",1,1.2)))+$AZ35</f>
        <v>126</v>
      </c>
      <c r="BK35" s="17" t="n">
        <f aca="false">BI35*IF($G35="wagon",62.5,781.25)</f>
        <v>5750</v>
      </c>
      <c r="BL35" s="17" t="n">
        <f aca="false">BJ35*IF($G35="wagon",2.73,81.25)</f>
        <v>343.98</v>
      </c>
      <c r="BV35" s="0" t="n">
        <v>1</v>
      </c>
      <c r="BW35" s="0" t="n">
        <v>185</v>
      </c>
      <c r="BY35" s="0" t="s">
        <v>147</v>
      </c>
      <c r="BZ35" s="0" t="s">
        <v>148</v>
      </c>
      <c r="CA35" s="0" t="str">
        <f aca="false">VLOOKUP(J35,Eras!$A$2:$C$10, 2, TRUE())</f>
        <v>ebr</v>
      </c>
      <c r="CB35" s="0" t="s">
        <v>149</v>
      </c>
      <c r="CC35" s="0" t="str">
        <f aca="false">CONCATENATE(CA35,"_",CB35)</f>
        <v>ebr_Carriage</v>
      </c>
      <c r="CD35" s="0" t="str">
        <f aca="false">_xlfn.CONCAT(H35, "_",I35)</f>
        <v>carriage_RAIL</v>
      </c>
      <c r="CE35" s="6" t="str">
        <f aca="false" t="array" ref="CE35:CE35">_xlfn.CONCAT("{BLACK}Length: {GOLD}", TEXT(ROUNDUP(IF(AQ35&lt;&gt;"",SUM(VALUE(_xlfn.TEXTSPLIT(AQ35, ","))), SUM(VALUE(_xlfn.TEXTSPLIT(AN35, ",")))*IF(M35, M35, 1))/16, 1), "#,##0.0"), " tiles{}")</f>
        <v>{BLACK}Length: {GOLD}0.8 tiles{}</v>
      </c>
      <c r="CF35" s="0" t="str">
        <f aca="false">VLOOKUP($CD35, Constants!$M:$N, 2, FALSE())</f>
        <v/>
      </c>
      <c r="CG35" s="0" t="str">
        <f aca="false">IF(M35&gt;1,_xlfn.CONCAT("{BLACK}Cars: {GOLD}", M35),"")</f>
        <v/>
      </c>
      <c r="CH35" s="0" t="s">
        <v>177</v>
      </c>
      <c r="CI35" s="0" t="str">
        <f aca="false">IF($BU35="!param_no_gameplay_units","{GREEN}Included for gameplay purposes","")</f>
        <v/>
      </c>
      <c r="CJ35" s="0" t="str">
        <f aca="false">IF(BX35="buffet","{YELLOW}25% long distance bonus for consist{}",IF(BZ35="BRAKE","{YELLOW}Speed bonus for slow wagons{}",IF(BW35&gt;190,CONCATENATE("{YELLOW}",INT((BW35-185)/1.85),"% bonus for long distance travel{}"),IF(AND(BW35&lt;180,BW35&lt;&gt;0),CONCATENATE("{YELLOW}",INT((185-BW35)/1.85),"% penalty for long distance travel{}"),""))))</f>
        <v/>
      </c>
      <c r="CK35" s="0" t="str">
        <f aca="false">_xlfn.CONCAT(CF35,IF(CF35&lt;&gt;""," ",""),CG35,IF(OR(CG35&lt;&gt;"",CF35&lt;&gt;""),"{}",""),CE35,CJ35,"{SILVER}",CH35,IF(CI35&lt;&gt;"","{}{}",""),CI35)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6" customFormat="false" ht="14.25" hidden="false" customHeight="false" outlineLevel="0" collapsed="false">
      <c r="A36" s="0" t="s">
        <v>178</v>
      </c>
      <c r="B36" s="15" t="s">
        <v>179</v>
      </c>
      <c r="C36" s="0" t="n">
        <v>19</v>
      </c>
      <c r="D36" s="0" t="n">
        <v>18</v>
      </c>
      <c r="E36" s="0" t="n">
        <v>1010</v>
      </c>
      <c r="F36" s="0" t="s">
        <v>143</v>
      </c>
      <c r="G36" s="0" t="s">
        <v>144</v>
      </c>
      <c r="H36" s="0" t="s">
        <v>145</v>
      </c>
      <c r="I36" s="0" t="s">
        <v>92</v>
      </c>
      <c r="J36" s="0" t="n">
        <v>1951</v>
      </c>
      <c r="K36" s="0" t="n">
        <v>1963</v>
      </c>
      <c r="L36" s="0" t="n">
        <v>1974</v>
      </c>
      <c r="W36" s="0" t="n">
        <v>32.5</v>
      </c>
      <c r="Y36" s="0" t="n">
        <v>5</v>
      </c>
      <c r="AA36" s="3" t="str">
        <f aca="false">IF(AND(W36&gt;0,Z36&gt;0),(Z36/((W36+X36)*10)),"")</f>
        <v/>
      </c>
      <c r="AB36" s="0" t="n">
        <v>100</v>
      </c>
      <c r="AC36" s="0" t="n">
        <f aca="false">ROUND(AB36*1.6, 0)</f>
        <v>160</v>
      </c>
      <c r="AF36" s="0" t="n">
        <v>19.3</v>
      </c>
      <c r="AG36" s="0" t="n">
        <v>20</v>
      </c>
      <c r="AJ36" s="4" t="n">
        <v>42</v>
      </c>
      <c r="AK36" s="0" t="str">
        <f aca="false">CONCATENATE(VLOOKUP(AL36, 'Voxel Sizes'!$A$2:$B$18,2,FALSE()),"x",INT(AH36*15), "x", INT(AI36*15))</f>
        <v>198x0x0</v>
      </c>
      <c r="AL36" s="0" t="n">
        <f aca="false">ROUND(15*((AG36*10)/256),0)</f>
        <v>12</v>
      </c>
      <c r="AN36" s="0" t="str">
        <f aca="false">CONCATENATE(VLOOKUP(AL36,Constants!$A$2:$C$16,IF(AM36&lt;&gt;"", 3, 2), FALSE()),IF(AM36&lt;&gt;"",CONCATENATE(",",VLOOKUP(AM36,$B:$AN,39,FALSE())),""))</f>
        <v>4,4,4</v>
      </c>
      <c r="AX36" s="0" t="n">
        <v>30</v>
      </c>
      <c r="AY36" s="16" t="n">
        <f aca="false">IF(L36&lt;&gt;"",MAX(16,(L36-J36)+8),"")</f>
        <v>31</v>
      </c>
      <c r="AZ36" s="0" t="n">
        <v>126</v>
      </c>
      <c r="BA36" s="0" t="n">
        <v>90</v>
      </c>
      <c r="BB36" s="0" t="n">
        <f aca="false">MIN(AB36/150, 1)*30</f>
        <v>20</v>
      </c>
      <c r="BC36" s="0" t="n">
        <f aca="false">MIN(N36/4000, 1)*20</f>
        <v>0</v>
      </c>
      <c r="BD36" s="0" t="n">
        <f aca="false">MIN(Z36/400,1)*20</f>
        <v>0</v>
      </c>
      <c r="BE36" s="3" t="n">
        <f aca="false">1-(MAX(J36-1900, 0)/750)</f>
        <v>0.932</v>
      </c>
      <c r="BF36" s="0" t="n">
        <f aca="false">((MAX($M36,1)*MIN($AJ36/300,1)))*IF(G36="Wagon",50,10)</f>
        <v>7</v>
      </c>
      <c r="BG36" s="0" t="n">
        <f aca="false">VLOOKUP($H36,Constants!$I:$K, 2, FALSE())</f>
        <v>1.2</v>
      </c>
      <c r="BH36" s="0" t="n">
        <f aca="false">VLOOKUP($H36,Constants!$I:$K, 3, FALSE())*IF(AND(G36="multiple_unit",AB36&lt;110),0.75,1)</f>
        <v>0.6</v>
      </c>
      <c r="BI36" s="0" t="n">
        <f aca="false">INT(POWER(((Constants!$G$2+$BB36+$BC36+$BD36+$BF36)*$BE36)*$BH36, 1.05))+$BA36</f>
        <v>110</v>
      </c>
      <c r="BJ36" s="0" t="n">
        <f aca="false">INT(POWER((((Constants!$G$1+$BB36+$BC36+$BD36+$BF36)*($BE36))*$BG36),IF($G36="wagon",1,1.2)))+$AZ36</f>
        <v>172</v>
      </c>
      <c r="BK36" s="17" t="n">
        <f aca="false">BI36*IF($G36="wagon",62.5,781.25)</f>
        <v>6875</v>
      </c>
      <c r="BL36" s="17" t="n">
        <f aca="false">BJ36*IF($G36="wagon",2.73,81.25)</f>
        <v>469.56</v>
      </c>
      <c r="BV36" s="0" t="n">
        <v>1</v>
      </c>
      <c r="BW36" s="0" t="n">
        <v>222</v>
      </c>
      <c r="BX36" s="0" t="s">
        <v>180</v>
      </c>
      <c r="BY36" s="0" t="s">
        <v>147</v>
      </c>
      <c r="BZ36" s="0" t="s">
        <v>148</v>
      </c>
      <c r="CA36" s="0" t="str">
        <f aca="false">VLOOKUP(J36,Eras!$A$2:$C$10, 2, TRUE())</f>
        <v>ebr</v>
      </c>
      <c r="CB36" s="0" t="s">
        <v>149</v>
      </c>
      <c r="CC36" s="0" t="str">
        <f aca="false">CONCATENATE(CA36,"_",CB36)</f>
        <v>ebr_Carriage</v>
      </c>
      <c r="CD36" s="0" t="str">
        <f aca="false">_xlfn.CONCAT(H36, "_",I36)</f>
        <v>carriage_RAIL</v>
      </c>
      <c r="CE36" s="6" t="str">
        <f aca="false" t="array" ref="CE36:CE36">_xlfn.CONCAT("{BLACK}Length: {GOLD}", TEXT(ROUNDUP(IF(AQ36&lt;&gt;"",SUM(VALUE(_xlfn.TEXTSPLIT(AQ36, ","))), SUM(VALUE(_xlfn.TEXTSPLIT(AN36, ",")))*IF(M36, M36, 1))/16, 1), "#,##0.0"), " tiles{}")</f>
        <v>{BLACK}Length: {GOLD}0.8 tiles{}</v>
      </c>
      <c r="CF36" s="0" t="str">
        <f aca="false">VLOOKUP($CD36, Constants!$M:$N, 2, FALSE())</f>
        <v/>
      </c>
      <c r="CG36" s="0" t="str">
        <f aca="false">IF(M36&gt;1,_xlfn.CONCAT("{BLACK}Cars: {GOLD}", M36),"")</f>
        <v/>
      </c>
      <c r="CH36" s="0" t="s">
        <v>181</v>
      </c>
      <c r="CI36" s="0" t="str">
        <f aca="false">IF($BU36="!param_no_gameplay_units","{GREEN}Included for gameplay purposes","")</f>
        <v/>
      </c>
      <c r="CJ36" s="0" t="str">
        <f aca="false">IF(BX36="buffet","{YELLOW}25% long distance bonus for consist{}",IF(BZ36="BRAKE","{YELLOW}Speed bonus for slow wagons{}",IF(BW36&gt;190,CONCATENATE("{YELLOW}",INT((BW36-185)/1.85),"% bonus for long distance travel{}"),IF(AND(BW36&lt;180,BW36&lt;&gt;0),CONCATENATE("{YELLOW}",INT((185-BW36)/1.85),"% penalty for long distance travel{}"),""))))</f>
        <v>{YELLOW}20% bonus for long distance travel{}</v>
      </c>
      <c r="CK36" s="0" t="str">
        <f aca="false">_xlfn.CONCAT(CF36,IF(CF36&lt;&gt;""," ",""),CG36,IF(OR(CG36&lt;&gt;"",CF36&lt;&gt;""),"{}",""),CE36,CJ36,"{SILVER}",CH36,IF(CI36&lt;&gt;"","{}{}",""),CI36)</f>
        <v>{BLACK}Length: {GOLD}0.8 tiles{}{YELLOW}20% bonus for long distance travel{}{SILVER}Mk1 FO (First Open) carriages had wider and more luxurious seating in a 2+1 arrangement in an open saloon.</v>
      </c>
    </row>
    <row r="37" customFormat="false" ht="14.25" hidden="false" customHeight="false" outlineLevel="0" collapsed="false">
      <c r="A37" s="0" t="s">
        <v>182</v>
      </c>
      <c r="B37" s="15" t="s">
        <v>183</v>
      </c>
      <c r="C37" s="0" t="n">
        <v>20</v>
      </c>
      <c r="D37" s="0" t="n">
        <v>18</v>
      </c>
      <c r="E37" s="0" t="n">
        <v>1011</v>
      </c>
      <c r="F37" s="0" t="s">
        <v>143</v>
      </c>
      <c r="G37" s="0" t="s">
        <v>144</v>
      </c>
      <c r="H37" s="0" t="s">
        <v>145</v>
      </c>
      <c r="I37" s="0" t="s">
        <v>92</v>
      </c>
      <c r="J37" s="0" t="n">
        <v>1951</v>
      </c>
      <c r="K37" s="0" t="n">
        <v>1963</v>
      </c>
      <c r="L37" s="0" t="n">
        <v>1974</v>
      </c>
      <c r="W37" s="0" t="n">
        <v>32.5</v>
      </c>
      <c r="Y37" s="0" t="n">
        <v>4</v>
      </c>
      <c r="AA37" s="3" t="str">
        <f aca="false">IF(AND(W37&gt;0,Z37&gt;0),(Z37/((W37+X37)*10)),"")</f>
        <v/>
      </c>
      <c r="AB37" s="0" t="n">
        <v>100</v>
      </c>
      <c r="AC37" s="0" t="n">
        <f aca="false">ROUND(AB37*1.6, 0)</f>
        <v>160</v>
      </c>
      <c r="AF37" s="0" t="n">
        <v>19.3</v>
      </c>
      <c r="AG37" s="0" t="n">
        <v>20</v>
      </c>
      <c r="AJ37" s="4" t="n">
        <v>48</v>
      </c>
      <c r="AK37" s="0" t="str">
        <f aca="false">CONCATENATE(VLOOKUP(AL37, 'Voxel Sizes'!$A$2:$B$18,2,FALSE()),"x",INT(AH37*15), "x", INT(AI37*15))</f>
        <v>198x0x0</v>
      </c>
      <c r="AL37" s="0" t="n">
        <f aca="false">ROUND(15*((AG37*10)/256),0)</f>
        <v>12</v>
      </c>
      <c r="AN37" s="0" t="str">
        <f aca="false">CONCATENATE(VLOOKUP(AL37,Constants!$A$2:$C$16,IF(AM37&lt;&gt;"", 3, 2), FALSE()),IF(AM37&lt;&gt;"",CONCATENATE(",",VLOOKUP(AM37,$B:$AN,39,FALSE())),""))</f>
        <v>4,4,4</v>
      </c>
      <c r="AX37" s="0" t="n">
        <v>30</v>
      </c>
      <c r="AY37" s="16" t="n">
        <f aca="false">IF(L37&lt;&gt;"",MAX(16,(L37-J37)+8),"")</f>
        <v>31</v>
      </c>
      <c r="AZ37" s="0" t="n">
        <v>76</v>
      </c>
      <c r="BA37" s="0" t="n">
        <f aca="false">23*3</f>
        <v>69</v>
      </c>
      <c r="BB37" s="0" t="n">
        <f aca="false">MIN(AB37/150, 1)*30</f>
        <v>20</v>
      </c>
      <c r="BC37" s="0" t="n">
        <f aca="false">MIN(N37/4000, 1)*20</f>
        <v>0</v>
      </c>
      <c r="BD37" s="0" t="n">
        <f aca="false">MIN(Z37/400,1)*20</f>
        <v>0</v>
      </c>
      <c r="BE37" s="3" t="n">
        <f aca="false">1-(MAX(J37-1900, 0)/750)</f>
        <v>0.932</v>
      </c>
      <c r="BF37" s="0" t="n">
        <f aca="false">((MAX($M37,1)*MIN($AJ37/300,1)))*IF(G37="Wagon",50,10)</f>
        <v>8</v>
      </c>
      <c r="BG37" s="0" t="n">
        <f aca="false">VLOOKUP($H37,Constants!$I:$K, 2, FALSE())</f>
        <v>1.2</v>
      </c>
      <c r="BH37" s="0" t="n">
        <f aca="false">VLOOKUP($H37,Constants!$I:$K, 3, FALSE())*IF(AND(G37="multiple_unit",AB37&lt;110),0.75,1)</f>
        <v>0.6</v>
      </c>
      <c r="BI37" s="0" t="n">
        <f aca="false">INT(POWER(((Constants!$G$2+$BB37+$BC37+$BD37+$BF37)*$BE37)*$BH37, 1.05))+$BA37</f>
        <v>90</v>
      </c>
      <c r="BJ37" s="0" t="n">
        <f aca="false">INT(POWER((((Constants!$G$1+$BB37+$BC37+$BD37+$BF37)*($BE37))*$BG37),IF($G37="wagon",1,1.2)))+$AZ37</f>
        <v>124</v>
      </c>
      <c r="BK37" s="17" t="n">
        <f aca="false">BI37*IF($G37="wagon",62.5,781.25)</f>
        <v>5625</v>
      </c>
      <c r="BL37" s="17" t="n">
        <f aca="false">BJ37*IF($G37="wagon",2.73,81.25)</f>
        <v>338.52</v>
      </c>
      <c r="BV37" s="0" t="n">
        <v>1</v>
      </c>
      <c r="BW37" s="0" t="n">
        <v>195</v>
      </c>
      <c r="BY37" s="0" t="s">
        <v>147</v>
      </c>
      <c r="BZ37" s="0" t="s">
        <v>148</v>
      </c>
      <c r="CA37" s="0" t="str">
        <f aca="false">VLOOKUP(J37,Eras!$A$2:$C$10, 2, TRUE())</f>
        <v>ebr</v>
      </c>
      <c r="CB37" s="0" t="s">
        <v>149</v>
      </c>
      <c r="CC37" s="0" t="str">
        <f aca="false">CONCATENATE(CA37,"_",CB37)</f>
        <v>ebr_Carriage</v>
      </c>
      <c r="CD37" s="0" t="str">
        <f aca="false">_xlfn.CONCAT(H37, "_",I37)</f>
        <v>carriage_RAIL</v>
      </c>
      <c r="CE37" s="6" t="str">
        <f aca="false" t="array" ref="CE37:CE37">_xlfn.CONCAT("{BLACK}Length: {GOLD}", TEXT(ROUNDUP(IF(AQ37&lt;&gt;"",SUM(VALUE(_xlfn.TEXTSPLIT(AQ37, ","))), SUM(VALUE(_xlfn.TEXTSPLIT(AN37, ",")))*IF(M37, M37, 1))/16, 1), "#,##0.0"), " tiles{}")</f>
        <v>{BLACK}Length: {GOLD}0.8 tiles{}</v>
      </c>
      <c r="CF37" s="0" t="str">
        <f aca="false">VLOOKUP($CD37, Constants!$M:$N, 2, FALSE())</f>
        <v/>
      </c>
      <c r="CG37" s="0" t="str">
        <f aca="false">IF(M37&gt;1,_xlfn.CONCAT("{BLACK}Cars: {GOLD}", M37),"")</f>
        <v/>
      </c>
      <c r="CH37" s="0" t="s">
        <v>184</v>
      </c>
      <c r="CI37" s="0" t="str">
        <f aca="false">IF($BU37="!param_no_gameplay_units","{GREEN}Included for gameplay purposes","")</f>
        <v/>
      </c>
      <c r="CJ37" s="0" t="str">
        <f aca="false">IF(BX37="buffet","{YELLOW}25% long distance bonus for consist{}",IF(BZ37="BRAKE","{YELLOW}Speed bonus for slow wagons{}",IF(BW37&gt;190,CONCATENATE("{YELLOW}",INT((BW37-185)/1.85),"% bonus for long distance travel{}"),IF(AND(BW37&lt;180,BW37&lt;&gt;0),CONCATENATE("{YELLOW}",INT((185-BW37)/1.85),"% penalty for long distance travel{}"),""))))</f>
        <v>{YELLOW}5% bonus for long distance travel{}</v>
      </c>
      <c r="CK37" s="0" t="str">
        <f aca="false">_xlfn.CONCAT(CF37,IF(CF37&lt;&gt;""," ",""),CG37,IF(OR(CG37&lt;&gt;"",CF37&lt;&gt;""),"{}",""),CE37,CJ37,"{SILVER}",CH37,IF(CI37&lt;&gt;"","{}{}",""),CI37)</f>
        <v>{BLACK}Length: {GOLD}0.8 tiles{}{YELLOW}5% bonus for long distance travel{}{SILVER}Mk1 SK (Second/Standard Corridor) carriages were divided into 8 compartments, accessed by a gangway along one side of the carriage. This was the most common of all Mk1 carriage types.</v>
      </c>
    </row>
    <row r="38" customFormat="false" ht="14.25" hidden="false" customHeight="false" outlineLevel="0" collapsed="false">
      <c r="A38" s="0" t="s">
        <v>185</v>
      </c>
      <c r="B38" s="15" t="s">
        <v>186</v>
      </c>
      <c r="C38" s="0" t="n">
        <v>21</v>
      </c>
      <c r="D38" s="0" t="n">
        <v>18</v>
      </c>
      <c r="E38" s="0" t="n">
        <v>1012</v>
      </c>
      <c r="F38" s="0" t="s">
        <v>143</v>
      </c>
      <c r="G38" s="0" t="s">
        <v>144</v>
      </c>
      <c r="H38" s="0" t="s">
        <v>145</v>
      </c>
      <c r="I38" s="0" t="s">
        <v>92</v>
      </c>
      <c r="J38" s="0" t="n">
        <v>1951</v>
      </c>
      <c r="K38" s="0" t="n">
        <v>1963</v>
      </c>
      <c r="L38" s="0" t="n">
        <v>1974</v>
      </c>
      <c r="W38" s="0" t="n">
        <v>32.5</v>
      </c>
      <c r="Y38" s="0" t="n">
        <v>4</v>
      </c>
      <c r="AA38" s="3" t="str">
        <f aca="false">IF(AND(W38&gt;0,Z38&gt;0),(Z38/((W38+X38)*10)),"")</f>
        <v/>
      </c>
      <c r="AB38" s="0" t="n">
        <v>100</v>
      </c>
      <c r="AC38" s="0" t="n">
        <f aca="false">ROUND(AB38*1.6, 0)</f>
        <v>160</v>
      </c>
      <c r="AF38" s="0" t="n">
        <v>19.3</v>
      </c>
      <c r="AG38" s="0" t="n">
        <v>20</v>
      </c>
      <c r="AJ38" s="4" t="n">
        <v>42</v>
      </c>
      <c r="AK38" s="0" t="str">
        <f aca="false">CONCATENATE(VLOOKUP(AL38, 'Voxel Sizes'!$A$2:$B$18,2,FALSE()),"x",INT(AH38*15), "x", INT(AI38*15))</f>
        <v>198x0x0</v>
      </c>
      <c r="AL38" s="0" t="n">
        <f aca="false">ROUND(15*((AG38*10)/256),0)</f>
        <v>12</v>
      </c>
      <c r="AN38" s="0" t="str">
        <f aca="false">CONCATENATE(VLOOKUP(AL38,Constants!$A$2:$C$16,IF(AM38&lt;&gt;"", 3, 2), FALSE()),IF(AM38&lt;&gt;"",CONCATENATE(",",VLOOKUP(AM38,$B:$AN,39,FALSE())),""))</f>
        <v>4,4,4</v>
      </c>
      <c r="AX38" s="0" t="n">
        <v>30</v>
      </c>
      <c r="AY38" s="16" t="n">
        <f aca="false">IF(L38&lt;&gt;"",MAX(16,(L38-J38)+8),"")</f>
        <v>31</v>
      </c>
      <c r="AZ38" s="0" t="n">
        <v>126</v>
      </c>
      <c r="BA38" s="0" t="n">
        <v>90</v>
      </c>
      <c r="BB38" s="0" t="n">
        <f aca="false">MIN(AB38/150, 1)*30</f>
        <v>20</v>
      </c>
      <c r="BC38" s="0" t="n">
        <f aca="false">MIN(N38/4000, 1)*20</f>
        <v>0</v>
      </c>
      <c r="BD38" s="0" t="n">
        <f aca="false">MIN(Z38/400,1)*20</f>
        <v>0</v>
      </c>
      <c r="BE38" s="3" t="n">
        <f aca="false">1-(MAX(J38-1900, 0)/750)</f>
        <v>0.932</v>
      </c>
      <c r="BF38" s="0" t="n">
        <f aca="false">((MAX($M38,1)*MIN($AJ38/300,1)))*IF(G38="Wagon",50,10)</f>
        <v>7</v>
      </c>
      <c r="BG38" s="0" t="n">
        <f aca="false">VLOOKUP($H38,Constants!$I:$K, 2, FALSE())</f>
        <v>1.2</v>
      </c>
      <c r="BH38" s="0" t="n">
        <f aca="false">VLOOKUP($H38,Constants!$I:$K, 3, FALSE())*IF(AND(G38="multiple_unit",AB38&lt;110),0.75,1)</f>
        <v>0.6</v>
      </c>
      <c r="BI38" s="0" t="n">
        <f aca="false">INT(POWER(((Constants!$G$2+$BB38+$BC38+$BD38+$BF38)*$BE38)*$BH38, 1.05))+$BA38</f>
        <v>110</v>
      </c>
      <c r="BJ38" s="0" t="n">
        <f aca="false">INT(POWER((((Constants!$G$1+$BB38+$BC38+$BD38+$BF38)*($BE38))*$BG38),IF($G38="wagon",1,1.2)))+$AZ38</f>
        <v>172</v>
      </c>
      <c r="BK38" s="17" t="n">
        <f aca="false">BI38*IF($G38="wagon",62.5,781.25)</f>
        <v>6875</v>
      </c>
      <c r="BL38" s="17" t="n">
        <f aca="false">BJ38*IF($G38="wagon",2.73,81.25)</f>
        <v>469.56</v>
      </c>
      <c r="BV38" s="0" t="n">
        <v>1</v>
      </c>
      <c r="BW38" s="0" t="n">
        <v>232</v>
      </c>
      <c r="BX38" s="0" t="s">
        <v>180</v>
      </c>
      <c r="BY38" s="0" t="s">
        <v>147</v>
      </c>
      <c r="BZ38" s="0" t="s">
        <v>148</v>
      </c>
      <c r="CA38" s="0" t="str">
        <f aca="false">VLOOKUP(J38,Eras!$A$2:$C$10, 2, TRUE())</f>
        <v>ebr</v>
      </c>
      <c r="CB38" s="0" t="s">
        <v>149</v>
      </c>
      <c r="CC38" s="0" t="str">
        <f aca="false">CONCATENATE(CA38,"_",CB38)</f>
        <v>ebr_Carriage</v>
      </c>
      <c r="CD38" s="0" t="str">
        <f aca="false">_xlfn.CONCAT(H38, "_",I38)</f>
        <v>carriage_RAIL</v>
      </c>
      <c r="CE38" s="6" t="str">
        <f aca="false" t="array" ref="CE38:CE38">_xlfn.CONCAT("{BLACK}Length: {GOLD}", TEXT(ROUNDUP(IF(AQ38&lt;&gt;"",SUM(VALUE(_xlfn.TEXTSPLIT(AQ38, ","))), SUM(VALUE(_xlfn.TEXTSPLIT(AN38, ",")))*IF(M38, M38, 1))/16, 1), "#,##0.0"), " tiles{}")</f>
        <v>{BLACK}Length: {GOLD}0.8 tiles{}</v>
      </c>
      <c r="CF38" s="0" t="str">
        <f aca="false">VLOOKUP($CD38, Constants!$M:$N, 2, FALSE())</f>
        <v/>
      </c>
      <c r="CG38" s="0" t="str">
        <f aca="false">IF(M38&gt;1,_xlfn.CONCAT("{BLACK}Cars: {GOLD}", M38),"")</f>
        <v/>
      </c>
      <c r="CH38" s="0" t="s">
        <v>187</v>
      </c>
      <c r="CI38" s="0" t="str">
        <f aca="false">IF($BU38="!param_no_gameplay_units","{GREEN}Included for gameplay purposes","")</f>
        <v/>
      </c>
      <c r="CJ38" s="0" t="str">
        <f aca="false">IF(BX38="buffet","{YELLOW}25% long distance bonus for consist{}",IF(BZ38="BRAKE","{YELLOW}Speed bonus for slow wagons{}",IF(BW38&gt;190,CONCATENATE("{YELLOW}",INT((BW38-185)/1.85),"% bonus for long distance travel{}"),IF(AND(BW38&lt;180,BW38&lt;&gt;0),CONCATENATE("{YELLOW}",INT((185-BW38)/1.85),"% penalty for long distance travel{}"),""))))</f>
        <v>{YELLOW}25% bonus for long distance travel{}</v>
      </c>
      <c r="CK38" s="0" t="str">
        <f aca="false">_xlfn.CONCAT(CF38,IF(CF38&lt;&gt;""," ",""),CG38,IF(OR(CG38&lt;&gt;"",CF38&lt;&gt;""),"{}",""),CE38,CJ38,"{SILVER}",CH38,IF(CI38&lt;&gt;"","{}{}",""),CI38)</f>
        <v>{BLACK}Length: {GOLD}0.8 tiles{}{YELLOW}25% bonus for long distance travel{}{SILVER}MK1 FK (First Corridor) carriages were divided into 7 compartments, larger and more luxurious than the SK carriages.</v>
      </c>
    </row>
    <row r="39" customFormat="false" ht="14.25" hidden="false" customHeight="false" outlineLevel="0" collapsed="false">
      <c r="A39" s="0" t="s">
        <v>188</v>
      </c>
      <c r="B39" s="15" t="s">
        <v>189</v>
      </c>
      <c r="C39" s="0" t="n">
        <v>22</v>
      </c>
      <c r="D39" s="0" t="n">
        <v>18</v>
      </c>
      <c r="E39" s="0" t="n">
        <v>1013</v>
      </c>
      <c r="F39" s="0" t="s">
        <v>143</v>
      </c>
      <c r="G39" s="0" t="s">
        <v>144</v>
      </c>
      <c r="H39" s="0" t="s">
        <v>145</v>
      </c>
      <c r="I39" s="0" t="s">
        <v>92</v>
      </c>
      <c r="J39" s="0" t="n">
        <v>1957</v>
      </c>
      <c r="K39" s="0" t="n">
        <v>1963</v>
      </c>
      <c r="L39" s="0" t="n">
        <v>1974</v>
      </c>
      <c r="W39" s="0" t="n">
        <v>35</v>
      </c>
      <c r="Y39" s="0" t="n">
        <v>4</v>
      </c>
      <c r="AA39" s="3" t="str">
        <f aca="false">IF(AND(W39&gt;0,Z39&gt;0),(Z39/((W39+X39)*10)),"")</f>
        <v/>
      </c>
      <c r="AB39" s="0" t="n">
        <v>100</v>
      </c>
      <c r="AC39" s="0" t="n">
        <f aca="false">ROUND(AB39*1.6, 0)</f>
        <v>160</v>
      </c>
      <c r="AF39" s="0" t="n">
        <v>19.3</v>
      </c>
      <c r="AG39" s="0" t="n">
        <v>20</v>
      </c>
      <c r="AJ39" s="4" t="n">
        <v>42</v>
      </c>
      <c r="AK39" s="0" t="str">
        <f aca="false">CONCATENATE(VLOOKUP(AL39, 'Voxel Sizes'!$A$2:$B$18,2,FALSE()),"x",INT(AH39*15), "x", INT(AI39*15))</f>
        <v>198x0x0</v>
      </c>
      <c r="AL39" s="0" t="n">
        <f aca="false">ROUND(15*((AG39*10)/256),0)</f>
        <v>12</v>
      </c>
      <c r="AN39" s="0" t="str">
        <f aca="false">CONCATENATE(VLOOKUP(AL39,Constants!$A$2:$C$16,IF(AM39&lt;&gt;"", 3, 2), FALSE()),IF(AM39&lt;&gt;"",CONCATENATE(",",VLOOKUP(AM39,$B:$AN,39,FALSE())),""))</f>
        <v>4,4,4</v>
      </c>
      <c r="AX39" s="0" t="n">
        <v>30</v>
      </c>
      <c r="AY39" s="16" t="n">
        <f aca="false">IF(L39&lt;&gt;"",MAX(16,(L39-J39)+8),"")</f>
        <v>25</v>
      </c>
      <c r="AZ39" s="0" t="n">
        <v>1150</v>
      </c>
      <c r="BA39" s="0" t="n">
        <v>150</v>
      </c>
      <c r="BB39" s="0" t="n">
        <f aca="false">MIN(AB39/150, 1)*30</f>
        <v>20</v>
      </c>
      <c r="BC39" s="0" t="n">
        <f aca="false">MIN(N39/4000, 1)*20</f>
        <v>0</v>
      </c>
      <c r="BD39" s="0" t="n">
        <f aca="false">MIN(Z39/400,1)*20</f>
        <v>0</v>
      </c>
      <c r="BE39" s="3" t="n">
        <f aca="false">1-(MAX(J39-1900, 0)/750)</f>
        <v>0.924</v>
      </c>
      <c r="BF39" s="0" t="n">
        <f aca="false">((MAX($M39,1)*MIN($AJ39/300,1)))*IF(G39="Wagon",50,10)</f>
        <v>7</v>
      </c>
      <c r="BG39" s="0" t="n">
        <f aca="false">VLOOKUP($H39,Constants!$I:$K, 2, FALSE())</f>
        <v>1.2</v>
      </c>
      <c r="BH39" s="0" t="n">
        <f aca="false">VLOOKUP($H39,Constants!$I:$K, 3, FALSE())*IF(AND(G39="multiple_unit",AB39&lt;110),0.75,1)</f>
        <v>0.6</v>
      </c>
      <c r="BI39" s="0" t="n">
        <f aca="false">INT(POWER(((Constants!$G$2+$BB39+$BC39+$BD39+$BF39)*$BE39)*$BH39, 1.05))+$BA39</f>
        <v>170</v>
      </c>
      <c r="BJ39" s="0" t="n">
        <f aca="false">INT(POWER((((Constants!$G$1+$BB39+$BC39+$BD39+$BF39)*($BE39))*$BG39),IF($G39="wagon",1,1.2)))+$AZ39</f>
        <v>1196</v>
      </c>
      <c r="BK39" s="17" t="n">
        <f aca="false">BI39*IF($G39="wagon",62.5,781.25)</f>
        <v>10625</v>
      </c>
      <c r="BL39" s="17" t="n">
        <f aca="false">BJ39*IF($G39="wagon",2.73,81.25)</f>
        <v>3265.08</v>
      </c>
      <c r="BV39" s="0" t="n">
        <v>1</v>
      </c>
      <c r="BW39" s="0" t="n">
        <v>185</v>
      </c>
      <c r="BX39" s="0" t="s">
        <v>190</v>
      </c>
      <c r="BY39" s="0" t="s">
        <v>147</v>
      </c>
      <c r="BZ39" s="0" t="s">
        <v>148</v>
      </c>
      <c r="CA39" s="0" t="str">
        <f aca="false">VLOOKUP(J39,Eras!$A$2:$C$10, 2, TRUE())</f>
        <v>dsl</v>
      </c>
      <c r="CB39" s="0" t="s">
        <v>149</v>
      </c>
      <c r="CC39" s="0" t="str">
        <f aca="false">CONCATENATE(CA39,"_",CB39)</f>
        <v>dsl_Carriage</v>
      </c>
      <c r="CD39" s="0" t="str">
        <f aca="false">_xlfn.CONCAT(H39, "_",I39)</f>
        <v>carriage_RAIL</v>
      </c>
      <c r="CE39" s="6" t="str">
        <f aca="false" t="array" ref="CE39:CE39">_xlfn.CONCAT("{BLACK}Length: {GOLD}", TEXT(ROUNDUP(IF(AQ39&lt;&gt;"",SUM(VALUE(_xlfn.TEXTSPLIT(AQ39, ","))), SUM(VALUE(_xlfn.TEXTSPLIT(AN39, ",")))*IF(M39, M39, 1))/16, 1), "#,##0.0"), " tiles{}")</f>
        <v>{BLACK}Length: {GOLD}0.8 tiles{}</v>
      </c>
      <c r="CF39" s="0" t="str">
        <f aca="false">VLOOKUP($CD39, Constants!$M:$N, 2, FALSE())</f>
        <v/>
      </c>
      <c r="CG39" s="0" t="str">
        <f aca="false">IF(M39&gt;1,_xlfn.CONCAT("{BLACK}Cars: {GOLD}", M39),"")</f>
        <v/>
      </c>
      <c r="CH39" s="0" t="s">
        <v>191</v>
      </c>
      <c r="CI39" s="0" t="str">
        <f aca="false">IF($BU39="!param_no_gameplay_units","{GREEN}Included for gameplay purposes","")</f>
        <v/>
      </c>
      <c r="CJ39" s="0" t="str">
        <f aca="false">IF(BX39="buffet","{YELLOW}25% long distance bonus for consist{}",IF(BZ39="BRAKE","{YELLOW}Speed bonus for slow wagons{}",IF(BW39&gt;190,CONCATENATE("{YELLOW}",INT((BW39-185)/1.85),"% bonus for long distance travel{}"),IF(AND(BW39&lt;180,BW39&lt;&gt;0),CONCATENATE("{YELLOW}",INT((185-BW39)/1.85),"% penalty for long distance travel{}"),""))))</f>
        <v>{YELLOW}25% long distance bonus for consist{}</v>
      </c>
      <c r="CK39" s="0" t="str">
        <f aca="false">_xlfn.CONCAT(CF39,IF(CF39&lt;&gt;""," ",""),CG39,IF(OR(CG39&lt;&gt;"",CF39&lt;&gt;""),"{}",""),CE39,CJ39,"{SILVER}",CH39,IF(CI39&lt;&gt;"","{}{}",""),CI39)</f>
        <v>{BLACK}Length: {GOLD}0.8 tiles{}{YELLOW}25% long distance bonus for consist{}{SILVER}The Mk1 RMB (Restaurant Mini Buffet) is a TSO carriage in which some of the seating rows have been replaced with a small buffet service restaurant.</v>
      </c>
    </row>
    <row r="40" customFormat="false" ht="14.25" hidden="false" customHeight="false" outlineLevel="0" collapsed="false">
      <c r="A40" s="0" t="s">
        <v>192</v>
      </c>
      <c r="B40" s="15" t="s">
        <v>193</v>
      </c>
      <c r="C40" s="0" t="n">
        <v>23</v>
      </c>
      <c r="D40" s="0" t="n">
        <v>22</v>
      </c>
      <c r="E40" s="0" t="n">
        <v>1014</v>
      </c>
      <c r="F40" s="0" t="s">
        <v>143</v>
      </c>
      <c r="G40" s="0" t="s">
        <v>144</v>
      </c>
      <c r="H40" s="0" t="s">
        <v>145</v>
      </c>
      <c r="I40" s="0" t="s">
        <v>92</v>
      </c>
      <c r="J40" s="0" t="n">
        <v>1957</v>
      </c>
      <c r="K40" s="0" t="n">
        <v>1963</v>
      </c>
      <c r="L40" s="0" t="n">
        <v>1974</v>
      </c>
      <c r="W40" s="0" t="n">
        <v>35</v>
      </c>
      <c r="Y40" s="0" t="n">
        <v>4</v>
      </c>
      <c r="AA40" s="3" t="str">
        <f aca="false">IF(AND(W40&gt;0,Z40&gt;0),(Z40/((W40+X40)*10)),"")</f>
        <v/>
      </c>
      <c r="AB40" s="0" t="n">
        <v>100</v>
      </c>
      <c r="AC40" s="0" t="n">
        <f aca="false">ROUND(AB40*1.6, 0)</f>
        <v>160</v>
      </c>
      <c r="AF40" s="0" t="n">
        <v>19.3</v>
      </c>
      <c r="AG40" s="0" t="n">
        <v>20</v>
      </c>
      <c r="AJ40" s="4" t="n">
        <v>42</v>
      </c>
      <c r="AK40" s="0" t="str">
        <f aca="false">CONCATENATE(VLOOKUP(AL40, 'Voxel Sizes'!$A$2:$B$18,2,FALSE()),"x",INT(AH40*15), "x", INT(AI40*15))</f>
        <v>198x0x0</v>
      </c>
      <c r="AL40" s="0" t="n">
        <f aca="false">ROUND(15*((AG40*10)/256),0)</f>
        <v>12</v>
      </c>
      <c r="AN40" s="0" t="str">
        <f aca="false">CONCATENATE(VLOOKUP(AL40,Constants!$A$2:$C$16,IF(AM40&lt;&gt;"", 3, 2), FALSE()),IF(AM40&lt;&gt;"",CONCATENATE(",",VLOOKUP(AM40,$B:$AN,39,FALSE())),""))</f>
        <v>4,4,4</v>
      </c>
      <c r="AX40" s="0" t="n">
        <v>30</v>
      </c>
      <c r="AY40" s="16" t="n">
        <f aca="false">IF(L40&lt;&gt;"",MAX(16,(L40-J40)+8),"")</f>
        <v>25</v>
      </c>
      <c r="AZ40" s="0" t="n">
        <v>1150</v>
      </c>
      <c r="BA40" s="0" t="n">
        <v>150</v>
      </c>
      <c r="BB40" s="0" t="n">
        <f aca="false">MIN(AB40/150, 1)*30</f>
        <v>20</v>
      </c>
      <c r="BC40" s="0" t="n">
        <f aca="false">MIN(N40/4000, 1)*20</f>
        <v>0</v>
      </c>
      <c r="BD40" s="0" t="n">
        <f aca="false">MIN(Z40/400,1)*20</f>
        <v>0</v>
      </c>
      <c r="BE40" s="3" t="n">
        <f aca="false">1-(MAX(J40-1900, 0)/750)</f>
        <v>0.924</v>
      </c>
      <c r="BF40" s="0" t="n">
        <f aca="false">((MAX($M40,1)*MIN($AJ40/300,1)))*IF(G40="Wagon",50,10)</f>
        <v>7</v>
      </c>
      <c r="BG40" s="0" t="n">
        <f aca="false">VLOOKUP($H40,Constants!$I:$K, 2, FALSE())</f>
        <v>1.2</v>
      </c>
      <c r="BH40" s="0" t="n">
        <f aca="false">VLOOKUP($H40,Constants!$I:$K, 3, FALSE())*IF(AND(G40="multiple_unit",AB40&lt;110),0.75,1)</f>
        <v>0.6</v>
      </c>
      <c r="BI40" s="0" t="n">
        <f aca="false">INT(POWER(((Constants!$G$2+$BB40+$BC40+$BD40+$BF40)*$BE40)*$BH40, 1.05))+$BA40</f>
        <v>170</v>
      </c>
      <c r="BJ40" s="0" t="n">
        <f aca="false">INT(POWER((((Constants!$G$1+$BB40+$BC40+$BD40+$BF40)*($BE40))*$BG40),IF($G40="wagon",1,1.2)))+$AZ40</f>
        <v>1196</v>
      </c>
      <c r="BK40" s="17" t="n">
        <f aca="false">BI40*IF($G40="wagon",62.5,781.25)</f>
        <v>10625</v>
      </c>
      <c r="BL40" s="17" t="n">
        <f aca="false">BJ40*IF($G40="wagon",2.73,81.25)</f>
        <v>3265.08</v>
      </c>
      <c r="BV40" s="0" t="n">
        <v>1</v>
      </c>
      <c r="BW40" s="0" t="n">
        <v>185</v>
      </c>
      <c r="BX40" s="0" t="s">
        <v>190</v>
      </c>
      <c r="BY40" s="0" t="s">
        <v>147</v>
      </c>
      <c r="BZ40" s="0" t="s">
        <v>148</v>
      </c>
      <c r="CA40" s="0" t="str">
        <f aca="false">VLOOKUP(J40,Eras!$A$2:$C$10, 2, TRUE())</f>
        <v>dsl</v>
      </c>
      <c r="CB40" s="0" t="s">
        <v>149</v>
      </c>
      <c r="CC40" s="0" t="str">
        <f aca="false">CONCATENATE(CA40,"_",CB40)</f>
        <v>dsl_Carriage</v>
      </c>
      <c r="CD40" s="0" t="str">
        <f aca="false">_xlfn.CONCAT(H40, "_",I40)</f>
        <v>carriage_RAIL</v>
      </c>
      <c r="CE40" s="6" t="str">
        <f aca="false" t="array" ref="CE40:CE40">_xlfn.CONCAT("{BLACK}Length: {GOLD}", TEXT(ROUNDUP(IF(AQ40&lt;&gt;"",SUM(VALUE(_xlfn.TEXTSPLIT(AQ40, ","))), SUM(VALUE(_xlfn.TEXTSPLIT(AN40, ",")))*IF(M40, M40, 1))/16, 1), "#,##0.0"), " tiles{}")</f>
        <v>{BLACK}Length: {GOLD}0.8 tiles{}</v>
      </c>
      <c r="CF40" s="0" t="str">
        <f aca="false">VLOOKUP($CD40, Constants!$M:$N, 2, FALSE())</f>
        <v/>
      </c>
      <c r="CG40" s="0" t="str">
        <f aca="false">IF(M40&gt;1,_xlfn.CONCAT("{BLACK}Cars: {GOLD}", M40),"")</f>
        <v/>
      </c>
      <c r="CH40" s="0" t="s">
        <v>194</v>
      </c>
      <c r="CI40" s="0" t="str">
        <f aca="false">IF($BU40="!param_no_gameplay_units","{GREEN}Included for gameplay purposes","")</f>
        <v/>
      </c>
      <c r="CJ40" s="0" t="str">
        <f aca="false">IF(BX40="buffet","{YELLOW}25% long distance bonus for consist{}",IF(BZ40="BRAKE","{YELLOW}Speed bonus for slow wagons{}",IF(BW40&gt;190,CONCATENATE("{YELLOW}",INT((BW40-185)/1.85),"% bonus for long distance travel{}"),IF(AND(BW40&lt;180,BW40&lt;&gt;0),CONCATENATE("{YELLOW}",INT((185-BW40)/1.85),"% penalty for long distance travel{}"),""))))</f>
        <v>{YELLOW}25% long distance bonus for consist{}</v>
      </c>
      <c r="CK40" s="0" t="str">
        <f aca="false">_xlfn.CONCAT(CF40,IF(CF40&lt;&gt;""," ",""),CG40,IF(OR(CG40&lt;&gt;"",CF40&lt;&gt;""),"{}",""),CE40,CJ40,"{SILVER}",CH40,IF(CI40&lt;&gt;"","{}{}",""),CI40)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 customFormat="false" ht="14.25" hidden="false" customHeight="false" outlineLevel="0" collapsed="false">
      <c r="A41" s="0" t="s">
        <v>195</v>
      </c>
      <c r="B41" s="15" t="s">
        <v>196</v>
      </c>
      <c r="C41" s="0" t="n">
        <v>25</v>
      </c>
      <c r="E41" s="0" t="n">
        <v>1016</v>
      </c>
      <c r="F41" s="0" t="s">
        <v>143</v>
      </c>
      <c r="G41" s="0" t="s">
        <v>144</v>
      </c>
      <c r="H41" s="0" t="s">
        <v>145</v>
      </c>
      <c r="I41" s="0" t="s">
        <v>92</v>
      </c>
      <c r="J41" s="0" t="n">
        <v>1964</v>
      </c>
      <c r="L41" s="0" t="n">
        <v>2010</v>
      </c>
      <c r="W41" s="0" t="n">
        <v>40</v>
      </c>
      <c r="Y41" s="0" t="n">
        <v>5</v>
      </c>
      <c r="AA41" s="3" t="str">
        <f aca="false">IF(AND(W41&gt;0,Z41&gt;0),(Z41/((W41+X41)*10)),"")</f>
        <v/>
      </c>
      <c r="AB41" s="0" t="n">
        <v>110</v>
      </c>
      <c r="AC41" s="0" t="n">
        <f aca="false">ROUND(AB41*1.6, 0)</f>
        <v>176</v>
      </c>
      <c r="AF41" s="0" t="n">
        <v>19.66</v>
      </c>
      <c r="AG41" s="0" t="n">
        <v>19.66</v>
      </c>
      <c r="AH41" s="0" t="n">
        <v>2.83</v>
      </c>
      <c r="AI41" s="0" t="n">
        <v>3.79</v>
      </c>
      <c r="AJ41" s="4" t="n">
        <v>63</v>
      </c>
      <c r="AK41" s="0" t="str">
        <f aca="false">CONCATENATE(VLOOKUP(AL41, 'Voxel Sizes'!$A$2:$B$18,2,FALSE()),"x",INT(AH41*15), "x", INT(AI41*15))</f>
        <v>198x42x56</v>
      </c>
      <c r="AL41" s="0" t="n">
        <f aca="false">ROUND(15*((AG41*10)/256),0)</f>
        <v>12</v>
      </c>
      <c r="AN41" s="0" t="str">
        <f aca="false">CONCATENATE(VLOOKUP(AL41,Constants!$A$2:$C$16,IF(AM41&lt;&gt;"", 3, 2), FALSE()),IF(AM41&lt;&gt;"",CONCATENATE(",",VLOOKUP(AM41,$B:$AN,39,FALSE())),""))</f>
        <v>4,4,4</v>
      </c>
      <c r="AX41" s="0" t="n">
        <v>30</v>
      </c>
      <c r="AY41" s="16" t="n">
        <f aca="false">IF(L41&lt;&gt;"",MAX(16,(L41-J41)+8),"")</f>
        <v>54</v>
      </c>
      <c r="AZ41" s="0" t="n">
        <v>79</v>
      </c>
      <c r="BA41" s="0" t="n">
        <f aca="false">25*3</f>
        <v>75</v>
      </c>
      <c r="BB41" s="0" t="n">
        <f aca="false">MIN(AB41/150, 1)*30</f>
        <v>22</v>
      </c>
      <c r="BC41" s="0" t="n">
        <f aca="false">MIN(N41/4000, 1)*20</f>
        <v>0</v>
      </c>
      <c r="BD41" s="0" t="n">
        <f aca="false">MIN(Z41/400,1)*20</f>
        <v>0</v>
      </c>
      <c r="BE41" s="3" t="n">
        <f aca="false">1-(MAX(J41-1900, 0)/750)</f>
        <v>0.914666666666667</v>
      </c>
      <c r="BF41" s="0" t="n">
        <f aca="false">((MAX($M41,1)*MIN($AJ41/300,1)))*IF(G41="Wagon",50,10)</f>
        <v>10.5</v>
      </c>
      <c r="BG41" s="0" t="n">
        <f aca="false">VLOOKUP($H41,Constants!$I:$K, 2, FALSE())</f>
        <v>1.2</v>
      </c>
      <c r="BH41" s="0" t="n">
        <f aca="false">VLOOKUP($H41,Constants!$I:$K, 3, FALSE())*IF(AND(G41="multiple_unit",AB41&lt;110),0.75,1)</f>
        <v>0.6</v>
      </c>
      <c r="BI41" s="0" t="n">
        <f aca="false">INT(POWER(((Constants!$G$2+$BB41+$BC41+$BD41+$BF41)*$BE41)*$BH41, 1.05))+$BA41</f>
        <v>98</v>
      </c>
      <c r="BJ41" s="0" t="n">
        <f aca="false">INT(POWER((((Constants!$G$1+$BB41+$BC41+$BD41+$BF41)*($BE41))*$BG41),IF($G41="wagon",1,1.2)))+$AZ41</f>
        <v>131</v>
      </c>
      <c r="BK41" s="17" t="n">
        <f aca="false">BI41*IF($G41="wagon",62.5,781.25)</f>
        <v>6125</v>
      </c>
      <c r="BL41" s="17" t="n">
        <f aca="false">BJ41*IF($G41="wagon",2.73,81.25)</f>
        <v>357.63</v>
      </c>
      <c r="BV41" s="0" t="n">
        <v>1</v>
      </c>
      <c r="BW41" s="0" t="n">
        <v>185</v>
      </c>
      <c r="BY41" s="0" t="s">
        <v>147</v>
      </c>
      <c r="BZ41" s="0" t="s">
        <v>148</v>
      </c>
      <c r="CA41" s="0" t="str">
        <f aca="false">VLOOKUP(J41,Eras!$A$2:$C$10, 2, TRUE())</f>
        <v>dsl</v>
      </c>
      <c r="CB41" s="0" t="s">
        <v>149</v>
      </c>
      <c r="CC41" s="0" t="str">
        <f aca="false">CONCATENATE(CA41,"_",CB41)</f>
        <v>dsl_Carriage</v>
      </c>
      <c r="CD41" s="0" t="str">
        <f aca="false">_xlfn.CONCAT(H41, "_",I41)</f>
        <v>carriage_RAIL</v>
      </c>
      <c r="CE41" s="6" t="str">
        <f aca="false" t="array" ref="CE41:CE41">_xlfn.CONCAT("{BLACK}Length: {GOLD}", TEXT(ROUNDUP(IF(AQ41&lt;&gt;"",SUM(VALUE(_xlfn.TEXTSPLIT(AQ41, ","))), SUM(VALUE(_xlfn.TEXTSPLIT(AN41, ",")))*IF(M41, M41, 1))/16, 1), "#,##0.0"), " tiles{}")</f>
        <v>{BLACK}Length: {GOLD}0.8 tiles{}</v>
      </c>
      <c r="CF41" s="0" t="str">
        <f aca="false">VLOOKUP($CD41, Constants!$M:$N, 2, FALSE())</f>
        <v/>
      </c>
      <c r="CG41" s="0" t="str">
        <f aca="false">IF(M41&gt;1,_xlfn.CONCAT("{BLACK}Cars: {GOLD}", M41),"")</f>
        <v/>
      </c>
      <c r="CH41" s="0" t="s">
        <v>197</v>
      </c>
      <c r="CI41" s="0" t="str">
        <f aca="false">IF($BU41="!param_no_gameplay_units","{GREEN}Included for gameplay purposes","")</f>
        <v/>
      </c>
      <c r="CJ41" s="0" t="str">
        <f aca="false">IF(BX41="buffet","{YELLOW}25% long distance bonus for consist{}",IF(BZ41="BRAKE","{YELLOW}Speed bonus for slow wagons{}",IF(BW41&gt;190,CONCATENATE("{YELLOW}",INT((BW41-185)/1.85),"% bonus for long distance travel{}"),IF(AND(BW41&lt;180,BW41&lt;&gt;0),CONCATENATE("{YELLOW}",INT((185-BW41)/1.85),"% penalty for long distance travel{}"),""))))</f>
        <v/>
      </c>
      <c r="CK41" s="0" t="str">
        <f aca="false">_xlfn.CONCAT(CF41,IF(CF41&lt;&gt;""," ",""),CG41,IF(OR(CG41&lt;&gt;"",CF41&lt;&gt;""),"{}",""),CE41,CJ41,"{SILVER}",CH41,IF(CI41&lt;&gt;"","{}{}",""),CI41)</f>
        <v>{BLACK}Length: {GOLD}0.8 tiles{}{SILVER}The Mk2 carriage is the second BR carriage design. It was built to be stronger than the Mk1, giving better corrosion resistance and being safer for passengers in an accident.</v>
      </c>
    </row>
    <row r="42" customFormat="false" ht="14.25" hidden="false" customHeight="false" outlineLevel="0" collapsed="false">
      <c r="A42" s="0" t="s">
        <v>198</v>
      </c>
      <c r="B42" s="15" t="s">
        <v>199</v>
      </c>
      <c r="C42" s="0" t="n">
        <v>26</v>
      </c>
      <c r="D42" s="0" t="n">
        <v>25</v>
      </c>
      <c r="E42" s="0" t="n">
        <v>1017</v>
      </c>
      <c r="F42" s="0" t="s">
        <v>143</v>
      </c>
      <c r="G42" s="0" t="s">
        <v>144</v>
      </c>
      <c r="H42" s="0" t="s">
        <v>145</v>
      </c>
      <c r="I42" s="0" t="s">
        <v>92</v>
      </c>
      <c r="J42" s="0" t="n">
        <v>1964</v>
      </c>
      <c r="L42" s="0" t="n">
        <v>2010</v>
      </c>
      <c r="W42" s="0" t="n">
        <v>40</v>
      </c>
      <c r="Y42" s="0" t="n">
        <v>5</v>
      </c>
      <c r="AA42" s="3" t="str">
        <f aca="false">IF(AND(W42&gt;0,Z42&gt;0),(Z42/((W42+X42)*10)),"")</f>
        <v/>
      </c>
      <c r="AB42" s="0" t="n">
        <v>110</v>
      </c>
      <c r="AC42" s="0" t="n">
        <f aca="false">ROUND(AB42*1.6, 0)</f>
        <v>176</v>
      </c>
      <c r="AF42" s="0" t="n">
        <v>19.66</v>
      </c>
      <c r="AG42" s="0" t="n">
        <v>19.66</v>
      </c>
      <c r="AH42" s="0" t="n">
        <v>2.83</v>
      </c>
      <c r="AI42" s="0" t="n">
        <v>3.79</v>
      </c>
      <c r="AJ42" s="4" t="n">
        <v>42</v>
      </c>
      <c r="AK42" s="0" t="str">
        <f aca="false">CONCATENATE(VLOOKUP(AL42, 'Voxel Sizes'!$A$2:$B$18,2,FALSE()),"x",INT(AH42*15), "x", INT(AI42*15))</f>
        <v>198x42x56</v>
      </c>
      <c r="AL42" s="0" t="n">
        <f aca="false">ROUND(15*((AG42*10)/256),0)</f>
        <v>12</v>
      </c>
      <c r="AN42" s="0" t="str">
        <f aca="false">CONCATENATE(VLOOKUP(AL42,Constants!$A$2:$C$16,IF(AM42&lt;&gt;"", 3, 2), FALSE()),IF(AM42&lt;&gt;"",CONCATENATE(",",VLOOKUP(AM42,$B:$AN,39,FALSE())),""))</f>
        <v>4,4,4</v>
      </c>
      <c r="AX42" s="0" t="n">
        <v>30</v>
      </c>
      <c r="AY42" s="16" t="n">
        <f aca="false">IF(L42&lt;&gt;"",MAX(16,(L42-J42)+8),"")</f>
        <v>54</v>
      </c>
      <c r="AZ42" s="0" t="n">
        <v>135</v>
      </c>
      <c r="BA42" s="0" t="n">
        <v>105</v>
      </c>
      <c r="BB42" s="0" t="n">
        <f aca="false">MIN(AB42/150, 1)*30</f>
        <v>22</v>
      </c>
      <c r="BC42" s="0" t="n">
        <f aca="false">MIN(N42/4000, 1)*20</f>
        <v>0</v>
      </c>
      <c r="BD42" s="0" t="n">
        <f aca="false">MIN(Z42/400,1)*20</f>
        <v>0</v>
      </c>
      <c r="BE42" s="3" t="n">
        <f aca="false">1-(MAX(J42-1900, 0)/750)</f>
        <v>0.914666666666667</v>
      </c>
      <c r="BF42" s="0" t="n">
        <f aca="false">((MAX($M42,1)*MIN($AJ42/300,1)))*IF(G42="Wagon",50,10)</f>
        <v>7</v>
      </c>
      <c r="BG42" s="0" t="n">
        <f aca="false">VLOOKUP($H42,Constants!$I:$K, 2, FALSE())</f>
        <v>1.2</v>
      </c>
      <c r="BH42" s="0" t="n">
        <f aca="false">VLOOKUP($H42,Constants!$I:$K, 3, FALSE())*IF(AND(G42="multiple_unit",AB42&lt;110),0.75,1)</f>
        <v>0.6</v>
      </c>
      <c r="BI42" s="0" t="n">
        <f aca="false">INT(POWER(((Constants!$G$2+$BB42+$BC42+$BD42+$BF42)*$BE42)*$BH42, 1.05))+$BA42</f>
        <v>126</v>
      </c>
      <c r="BJ42" s="0" t="n">
        <f aca="false">INT(POWER((((Constants!$G$1+$BB42+$BC42+$BD42+$BF42)*($BE42))*$BG42),IF($G42="wagon",1,1.2)))+$AZ42</f>
        <v>183</v>
      </c>
      <c r="BK42" s="17" t="n">
        <f aca="false">BI42*IF($G42="wagon",62.5,781.25)</f>
        <v>7875</v>
      </c>
      <c r="BL42" s="17" t="n">
        <f aca="false">BJ42*IF($G42="wagon",2.73,81.25)</f>
        <v>499.59</v>
      </c>
      <c r="BV42" s="0" t="n">
        <v>1</v>
      </c>
      <c r="BW42" s="0" t="n">
        <v>222</v>
      </c>
      <c r="BX42" s="0" t="s">
        <v>180</v>
      </c>
      <c r="BY42" s="0" t="s">
        <v>147</v>
      </c>
      <c r="BZ42" s="0" t="s">
        <v>148</v>
      </c>
      <c r="CA42" s="0" t="str">
        <f aca="false">VLOOKUP(J42,Eras!$A$2:$C$10, 2, TRUE())</f>
        <v>dsl</v>
      </c>
      <c r="CB42" s="0" t="s">
        <v>149</v>
      </c>
      <c r="CC42" s="0" t="str">
        <f aca="false">CONCATENATE(CA42,"_",CB42)</f>
        <v>dsl_Carriage</v>
      </c>
      <c r="CD42" s="0" t="str">
        <f aca="false">_xlfn.CONCAT(H42, "_",I42)</f>
        <v>carriage_RAIL</v>
      </c>
      <c r="CE42" s="6" t="str">
        <f aca="false" t="array" ref="CE42:CE42">_xlfn.CONCAT("{BLACK}Length: {GOLD}", TEXT(ROUNDUP(IF(AQ42&lt;&gt;"",SUM(VALUE(_xlfn.TEXTSPLIT(AQ42, ","))), SUM(VALUE(_xlfn.TEXTSPLIT(AN42, ",")))*IF(M42, M42, 1))/16, 1), "#,##0.0"), " tiles{}")</f>
        <v>{BLACK}Length: {GOLD}0.8 tiles{}</v>
      </c>
      <c r="CF42" s="0" t="str">
        <f aca="false">VLOOKUP($CD42, Constants!$M:$N, 2, FALSE())</f>
        <v/>
      </c>
      <c r="CG42" s="0" t="str">
        <f aca="false">IF(M42&gt;1,_xlfn.CONCAT("{BLACK}Cars: {GOLD}", M42),"")</f>
        <v/>
      </c>
      <c r="CH42" s="0" t="s">
        <v>200</v>
      </c>
      <c r="CI42" s="0" t="str">
        <f aca="false">IF($BU42="!param_no_gameplay_units","{GREEN}Included for gameplay purposes","")</f>
        <v/>
      </c>
      <c r="CJ42" s="0" t="str">
        <f aca="false">IF(BX42="buffet","{YELLOW}25% long distance bonus for consist{}",IF(BZ42="BRAKE","{YELLOW}Speed bonus for slow wagons{}",IF(BW42&gt;190,CONCATENATE("{YELLOW}",INT((BW42-185)/1.85),"% bonus for long distance travel{}"),IF(AND(BW42&lt;180,BW42&lt;&gt;0),CONCATENATE("{YELLOW}",INT((185-BW42)/1.85),"% penalty for long distance travel{}"),""))))</f>
        <v>{YELLOW}20% bonus for long distance travel{}</v>
      </c>
      <c r="CK42" s="0" t="str">
        <f aca="false">_xlfn.CONCAT(CF42,IF(CF42&lt;&gt;""," ",""),CG42,IF(OR(CG42&lt;&gt;"",CF42&lt;&gt;""),"{}",""),CE42,CJ42,"{SILVER}",CH42,IF(CI42&lt;&gt;"","{}{}",""),CI42)</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3" customFormat="false" ht="14.25" hidden="false" customHeight="false" outlineLevel="0" collapsed="false">
      <c r="A43" s="0" t="s">
        <v>201</v>
      </c>
      <c r="B43" s="15" t="s">
        <v>202</v>
      </c>
      <c r="C43" s="0" t="n">
        <v>27</v>
      </c>
      <c r="D43" s="0" t="n">
        <v>25</v>
      </c>
      <c r="E43" s="0" t="n">
        <v>1018</v>
      </c>
      <c r="F43" s="0" t="s">
        <v>143</v>
      </c>
      <c r="G43" s="0" t="s">
        <v>144</v>
      </c>
      <c r="H43" s="0" t="s">
        <v>145</v>
      </c>
      <c r="I43" s="0" t="s">
        <v>92</v>
      </c>
      <c r="J43" s="0" t="n">
        <v>1964</v>
      </c>
      <c r="L43" s="0" t="n">
        <v>2010</v>
      </c>
      <c r="W43" s="0" t="n">
        <v>40</v>
      </c>
      <c r="Y43" s="0" t="n">
        <v>4</v>
      </c>
      <c r="AA43" s="3" t="str">
        <f aca="false">IF(AND(W43&gt;0,Z43&gt;0),(Z43/((W43+X43)*10)),"")</f>
        <v/>
      </c>
      <c r="AB43" s="0" t="n">
        <v>110</v>
      </c>
      <c r="AC43" s="0" t="n">
        <f aca="false">ROUND(AB43*1.6, 0)</f>
        <v>176</v>
      </c>
      <c r="AF43" s="0" t="n">
        <v>19.66</v>
      </c>
      <c r="AG43" s="0" t="n">
        <v>19.66</v>
      </c>
      <c r="AH43" s="0" t="n">
        <v>2.83</v>
      </c>
      <c r="AI43" s="0" t="n">
        <v>3.79</v>
      </c>
      <c r="AJ43" s="4" t="n">
        <v>42</v>
      </c>
      <c r="AK43" s="0" t="str">
        <f aca="false">CONCATENATE(VLOOKUP(AL43, 'Voxel Sizes'!$A$2:$B$18,2,FALSE()),"x",INT(AH43*15), "x", INT(AI43*15))</f>
        <v>198x42x56</v>
      </c>
      <c r="AL43" s="0" t="n">
        <f aca="false">ROUND(15*((AG43*10)/256),0)</f>
        <v>12</v>
      </c>
      <c r="AN43" s="0" t="str">
        <f aca="false">CONCATENATE(VLOOKUP(AL43,Constants!$A$2:$C$16,IF(AM43&lt;&gt;"", 3, 2), FALSE()),IF(AM43&lt;&gt;"",CONCATENATE(",",VLOOKUP(AM43,$B:$AN,39,FALSE())),""))</f>
        <v>4,4,4</v>
      </c>
      <c r="AX43" s="0" t="n">
        <v>30</v>
      </c>
      <c r="AY43" s="16" t="n">
        <f aca="false">IF(L43&lt;&gt;"",MAX(16,(L43-J43)+8),"")</f>
        <v>54</v>
      </c>
      <c r="AZ43" s="0" t="n">
        <v>135</v>
      </c>
      <c r="BA43" s="0" t="n">
        <v>107</v>
      </c>
      <c r="BB43" s="0" t="n">
        <f aca="false">MIN(AB43/150, 1)*30</f>
        <v>22</v>
      </c>
      <c r="BC43" s="0" t="n">
        <f aca="false">MIN(N43/4000, 1)*20</f>
        <v>0</v>
      </c>
      <c r="BD43" s="0" t="n">
        <f aca="false">MIN(Z43/400,1)*20</f>
        <v>0</v>
      </c>
      <c r="BE43" s="3" t="n">
        <f aca="false">1-(MAX(J43-1900, 0)/750)</f>
        <v>0.914666666666667</v>
      </c>
      <c r="BF43" s="0" t="n">
        <f aca="false">((MAX($M43,1)*MIN($AJ43/300,1)))*IF(G43="Wagon",50,10)</f>
        <v>7</v>
      </c>
      <c r="BG43" s="0" t="n">
        <f aca="false">VLOOKUP($H43,Constants!$I:$K, 2, FALSE())</f>
        <v>1.2</v>
      </c>
      <c r="BH43" s="0" t="n">
        <f aca="false">VLOOKUP($H43,Constants!$I:$K, 3, FALSE())*IF(AND(G43="multiple_unit",AB43&lt;110),0.75,1)</f>
        <v>0.6</v>
      </c>
      <c r="BI43" s="0" t="n">
        <f aca="false">INT(POWER(((Constants!$G$2+$BB43+$BC43+$BD43+$BF43)*$BE43)*$BH43, 1.05))+$BA43</f>
        <v>128</v>
      </c>
      <c r="BJ43" s="0" t="n">
        <f aca="false">INT(POWER((((Constants!$G$1+$BB43+$BC43+$BD43+$BF43)*($BE43))*$BG43),IF($G43="wagon",1,1.2)))+$AZ43</f>
        <v>183</v>
      </c>
      <c r="BK43" s="17" t="n">
        <f aca="false">BI43*IF($G43="wagon",62.5,781.25)</f>
        <v>8000</v>
      </c>
      <c r="BL43" s="17" t="n">
        <f aca="false">BJ43*IF($G43="wagon",2.73,81.25)</f>
        <v>499.59</v>
      </c>
      <c r="BV43" s="0" t="n">
        <v>1</v>
      </c>
      <c r="BW43" s="0" t="n">
        <v>232</v>
      </c>
      <c r="BX43" s="0" t="s">
        <v>180</v>
      </c>
      <c r="BY43" s="0" t="s">
        <v>147</v>
      </c>
      <c r="BZ43" s="0" t="s">
        <v>148</v>
      </c>
      <c r="CA43" s="0" t="str">
        <f aca="false">VLOOKUP(J43,Eras!$A$2:$C$10, 2, TRUE())</f>
        <v>dsl</v>
      </c>
      <c r="CB43" s="0" t="s">
        <v>149</v>
      </c>
      <c r="CC43" s="0" t="str">
        <f aca="false">CONCATENATE(CA43,"_",CB43)</f>
        <v>dsl_Carriage</v>
      </c>
      <c r="CD43" s="0" t="str">
        <f aca="false">_xlfn.CONCAT(H43, "_",I43)</f>
        <v>carriage_RAIL</v>
      </c>
      <c r="CE43" s="6" t="str">
        <f aca="false" t="array" ref="CE43:CE43">_xlfn.CONCAT("{BLACK}Length: {GOLD}", TEXT(ROUNDUP(IF(AQ43&lt;&gt;"",SUM(VALUE(_xlfn.TEXTSPLIT(AQ43, ","))), SUM(VALUE(_xlfn.TEXTSPLIT(AN43, ",")))*IF(M43, M43, 1))/16, 1), "#,##0.0"), " tiles{}")</f>
        <v>{BLACK}Length: {GOLD}0.8 tiles{}</v>
      </c>
      <c r="CF43" s="0" t="str">
        <f aca="false">VLOOKUP($CD43, Constants!$M:$N, 2, FALSE())</f>
        <v/>
      </c>
      <c r="CG43" s="0" t="str">
        <f aca="false">IF(M43&gt;1,_xlfn.CONCAT("{BLACK}Cars: {GOLD}", M43),"")</f>
        <v/>
      </c>
      <c r="CH43" s="0" t="s">
        <v>203</v>
      </c>
      <c r="CI43" s="0" t="str">
        <f aca="false">IF($BU43="!param_no_gameplay_units","{GREEN}Included for gameplay purposes","")</f>
        <v/>
      </c>
      <c r="CJ43" s="0" t="str">
        <f aca="false">IF(BX43="buffet","{YELLOW}25% long distance bonus for consist{}",IF(BZ43="BRAKE","{YELLOW}Speed bonus for slow wagons{}",IF(BW43&gt;190,CONCATENATE("{YELLOW}",INT((BW43-185)/1.85),"% bonus for long distance travel{}"),IF(AND(BW43&lt;180,BW43&lt;&gt;0),CONCATENATE("{YELLOW}",INT((185-BW43)/1.85),"% penalty for long distance travel{}"),""))))</f>
        <v>{YELLOW}25% bonus for long distance travel{}</v>
      </c>
      <c r="CK43" s="0" t="str">
        <f aca="false">_xlfn.CONCAT(CF43,IF(CF43&lt;&gt;""," ",""),CG43,IF(OR(CG43&lt;&gt;"",CF43&lt;&gt;""),"{}",""),CE43,CJ43,"{SILVER}",CH43,IF(CI43&lt;&gt;"","{}{}",""),CI43)</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4" customFormat="false" ht="14.25" hidden="false" customHeight="false" outlineLevel="0" collapsed="false">
      <c r="A44" s="0" t="s">
        <v>204</v>
      </c>
      <c r="B44" s="15" t="s">
        <v>205</v>
      </c>
      <c r="C44" s="0" t="n">
        <v>29</v>
      </c>
      <c r="E44" s="0" t="n">
        <v>1020</v>
      </c>
      <c r="F44" s="0" t="s">
        <v>143</v>
      </c>
      <c r="G44" s="0" t="s">
        <v>144</v>
      </c>
      <c r="H44" s="0" t="s">
        <v>145</v>
      </c>
      <c r="I44" s="0" t="s">
        <v>92</v>
      </c>
      <c r="J44" s="0" t="n">
        <v>1975</v>
      </c>
      <c r="W44" s="0" t="n">
        <v>34</v>
      </c>
      <c r="Y44" s="0" t="n">
        <v>5</v>
      </c>
      <c r="AA44" s="3" t="str">
        <f aca="false">IF(AND(W44&gt;0,Z44&gt;0),(Z44/((W44+X44)*10)),"")</f>
        <v/>
      </c>
      <c r="AB44" s="0" t="n">
        <v>125</v>
      </c>
      <c r="AC44" s="0" t="n">
        <f aca="false">ROUND(AB44*1.6, 0)</f>
        <v>200</v>
      </c>
      <c r="AF44" s="0" t="n">
        <v>23</v>
      </c>
      <c r="AG44" s="0" t="n">
        <v>23</v>
      </c>
      <c r="AH44" s="0" t="n">
        <v>2.82</v>
      </c>
      <c r="AI44" s="0" t="n">
        <v>3.79</v>
      </c>
      <c r="AJ44" s="4" t="n">
        <v>72</v>
      </c>
      <c r="AK44" s="0" t="str">
        <f aca="false">CONCATENATE(VLOOKUP(AL44, 'Voxel Sizes'!$A$2:$B$18,2,FALSE()),"x",INT(AH44*15), "x", INT(AI44*15))</f>
        <v>214x42x56</v>
      </c>
      <c r="AL44" s="0" t="n">
        <f aca="false">ROUND(15*((AG44*10)/256),0)</f>
        <v>13</v>
      </c>
      <c r="AN44" s="0" t="str">
        <f aca="false">CONCATENATE(VLOOKUP(AL44,Constants!$A$2:$C$16,IF(AM44&lt;&gt;"", 3, 2), FALSE()),IF(AM44&lt;&gt;"",CONCATENATE(",",VLOOKUP(AM44,$B:$AN,39,FALSE())),""))</f>
        <v>4,5,4</v>
      </c>
      <c r="AX44" s="0" t="n">
        <v>30</v>
      </c>
      <c r="AY44" s="16" t="str">
        <f aca="false">IF(L44&lt;&gt;"",MAX(16,(L44-J44)+8),"")</f>
        <v/>
      </c>
      <c r="AZ44" s="0" t="n">
        <v>86</v>
      </c>
      <c r="BA44" s="0" t="n">
        <f aca="false">29*3</f>
        <v>87</v>
      </c>
      <c r="BB44" s="0" t="n">
        <f aca="false">MIN(AB44/150, 1)*30</f>
        <v>25</v>
      </c>
      <c r="BC44" s="0" t="n">
        <f aca="false">MIN(N44/4000, 1)*20</f>
        <v>0</v>
      </c>
      <c r="BD44" s="0" t="n">
        <f aca="false">MIN(Z44/400,1)*20</f>
        <v>0</v>
      </c>
      <c r="BE44" s="3" t="n">
        <f aca="false">1-(MAX(J44-1900, 0)/750)</f>
        <v>0.9</v>
      </c>
      <c r="BF44" s="0" t="n">
        <f aca="false">((MAX($M44,1)*MIN($AJ44/300,1)))*IF(G44="Wagon",50,10)</f>
        <v>12</v>
      </c>
      <c r="BG44" s="0" t="n">
        <f aca="false">VLOOKUP($H44,Constants!$I:$K, 2, FALSE())</f>
        <v>1.2</v>
      </c>
      <c r="BH44" s="0" t="n">
        <f aca="false">VLOOKUP($H44,Constants!$I:$K, 3, FALSE())*IF(AND(G44="multiple_unit",AB44&lt;110),0.75,1)</f>
        <v>0.6</v>
      </c>
      <c r="BI44" s="0" t="n">
        <f aca="false">INT(POWER(((Constants!$G$2+$BB44+$BC44+$BD44+$BF44)*$BE44)*$BH44, 1.05))+$BA44</f>
        <v>113</v>
      </c>
      <c r="BJ44" s="0" t="n">
        <f aca="false">INT(POWER((((Constants!$G$1+$BB44+$BC44+$BD44+$BF44)*($BE44))*$BG44),IF($G44="wagon",1,1.2)))+$AZ44</f>
        <v>142</v>
      </c>
      <c r="BK44" s="17" t="n">
        <f aca="false">BI44*IF($G44="wagon",62.5,781.25)</f>
        <v>7062.5</v>
      </c>
      <c r="BL44" s="17" t="n">
        <f aca="false">BJ44*IF($G44="wagon",2.73,81.25)</f>
        <v>387.66</v>
      </c>
      <c r="BV44" s="0" t="n">
        <v>2</v>
      </c>
      <c r="BW44" s="0" t="n">
        <v>205</v>
      </c>
      <c r="BY44" s="0" t="s">
        <v>147</v>
      </c>
      <c r="BZ44" s="0" t="s">
        <v>148</v>
      </c>
      <c r="CA44" s="0" t="str">
        <f aca="false">VLOOKUP(J44,Eras!$A$2:$C$10, 2, TRUE())</f>
        <v>lbr</v>
      </c>
      <c r="CB44" s="0" t="s">
        <v>149</v>
      </c>
      <c r="CC44" s="0" t="str">
        <f aca="false">CONCATENATE(CA44,"_",CB44)</f>
        <v>lbr_Carriage</v>
      </c>
      <c r="CD44" s="0" t="str">
        <f aca="false">_xlfn.CONCAT(H44, "_",I44)</f>
        <v>carriage_RAIL</v>
      </c>
      <c r="CE44" s="6" t="str">
        <f aca="false" t="array" ref="CE44:CE44">_xlfn.CONCAT("{BLACK}Length: {GOLD}", TEXT(ROUNDUP(IF(AQ44&lt;&gt;"",SUM(VALUE(_xlfn.TEXTSPLIT(AQ44, ","))), SUM(VALUE(_xlfn.TEXTSPLIT(AN44, ",")))*IF(M44, M44, 1))/16, 1), "#,##0.0"), " tiles{}")</f>
        <v>{BLACK}Length: {GOLD}0.9 tiles{}</v>
      </c>
      <c r="CF44" s="0" t="str">
        <f aca="false">VLOOKUP($CD44, Constants!$M:$N, 2, FALSE())</f>
        <v/>
      </c>
      <c r="CG44" s="0" t="str">
        <f aca="false">IF(M44&gt;1,_xlfn.CONCAT("{BLACK}Cars: {GOLD}", M44),"")</f>
        <v/>
      </c>
      <c r="CH44" s="0" t="s">
        <v>206</v>
      </c>
      <c r="CI44" s="0" t="str">
        <f aca="false">IF($BU44="!param_no_gameplay_units","{GREEN}Included for gameplay purposes","")</f>
        <v/>
      </c>
      <c r="CJ44" s="0" t="str">
        <f aca="false">IF(BX44="buffet","{YELLOW}25% long distance bonus for consist{}",IF(BZ44="BRAKE","{YELLOW}Speed bonus for slow wagons{}",IF(BW44&gt;190,CONCATENATE("{YELLOW}",INT((BW44-185)/1.85),"% bonus for long distance travel{}"),IF(AND(BW44&lt;180,BW44&lt;&gt;0),CONCATENATE("{YELLOW}",INT((185-BW44)/1.85),"% penalty for long distance travel{}"),""))))</f>
        <v>{YELLOW}10% bonus for long distance travel{}</v>
      </c>
      <c r="CK44" s="0" t="str">
        <f aca="false">_xlfn.CONCAT(CF44,IF(CF44&lt;&gt;""," ",""),CG44,IF(OR(CG44&lt;&gt;"",CF44&lt;&gt;""),"{}",""),CE44,CJ44,"{SILVER}",CH44,IF(CI44&lt;&gt;"","{}{}",""),CI44)</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5" customFormat="false" ht="14.25" hidden="false" customHeight="false" outlineLevel="0" collapsed="false">
      <c r="A45" s="0" t="s">
        <v>207</v>
      </c>
      <c r="B45" s="15" t="s">
        <v>208</v>
      </c>
      <c r="C45" s="0" t="n">
        <v>30</v>
      </c>
      <c r="D45" s="0" t="n">
        <v>29</v>
      </c>
      <c r="E45" s="0" t="n">
        <v>1021</v>
      </c>
      <c r="F45" s="0" t="s">
        <v>143</v>
      </c>
      <c r="G45" s="0" t="s">
        <v>144</v>
      </c>
      <c r="H45" s="0" t="s">
        <v>145</v>
      </c>
      <c r="I45" s="0" t="s">
        <v>92</v>
      </c>
      <c r="J45" s="0" t="n">
        <v>1975</v>
      </c>
      <c r="W45" s="0" t="n">
        <v>34</v>
      </c>
      <c r="Y45" s="0" t="n">
        <v>4</v>
      </c>
      <c r="AA45" s="3" t="str">
        <f aca="false">IF(AND(W45&gt;0,Z45&gt;0),(Z45/((W45+X45)*10)),"")</f>
        <v/>
      </c>
      <c r="AB45" s="0" t="n">
        <v>125</v>
      </c>
      <c r="AC45" s="0" t="n">
        <f aca="false">ROUND(AB45*1.6, 0)</f>
        <v>200</v>
      </c>
      <c r="AF45" s="0" t="n">
        <v>23</v>
      </c>
      <c r="AG45" s="0" t="n">
        <v>23</v>
      </c>
      <c r="AH45" s="0" t="n">
        <v>2.82</v>
      </c>
      <c r="AI45" s="0" t="n">
        <v>3.79</v>
      </c>
      <c r="AJ45" s="4" t="n">
        <v>48</v>
      </c>
      <c r="AK45" s="0" t="str">
        <f aca="false">CONCATENATE(VLOOKUP(AL45, 'Voxel Sizes'!$A$2:$B$18,2,FALSE()),"x",INT(AH45*15), "x", INT(AI45*15))</f>
        <v>214x42x56</v>
      </c>
      <c r="AL45" s="0" t="n">
        <f aca="false">ROUND(15*((AG45*10)/256),0)</f>
        <v>13</v>
      </c>
      <c r="AN45" s="0" t="str">
        <f aca="false">CONCATENATE(VLOOKUP(AL45,Constants!$A$2:$C$16,IF(AM45&lt;&gt;"", 3, 2), FALSE()),IF(AM45&lt;&gt;"",CONCATENATE(",",VLOOKUP(AM45,$B:$AN,39,FALSE())),""))</f>
        <v>4,5,4</v>
      </c>
      <c r="AX45" s="0" t="n">
        <v>30</v>
      </c>
      <c r="AY45" s="16" t="str">
        <f aca="false">IF(L45&lt;&gt;"",MAX(16,(L45-J45)+8),"")</f>
        <v/>
      </c>
      <c r="AZ45" s="0" t="n">
        <v>136</v>
      </c>
      <c r="BA45" s="0" t="n">
        <v>117</v>
      </c>
      <c r="BB45" s="0" t="n">
        <f aca="false">MIN(AB45/150, 1)*30</f>
        <v>25</v>
      </c>
      <c r="BC45" s="0" t="n">
        <f aca="false">MIN(N45/4000, 1)*20</f>
        <v>0</v>
      </c>
      <c r="BD45" s="0" t="n">
        <f aca="false">MIN(Z45/400,1)*20</f>
        <v>0</v>
      </c>
      <c r="BE45" s="3" t="n">
        <f aca="false">1-(MAX(J45-1900, 0)/750)</f>
        <v>0.9</v>
      </c>
      <c r="BF45" s="0" t="n">
        <f aca="false">((MAX($M45,1)*MIN($AJ45/300,1)))*IF(G45="Wagon",50,10)</f>
        <v>8</v>
      </c>
      <c r="BG45" s="0" t="n">
        <f aca="false">VLOOKUP($H45,Constants!$I:$K, 2, FALSE())</f>
        <v>1.2</v>
      </c>
      <c r="BH45" s="0" t="n">
        <f aca="false">VLOOKUP($H45,Constants!$I:$K, 3, FALSE())*IF(AND(G45="multiple_unit",AB45&lt;110),0.75,1)</f>
        <v>0.6</v>
      </c>
      <c r="BI45" s="0" t="n">
        <f aca="false">INT(POWER(((Constants!$G$2+$BB45+$BC45+$BD45+$BF45)*$BE45)*$BH45, 1.05))+$BA45</f>
        <v>140</v>
      </c>
      <c r="BJ45" s="0" t="n">
        <f aca="false">INT(POWER((((Constants!$G$1+$BB45+$BC45+$BD45+$BF45)*($BE45))*$BG45),IF($G45="wagon",1,1.2)))+$AZ45</f>
        <v>187</v>
      </c>
      <c r="BK45" s="17" t="n">
        <f aca="false">BI45*IF($G45="wagon",62.5,781.25)</f>
        <v>8750</v>
      </c>
      <c r="BL45" s="17" t="n">
        <f aca="false">BJ45*IF($G45="wagon",2.73,81.25)</f>
        <v>510.51</v>
      </c>
      <c r="BV45" s="0" t="n">
        <v>2</v>
      </c>
      <c r="BW45" s="0" t="n">
        <v>242</v>
      </c>
      <c r="BY45" s="0" t="s">
        <v>147</v>
      </c>
      <c r="BZ45" s="0" t="s">
        <v>148</v>
      </c>
      <c r="CA45" s="0" t="str">
        <f aca="false">VLOOKUP(J45,Eras!$A$2:$C$10, 2, TRUE())</f>
        <v>lbr</v>
      </c>
      <c r="CB45" s="0" t="s">
        <v>149</v>
      </c>
      <c r="CC45" s="0" t="str">
        <f aca="false">CONCATENATE(CA45,"_",CB45)</f>
        <v>lbr_Carriage</v>
      </c>
      <c r="CD45" s="0" t="str">
        <f aca="false">_xlfn.CONCAT(H45, "_",I45)</f>
        <v>carriage_RAIL</v>
      </c>
      <c r="CE45" s="6" t="str">
        <f aca="false" t="array" ref="CE45:CE45">_xlfn.CONCAT("{BLACK}Length: {GOLD}", TEXT(ROUNDUP(IF(AQ45&lt;&gt;"",SUM(VALUE(_xlfn.TEXTSPLIT(AQ45, ","))), SUM(VALUE(_xlfn.TEXTSPLIT(AN45, ",")))*IF(M45, M45, 1))/16, 1), "#,##0.0"), " tiles{}")</f>
        <v>{BLACK}Length: {GOLD}0.9 tiles{}</v>
      </c>
      <c r="CF45" s="0" t="str">
        <f aca="false">VLOOKUP($CD45, Constants!$M:$N, 2, FALSE())</f>
        <v/>
      </c>
      <c r="CG45" s="0" t="str">
        <f aca="false">IF(M45&gt;1,_xlfn.CONCAT("{BLACK}Cars: {GOLD}", M45),"")</f>
        <v/>
      </c>
      <c r="CH45" s="0" t="s">
        <v>209</v>
      </c>
      <c r="CI45" s="0" t="str">
        <f aca="false">IF($BU45="!param_no_gameplay_units","{GREEN}Included for gameplay purposes","")</f>
        <v/>
      </c>
      <c r="CJ45" s="0" t="str">
        <f aca="false">IF(BX45="buffet","{YELLOW}25% long distance bonus for consist{}",IF(BZ45="BRAKE","{YELLOW}Speed bonus for slow wagons{}",IF(BW45&gt;190,CONCATENATE("{YELLOW}",INT((BW45-185)/1.85),"% bonus for long distance travel{}"),IF(AND(BW45&lt;180,BW45&lt;&gt;0),CONCATENATE("{YELLOW}",INT((185-BW45)/1.85),"% penalty for long distance travel{}"),""))))</f>
        <v>{YELLOW}30% bonus for long distance travel{}</v>
      </c>
      <c r="CK45" s="0" t="str">
        <f aca="false">_xlfn.CONCAT(CF45,IF(CF45&lt;&gt;""," ",""),CG45,IF(OR(CG45&lt;&gt;"",CF45&lt;&gt;""),"{}",""),CE45,CJ45,"{SILVER}",CH45,IF(CI45&lt;&gt;"","{}{}",""),CI45)</f>
        <v>{BLACK}Length: {GOLD}0.9 tiles{}{YELLOW}30% bonus for long distance travel{}{SILVER}Mk3 carriages followed the by now standard practice of first class vehicles featuring an open saloon with lower seating density than standard class.</v>
      </c>
    </row>
    <row r="46" customFormat="false" ht="14.25" hidden="false" customHeight="false" outlineLevel="0" collapsed="false">
      <c r="A46" s="0" t="s">
        <v>210</v>
      </c>
      <c r="B46" s="15" t="s">
        <v>211</v>
      </c>
      <c r="C46" s="0" t="n">
        <v>31</v>
      </c>
      <c r="D46" s="0" t="n">
        <v>29</v>
      </c>
      <c r="E46" s="0" t="n">
        <v>1022</v>
      </c>
      <c r="F46" s="0" t="s">
        <v>143</v>
      </c>
      <c r="G46" s="0" t="s">
        <v>144</v>
      </c>
      <c r="H46" s="0" t="s">
        <v>145</v>
      </c>
      <c r="I46" s="0" t="s">
        <v>92</v>
      </c>
      <c r="J46" s="0" t="n">
        <v>1980</v>
      </c>
      <c r="W46" s="0" t="n">
        <v>38</v>
      </c>
      <c r="Y46" s="0" t="n">
        <v>4</v>
      </c>
      <c r="AA46" s="3" t="str">
        <f aca="false">IF(AND(W46&gt;0,Z46&gt;0),(Z46/((W46+X46)*10)),"")</f>
        <v/>
      </c>
      <c r="AB46" s="0" t="n">
        <v>125</v>
      </c>
      <c r="AC46" s="0" t="n">
        <f aca="false">ROUND(AB46*1.6, 0)</f>
        <v>200</v>
      </c>
      <c r="AF46" s="0" t="n">
        <v>23</v>
      </c>
      <c r="AG46" s="0" t="n">
        <v>23</v>
      </c>
      <c r="AH46" s="0" t="n">
        <v>2.82</v>
      </c>
      <c r="AI46" s="0" t="n">
        <v>3.79</v>
      </c>
      <c r="AJ46" s="4" t="n">
        <v>24</v>
      </c>
      <c r="AK46" s="0" t="str">
        <f aca="false">CONCATENATE(VLOOKUP(AL46, 'Voxel Sizes'!$A$2:$B$18,2,FALSE()),"x",INT(AH46*15), "x", INT(AI46*15))</f>
        <v>214x42x56</v>
      </c>
      <c r="AL46" s="0" t="n">
        <f aca="false">ROUND(15*((AG46*10)/256),0)</f>
        <v>13</v>
      </c>
      <c r="AN46" s="0" t="str">
        <f aca="false">CONCATENATE(VLOOKUP(AL46,Constants!$A$2:$C$16,IF(AM46&lt;&gt;"", 3, 2), FALSE()),IF(AM46&lt;&gt;"",CONCATENATE(",",VLOOKUP(AM46,$B:$AN,39,FALSE())),""))</f>
        <v>4,5,4</v>
      </c>
      <c r="AX46" s="0" t="n">
        <v>30</v>
      </c>
      <c r="AY46" s="16" t="str">
        <f aca="false">IF(L46&lt;&gt;"",MAX(16,(L46-J46)+8),"")</f>
        <v/>
      </c>
      <c r="AZ46" s="0" t="n">
        <v>1150</v>
      </c>
      <c r="BA46" s="0" t="n">
        <v>160</v>
      </c>
      <c r="BB46" s="0" t="n">
        <f aca="false">MIN(AB46/150, 1)*30</f>
        <v>25</v>
      </c>
      <c r="BC46" s="0" t="n">
        <f aca="false">MIN(N46/4000, 1)*20</f>
        <v>0</v>
      </c>
      <c r="BD46" s="0" t="n">
        <f aca="false">MIN(Z46/400,1)*20</f>
        <v>0</v>
      </c>
      <c r="BE46" s="3" t="n">
        <f aca="false">1-(MAX(J46-1900, 0)/750)</f>
        <v>0.893333333333333</v>
      </c>
      <c r="BF46" s="0" t="n">
        <f aca="false">((MAX($M46,1)*MIN($AJ46/300,1)))*IF(G46="Wagon",50,10)</f>
        <v>4</v>
      </c>
      <c r="BG46" s="0" t="n">
        <f aca="false">VLOOKUP($H46,Constants!$I:$K, 2, FALSE())</f>
        <v>1.2</v>
      </c>
      <c r="BH46" s="0" t="n">
        <f aca="false">VLOOKUP($H46,Constants!$I:$K, 3, FALSE())*IF(AND(G46="multiple_unit",AB46&lt;110),0.75,1)</f>
        <v>0.6</v>
      </c>
      <c r="BI46" s="0" t="n">
        <f aca="false">INT(POWER(((Constants!$G$2+$BB46+$BC46+$BD46+$BF46)*$BE46)*$BH46, 1.05))+$BA46</f>
        <v>181</v>
      </c>
      <c r="BJ46" s="0" t="n">
        <f aca="false">INT(POWER((((Constants!$G$1+$BB46+$BC46+$BD46+$BF46)*($BE46))*$BG46),IF($G46="wagon",1,1.2)))+$AZ46</f>
        <v>1197</v>
      </c>
      <c r="BK46" s="17" t="n">
        <f aca="false">BI46*IF($G46="wagon",62.5,781.25)</f>
        <v>11312.5</v>
      </c>
      <c r="BL46" s="17" t="n">
        <f aca="false">BJ46*IF($G46="wagon",2.73,81.25)</f>
        <v>3267.81</v>
      </c>
      <c r="BV46" s="0" t="n">
        <v>6</v>
      </c>
      <c r="BW46" s="0" t="n">
        <v>205</v>
      </c>
      <c r="BX46" s="0" t="s">
        <v>190</v>
      </c>
      <c r="BY46" s="0" t="s">
        <v>147</v>
      </c>
      <c r="BZ46" s="0" t="s">
        <v>148</v>
      </c>
      <c r="CA46" s="0" t="str">
        <f aca="false">VLOOKUP(J46,Eras!$A$2:$C$10, 2, TRUE())</f>
        <v>lbr</v>
      </c>
      <c r="CB46" s="0" t="s">
        <v>149</v>
      </c>
      <c r="CC46" s="0" t="str">
        <f aca="false">CONCATENATE(CA46,"_",CB46)</f>
        <v>lbr_Carriage</v>
      </c>
      <c r="CD46" s="0" t="str">
        <f aca="false">_xlfn.CONCAT(H46, "_",I46)</f>
        <v>carriage_RAIL</v>
      </c>
      <c r="CE46" s="6" t="str">
        <f aca="false" t="array" ref="CE46:CE46">_xlfn.CONCAT("{BLACK}Length: {GOLD}", TEXT(ROUNDUP(IF(AQ46&lt;&gt;"",SUM(VALUE(_xlfn.TEXTSPLIT(AQ46, ","))), SUM(VALUE(_xlfn.TEXTSPLIT(AN46, ",")))*IF(M46, M46, 1))/16, 1), "#,##0.0"), " tiles{}")</f>
        <v>{BLACK}Length: {GOLD}0.9 tiles{}</v>
      </c>
      <c r="CF46" s="0" t="str">
        <f aca="false">VLOOKUP($CD46, Constants!$M:$N, 2, FALSE())</f>
        <v/>
      </c>
      <c r="CG46" s="0" t="str">
        <f aca="false">IF(M46&gt;1,_xlfn.CONCAT("{BLACK}Cars: {GOLD}", M46),"")</f>
        <v/>
      </c>
      <c r="CH46" s="0" t="s">
        <v>212</v>
      </c>
      <c r="CI46" s="0" t="str">
        <f aca="false">IF($BU46="!param_no_gameplay_units","{GREEN}Included for gameplay purposes","")</f>
        <v/>
      </c>
      <c r="CJ46" s="0" t="str">
        <f aca="false">IF(BX46="buffet","{YELLOW}25% long distance bonus for consist{}",IF(BZ46="BRAKE","{YELLOW}Speed bonus for slow wagons{}",IF(BW46&gt;190,CONCATENATE("{YELLOW}",INT((BW46-185)/1.85),"% bonus for long distance travel{}"),IF(AND(BW46&lt;180,BW46&lt;&gt;0),CONCATENATE("{YELLOW}",INT((185-BW46)/1.85),"% penalty for long distance travel{}"),""))))</f>
        <v>{YELLOW}25% long distance bonus for consist{}</v>
      </c>
      <c r="CK46" s="0" t="str">
        <f aca="false">_xlfn.CONCAT(CF46,IF(CF46&lt;&gt;""," ",""),CG46,IF(OR(CG46&lt;&gt;"",CF46&lt;&gt;""),"{}",""),CE46,CJ46,"{SILVER}",CH46,IF(CI46&lt;&gt;"","{}{}",""),CI46)</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7" customFormat="false" ht="14.25" hidden="false" customHeight="false" outlineLevel="0" collapsed="false">
      <c r="A47" s="0" t="s">
        <v>213</v>
      </c>
      <c r="B47" s="15" t="s">
        <v>214</v>
      </c>
      <c r="C47" s="0" t="n">
        <v>32</v>
      </c>
      <c r="D47" s="0" t="n">
        <v>29</v>
      </c>
      <c r="E47" s="0" t="n">
        <v>1023</v>
      </c>
      <c r="F47" s="0" t="s">
        <v>143</v>
      </c>
      <c r="G47" s="0" t="s">
        <v>144</v>
      </c>
      <c r="H47" s="0" t="s">
        <v>145</v>
      </c>
      <c r="I47" s="0" t="s">
        <v>92</v>
      </c>
      <c r="J47" s="0" t="n">
        <v>1987</v>
      </c>
      <c r="W47" s="0" t="n">
        <v>38</v>
      </c>
      <c r="Y47" s="0" t="n">
        <v>4</v>
      </c>
      <c r="AA47" s="3" t="str">
        <f aca="false">IF(AND(W47&gt;0,Z47&gt;0),(Z47/((W47+X47)*10)),"")</f>
        <v/>
      </c>
      <c r="AB47" s="0" t="n">
        <v>125</v>
      </c>
      <c r="AC47" s="0" t="n">
        <f aca="false">ROUND(AB47*1.6, 0)</f>
        <v>200</v>
      </c>
      <c r="AF47" s="0" t="n">
        <v>23</v>
      </c>
      <c r="AG47" s="0" t="n">
        <v>23</v>
      </c>
      <c r="AH47" s="0" t="n">
        <v>2.82</v>
      </c>
      <c r="AI47" s="0" t="n">
        <v>3.79</v>
      </c>
      <c r="AJ47" s="4" t="n">
        <v>30</v>
      </c>
      <c r="AK47" s="0" t="str">
        <f aca="false">CONCATENATE(VLOOKUP(AL47, 'Voxel Sizes'!$A$2:$B$18,2,FALSE()),"x",INT(AH47*15), "x", INT(AI47*15))</f>
        <v>214x42x56</v>
      </c>
      <c r="AL47" s="0" t="n">
        <f aca="false">ROUND(15*((AG47*10)/256),0)</f>
        <v>13</v>
      </c>
      <c r="AN47" s="0" t="str">
        <f aca="false">CONCATENATE(VLOOKUP(AL47,Constants!$A$2:$C$16,IF(AM47&lt;&gt;"", 3, 2), FALSE()),IF(AM47&lt;&gt;"",CONCATENATE(",",VLOOKUP(AM47,$B:$AN,39,FALSE())),""))</f>
        <v>4,5,4</v>
      </c>
      <c r="AX47" s="0" t="n">
        <v>30</v>
      </c>
      <c r="AY47" s="16" t="str">
        <f aca="false">IF(L47&lt;&gt;"",MAX(16,(L47-J47)+8),"")</f>
        <v/>
      </c>
      <c r="AZ47" s="0" t="n">
        <v>1200</v>
      </c>
      <c r="BA47" s="0" t="n">
        <v>170</v>
      </c>
      <c r="BB47" s="0" t="n">
        <f aca="false">MIN(AB47/150, 1)*30</f>
        <v>25</v>
      </c>
      <c r="BC47" s="0" t="n">
        <f aca="false">MIN(N47/4000, 1)*20</f>
        <v>0</v>
      </c>
      <c r="BD47" s="0" t="n">
        <f aca="false">MIN(Z47/400,1)*20</f>
        <v>0</v>
      </c>
      <c r="BE47" s="3" t="n">
        <f aca="false">1-(MAX(J47-1900, 0)/750)</f>
        <v>0.884</v>
      </c>
      <c r="BF47" s="0" t="n">
        <f aca="false">((MAX($M47,1)*MIN($AJ47/300,1)))*IF(G47="Wagon",50,10)</f>
        <v>5</v>
      </c>
      <c r="BG47" s="0" t="n">
        <f aca="false">VLOOKUP($H47,Constants!$I:$K, 2, FALSE())</f>
        <v>1.2</v>
      </c>
      <c r="BH47" s="0" t="n">
        <f aca="false">VLOOKUP($H47,Constants!$I:$K, 3, FALSE())*IF(AND(G47="multiple_unit",AB47&lt;110),0.75,1)</f>
        <v>0.6</v>
      </c>
      <c r="BI47" s="0" t="n">
        <f aca="false">INT(POWER(((Constants!$G$2+$BB47+$BC47+$BD47+$BF47)*$BE47)*$BH47, 1.05))+$BA47</f>
        <v>191</v>
      </c>
      <c r="BJ47" s="0" t="n">
        <f aca="false">INT(POWER((((Constants!$G$1+$BB47+$BC47+$BD47+$BF47)*($BE47))*$BG47),IF($G47="wagon",1,1.2)))+$AZ47</f>
        <v>1247</v>
      </c>
      <c r="BK47" s="17" t="n">
        <f aca="false">BI47*IF($G47="wagon",62.5,781.25)</f>
        <v>11937.5</v>
      </c>
      <c r="BL47" s="17" t="n">
        <f aca="false">BJ47*IF($G47="wagon",2.73,81.25)</f>
        <v>3404.31</v>
      </c>
      <c r="BV47" s="0" t="n">
        <v>6</v>
      </c>
      <c r="BW47" s="0" t="n">
        <v>242</v>
      </c>
      <c r="BX47" s="0" t="s">
        <v>190</v>
      </c>
      <c r="BY47" s="0" t="s">
        <v>147</v>
      </c>
      <c r="BZ47" s="0" t="s">
        <v>148</v>
      </c>
      <c r="CA47" s="0" t="str">
        <f aca="false">VLOOKUP(J47,Eras!$A$2:$C$10, 2, TRUE())</f>
        <v>lbr</v>
      </c>
      <c r="CB47" s="0" t="s">
        <v>149</v>
      </c>
      <c r="CC47" s="0" t="str">
        <f aca="false">CONCATENATE(CA47,"_",CB47)</f>
        <v>lbr_Carriage</v>
      </c>
      <c r="CD47" s="0" t="str">
        <f aca="false">_xlfn.CONCAT(H47, "_",I47)</f>
        <v>carriage_RAIL</v>
      </c>
      <c r="CE47" s="6" t="str">
        <f aca="false" t="array" ref="CE47:CE47">_xlfn.CONCAT("{BLACK}Length: {GOLD}", TEXT(ROUNDUP(IF(AQ47&lt;&gt;"",SUM(VALUE(_xlfn.TEXTSPLIT(AQ47, ","))), SUM(VALUE(_xlfn.TEXTSPLIT(AN47, ",")))*IF(M47, M47, 1))/16, 1), "#,##0.0"), " tiles{}")</f>
        <v>{BLACK}Length: {GOLD}0.9 tiles{}</v>
      </c>
      <c r="CF47" s="0" t="str">
        <f aca="false">VLOOKUP($CD47, Constants!$M:$N, 2, FALSE())</f>
        <v/>
      </c>
      <c r="CG47" s="0" t="str">
        <f aca="false">IF(M47&gt;1,_xlfn.CONCAT("{BLACK}Cars: {GOLD}", M47),"")</f>
        <v/>
      </c>
      <c r="CH47" s="0" t="s">
        <v>215</v>
      </c>
      <c r="CI47" s="0" t="str">
        <f aca="false">IF($BU47="!param_no_gameplay_units","{GREEN}Included for gameplay purposes","")</f>
        <v/>
      </c>
      <c r="CJ47" s="0" t="str">
        <f aca="false">IF(BX47="buffet","{YELLOW}25% long distance bonus for consist{}",IF(BZ47="BRAKE","{YELLOW}Speed bonus for slow wagons{}",IF(BW47&gt;190,CONCATENATE("{YELLOW}",INT((BW47-185)/1.85),"% bonus for long distance travel{}"),IF(AND(BW47&lt;180,BW47&lt;&gt;0),CONCATENATE("{YELLOW}",INT((185-BW47)/1.85),"% penalty for long distance travel{}"),""))))</f>
        <v>{YELLOW}25% long distance bonus for consist{}</v>
      </c>
      <c r="CK47" s="0" t="str">
        <f aca="false">_xlfn.CONCAT(CF47,IF(CF47&lt;&gt;""," ",""),CG47,IF(OR(CG47&lt;&gt;"",CF47&lt;&gt;""),"{}",""),CE47,CJ47,"{SILVER}",CH47,IF(CI47&lt;&gt;"","{}{}",""),CI47)</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8" customFormat="false" ht="14.25" hidden="false" customHeight="false" outlineLevel="0" collapsed="false">
      <c r="A48" s="0" t="s">
        <v>216</v>
      </c>
      <c r="B48" s="15" t="s">
        <v>217</v>
      </c>
      <c r="C48" s="0" t="n">
        <v>33</v>
      </c>
      <c r="D48" s="0" t="n">
        <v>29</v>
      </c>
      <c r="E48" s="0" t="n">
        <v>1024</v>
      </c>
      <c r="F48" s="0" t="s">
        <v>143</v>
      </c>
      <c r="G48" s="0" t="s">
        <v>144</v>
      </c>
      <c r="H48" s="0" t="s">
        <v>145</v>
      </c>
      <c r="I48" s="0" t="s">
        <v>92</v>
      </c>
      <c r="J48" s="0" t="n">
        <v>1978</v>
      </c>
      <c r="W48" s="0" t="n">
        <v>34</v>
      </c>
      <c r="Y48" s="0" t="n">
        <v>5</v>
      </c>
      <c r="AA48" s="3" t="str">
        <f aca="false">IF(AND(W48&gt;0,Z48&gt;0),(Z48/((W48+X48)*10)),"")</f>
        <v/>
      </c>
      <c r="AB48" s="0" t="n">
        <v>125</v>
      </c>
      <c r="AC48" s="0" t="n">
        <f aca="false">ROUND(AB48*1.6, 0)</f>
        <v>200</v>
      </c>
      <c r="AF48" s="0" t="n">
        <v>23</v>
      </c>
      <c r="AG48" s="0" t="n">
        <v>23</v>
      </c>
      <c r="AH48" s="0" t="n">
        <v>2.82</v>
      </c>
      <c r="AI48" s="0" t="n">
        <v>3.79</v>
      </c>
      <c r="AJ48" s="4" t="n">
        <v>78</v>
      </c>
      <c r="AK48" s="0" t="str">
        <f aca="false">CONCATENATE(VLOOKUP(AL48, 'Voxel Sizes'!$A$2:$B$18,2,FALSE()),"x",INT(AH48*15), "x", INT(AI48*15))</f>
        <v>214x42x56</v>
      </c>
      <c r="AL48" s="0" t="n">
        <f aca="false">ROUND(15*((AG48*10)/256),0)</f>
        <v>13</v>
      </c>
      <c r="AN48" s="0" t="str">
        <f aca="false">CONCATENATE(VLOOKUP(AL48,Constants!$A$2:$C$16,IF(AM48&lt;&gt;"", 3, 2), FALSE()),IF(AM48&lt;&gt;"",CONCATENATE(",",VLOOKUP(AM48,$B:$AN,39,FALSE())),""))</f>
        <v>4,5,4</v>
      </c>
      <c r="AX48" s="0" t="n">
        <v>30</v>
      </c>
      <c r="AY48" s="16" t="str">
        <f aca="false">IF(L48&lt;&gt;"",MAX(16,(L48-J48)+8),"")</f>
        <v/>
      </c>
      <c r="AZ48" s="0" t="n">
        <v>86</v>
      </c>
      <c r="BA48" s="0" t="n">
        <f aca="false">29*3</f>
        <v>87</v>
      </c>
      <c r="BB48" s="0" t="n">
        <f aca="false">MIN(AB48/150, 1)*30</f>
        <v>25</v>
      </c>
      <c r="BC48" s="0" t="n">
        <f aca="false">MIN(N48/4000, 1)*20</f>
        <v>0</v>
      </c>
      <c r="BD48" s="0" t="n">
        <f aca="false">MIN(Z48/400,1)*20</f>
        <v>0</v>
      </c>
      <c r="BE48" s="3" t="n">
        <f aca="false">1-(MAX(J48-1900, 0)/750)</f>
        <v>0.896</v>
      </c>
      <c r="BF48" s="0" t="n">
        <f aca="false">((MAX($M48,1)*MIN($AJ48/300,1)))*IF(G48="Wagon",50,10)</f>
        <v>13</v>
      </c>
      <c r="BG48" s="0" t="n">
        <f aca="false">VLOOKUP($H48,Constants!$I:$K, 2, FALSE())</f>
        <v>1.2</v>
      </c>
      <c r="BH48" s="0" t="n">
        <f aca="false">VLOOKUP($H48,Constants!$I:$K, 3, FALSE())*IF(AND(G48="multiple_unit",AB48&lt;110),0.75,1)</f>
        <v>0.6</v>
      </c>
      <c r="BI48" s="0" t="n">
        <f aca="false">INT(POWER(((Constants!$G$2+$BB48+$BC48+$BD48+$BF48)*$BE48)*$BH48, 1.05))+$BA48</f>
        <v>114</v>
      </c>
      <c r="BJ48" s="0" t="n">
        <f aca="false">INT(POWER((((Constants!$G$1+$BB48+$BC48+$BD48+$BF48)*($BE48))*$BG48),IF($G48="wagon",1,1.2)))+$AZ48</f>
        <v>142</v>
      </c>
      <c r="BK48" s="17" t="n">
        <f aca="false">BI48*IF($G48="wagon",62.5,781.25)</f>
        <v>7125</v>
      </c>
      <c r="BL48" s="17" t="n">
        <f aca="false">BJ48*IF($G48="wagon",2.73,81.25)</f>
        <v>387.66</v>
      </c>
      <c r="BU48" s="0" t="s">
        <v>218</v>
      </c>
      <c r="BV48" s="0" t="n">
        <v>2</v>
      </c>
      <c r="BW48" s="0" t="n">
        <v>185</v>
      </c>
      <c r="BY48" s="0" t="s">
        <v>219</v>
      </c>
      <c r="BZ48" s="0" t="s">
        <v>220</v>
      </c>
      <c r="CA48" s="0" t="str">
        <f aca="false">VLOOKUP(J48,Eras!$A$2:$C$10, 2, TRUE())</f>
        <v>lbr</v>
      </c>
      <c r="CB48" s="0" t="s">
        <v>221</v>
      </c>
      <c r="CC48" s="0" t="str">
        <f aca="false">CONCATENATE(CA48,"_",CB48)</f>
        <v>lbr_Mail Carriage</v>
      </c>
      <c r="CD48" s="0" t="str">
        <f aca="false">_xlfn.CONCAT(H48, "_",I48)</f>
        <v>carriage_RAIL</v>
      </c>
      <c r="CE48" s="6" t="str">
        <f aca="false" t="array" ref="CE48:CE48">_xlfn.CONCAT("{BLACK}Length: {GOLD}", TEXT(ROUNDUP(IF(AQ48&lt;&gt;"",SUM(VALUE(_xlfn.TEXTSPLIT(AQ48, ","))), SUM(VALUE(_xlfn.TEXTSPLIT(AN48, ",")))*IF(M48, M48, 1))/16, 1), "#,##0.0"), " tiles{}")</f>
        <v>{BLACK}Length: {GOLD}0.9 tiles{}</v>
      </c>
      <c r="CF48" s="0" t="str">
        <f aca="false">VLOOKUP($CD48, Constants!$M:$N, 2, FALSE())</f>
        <v/>
      </c>
      <c r="CG48" s="0" t="str">
        <f aca="false">IF(M48&gt;1,_xlfn.CONCAT("{BLACK}Cars: {GOLD}", M48),"")</f>
        <v/>
      </c>
      <c r="CH48" s="0" t="s">
        <v>222</v>
      </c>
      <c r="CI48" s="0" t="str">
        <f aca="false">IF($BU48="!param_no_gameplay_units","{GREEN}Included for gameplay purposes","")</f>
        <v>{GREEN}Included for gameplay purposes</v>
      </c>
      <c r="CJ48" s="0" t="str">
        <f aca="false">IF(BX48="buffet","{YELLOW}25% long distance bonus for consist{}",IF(BZ48="BRAKE","{YELLOW}Speed bonus for slow wagons{}",IF(BW48&gt;190,CONCATENATE("{YELLOW}",INT((BW48-185)/1.85),"% bonus for long distance travel{}"),IF(AND(BW48&lt;180,BW48&lt;&gt;0),CONCATENATE("{YELLOW}",INT((185-BW48)/1.85),"% penalty for long distance travel{}"),""))))</f>
        <v/>
      </c>
      <c r="CK48" s="0" t="str">
        <f aca="false">_xlfn.CONCAT(CF48,IF(CF48&lt;&gt;""," ",""),CG48,IF(OR(CG48&lt;&gt;"",CF48&lt;&gt;""),"{}",""),CE48,CJ48,"{SILVER}",CH48,IF(CI48&lt;&gt;"","{}{}",""),CI48)</f>
        <v>{BLACK}Length: {GOLD}0.9 tiles{}{SILVER}BR did not build any carriage-based utility vans after the Mk1, but this vehicle is included as a "what could have been" if HSTs and express services had included a high speed parcels car.{}{}{GREEN}Included for gameplay purposes</v>
      </c>
    </row>
    <row r="49" customFormat="false" ht="14.25" hidden="false" customHeight="false" outlineLevel="0" collapsed="false">
      <c r="A49" s="0" t="s">
        <v>223</v>
      </c>
      <c r="B49" s="15" t="s">
        <v>224</v>
      </c>
      <c r="C49" s="0" t="n">
        <v>34</v>
      </c>
      <c r="E49" s="0" t="n">
        <v>1025</v>
      </c>
      <c r="F49" s="0" t="s">
        <v>143</v>
      </c>
      <c r="G49" s="0" t="s">
        <v>144</v>
      </c>
      <c r="H49" s="0" t="s">
        <v>145</v>
      </c>
      <c r="I49" s="0" t="s">
        <v>92</v>
      </c>
      <c r="J49" s="0" t="n">
        <v>1988</v>
      </c>
      <c r="W49" s="0" t="n">
        <v>40</v>
      </c>
      <c r="Y49" s="0" t="n">
        <v>5</v>
      </c>
      <c r="AA49" s="3" t="str">
        <f aca="false">IF(AND(W49&gt;0,Z49&gt;0),(Z49/((W49+X49)*10)),"")</f>
        <v/>
      </c>
      <c r="AB49" s="0" t="n">
        <v>140</v>
      </c>
      <c r="AC49" s="0" t="n">
        <f aca="false">ROUND(AB49*1.6, 0)</f>
        <v>224</v>
      </c>
      <c r="AF49" s="0" t="n">
        <v>23</v>
      </c>
      <c r="AG49" s="0" t="n">
        <v>23</v>
      </c>
      <c r="AH49" s="0" t="n">
        <v>2.82</v>
      </c>
      <c r="AI49" s="0" t="n">
        <v>3.79</v>
      </c>
      <c r="AJ49" s="4" t="n">
        <v>72</v>
      </c>
      <c r="AK49" s="0" t="str">
        <f aca="false">CONCATENATE(VLOOKUP(AL49, 'Voxel Sizes'!$A$2:$B$18,2,FALSE()),"x",INT(AH49*15), "x", INT(AI49*15))</f>
        <v>214x42x56</v>
      </c>
      <c r="AL49" s="0" t="n">
        <f aca="false">ROUND(15*((AG49*10)/256),0)</f>
        <v>13</v>
      </c>
      <c r="AN49" s="0" t="str">
        <f aca="false">CONCATENATE(VLOOKUP(AL49,Constants!$A$2:$C$16,IF(AM49&lt;&gt;"", 3, 2), FALSE()),IF(AM49&lt;&gt;"",CONCATENATE(",",VLOOKUP(AM49,$B:$AN,39,FALSE())),""))</f>
        <v>4,5,4</v>
      </c>
      <c r="AX49" s="0" t="n">
        <v>30</v>
      </c>
      <c r="AY49" s="16" t="str">
        <f aca="false">IF(L49&lt;&gt;"",MAX(16,(L49-J49)+8),"")</f>
        <v/>
      </c>
      <c r="AZ49" s="0" t="n">
        <v>90</v>
      </c>
      <c r="BA49" s="0" t="n">
        <f aca="false">31*3</f>
        <v>93</v>
      </c>
      <c r="BB49" s="0" t="n">
        <f aca="false">MIN(AB49/150, 1)*30</f>
        <v>28</v>
      </c>
      <c r="BC49" s="0" t="n">
        <f aca="false">MIN(N49/4000, 1)*20</f>
        <v>0</v>
      </c>
      <c r="BD49" s="0" t="n">
        <f aca="false">MIN(Z49/400,1)*20</f>
        <v>0</v>
      </c>
      <c r="BE49" s="3" t="n">
        <f aca="false">1-(MAX(J49-1900, 0)/750)</f>
        <v>0.882666666666667</v>
      </c>
      <c r="BF49" s="0" t="n">
        <f aca="false">((MAX($M49,1)*MIN($AJ49/300,1)))*IF(G49="Wagon",50,10)</f>
        <v>12</v>
      </c>
      <c r="BG49" s="0" t="n">
        <f aca="false">VLOOKUP($H49,Constants!$I:$K, 2, FALSE())</f>
        <v>1.2</v>
      </c>
      <c r="BH49" s="0" t="n">
        <f aca="false">VLOOKUP($H49,Constants!$I:$K, 3, FALSE())*IF(AND(G49="multiple_unit",AB49&lt;110),0.75,1)</f>
        <v>0.6</v>
      </c>
      <c r="BI49" s="0" t="n">
        <f aca="false">INT(POWER(((Constants!$G$2+$BB49+$BC49+$BD49+$BF49)*$BE49)*$BH49, 1.05))+$BA49</f>
        <v>120</v>
      </c>
      <c r="BJ49" s="0" t="n">
        <f aca="false">INT(POWER((((Constants!$G$1+$BB49+$BC49+$BD49+$BF49)*($BE49))*$BG49),IF($G49="wagon",1,1.2)))+$AZ49</f>
        <v>148</v>
      </c>
      <c r="BK49" s="17" t="n">
        <f aca="false">BI49*IF($G49="wagon",62.5,781.25)</f>
        <v>7500</v>
      </c>
      <c r="BL49" s="17" t="n">
        <f aca="false">BJ49*IF($G49="wagon",2.73,81.25)</f>
        <v>404.04</v>
      </c>
      <c r="BV49" s="0" t="n">
        <v>7</v>
      </c>
      <c r="BW49" s="0" t="n">
        <v>222</v>
      </c>
      <c r="BY49" s="0" t="s">
        <v>147</v>
      </c>
      <c r="BZ49" s="0" t="s">
        <v>148</v>
      </c>
      <c r="CA49" s="0" t="str">
        <f aca="false">VLOOKUP(J49,Eras!$A$2:$C$10, 2, TRUE())</f>
        <v>lbr</v>
      </c>
      <c r="CB49" s="0" t="s">
        <v>149</v>
      </c>
      <c r="CC49" s="0" t="str">
        <f aca="false">CONCATENATE(CA49,"_",CB49)</f>
        <v>lbr_Carriage</v>
      </c>
      <c r="CD49" s="0" t="str">
        <f aca="false">_xlfn.CONCAT(H49, "_",I49)</f>
        <v>carriage_RAIL</v>
      </c>
      <c r="CE49" s="6" t="str">
        <f aca="false" t="array" ref="CE49:CE49">_xlfn.CONCAT("{BLACK}Length: {GOLD}", TEXT(ROUNDUP(IF(AQ49&lt;&gt;"",SUM(VALUE(_xlfn.TEXTSPLIT(AQ49, ","))), SUM(VALUE(_xlfn.TEXTSPLIT(AN49, ",")))*IF(M49, M49, 1))/16, 1), "#,##0.0"), " tiles{}")</f>
        <v>{BLACK}Length: {GOLD}0.9 tiles{}</v>
      </c>
      <c r="CF49" s="0" t="str">
        <f aca="false">VLOOKUP($CD49, Constants!$M:$N, 2, FALSE())</f>
        <v/>
      </c>
      <c r="CG49" s="0" t="str">
        <f aca="false">IF(M49&gt;1,_xlfn.CONCAT("{BLACK}Cars: {GOLD}", M49),"")</f>
        <v/>
      </c>
      <c r="CH49" s="0" t="s">
        <v>225</v>
      </c>
      <c r="CI49" s="0" t="str">
        <f aca="false">IF($BU49="!param_no_gameplay_units","{GREEN}Included for gameplay purposes","")</f>
        <v/>
      </c>
      <c r="CJ49" s="0" t="str">
        <f aca="false">IF(BX49="buffet","{YELLOW}25% long distance bonus for consist{}",IF(BZ49="BRAKE","{YELLOW}Speed bonus for slow wagons{}",IF(BW49&gt;190,CONCATENATE("{YELLOW}",INT((BW49-185)/1.85),"% bonus for long distance travel{}"),IF(AND(BW49&lt;180,BW49&lt;&gt;0),CONCATENATE("{YELLOW}",INT((185-BW49)/1.85),"% penalty for long distance travel{}"),""))))</f>
        <v>{YELLOW}20% bonus for long distance travel{}</v>
      </c>
      <c r="CK49" s="0" t="str">
        <f aca="false">_xlfn.CONCAT(CF49,IF(CF49&lt;&gt;""," ",""),CG49,IF(OR(CG49&lt;&gt;"",CF49&lt;&gt;""),"{}",""),CE49,CJ49,"{SILVER}",CH49,IF(CI49&lt;&gt;"","{}{}",""),CI49)</f>
        <v>{BLACK}Length: {GOLD}0.9 tiles{}{YELLOW}20% bonus for long distance travel{}{SILVER}The Mk4 carriage is a further improvement on the Mk3. It's designed for use with the Class 91 for Intercity 225 services. Access is improved with greater consideration for wheelchair users.</v>
      </c>
    </row>
    <row r="50" customFormat="false" ht="14.25" hidden="false" customHeight="false" outlineLevel="0" collapsed="false">
      <c r="A50" s="0" t="s">
        <v>226</v>
      </c>
      <c r="B50" s="15" t="s">
        <v>227</v>
      </c>
      <c r="C50" s="0" t="n">
        <v>35</v>
      </c>
      <c r="D50" s="0" t="n">
        <v>34</v>
      </c>
      <c r="E50" s="0" t="n">
        <v>1026</v>
      </c>
      <c r="F50" s="0" t="s">
        <v>143</v>
      </c>
      <c r="G50" s="0" t="s">
        <v>144</v>
      </c>
      <c r="H50" s="0" t="s">
        <v>145</v>
      </c>
      <c r="I50" s="0" t="s">
        <v>92</v>
      </c>
      <c r="J50" s="0" t="n">
        <v>1988</v>
      </c>
      <c r="W50" s="0" t="n">
        <v>40</v>
      </c>
      <c r="Y50" s="0" t="n">
        <v>4</v>
      </c>
      <c r="AA50" s="3" t="str">
        <f aca="false">IF(AND(W50&gt;0,Z50&gt;0),(Z50/((W50+X50)*10)),"")</f>
        <v/>
      </c>
      <c r="AB50" s="0" t="n">
        <v>140</v>
      </c>
      <c r="AC50" s="0" t="n">
        <f aca="false">ROUND(AB50*1.6, 0)</f>
        <v>224</v>
      </c>
      <c r="AF50" s="0" t="n">
        <v>23</v>
      </c>
      <c r="AG50" s="0" t="n">
        <v>23</v>
      </c>
      <c r="AH50" s="0" t="n">
        <v>2.82</v>
      </c>
      <c r="AI50" s="0" t="n">
        <v>3.79</v>
      </c>
      <c r="AJ50" s="4" t="n">
        <v>48</v>
      </c>
      <c r="AK50" s="0" t="str">
        <f aca="false">CONCATENATE(VLOOKUP(AL50, 'Voxel Sizes'!$A$2:$B$18,2,FALSE()),"x",INT(AH50*15), "x", INT(AI50*15))</f>
        <v>214x42x56</v>
      </c>
      <c r="AL50" s="0" t="n">
        <f aca="false">ROUND(15*((AG50*10)/256),0)</f>
        <v>13</v>
      </c>
      <c r="AN50" s="0" t="str">
        <f aca="false">CONCATENATE(VLOOKUP(AL50,Constants!$A$2:$C$16,IF(AM50&lt;&gt;"", 3, 2), FALSE()),IF(AM50&lt;&gt;"",CONCATENATE(",",VLOOKUP(AM50,$B:$AN,39,FALSE())),""))</f>
        <v>4,5,4</v>
      </c>
      <c r="AX50" s="0" t="n">
        <v>30</v>
      </c>
      <c r="AY50" s="16" t="str">
        <f aca="false">IF(L50&lt;&gt;"",MAX(16,(L50-J50)+8),"")</f>
        <v/>
      </c>
      <c r="AZ50" s="0" t="n">
        <v>145</v>
      </c>
      <c r="BA50" s="0" t="n">
        <v>123</v>
      </c>
      <c r="BB50" s="0" t="n">
        <f aca="false">MIN(AB50/150, 1)*30</f>
        <v>28</v>
      </c>
      <c r="BC50" s="0" t="n">
        <f aca="false">MIN(N50/4000, 1)*20</f>
        <v>0</v>
      </c>
      <c r="BD50" s="0" t="n">
        <f aca="false">MIN(Z50/400,1)*20</f>
        <v>0</v>
      </c>
      <c r="BE50" s="3" t="n">
        <f aca="false">1-(MAX(J50-1900, 0)/750)</f>
        <v>0.882666666666667</v>
      </c>
      <c r="BF50" s="0" t="n">
        <f aca="false">((MAX($M50,1)*MIN($AJ50/300,1)))*IF(G50="Wagon",50,10)</f>
        <v>8</v>
      </c>
      <c r="BG50" s="0" t="n">
        <f aca="false">VLOOKUP($H50,Constants!$I:$K, 2, FALSE())</f>
        <v>1.2</v>
      </c>
      <c r="BH50" s="0" t="n">
        <f aca="false">VLOOKUP($H50,Constants!$I:$K, 3, FALSE())*IF(AND(G50="multiple_unit",AB50&lt;110),0.75,1)</f>
        <v>0.6</v>
      </c>
      <c r="BI50" s="0" t="n">
        <f aca="false">INT(POWER(((Constants!$G$2+$BB50+$BC50+$BD50+$BF50)*$BE50)*$BH50, 1.05))+$BA50</f>
        <v>148</v>
      </c>
      <c r="BJ50" s="0" t="n">
        <f aca="false">INT(POWER((((Constants!$G$1+$BB50+$BC50+$BD50+$BF50)*($BE50))*$BG50),IF($G50="wagon",1,1.2)))+$AZ50</f>
        <v>199</v>
      </c>
      <c r="BK50" s="17" t="n">
        <f aca="false">BI50*IF($G50="wagon",62.5,781.25)</f>
        <v>9250</v>
      </c>
      <c r="BL50" s="17" t="n">
        <f aca="false">BJ50*IF($G50="wagon",2.73,81.25)</f>
        <v>543.27</v>
      </c>
      <c r="BV50" s="0" t="n">
        <v>7</v>
      </c>
      <c r="BW50" s="0" t="n">
        <v>250</v>
      </c>
      <c r="BY50" s="0" t="s">
        <v>147</v>
      </c>
      <c r="BZ50" s="0" t="s">
        <v>148</v>
      </c>
      <c r="CA50" s="0" t="str">
        <f aca="false">VLOOKUP(J50,Eras!$A$2:$C$10, 2, TRUE())</f>
        <v>lbr</v>
      </c>
      <c r="CB50" s="0" t="s">
        <v>149</v>
      </c>
      <c r="CC50" s="0" t="str">
        <f aca="false">CONCATENATE(CA50,"_",CB50)</f>
        <v>lbr_Carriage</v>
      </c>
      <c r="CD50" s="0" t="str">
        <f aca="false">_xlfn.CONCAT(H50, "_",I50)</f>
        <v>carriage_RAIL</v>
      </c>
      <c r="CE50" s="6" t="str">
        <f aca="false" t="array" ref="CE50:CE50">_xlfn.CONCAT("{BLACK}Length: {GOLD}", TEXT(ROUNDUP(IF(AQ50&lt;&gt;"",SUM(VALUE(_xlfn.TEXTSPLIT(AQ50, ","))), SUM(VALUE(_xlfn.TEXTSPLIT(AN50, ",")))*IF(M50, M50, 1))/16, 1), "#,##0.0"), " tiles{}")</f>
        <v>{BLACK}Length: {GOLD}0.9 tiles{}</v>
      </c>
      <c r="CF50" s="0" t="str">
        <f aca="false">VLOOKUP($CD50, Constants!$M:$N, 2, FALSE())</f>
        <v/>
      </c>
      <c r="CG50" s="0" t="str">
        <f aca="false">IF(M50&gt;1,_xlfn.CONCAT("{BLACK}Cars: {GOLD}", M50),"")</f>
        <v/>
      </c>
      <c r="CH50" s="0" t="s">
        <v>228</v>
      </c>
      <c r="CI50" s="0" t="str">
        <f aca="false">IF($BU50="!param_no_gameplay_units","{GREEN}Included for gameplay purposes","")</f>
        <v/>
      </c>
      <c r="CJ50" s="0" t="str">
        <f aca="false">IF(BX50="buffet","{YELLOW}25% long distance bonus for consist{}",IF(BZ50="BRAKE","{YELLOW}Speed bonus for slow wagons{}",IF(BW50&gt;190,CONCATENATE("{YELLOW}",INT((BW50-185)/1.85),"% bonus for long distance travel{}"),IF(AND(BW50&lt;180,BW50&lt;&gt;0),CONCATENATE("{YELLOW}",INT((185-BW50)/1.85),"% penalty for long distance travel{}"),""))))</f>
        <v>{YELLOW}35% bonus for long distance travel{}</v>
      </c>
      <c r="CK50" s="0" t="str">
        <f aca="false">_xlfn.CONCAT(CF50,IF(CF50&lt;&gt;""," ",""),CG50,IF(OR(CG50&lt;&gt;"",CF50&lt;&gt;""),"{}",""),CE50,CJ50,"{SILVER}",CH50,IF(CI50&lt;&gt;"","{}{}",""),CI50)</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51" customFormat="false" ht="14.25" hidden="false" customHeight="false" outlineLevel="0" collapsed="false">
      <c r="A51" s="0" t="s">
        <v>229</v>
      </c>
      <c r="B51" s="15" t="s">
        <v>230</v>
      </c>
      <c r="C51" s="0" t="n">
        <v>36</v>
      </c>
      <c r="D51" s="0" t="n">
        <v>34</v>
      </c>
      <c r="E51" s="0" t="n">
        <v>1027</v>
      </c>
      <c r="F51" s="0" t="s">
        <v>143</v>
      </c>
      <c r="G51" s="0" t="s">
        <v>144</v>
      </c>
      <c r="H51" s="0" t="s">
        <v>145</v>
      </c>
      <c r="I51" s="0" t="s">
        <v>92</v>
      </c>
      <c r="J51" s="0" t="n">
        <v>1988</v>
      </c>
      <c r="W51" s="0" t="n">
        <v>42</v>
      </c>
      <c r="Y51" s="0" t="n">
        <v>4</v>
      </c>
      <c r="AA51" s="3" t="str">
        <f aca="false">IF(AND(W51&gt;0,Z51&gt;0),(Z51/((W51+X51)*10)),"")</f>
        <v/>
      </c>
      <c r="AB51" s="0" t="n">
        <v>140</v>
      </c>
      <c r="AC51" s="0" t="n">
        <f aca="false">ROUND(AB51*1.6, 0)</f>
        <v>224</v>
      </c>
      <c r="AF51" s="0" t="n">
        <v>23</v>
      </c>
      <c r="AG51" s="0" t="n">
        <v>23</v>
      </c>
      <c r="AH51" s="0" t="n">
        <v>2.82</v>
      </c>
      <c r="AI51" s="0" t="n">
        <v>3.79</v>
      </c>
      <c r="AJ51" s="4" t="n">
        <v>24</v>
      </c>
      <c r="AK51" s="0" t="str">
        <f aca="false">CONCATENATE(VLOOKUP(AL51, 'Voxel Sizes'!$A$2:$B$18,2,FALSE()),"x",INT(AH51*15), "x", INT(AI51*15))</f>
        <v>214x42x56</v>
      </c>
      <c r="AL51" s="0" t="n">
        <f aca="false">ROUND(15*((AG51*10)/256),0)</f>
        <v>13</v>
      </c>
      <c r="AN51" s="0" t="str">
        <f aca="false">CONCATENATE(VLOOKUP(AL51,Constants!$A$2:$C$16,IF(AM51&lt;&gt;"", 3, 2), FALSE()),IF(AM51&lt;&gt;"",CONCATENATE(",",VLOOKUP(AM51,$B:$AN,39,FALSE())),""))</f>
        <v>4,5,4</v>
      </c>
      <c r="AX51" s="0" t="n">
        <v>30</v>
      </c>
      <c r="AY51" s="16" t="str">
        <f aca="false">IF(L51&lt;&gt;"",MAX(16,(L51-J51)+8),"")</f>
        <v/>
      </c>
      <c r="AZ51" s="0" t="n">
        <v>1350</v>
      </c>
      <c r="BA51" s="0" t="n">
        <v>190</v>
      </c>
      <c r="BB51" s="0" t="n">
        <f aca="false">MIN(AB51/150, 1)*30</f>
        <v>28</v>
      </c>
      <c r="BC51" s="0" t="n">
        <f aca="false">MIN(N51/4000, 1)*20</f>
        <v>0</v>
      </c>
      <c r="BD51" s="0" t="n">
        <f aca="false">MIN(Z51/400,1)*20</f>
        <v>0</v>
      </c>
      <c r="BE51" s="3" t="n">
        <f aca="false">1-(MAX(J51-1900, 0)/750)</f>
        <v>0.882666666666667</v>
      </c>
      <c r="BF51" s="0" t="n">
        <f aca="false">((MAX($M51,1)*MIN($AJ51/300,1)))*IF(G51="Wagon",50,10)</f>
        <v>4</v>
      </c>
      <c r="BG51" s="0" t="n">
        <f aca="false">VLOOKUP($H51,Constants!$I:$K, 2, FALSE())</f>
        <v>1.2</v>
      </c>
      <c r="BH51" s="0" t="n">
        <f aca="false">VLOOKUP($H51,Constants!$I:$K, 3, FALSE())*IF(AND(G51="multiple_unit",AB51&lt;110),0.75,1)</f>
        <v>0.6</v>
      </c>
      <c r="BI51" s="0" t="n">
        <f aca="false">INT(POWER(((Constants!$G$2+$BB51+$BC51+$BD51+$BF51)*$BE51)*$BH51, 1.05))+$BA51</f>
        <v>212</v>
      </c>
      <c r="BJ51" s="0" t="n">
        <f aca="false">INT(POWER((((Constants!$G$1+$BB51+$BC51+$BD51+$BF51)*($BE51))*$BG51),IF($G51="wagon",1,1.2)))+$AZ51</f>
        <v>1399</v>
      </c>
      <c r="BK51" s="17" t="n">
        <f aca="false">BI51*IF($G51="wagon",62.5,781.25)</f>
        <v>13250</v>
      </c>
      <c r="BL51" s="17" t="n">
        <f aca="false">BJ51*IF($G51="wagon",2.73,81.25)</f>
        <v>3819.27</v>
      </c>
      <c r="BV51" s="0" t="n">
        <v>7</v>
      </c>
      <c r="BW51" s="0" t="n">
        <v>250</v>
      </c>
      <c r="BX51" s="0" t="s">
        <v>190</v>
      </c>
      <c r="BY51" s="0" t="s">
        <v>147</v>
      </c>
      <c r="BZ51" s="0" t="s">
        <v>148</v>
      </c>
      <c r="CA51" s="0" t="str">
        <f aca="false">VLOOKUP(J51,Eras!$A$2:$C$10, 2, TRUE())</f>
        <v>lbr</v>
      </c>
      <c r="CB51" s="0" t="s">
        <v>149</v>
      </c>
      <c r="CC51" s="0" t="str">
        <f aca="false">CONCATENATE(CA51,"_",CB51)</f>
        <v>lbr_Carriage</v>
      </c>
      <c r="CD51" s="0" t="str">
        <f aca="false">_xlfn.CONCAT(H51, "_",I51)</f>
        <v>carriage_RAIL</v>
      </c>
      <c r="CE51" s="6" t="str">
        <f aca="false" t="array" ref="CE51:CE51">_xlfn.CONCAT("{BLACK}Length: {GOLD}", TEXT(ROUNDUP(IF(AQ51&lt;&gt;"",SUM(VALUE(_xlfn.TEXTSPLIT(AQ51, ","))), SUM(VALUE(_xlfn.TEXTSPLIT(AN51, ",")))*IF(M51, M51, 1))/16, 1), "#,##0.0"), " tiles{}")</f>
        <v>{BLACK}Length: {GOLD}0.9 tiles{}</v>
      </c>
      <c r="CF51" s="0" t="str">
        <f aca="false">VLOOKUP($CD51, Constants!$M:$N, 2, FALSE())</f>
        <v/>
      </c>
      <c r="CG51" s="0" t="str">
        <f aca="false">IF(M51&gt;1,_xlfn.CONCAT("{BLACK}Cars: {GOLD}", M51),"")</f>
        <v/>
      </c>
      <c r="CH51" s="0" t="s">
        <v>231</v>
      </c>
      <c r="CI51" s="0" t="str">
        <f aca="false">IF($BU51="!param_no_gameplay_units","{GREEN}Included for gameplay purposes","")</f>
        <v/>
      </c>
      <c r="CJ51" s="0" t="str">
        <f aca="false">IF(BX51="buffet","{YELLOW}25% long distance bonus for consist{}",IF(BZ51="BRAKE","{YELLOW}Speed bonus for slow wagons{}",IF(BW51&gt;190,CONCATENATE("{YELLOW}",INT((BW51-185)/1.85),"% bonus for long distance travel{}"),IF(AND(BW51&lt;180,BW51&lt;&gt;0),CONCATENATE("{YELLOW}",INT((185-BW51)/1.85),"% penalty for long distance travel{}"),""))))</f>
        <v>{YELLOW}25% long distance bonus for consist{}</v>
      </c>
      <c r="CK51" s="0" t="str">
        <f aca="false">_xlfn.CONCAT(CF51,IF(CF51&lt;&gt;""," ",""),CG51,IF(OR(CG51&lt;&gt;"",CF51&lt;&gt;""),"{}",""),CE51,CJ51,"{SILVER}",CH51,IF(CI51&lt;&gt;"","{}{}",""),CI51)</f>
        <v>{BLACK}Length: {GOLD}0.9 tiles{}{YELLOW}25% long distance bonus for consist{}{SILVER}Intercity 225 formations included restaurant cars from their introduction, initially as first class RFB cars.</v>
      </c>
    </row>
    <row r="52" customFormat="false" ht="14.25" hidden="false" customHeight="false" outlineLevel="0" collapsed="false">
      <c r="A52" s="0" t="s">
        <v>232</v>
      </c>
      <c r="B52" s="15" t="s">
        <v>233</v>
      </c>
      <c r="C52" s="0" t="n">
        <v>37</v>
      </c>
      <c r="D52" s="0" t="n">
        <v>34</v>
      </c>
      <c r="E52" s="0" t="n">
        <v>1028</v>
      </c>
      <c r="F52" s="0" t="s">
        <v>143</v>
      </c>
      <c r="G52" s="0" t="s">
        <v>144</v>
      </c>
      <c r="H52" s="0" t="s">
        <v>145</v>
      </c>
      <c r="I52" s="0" t="s">
        <v>92</v>
      </c>
      <c r="J52" s="0" t="n">
        <v>2018</v>
      </c>
      <c r="W52" s="0" t="n">
        <v>42</v>
      </c>
      <c r="Y52" s="0" t="n">
        <v>4</v>
      </c>
      <c r="AA52" s="3" t="str">
        <f aca="false">IF(AND(W52&gt;0,Z52&gt;0),(Z52/((W52+X52)*10)),"")</f>
        <v/>
      </c>
      <c r="AB52" s="0" t="n">
        <v>140</v>
      </c>
      <c r="AC52" s="0" t="n">
        <f aca="false">ROUND(AB52*1.6, 0)</f>
        <v>224</v>
      </c>
      <c r="AF52" s="0" t="n">
        <v>23</v>
      </c>
      <c r="AG52" s="0" t="n">
        <v>23</v>
      </c>
      <c r="AH52" s="0" t="n">
        <v>2.82</v>
      </c>
      <c r="AI52" s="0" t="n">
        <v>3.79</v>
      </c>
      <c r="AJ52" s="4" t="n">
        <v>30</v>
      </c>
      <c r="AK52" s="0" t="str">
        <f aca="false">CONCATENATE(VLOOKUP(AL52, 'Voxel Sizes'!$A$2:$B$18,2,FALSE()),"x",INT(AH52*15), "x", INT(AI52*15))</f>
        <v>214x42x56</v>
      </c>
      <c r="AL52" s="0" t="n">
        <f aca="false">ROUND(15*((AG52*10)/256),0)</f>
        <v>13</v>
      </c>
      <c r="AN52" s="0" t="str">
        <f aca="false">CONCATENATE(VLOOKUP(AL52,Constants!$A$2:$C$16,IF(AM52&lt;&gt;"", 3, 2), FALSE()),IF(AM52&lt;&gt;"",CONCATENATE(",",VLOOKUP(AM52,$B:$AN,39,FALSE())),""))</f>
        <v>4,5,4</v>
      </c>
      <c r="AX52" s="0" t="n">
        <v>30</v>
      </c>
      <c r="AY52" s="16" t="str">
        <f aca="false">IF(L52&lt;&gt;"",MAX(16,(L52-J52)+8),"")</f>
        <v/>
      </c>
      <c r="AZ52" s="0" t="n">
        <v>1150</v>
      </c>
      <c r="BA52" s="0" t="n">
        <v>160</v>
      </c>
      <c r="BB52" s="0" t="n">
        <f aca="false">MIN(AB52/150, 1)*30</f>
        <v>28</v>
      </c>
      <c r="BC52" s="0" t="n">
        <f aca="false">MIN(N52/4000, 1)*20</f>
        <v>0</v>
      </c>
      <c r="BD52" s="0" t="n">
        <f aca="false">MIN(Z52/400,1)*20</f>
        <v>0</v>
      </c>
      <c r="BE52" s="3" t="n">
        <f aca="false">1-(MAX(J52-1900, 0)/750)</f>
        <v>0.842666666666667</v>
      </c>
      <c r="BF52" s="0" t="n">
        <f aca="false">((MAX($M52,1)*MIN($AJ52/300,1)))*IF(G52="Wagon",50,10)</f>
        <v>5</v>
      </c>
      <c r="BG52" s="0" t="n">
        <f aca="false">VLOOKUP($H52,Constants!$I:$K, 2, FALSE())</f>
        <v>1.2</v>
      </c>
      <c r="BH52" s="0" t="n">
        <f aca="false">VLOOKUP($H52,Constants!$I:$K, 3, FALSE())*IF(AND(G52="multiple_unit",AB52&lt;110),0.75,1)</f>
        <v>0.6</v>
      </c>
      <c r="BI52" s="0" t="n">
        <f aca="false">INT(POWER(((Constants!$G$2+$BB52+$BC52+$BD52+$BF52)*$BE52)*$BH52, 1.05))+$BA52</f>
        <v>182</v>
      </c>
      <c r="BJ52" s="0" t="n">
        <f aca="false">INT(POWER((((Constants!$G$1+$BB52+$BC52+$BD52+$BF52)*($BE52))*$BG52),IF($G52="wagon",1,1.2)))+$AZ52</f>
        <v>1198</v>
      </c>
      <c r="BK52" s="17" t="n">
        <f aca="false">BI52*IF($G52="wagon",62.5,781.25)</f>
        <v>11375</v>
      </c>
      <c r="BL52" s="17" t="n">
        <f aca="false">BJ52*IF($G52="wagon",2.73,81.25)</f>
        <v>3270.54</v>
      </c>
      <c r="BV52" s="0" t="n">
        <v>2</v>
      </c>
      <c r="BW52" s="0" t="n">
        <v>222</v>
      </c>
      <c r="BX52" s="0" t="s">
        <v>190</v>
      </c>
      <c r="BY52" s="0" t="s">
        <v>147</v>
      </c>
      <c r="BZ52" s="0" t="s">
        <v>148</v>
      </c>
      <c r="CA52" s="0" t="str">
        <f aca="false">VLOOKUP(J52,Eras!$A$2:$C$10, 2, TRUE())</f>
        <v>mod</v>
      </c>
      <c r="CB52" s="0" t="s">
        <v>149</v>
      </c>
      <c r="CC52" s="0" t="str">
        <f aca="false">CONCATENATE(CA52,"_",CB52)</f>
        <v>mod_Carriage</v>
      </c>
      <c r="CD52" s="0" t="str">
        <f aca="false">_xlfn.CONCAT(H52, "_",I52)</f>
        <v>carriage_RAIL</v>
      </c>
      <c r="CE52" s="6" t="str">
        <f aca="false" t="array" ref="CE52:CE52">_xlfn.CONCAT("{BLACK}Length: {GOLD}", TEXT(ROUNDUP(IF(AQ52&lt;&gt;"",SUM(VALUE(_xlfn.TEXTSPLIT(AQ52, ","))), SUM(VALUE(_xlfn.TEXTSPLIT(AN52, ",")))*IF(M52, M52, 1))/16, 1), "#,##0.0"), " tiles{}")</f>
        <v>{BLACK}Length: {GOLD}0.9 tiles{}</v>
      </c>
      <c r="CF52" s="0" t="str">
        <f aca="false">VLOOKUP($CD52, Constants!$M:$N, 2, FALSE())</f>
        <v/>
      </c>
      <c r="CG52" s="0" t="str">
        <f aca="false">IF(M52&gt;1,_xlfn.CONCAT("{BLACK}Cars: {GOLD}", M52),"")</f>
        <v/>
      </c>
      <c r="CH52" s="0" t="s">
        <v>234</v>
      </c>
      <c r="CI52" s="0" t="str">
        <f aca="false">IF($BU52="!param_no_gameplay_units","{GREEN}Included for gameplay purposes","")</f>
        <v/>
      </c>
      <c r="CJ52" s="0" t="str">
        <f aca="false">IF(BX52="buffet","{YELLOW}25% long distance bonus for consist{}",IF(BZ52="BRAKE","{YELLOW}Speed bonus for slow wagons{}",IF(BW52&gt;190,CONCATENATE("{YELLOW}",INT((BW52-185)/1.85),"% bonus for long distance travel{}"),IF(AND(BW52&lt;180,BW52&lt;&gt;0),CONCATENATE("{YELLOW}",INT((185-BW52)/1.85),"% penalty for long distance travel{}"),""))))</f>
        <v>{YELLOW}25% long distance bonus for consist{}</v>
      </c>
      <c r="CK52" s="0" t="str">
        <f aca="false">_xlfn.CONCAT(CF52,IF(CF52&lt;&gt;""," ",""),CG52,IF(OR(CG52&lt;&gt;"",CF52&lt;&gt;""),"{}",""),CE52,CJ52,"{SILVER}",CH52,IF(CI52&lt;&gt;"","{}{}",""),CI52)</f>
        <v>{BLACK}Length: {GOLD}0.9 tiles{}{YELLOW}25% long distance bonus for consist{}{SILVER}As LNER took over East Coast Express services, RSB cars with standard-class seating were introduced, allowing more passengers to sit in the buffet car.</v>
      </c>
    </row>
    <row r="53" customFormat="false" ht="14.25" hidden="false" customHeight="false" outlineLevel="0" collapsed="false">
      <c r="A53" s="0" t="s">
        <v>235</v>
      </c>
      <c r="B53" s="15" t="s">
        <v>236</v>
      </c>
      <c r="C53" s="0" t="n">
        <v>38</v>
      </c>
      <c r="D53" s="0" t="n">
        <v>34</v>
      </c>
      <c r="E53" s="0" t="n">
        <v>1029</v>
      </c>
      <c r="F53" s="0" t="s">
        <v>143</v>
      </c>
      <c r="G53" s="0" t="s">
        <v>144</v>
      </c>
      <c r="H53" s="0" t="s">
        <v>145</v>
      </c>
      <c r="I53" s="0" t="s">
        <v>92</v>
      </c>
      <c r="J53" s="0" t="n">
        <v>1991</v>
      </c>
      <c r="W53" s="0" t="n">
        <v>40</v>
      </c>
      <c r="Y53" s="0" t="n">
        <v>5</v>
      </c>
      <c r="AA53" s="3" t="str">
        <f aca="false">IF(AND(W53&gt;0,Z53&gt;0),(Z53/((W53+X53)*10)),"")</f>
        <v/>
      </c>
      <c r="AB53" s="0" t="n">
        <v>140</v>
      </c>
      <c r="AC53" s="0" t="n">
        <f aca="false">ROUND(AB53*1.6, 0)</f>
        <v>224</v>
      </c>
      <c r="AF53" s="0" t="n">
        <v>23</v>
      </c>
      <c r="AG53" s="0" t="n">
        <v>23</v>
      </c>
      <c r="AH53" s="0" t="n">
        <v>2.82</v>
      </c>
      <c r="AI53" s="0" t="n">
        <v>3.79</v>
      </c>
      <c r="AJ53" s="4" t="n">
        <v>78</v>
      </c>
      <c r="AK53" s="0" t="str">
        <f aca="false">CONCATENATE(VLOOKUP(AL53, 'Voxel Sizes'!$A$2:$B$18,2,FALSE()),"x",INT(AH53*15), "x", INT(AI53*15))</f>
        <v>214x42x56</v>
      </c>
      <c r="AL53" s="0" t="n">
        <f aca="false">ROUND(15*((AG53*10)/256),0)</f>
        <v>13</v>
      </c>
      <c r="AN53" s="0" t="str">
        <f aca="false">CONCATENATE(VLOOKUP(AL53,Constants!$A$2:$C$16,IF(AM53&lt;&gt;"", 3, 2), FALSE()),IF(AM53&lt;&gt;"",CONCATENATE(",",VLOOKUP(AM53,$B:$AN,39,FALSE())),""))</f>
        <v>4,5,4</v>
      </c>
      <c r="AX53" s="0" t="n">
        <v>30</v>
      </c>
      <c r="AY53" s="16" t="str">
        <f aca="false">IF(L53&lt;&gt;"",MAX(16,(L53-J53)+8),"")</f>
        <v/>
      </c>
      <c r="AZ53" s="0" t="n">
        <v>90</v>
      </c>
      <c r="BA53" s="0" t="n">
        <f aca="false">31*3</f>
        <v>93</v>
      </c>
      <c r="BB53" s="0" t="n">
        <f aca="false">MIN(AB53/150, 1)*30</f>
        <v>28</v>
      </c>
      <c r="BC53" s="0" t="n">
        <f aca="false">MIN(N53/4000, 1)*20</f>
        <v>0</v>
      </c>
      <c r="BD53" s="0" t="n">
        <f aca="false">MIN(Z53/400,1)*20</f>
        <v>0</v>
      </c>
      <c r="BE53" s="3" t="n">
        <f aca="false">1-(MAX(J53-1900, 0)/750)</f>
        <v>0.878666666666667</v>
      </c>
      <c r="BF53" s="0" t="n">
        <f aca="false">((MAX($M53,1)*MIN($AJ53/300,1)))*IF(G53="Wagon",50,10)</f>
        <v>13</v>
      </c>
      <c r="BG53" s="0" t="n">
        <f aca="false">VLOOKUP($H53,Constants!$I:$K, 2, FALSE())</f>
        <v>1.2</v>
      </c>
      <c r="BH53" s="0" t="n">
        <f aca="false">VLOOKUP($H53,Constants!$I:$K, 3, FALSE())*IF(AND(G53="multiple_unit",AB53&lt;110),0.75,1)</f>
        <v>0.6</v>
      </c>
      <c r="BI53" s="0" t="n">
        <f aca="false">INT(POWER(((Constants!$G$2+$BB53+$BC53+$BD53+$BF53)*$BE53)*$BH53, 1.05))+$BA53</f>
        <v>121</v>
      </c>
      <c r="BJ53" s="0" t="n">
        <f aca="false">INT(POWER((((Constants!$G$1+$BB53+$BC53+$BD53+$BF53)*($BE53))*$BG53),IF($G53="wagon",1,1.2)))+$AZ53</f>
        <v>149</v>
      </c>
      <c r="BK53" s="17" t="n">
        <f aca="false">BI53*IF($G53="wagon",62.5,781.25)</f>
        <v>7562.5</v>
      </c>
      <c r="BL53" s="17" t="n">
        <f aca="false">BJ53*IF($G53="wagon",2.73,81.25)</f>
        <v>406.77</v>
      </c>
      <c r="BU53" s="0" t="s">
        <v>218</v>
      </c>
      <c r="BV53" s="0" t="n">
        <v>5</v>
      </c>
      <c r="BW53" s="0" t="n">
        <v>185</v>
      </c>
      <c r="BY53" s="0" t="s">
        <v>219</v>
      </c>
      <c r="BZ53" s="0" t="s">
        <v>220</v>
      </c>
      <c r="CA53" s="0" t="str">
        <f aca="false">VLOOKUP(J53,Eras!$A$2:$C$10, 2, TRUE())</f>
        <v>lbr</v>
      </c>
      <c r="CB53" s="0" t="s">
        <v>221</v>
      </c>
      <c r="CC53" s="0" t="str">
        <f aca="false">CONCATENATE(CA53,"_",CB53)</f>
        <v>lbr_Mail Carriage</v>
      </c>
      <c r="CD53" s="0" t="str">
        <f aca="false">_xlfn.CONCAT(H53, "_",I53)</f>
        <v>carriage_RAIL</v>
      </c>
      <c r="CE53" s="6" t="str">
        <f aca="false" t="array" ref="CE53:CE53">_xlfn.CONCAT("{BLACK}Length: {GOLD}", TEXT(ROUNDUP(IF(AQ53&lt;&gt;"",SUM(VALUE(_xlfn.TEXTSPLIT(AQ53, ","))), SUM(VALUE(_xlfn.TEXTSPLIT(AN53, ",")))*IF(M53, M53, 1))/16, 1), "#,##0.0"), " tiles{}")</f>
        <v>{BLACK}Length: {GOLD}0.9 tiles{}</v>
      </c>
      <c r="CF53" s="0" t="str">
        <f aca="false">VLOOKUP($CD53, Constants!$M:$N, 2, FALSE())</f>
        <v/>
      </c>
      <c r="CG53" s="0" t="str">
        <f aca="false">IF(M53&gt;1,_xlfn.CONCAT("{BLACK}Cars: {GOLD}", M53),"")</f>
        <v/>
      </c>
      <c r="CH53" s="0" t="s">
        <v>237</v>
      </c>
      <c r="CI53" s="0" t="str">
        <f aca="false">IF($BU53="!param_no_gameplay_units","{GREEN}Included for gameplay purposes","")</f>
        <v>{GREEN}Included for gameplay purposes</v>
      </c>
      <c r="CJ53" s="0" t="str">
        <f aca="false">IF(BX53="buffet","{YELLOW}25% long distance bonus for consist{}",IF(BZ53="BRAKE","{YELLOW}Speed bonus for slow wagons{}",IF(BW53&gt;190,CONCATENATE("{YELLOW}",INT((BW53-185)/1.85),"% bonus for long distance travel{}"),IF(AND(BW53&lt;180,BW53&lt;&gt;0),CONCATENATE("{YELLOW}",INT((185-BW53)/1.85),"% penalty for long distance travel{}"),""))))</f>
        <v/>
      </c>
      <c r="CK53" s="0" t="str">
        <f aca="false">_xlfn.CONCAT(CF53,IF(CF53&lt;&gt;""," ",""),CG53,IF(OR(CG53&lt;&gt;"",CF53&lt;&gt;""),"{}",""),CE53,CJ53,"{SILVER}",CH53,IF(CI53&lt;&gt;"","{}{}",""),CI53)</f>
        <v>{BLACK}Length: {GOLD}0.9 tiles{}{SILVER}By the time the Mk4 was introduced, the end of post on the rail was in sight, with Travelling Post Office services ceasing in 1996. But what if BR had continued to build parcel vans?{}{}{GREEN}Included for gameplay purposes</v>
      </c>
    </row>
    <row r="54" customFormat="false" ht="14.25" hidden="false" customHeight="false" outlineLevel="0" collapsed="false">
      <c r="A54" s="0" t="s">
        <v>238</v>
      </c>
      <c r="B54" s="15" t="s">
        <v>239</v>
      </c>
      <c r="C54" s="0" t="n">
        <v>39</v>
      </c>
      <c r="E54" s="0" t="n">
        <v>1030</v>
      </c>
      <c r="F54" s="0" t="s">
        <v>143</v>
      </c>
      <c r="G54" s="0" t="s">
        <v>144</v>
      </c>
      <c r="H54" s="0" t="s">
        <v>145</v>
      </c>
      <c r="I54" s="0" t="s">
        <v>146</v>
      </c>
      <c r="J54" s="0" t="n">
        <v>1700</v>
      </c>
      <c r="L54" s="0" t="n">
        <v>1870</v>
      </c>
      <c r="W54" s="0" t="n">
        <v>8</v>
      </c>
      <c r="Y54" s="0" t="n">
        <v>3</v>
      </c>
      <c r="AA54" s="3" t="str">
        <f aca="false">IF(AND(W54&gt;0,Z54&gt;0),(Z54/((W54+X54)*10)),"")</f>
        <v/>
      </c>
      <c r="AB54" s="0" t="n">
        <v>45</v>
      </c>
      <c r="AC54" s="0" t="n">
        <f aca="false">ROUND(AB54*1.6, 0)</f>
        <v>72</v>
      </c>
      <c r="AF54" s="0" t="n">
        <v>8</v>
      </c>
      <c r="AG54" s="0" t="n">
        <v>8</v>
      </c>
      <c r="AJ54" s="4" t="n">
        <v>24</v>
      </c>
      <c r="AK54" s="0" t="str">
        <f aca="false">CONCATENATE(VLOOKUP(AL54, 'Voxel Sizes'!$A$2:$B$18,2,FALSE()),"x",INT(AH54*15), "x", INT(AI54*15))</f>
        <v>82x0x0</v>
      </c>
      <c r="AL54" s="0" t="n">
        <f aca="false">ROUND(15*((AG54*10)/256),0)</f>
        <v>5</v>
      </c>
      <c r="AN54" s="0" t="str">
        <f aca="false">CONCATENATE(VLOOKUP(AL54,Constants!$A$2:$C$16,IF(AM54&lt;&gt;"", 3, 2), FALSE()),IF(AM54&lt;&gt;"",CONCATENATE(",",VLOOKUP(AM54,$B:$AN,39,FALSE())),""))</f>
        <v>2,1,2</v>
      </c>
      <c r="AX54" s="0" t="n">
        <v>30</v>
      </c>
      <c r="AY54" s="16" t="n">
        <f aca="false">IF(L54&lt;&gt;"",MAX(16,(L54-J54)+8),"")</f>
        <v>178</v>
      </c>
      <c r="AZ54" s="0" t="n">
        <v>5</v>
      </c>
      <c r="BA54" s="0" t="n">
        <v>4</v>
      </c>
      <c r="BB54" s="0" t="n">
        <f aca="false">MIN(AB54/150, 1)*30</f>
        <v>9</v>
      </c>
      <c r="BC54" s="0" t="n">
        <f aca="false">MIN(N54/4000, 1)*20</f>
        <v>0</v>
      </c>
      <c r="BD54" s="0" t="n">
        <f aca="false">MIN(Z54/400,1)*20</f>
        <v>0</v>
      </c>
      <c r="BE54" s="3" t="n">
        <f aca="false">1-(MAX(J54-1900, 0)/750)</f>
        <v>1</v>
      </c>
      <c r="BF54" s="0" t="n">
        <f aca="false">((MAX($M54,1)*MIN($AJ54/300,1)))*IF(G54="Wagon",50,10)</f>
        <v>4</v>
      </c>
      <c r="BG54" s="0" t="n">
        <f aca="false">VLOOKUP($H54,Constants!$I:$K, 2, FALSE())</f>
        <v>1.2</v>
      </c>
      <c r="BH54" s="0" t="n">
        <f aca="false">VLOOKUP($H54,Constants!$I:$K, 3, FALSE())*IF(AND(G54="multiple_unit",AB54&lt;110),0.75,1)</f>
        <v>0.6</v>
      </c>
      <c r="BI54" s="0" t="n">
        <f aca="false">INT(POWER(((Constants!$G$2+$BB54+$BC54+$BD54+$BF54)*$BE54)*$BH54, 1.05))+$BA54</f>
        <v>16</v>
      </c>
      <c r="BJ54" s="0" t="n">
        <f aca="false">INT(POWER((((Constants!$G$1+$BB54+$BC54+$BD54+$BF54)*($BE54))*$BG54),IF($G54="wagon",1,1.2)))+$AZ54</f>
        <v>38</v>
      </c>
      <c r="BK54" s="17" t="n">
        <f aca="false">BI54*IF($G54="wagon",62.5,781.25)</f>
        <v>1000</v>
      </c>
      <c r="BL54" s="17" t="n">
        <f aca="false">BJ54*IF($G54="wagon",2.73,81.25)</f>
        <v>103.74</v>
      </c>
      <c r="BV54" s="0" t="n">
        <v>10</v>
      </c>
      <c r="BW54" s="0" t="n">
        <v>185</v>
      </c>
      <c r="BY54" s="0" t="s">
        <v>219</v>
      </c>
      <c r="BZ54" s="0" t="s">
        <v>220</v>
      </c>
      <c r="CA54" s="0" t="str">
        <f aca="false">VLOOKUP(J54,Eras!$A$2:$C$10, 2, TRUE())</f>
        <v>early</v>
      </c>
      <c r="CB54" s="0" t="s">
        <v>149</v>
      </c>
      <c r="CC54" s="0" t="str">
        <f aca="false">CONCATENATE(CA54,"_",CB54)</f>
        <v>early_Carriage</v>
      </c>
      <c r="CD54" s="0" t="str">
        <f aca="false">_xlfn.CONCAT(H54, "_",I54)</f>
        <v>carriage_PLATEWAY</v>
      </c>
      <c r="CE54" s="6" t="str">
        <f aca="false" t="array" ref="CE54:CE54">_xlfn.CONCAT("{BLACK}Length: {GOLD}", TEXT(ROUNDUP(IF(AQ54&lt;&gt;"",SUM(VALUE(_xlfn.TEXTSPLIT(AQ54, ","))), SUM(VALUE(_xlfn.TEXTSPLIT(AN54, ",")))*IF(M54, M54, 1))/16, 1), "#,##0.0"), " tiles{}")</f>
        <v>{BLACK}Length: {GOLD}0.4 tiles{}</v>
      </c>
      <c r="CF54" s="0" t="str">
        <f aca="false">VLOOKUP($CD54, Constants!$M:$N, 2, FALSE())</f>
        <v/>
      </c>
      <c r="CG54" s="0" t="str">
        <f aca="false">IF(M54&gt;1,_xlfn.CONCAT("{BLACK}Cars: {GOLD}", M54),"")</f>
        <v/>
      </c>
      <c r="CH54" s="0" t="s">
        <v>240</v>
      </c>
      <c r="CI54" s="0" t="str">
        <f aca="false">IF($BU54="!param_no_gameplay_units","{GREEN}Included for gameplay purposes","")</f>
        <v/>
      </c>
      <c r="CJ54" s="0" t="str">
        <f aca="false">IF(BX54="buffet","{YELLOW}25% long distance bonus for consist{}",IF(BZ54="BRAKE","{YELLOW}Speed bonus for slow wagons{}",IF(BW54&gt;190,CONCATENATE("{YELLOW}",INT((BW54-185)/1.85),"% bonus for long distance travel{}"),IF(AND(BW54&lt;180,BW54&lt;&gt;0),CONCATENATE("{YELLOW}",INT((185-BW54)/1.85),"% penalty for long distance travel{}"),""))))</f>
        <v/>
      </c>
      <c r="CK54" s="0" t="str">
        <f aca="false">_xlfn.CONCAT(CF54,IF(CF54&lt;&gt;""," ",""),CG54,IF(OR(CG54&lt;&gt;"",CF54&lt;&gt;""),"{}",""),CE54,CJ54,"{SILVER}",CH54,IF(CI54&lt;&gt;"","{}{}",""),CI54)</f>
        <v>{BLACK}Length: {GOLD}0.4 tiles{}{SILVER}Although dedicated brake carriages were not common until the 1840s, this one is included in the set to allow early parcel and mail transport.</v>
      </c>
    </row>
    <row r="55" customFormat="false" ht="14.25" hidden="false" customHeight="true" outlineLevel="0" collapsed="false">
      <c r="A55" s="0" t="s">
        <v>241</v>
      </c>
      <c r="B55" s="15" t="s">
        <v>242</v>
      </c>
      <c r="C55" s="0" t="n">
        <v>40</v>
      </c>
      <c r="E55" s="0" t="n">
        <v>1031</v>
      </c>
      <c r="F55" s="0" t="s">
        <v>143</v>
      </c>
      <c r="G55" s="0" t="s">
        <v>144</v>
      </c>
      <c r="H55" s="0" t="s">
        <v>145</v>
      </c>
      <c r="I55" s="0" t="s">
        <v>92</v>
      </c>
      <c r="J55" s="0" t="n">
        <v>1855</v>
      </c>
      <c r="L55" s="0" t="n">
        <v>1900</v>
      </c>
      <c r="W55" s="0" t="n">
        <v>18</v>
      </c>
      <c r="Y55" s="0" t="n">
        <v>4</v>
      </c>
      <c r="AA55" s="3" t="str">
        <f aca="false">IF(AND(W55&gt;0,Z55&gt;0),(Z55/((W55+X55)*10)),"")</f>
        <v/>
      </c>
      <c r="AB55" s="0" t="n">
        <v>65</v>
      </c>
      <c r="AC55" s="0" t="n">
        <f aca="false">ROUND(AB55*1.6, 0)</f>
        <v>104</v>
      </c>
      <c r="AF55" s="0" t="n">
        <v>10</v>
      </c>
      <c r="AG55" s="0" t="n">
        <v>10</v>
      </c>
      <c r="AJ55" s="4" t="n">
        <v>24</v>
      </c>
      <c r="AK55" s="0" t="str">
        <f aca="false">CONCATENATE(VLOOKUP(AL55, 'Voxel Sizes'!$A$2:$B$18,2,FALSE()),"x",INT(AH55*15), "x", INT(AI55*15))</f>
        <v>102x0x0</v>
      </c>
      <c r="AL55" s="0" t="n">
        <f aca="false">ROUND(15*((AG55*10)/256),0)</f>
        <v>6</v>
      </c>
      <c r="AN55" s="0" t="str">
        <f aca="false">CONCATENATE(VLOOKUP(AL55,Constants!$A$2:$C$16,IF(AM55&lt;&gt;"", 3, 2), FALSE()),IF(AM55&lt;&gt;"",CONCATENATE(",",VLOOKUP(AM55,$B:$AN,39,FALSE())),""))</f>
        <v>2,2,2</v>
      </c>
      <c r="AX55" s="0" t="n">
        <v>30</v>
      </c>
      <c r="AY55" s="16" t="n">
        <f aca="false">IF(L55&lt;&gt;"",MAX(16,(L55-J55)+8),"")</f>
        <v>53</v>
      </c>
      <c r="AZ55" s="0" t="n">
        <v>20</v>
      </c>
      <c r="BA55" s="0" t="n">
        <v>10</v>
      </c>
      <c r="BB55" s="0" t="n">
        <f aca="false">MIN(AB55/150, 1)*30</f>
        <v>13</v>
      </c>
      <c r="BC55" s="0" t="n">
        <f aca="false">MIN(N55/4000, 1)*20</f>
        <v>0</v>
      </c>
      <c r="BD55" s="0" t="n">
        <f aca="false">MIN(Z55/400,1)*20</f>
        <v>0</v>
      </c>
      <c r="BE55" s="3" t="n">
        <f aca="false">1-(MAX(J55-1900, 0)/750)</f>
        <v>1</v>
      </c>
      <c r="BF55" s="0" t="n">
        <f aca="false">((MAX($M55,1)*MIN($AJ55/300,1)))*IF(G55="Wagon",50,10)</f>
        <v>4</v>
      </c>
      <c r="BG55" s="0" t="n">
        <f aca="false">VLOOKUP($H55,Constants!$I:$K, 2, FALSE())</f>
        <v>1.2</v>
      </c>
      <c r="BH55" s="0" t="n">
        <f aca="false">VLOOKUP($H55,Constants!$I:$K, 3, FALSE())*IF(AND(G55="multiple_unit",AB55&lt;110),0.75,1)</f>
        <v>0.6</v>
      </c>
      <c r="BI55" s="0" t="n">
        <f aca="false">INT(POWER(((Constants!$G$2+$BB55+$BC55+$BD55+$BF55)*$BE55)*$BH55, 1.05))+$BA55</f>
        <v>25</v>
      </c>
      <c r="BJ55" s="0" t="n">
        <f aca="false">INT(POWER((((Constants!$G$1+$BB55+$BC55+$BD55+$BF55)*($BE55))*$BG55),IF($G55="wagon",1,1.2)))+$AZ55</f>
        <v>58</v>
      </c>
      <c r="BK55" s="17" t="n">
        <f aca="false">BI55*IF($G55="wagon",62.5,781.25)</f>
        <v>1562.5</v>
      </c>
      <c r="BL55" s="17" t="n">
        <f aca="false">BJ55*IF($G55="wagon",2.73,81.25)</f>
        <v>158.34</v>
      </c>
      <c r="BV55" s="0" t="n">
        <v>10</v>
      </c>
      <c r="BW55" s="0" t="n">
        <v>185</v>
      </c>
      <c r="BY55" s="0" t="s">
        <v>219</v>
      </c>
      <c r="BZ55" s="0" t="s">
        <v>220</v>
      </c>
      <c r="CA55" s="0" t="str">
        <f aca="false">VLOOKUP(J55,Eras!$A$2:$C$10, 2, TRUE())</f>
        <v>vct</v>
      </c>
      <c r="CB55" s="0" t="s">
        <v>149</v>
      </c>
      <c r="CC55" s="0" t="str">
        <f aca="false">CONCATENATE(CA55,"_",CB55)</f>
        <v>vct_Carriage</v>
      </c>
      <c r="CD55" s="0" t="str">
        <f aca="false">_xlfn.CONCAT(H55, "_",I55)</f>
        <v>carriage_RAIL</v>
      </c>
      <c r="CE55" s="6" t="str">
        <f aca="false" t="array" ref="CE55:CE55">_xlfn.CONCAT("{BLACK}Length: {GOLD}", TEXT(ROUNDUP(IF(AQ55&lt;&gt;"",SUM(VALUE(_xlfn.TEXTSPLIT(AQ55, ","))), SUM(VALUE(_xlfn.TEXTSPLIT(AN55, ",")))*IF(M55, M55, 1))/16, 1), "#,##0.0"), " tiles{}")</f>
        <v>{BLACK}Length: {GOLD}0.4 tiles{}</v>
      </c>
      <c r="CF55" s="0" t="str">
        <f aca="false">VLOOKUP($CD55, Constants!$M:$N, 2, FALSE())</f>
        <v/>
      </c>
      <c r="CG55" s="0" t="str">
        <f aca="false">IF(M55&gt;1,_xlfn.CONCAT("{BLACK}Cars: {GOLD}", M55),"")</f>
        <v/>
      </c>
      <c r="CH55" s="0" t="s">
        <v>243</v>
      </c>
      <c r="CI55" s="0" t="str">
        <f aca="false">IF($BU55="!param_no_gameplay_units","{GREEN}Included for gameplay purposes","")</f>
        <v/>
      </c>
      <c r="CJ55" s="0" t="str">
        <f aca="false">IF(BX55="buffet","{YELLOW}25% long distance bonus for consist{}",IF(BZ55="BRAKE","{YELLOW}Speed bonus for slow wagons{}",IF(BW55&gt;190,CONCATENATE("{YELLOW}",INT((BW55-185)/1.85),"% bonus for long distance travel{}"),IF(AND(BW55&lt;180,BW55&lt;&gt;0),CONCATENATE("{YELLOW}",INT((185-BW55)/1.85),"% penalty for long distance travel{}"),""))))</f>
        <v/>
      </c>
      <c r="CK55" s="0" t="str">
        <f aca="false">_xlfn.CONCAT(CF55,IF(CF55&lt;&gt;""," ",""),CG55,IF(OR(CG55&lt;&gt;"",CF55&lt;&gt;""),"{}",""),CE55,CJ55,"{SILVER}",CH55,IF(CI55&lt;&gt;"","{}{}",""),CI55)</f>
        <v>{BLACK}Length: {GOLD}0.4 tiles{}{SILVER}Early four-wheel carriages did not have locomotive-controlled brakes so, like freight trains, were reliant on the brakes in the guard's van.</v>
      </c>
    </row>
    <row r="56" customFormat="false" ht="14.25" hidden="false" customHeight="false" outlineLevel="0" collapsed="false">
      <c r="A56" s="0" t="s">
        <v>244</v>
      </c>
      <c r="B56" s="15" t="s">
        <v>245</v>
      </c>
      <c r="C56" s="0" t="n">
        <v>41</v>
      </c>
      <c r="E56" s="0" t="n">
        <v>1032</v>
      </c>
      <c r="F56" s="0" t="s">
        <v>143</v>
      </c>
      <c r="G56" s="0" t="s">
        <v>144</v>
      </c>
      <c r="H56" s="0" t="s">
        <v>145</v>
      </c>
      <c r="I56" s="0" t="s">
        <v>92</v>
      </c>
      <c r="J56" s="0" t="n">
        <v>1875</v>
      </c>
      <c r="L56" s="0" t="n">
        <v>1915</v>
      </c>
      <c r="W56" s="0" t="n">
        <v>21</v>
      </c>
      <c r="Y56" s="0" t="n">
        <v>4</v>
      </c>
      <c r="AA56" s="3" t="str">
        <f aca="false">IF(AND(W56&gt;0,Z56&gt;0),(Z56/((W56+X56)*10)),"")</f>
        <v/>
      </c>
      <c r="AB56" s="0" t="n">
        <v>75</v>
      </c>
      <c r="AC56" s="0" t="n">
        <f aca="false">ROUND(AB56*1.6, 0)</f>
        <v>120</v>
      </c>
      <c r="AF56" s="0" t="n">
        <v>12</v>
      </c>
      <c r="AG56" s="0" t="n">
        <v>12</v>
      </c>
      <c r="AJ56" s="4" t="n">
        <v>30</v>
      </c>
      <c r="AK56" s="0" t="str">
        <f aca="false">CONCATENATE(VLOOKUP(AL56, 'Voxel Sizes'!$A$2:$B$18,2,FALSE()),"x",INT(AH56*15), "x", INT(AI56*15))</f>
        <v>120x0x0</v>
      </c>
      <c r="AL56" s="0" t="n">
        <f aca="false">ROUND(15*((AG56*10)/256),0)</f>
        <v>7</v>
      </c>
      <c r="AN56" s="0" t="str">
        <f aca="false">CONCATENATE(VLOOKUP(AL56,Constants!$A$2:$C$16,IF(AM56&lt;&gt;"", 3, 2), FALSE()),IF(AM56&lt;&gt;"",CONCATENATE(",",VLOOKUP(AM56,$B:$AN,39,FALSE())),""))</f>
        <v>2,3,2</v>
      </c>
      <c r="AX56" s="0" t="n">
        <v>30</v>
      </c>
      <c r="AY56" s="16" t="n">
        <f aca="false">IF(L56&lt;&gt;"",MAX(16,(L56-J56)+8),"")</f>
        <v>48</v>
      </c>
      <c r="AZ56" s="0" t="n">
        <v>39</v>
      </c>
      <c r="BA56" s="0" t="n">
        <v>16</v>
      </c>
      <c r="BB56" s="0" t="n">
        <f aca="false">MIN(AB56/150, 1)*30</f>
        <v>15</v>
      </c>
      <c r="BC56" s="0" t="n">
        <f aca="false">MIN(N56/4000, 1)*20</f>
        <v>0</v>
      </c>
      <c r="BD56" s="0" t="n">
        <f aca="false">MIN(Z56/400,1)*20</f>
        <v>0</v>
      </c>
      <c r="BE56" s="3" t="n">
        <f aca="false">1-(MAX(J56-1900, 0)/750)</f>
        <v>1</v>
      </c>
      <c r="BF56" s="0" t="n">
        <f aca="false">((MAX($M56,1)*MIN($AJ56/300,1)))*IF(G56="Wagon",50,10)</f>
        <v>5</v>
      </c>
      <c r="BG56" s="0" t="n">
        <f aca="false">VLOOKUP($H56,Constants!$I:$K, 2, FALSE())</f>
        <v>1.2</v>
      </c>
      <c r="BH56" s="0" t="n">
        <f aca="false">VLOOKUP($H56,Constants!$I:$K, 3, FALSE())*IF(AND(G56="multiple_unit",AB56&lt;110),0.75,1)</f>
        <v>0.6</v>
      </c>
      <c r="BI56" s="0" t="n">
        <f aca="false">INT(POWER(((Constants!$G$2+$BB56+$BC56+$BD56+$BF56)*$BE56)*$BH56, 1.05))+$BA56</f>
        <v>33</v>
      </c>
      <c r="BJ56" s="0" t="n">
        <f aca="false">INT(POWER((((Constants!$G$1+$BB56+$BC56+$BD56+$BF56)*($BE56))*$BG56),IF($G56="wagon",1,1.2)))+$AZ56</f>
        <v>81</v>
      </c>
      <c r="BK56" s="17" t="n">
        <f aca="false">BI56*IF($G56="wagon",62.5,781.25)</f>
        <v>2062.5</v>
      </c>
      <c r="BL56" s="17" t="n">
        <f aca="false">BJ56*IF($G56="wagon",2.73,81.25)</f>
        <v>221.13</v>
      </c>
      <c r="BV56" s="0" t="n">
        <v>11</v>
      </c>
      <c r="BW56" s="0" t="n">
        <v>185</v>
      </c>
      <c r="BY56" s="0" t="s">
        <v>219</v>
      </c>
      <c r="BZ56" s="0" t="s">
        <v>220</v>
      </c>
      <c r="CA56" s="0" t="str">
        <f aca="false">VLOOKUP(J56,Eras!$A$2:$C$10, 2, TRUE())</f>
        <v>vct</v>
      </c>
      <c r="CB56" s="0" t="s">
        <v>149</v>
      </c>
      <c r="CC56" s="0" t="str">
        <f aca="false">CONCATENATE(CA56,"_",CB56)</f>
        <v>vct_Carriage</v>
      </c>
      <c r="CD56" s="0" t="str">
        <f aca="false">_xlfn.CONCAT(H56, "_",I56)</f>
        <v>carriage_RAIL</v>
      </c>
      <c r="CE56" s="6" t="str">
        <f aca="false" t="array" ref="CE56:CE56">_xlfn.CONCAT("{BLACK}Length: {GOLD}", TEXT(ROUNDUP(IF(AQ56&lt;&gt;"",SUM(VALUE(_xlfn.TEXTSPLIT(AQ56, ","))), SUM(VALUE(_xlfn.TEXTSPLIT(AN56, ",")))*IF(M56, M56, 1))/16, 1), "#,##0.0"), " tiles{}")</f>
        <v>{BLACK}Length: {GOLD}0.5 tiles{}</v>
      </c>
      <c r="CF56" s="0" t="str">
        <f aca="false">VLOOKUP($CD56, Constants!$M:$N, 2, FALSE())</f>
        <v/>
      </c>
      <c r="CG56" s="0" t="str">
        <f aca="false">IF(M56&gt;1,_xlfn.CONCAT("{BLACK}Cars: {GOLD}", M56),"")</f>
        <v/>
      </c>
      <c r="CH56" s="0" t="s">
        <v>246</v>
      </c>
      <c r="CI56" s="0" t="str">
        <f aca="false">IF($BU56="!param_no_gameplay_units","{GREEN}Included for gameplay purposes","")</f>
        <v/>
      </c>
      <c r="CJ56" s="0" t="str">
        <f aca="false">IF(BX56="buffet","{YELLOW}25% long distance bonus for consist{}",IF(BZ56="BRAKE","{YELLOW}Speed bonus for slow wagons{}",IF(BW56&gt;190,CONCATENATE("{YELLOW}",INT((BW56-185)/1.85),"% bonus for long distance travel{}"),IF(AND(BW56&lt;180,BW56&lt;&gt;0),CONCATENATE("{YELLOW}",INT((185-BW56)/1.85),"% penalty for long distance travel{}"),""))))</f>
        <v/>
      </c>
      <c r="CK56" s="0" t="str">
        <f aca="false">_xlfn.CONCAT(CF56,IF(CF56&lt;&gt;""," ",""),CG56,IF(OR(CG56&lt;&gt;"",CF56&lt;&gt;""),"{}",""),CE56,CJ56,"{SILVER}",CH56,IF(CI56&lt;&gt;"","{}{}",""),CI56)</f>
        <v>{BLACK}Length: {GOLD}0.5 tiles{}{SILVER}Although carriages gained more luxurious fixtures and fittings through the Victorian era, braking still required a guard's van.</v>
      </c>
    </row>
    <row r="57" customFormat="false" ht="14.25" hidden="false" customHeight="false" outlineLevel="0" collapsed="false">
      <c r="A57" s="0" t="s">
        <v>247</v>
      </c>
      <c r="B57" s="15" t="s">
        <v>248</v>
      </c>
      <c r="C57" s="0" t="n">
        <v>42</v>
      </c>
      <c r="E57" s="0" t="n">
        <v>1033</v>
      </c>
      <c r="F57" s="0" t="s">
        <v>143</v>
      </c>
      <c r="G57" s="0" t="s">
        <v>144</v>
      </c>
      <c r="H57" s="0" t="s">
        <v>145</v>
      </c>
      <c r="I57" s="0" t="s">
        <v>92</v>
      </c>
      <c r="J57" s="0" t="n">
        <v>1892</v>
      </c>
      <c r="L57" s="0" t="n">
        <v>1935</v>
      </c>
      <c r="W57" s="0" t="n">
        <v>28</v>
      </c>
      <c r="Y57" s="0" t="n">
        <v>4</v>
      </c>
      <c r="AA57" s="3" t="str">
        <f aca="false">IF(AND(W57&gt;0,Z57&gt;0),(Z57/((W57+X57)*10)),"")</f>
        <v/>
      </c>
      <c r="AB57" s="0" t="n">
        <v>80</v>
      </c>
      <c r="AC57" s="0" t="n">
        <f aca="false">ROUND(AB57*1.6, 0)</f>
        <v>128</v>
      </c>
      <c r="AF57" s="0" t="n">
        <v>16.2</v>
      </c>
      <c r="AG57" s="0" t="n">
        <v>16.2</v>
      </c>
      <c r="AH57" s="0" t="n">
        <v>2.8</v>
      </c>
      <c r="AJ57" s="4" t="n">
        <v>51</v>
      </c>
      <c r="AK57" s="0" t="str">
        <f aca="false">CONCATENATE(VLOOKUP(AL57, 'Voxel Sizes'!$A$2:$B$18,2,FALSE()),"x",INT(AH57*15), "x", INT(AI57*15))</f>
        <v>152x42x0</v>
      </c>
      <c r="AL57" s="0" t="n">
        <f aca="false">ROUND(15*((AG57*10)/256),0)</f>
        <v>9</v>
      </c>
      <c r="AN57" s="0" t="str">
        <f aca="false">CONCATENATE(VLOOKUP(AL57,Constants!$A$2:$C$16,IF(AM57&lt;&gt;"", 3, 2), FALSE()),IF(AM57&lt;&gt;"",CONCATENATE(",",VLOOKUP(AM57,$B:$AN,39,FALSE())),""))</f>
        <v>2,5,2</v>
      </c>
      <c r="AX57" s="0" t="n">
        <v>30</v>
      </c>
      <c r="AY57" s="16" t="n">
        <f aca="false">IF(L57&lt;&gt;"",MAX(16,(L57-J57)+8),"")</f>
        <v>51</v>
      </c>
      <c r="AZ57" s="0" t="n">
        <v>47</v>
      </c>
      <c r="BA57" s="0" t="n">
        <v>20</v>
      </c>
      <c r="BB57" s="0" t="n">
        <f aca="false">MIN(AB57/150, 1)*30</f>
        <v>16</v>
      </c>
      <c r="BC57" s="0" t="n">
        <f aca="false">MIN(N57/4000, 1)*20</f>
        <v>0</v>
      </c>
      <c r="BD57" s="0" t="n">
        <f aca="false">MIN(Z57/400,1)*20</f>
        <v>0</v>
      </c>
      <c r="BE57" s="3" t="n">
        <f aca="false">1-(MAX(J57-1900, 0)/750)</f>
        <v>1</v>
      </c>
      <c r="BF57" s="0" t="n">
        <f aca="false">((MAX($M57,1)*MIN($AJ57/300,1)))*IF(G57="Wagon",50,10)</f>
        <v>8.5</v>
      </c>
      <c r="BG57" s="0" t="n">
        <f aca="false">VLOOKUP($H57,Constants!$I:$K, 2, FALSE())</f>
        <v>1.2</v>
      </c>
      <c r="BH57" s="0" t="n">
        <f aca="false">VLOOKUP($H57,Constants!$I:$K, 3, FALSE())*IF(AND(G57="multiple_unit",AB57&lt;110),0.75,1)</f>
        <v>0.6</v>
      </c>
      <c r="BI57" s="0" t="n">
        <f aca="false">INT(POWER(((Constants!$G$2+$BB57+$BC57+$BD57+$BF57)*$BE57)*$BH57, 1.05))+$BA57</f>
        <v>40</v>
      </c>
      <c r="BJ57" s="0" t="n">
        <f aca="false">INT(POWER((((Constants!$G$1+$BB57+$BC57+$BD57+$BF57)*($BE57))*$BG57),IF($G57="wagon",1,1.2)))+$AZ57</f>
        <v>94</v>
      </c>
      <c r="BK57" s="17" t="n">
        <f aca="false">BI57*IF($G57="wagon",62.5,781.25)</f>
        <v>2500</v>
      </c>
      <c r="BL57" s="17" t="n">
        <f aca="false">BJ57*IF($G57="wagon",2.73,81.25)</f>
        <v>256.62</v>
      </c>
      <c r="BV57" s="0" t="n">
        <v>1</v>
      </c>
      <c r="BW57" s="0" t="n">
        <v>185</v>
      </c>
      <c r="BY57" s="0" t="s">
        <v>219</v>
      </c>
      <c r="BZ57" s="0" t="s">
        <v>220</v>
      </c>
      <c r="CA57" s="0" t="str">
        <f aca="false">VLOOKUP(J57,Eras!$A$2:$C$10, 2, TRUE())</f>
        <v>vct</v>
      </c>
      <c r="CB57" s="0" t="s">
        <v>221</v>
      </c>
      <c r="CC57" s="0" t="str">
        <f aca="false">CONCATENATE(CA57,"_",CB57)</f>
        <v>vct_Mail Carriage</v>
      </c>
      <c r="CD57" s="0" t="str">
        <f aca="false">_xlfn.CONCAT(H57, "_",I57)</f>
        <v>carriage_RAIL</v>
      </c>
      <c r="CE57" s="6" t="str">
        <f aca="false" t="array" ref="CE57:CE57">_xlfn.CONCAT("{BLACK}Length: {GOLD}", TEXT(ROUNDUP(IF(AQ57&lt;&gt;"",SUM(VALUE(_xlfn.TEXTSPLIT(AQ57, ","))), SUM(VALUE(_xlfn.TEXTSPLIT(AN57, ",")))*IF(M57, M57, 1))/16, 1), "#,##0.0"), " tiles{}")</f>
        <v>{BLACK}Length: {GOLD}0.6 tiles{}</v>
      </c>
      <c r="CF57" s="0" t="str">
        <f aca="false">VLOOKUP($CD57, Constants!$M:$N, 2, FALSE())</f>
        <v/>
      </c>
      <c r="CG57" s="0" t="str">
        <f aca="false">IF(M57&gt;1,_xlfn.CONCAT("{BLACK}Cars: {GOLD}", M57),"")</f>
        <v/>
      </c>
      <c r="CH57" s="0" t="s">
        <v>249</v>
      </c>
      <c r="CI57" s="0" t="str">
        <f aca="false">IF($BU57="!param_no_gameplay_units","{GREEN}Included for gameplay purposes","")</f>
        <v/>
      </c>
      <c r="CJ57" s="0" t="str">
        <f aca="false">IF(BX57="buffet","{YELLOW}25% long distance bonus for consist{}",IF(BZ57="BRAKE","{YELLOW}Speed bonus for slow wagons{}",IF(BW57&gt;190,CONCATENATE("{YELLOW}",INT((BW57-185)/1.85),"% bonus for long distance travel{}"),IF(AND(BW57&lt;180,BW57&lt;&gt;0),CONCATENATE("{YELLOW}",INT((185-BW57)/1.85),"% penalty for long distance travel{}"),""))))</f>
        <v/>
      </c>
      <c r="CK57" s="0" t="str">
        <f aca="false">_xlfn.CONCAT(CF57,IF(CF57&lt;&gt;""," ",""),CG57,IF(OR(CG57&lt;&gt;"",CF57&lt;&gt;""),"{}",""),CE57,CJ57,"{SILVER}",CH57,IF(CI57&lt;&gt;"","{}{}",""),CI57)</f>
        <v>{BLACK}Length: {GOLD}0.6 tiles{}{SILVER}This brake carriage is designed for use with clerestory carriages. It can carry parcels and mail.</v>
      </c>
    </row>
    <row r="58" customFormat="false" ht="14.25" hidden="false" customHeight="false" outlineLevel="0" collapsed="false">
      <c r="A58" s="0" t="s">
        <v>250</v>
      </c>
      <c r="B58" s="15" t="s">
        <v>251</v>
      </c>
      <c r="C58" s="0" t="n">
        <v>43</v>
      </c>
      <c r="E58" s="0" t="n">
        <v>1034</v>
      </c>
      <c r="F58" s="0" t="s">
        <v>143</v>
      </c>
      <c r="G58" s="0" t="s">
        <v>144</v>
      </c>
      <c r="H58" s="0" t="s">
        <v>145</v>
      </c>
      <c r="I58" s="0" t="s">
        <v>92</v>
      </c>
      <c r="J58" s="0" t="n">
        <v>1904</v>
      </c>
      <c r="L58" s="0" t="n">
        <v>1955</v>
      </c>
      <c r="W58" s="0" t="n">
        <v>29</v>
      </c>
      <c r="Y58" s="0" t="n">
        <v>5</v>
      </c>
      <c r="AA58" s="3" t="str">
        <f aca="false">IF(AND(W58&gt;0,Z58&gt;0),(Z58/((W58+X58)*10)),"")</f>
        <v/>
      </c>
      <c r="AB58" s="0" t="n">
        <v>85</v>
      </c>
      <c r="AC58" s="0" t="n">
        <f aca="false">ROUND(AB58*1.6, 0)</f>
        <v>136</v>
      </c>
      <c r="AF58" s="0" t="n">
        <v>17.7</v>
      </c>
      <c r="AG58" s="0" t="n">
        <v>17.7</v>
      </c>
      <c r="AH58" s="0" t="n">
        <v>2.83</v>
      </c>
      <c r="AI58" s="0" t="n">
        <v>3.79</v>
      </c>
      <c r="AJ58" s="4" t="n">
        <v>57</v>
      </c>
      <c r="AK58" s="0" t="str">
        <f aca="false">CONCATENATE(VLOOKUP(AL58, 'Voxel Sizes'!$A$2:$B$18,2,FALSE()),"x",INT(AH58*15), "x", INT(AI58*15))</f>
        <v>164x42x56</v>
      </c>
      <c r="AL58" s="0" t="n">
        <f aca="false">ROUND(15*((AG58*10)/256),0)</f>
        <v>10</v>
      </c>
      <c r="AN58" s="0" t="str">
        <f aca="false">CONCATENATE(VLOOKUP(AL58,Constants!$A$2:$C$16,IF(AM58&lt;&gt;"", 3, 2), FALSE()),IF(AM58&lt;&gt;"",CONCATENATE(",",VLOOKUP(AM58,$B:$AN,39,FALSE())),""))</f>
        <v>4,2,4</v>
      </c>
      <c r="AX58" s="0" t="n">
        <v>30</v>
      </c>
      <c r="AY58" s="16" t="n">
        <f aca="false">IF(L58&lt;&gt;"",MAX(16,(L58-J58)+8),"")</f>
        <v>59</v>
      </c>
      <c r="AZ58" s="0" t="n">
        <v>49</v>
      </c>
      <c r="BA58" s="0" t="n">
        <v>21</v>
      </c>
      <c r="BB58" s="0" t="n">
        <f aca="false">MIN(AB58/150, 1)*30</f>
        <v>17</v>
      </c>
      <c r="BC58" s="0" t="n">
        <f aca="false">MIN(N58/4000, 1)*20</f>
        <v>0</v>
      </c>
      <c r="BD58" s="0" t="n">
        <f aca="false">MIN(Z58/400,1)*20</f>
        <v>0</v>
      </c>
      <c r="BE58" s="3" t="n">
        <f aca="false">1-(MAX(J58-1900, 0)/750)</f>
        <v>0.994666666666667</v>
      </c>
      <c r="BF58" s="0" t="n">
        <f aca="false">((MAX($M58,1)*MIN($AJ58/300,1)))*IF(G58="Wagon",50,10)</f>
        <v>9.5</v>
      </c>
      <c r="BG58" s="0" t="n">
        <f aca="false">VLOOKUP($H58,Constants!$I:$K, 2, FALSE())</f>
        <v>1.2</v>
      </c>
      <c r="BH58" s="0" t="n">
        <f aca="false">VLOOKUP($H58,Constants!$I:$K, 3, FALSE())*IF(AND(G58="multiple_unit",AB58&lt;110),0.75,1)</f>
        <v>0.6</v>
      </c>
      <c r="BI58" s="0" t="n">
        <f aca="false">INT(POWER(((Constants!$G$2+$BB58+$BC58+$BD58+$BF58)*$BE58)*$BH58, 1.05))+$BA58</f>
        <v>42</v>
      </c>
      <c r="BJ58" s="0" t="n">
        <f aca="false">INT(POWER((((Constants!$G$1+$BB58+$BC58+$BD58+$BF58)*($BE58))*$BG58),IF($G58="wagon",1,1.2)))+$AZ58</f>
        <v>98</v>
      </c>
      <c r="BK58" s="17" t="n">
        <f aca="false">BI58*IF($G58="wagon",62.5,781.25)</f>
        <v>2625</v>
      </c>
      <c r="BL58" s="17" t="n">
        <f aca="false">BJ58*IF($G58="wagon",2.73,81.25)</f>
        <v>267.54</v>
      </c>
      <c r="BV58" s="0" t="n">
        <v>1</v>
      </c>
      <c r="BW58" s="0" t="n">
        <v>185</v>
      </c>
      <c r="BY58" s="0" t="s">
        <v>219</v>
      </c>
      <c r="BZ58" s="0" t="s">
        <v>220</v>
      </c>
      <c r="CA58" s="0" t="str">
        <f aca="false">VLOOKUP(J58,Eras!$A$2:$C$10, 2, TRUE())</f>
        <v>edw</v>
      </c>
      <c r="CB58" s="0" t="s">
        <v>221</v>
      </c>
      <c r="CC58" s="0" t="str">
        <f aca="false">CONCATENATE(CA58,"_",CB58)</f>
        <v>edw_Mail Carriage</v>
      </c>
      <c r="CD58" s="0" t="str">
        <f aca="false">_xlfn.CONCAT(H58, "_",I58)</f>
        <v>carriage_RAIL</v>
      </c>
      <c r="CE58" s="6" t="str">
        <f aca="false" t="array" ref="CE58:CE58">_xlfn.CONCAT("{BLACK}Length: {GOLD}", TEXT(ROUNDUP(IF(AQ58&lt;&gt;"",SUM(VALUE(_xlfn.TEXTSPLIT(AQ58, ","))), SUM(VALUE(_xlfn.TEXTSPLIT(AN58, ",")))*IF(M58, M58, 1))/16, 1), "#,##0.0"), " tiles{}")</f>
        <v>{BLACK}Length: {GOLD}0.7 tiles{}</v>
      </c>
      <c r="CF58" s="0" t="str">
        <f aca="false">VLOOKUP($CD58, Constants!$M:$N, 2, FALSE())</f>
        <v/>
      </c>
      <c r="CG58" s="0" t="str">
        <f aca="false">IF(M58&gt;1,_xlfn.CONCAT("{BLACK}Cars: {GOLD}", M58),"")</f>
        <v/>
      </c>
      <c r="CH58" s="0" t="s">
        <v>252</v>
      </c>
      <c r="CI58" s="0" t="str">
        <f aca="false">IF($BU58="!param_no_gameplay_units","{GREEN}Included for gameplay purposes","")</f>
        <v/>
      </c>
      <c r="CJ58" s="0" t="str">
        <f aca="false">IF(BX58="buffet","{YELLOW}25% long distance bonus for consist{}",IF(BZ58="BRAKE","{YELLOW}Speed bonus for slow wagons{}",IF(BW58&gt;190,CONCATENATE("{YELLOW}",INT((BW58-185)/1.85),"% bonus for long distance travel{}"),IF(AND(BW58&lt;180,BW58&lt;&gt;0),CONCATENATE("{YELLOW}",INT((185-BW58)/1.85),"% penalty for long distance travel{}"),""))))</f>
        <v/>
      </c>
      <c r="CK58" s="0" t="str">
        <f aca="false">_xlfn.CONCAT(CF58,IF(CF58&lt;&gt;""," ",""),CG58,IF(OR(CG58&lt;&gt;"",CF58&lt;&gt;""),"{}",""),CE58,CJ58,"{SILVER}",CH58,IF(CI58&lt;&gt;"","{}{}",""),CI58)</f>
        <v>{BLACK}Length: {GOLD}0.7 tiles{}{SILVER}Brake carriages continued to be a fixture of passenger trains during the steam era, carrying bulky luggage and parcels.</v>
      </c>
    </row>
    <row r="59" customFormat="false" ht="14.25" hidden="false" customHeight="false" outlineLevel="0" collapsed="false">
      <c r="A59" s="0" t="s">
        <v>253</v>
      </c>
      <c r="B59" s="15" t="s">
        <v>254</v>
      </c>
      <c r="C59" s="0" t="n">
        <v>44</v>
      </c>
      <c r="D59" s="0" t="n">
        <v>18</v>
      </c>
      <c r="E59" s="0" t="n">
        <v>1035</v>
      </c>
      <c r="F59" s="0" t="s">
        <v>143</v>
      </c>
      <c r="G59" s="0" t="s">
        <v>144</v>
      </c>
      <c r="H59" s="0" t="s">
        <v>145</v>
      </c>
      <c r="I59" s="0" t="s">
        <v>92</v>
      </c>
      <c r="J59" s="0" t="n">
        <v>1951</v>
      </c>
      <c r="K59" s="0" t="n">
        <v>1963</v>
      </c>
      <c r="L59" s="0" t="n">
        <v>1974</v>
      </c>
      <c r="W59" s="0" t="n">
        <v>31</v>
      </c>
      <c r="Y59" s="0" t="n">
        <v>5</v>
      </c>
      <c r="AA59" s="3" t="str">
        <f aca="false">IF(AND(W59&gt;0,Z59&gt;0),(Z59/((W59+X59)*10)),"")</f>
        <v/>
      </c>
      <c r="AB59" s="0" t="n">
        <v>100</v>
      </c>
      <c r="AC59" s="0" t="n">
        <f aca="false">ROUND(AB59*1.6, 0)</f>
        <v>160</v>
      </c>
      <c r="AF59" s="0" t="n">
        <v>19.3</v>
      </c>
      <c r="AG59" s="0" t="n">
        <v>20</v>
      </c>
      <c r="AJ59" s="4" t="n">
        <v>66</v>
      </c>
      <c r="AK59" s="0" t="str">
        <f aca="false">CONCATENATE(VLOOKUP(AL59, 'Voxel Sizes'!$A$2:$B$18,2,FALSE()),"x",INT(AH59*15), "x", INT(AI59*15))</f>
        <v>198x0x0</v>
      </c>
      <c r="AL59" s="0" t="n">
        <f aca="false">ROUND(15*((AG59*10)/256),0)</f>
        <v>12</v>
      </c>
      <c r="AN59" s="0" t="str">
        <f aca="false">CONCATENATE(VLOOKUP(AL59,Constants!$A$2:$C$16,IF(AM59&lt;&gt;"", 3, 2), FALSE()),IF(AM59&lt;&gt;"",CONCATENATE(",",VLOOKUP(AM59,$B:$AN,39,FALSE())),""))</f>
        <v>4,4,4</v>
      </c>
      <c r="AX59" s="0" t="n">
        <v>30</v>
      </c>
      <c r="AY59" s="16" t="n">
        <f aca="false">IF(L59&lt;&gt;"",MAX(16,(L59-J59)+8),"")</f>
        <v>31</v>
      </c>
      <c r="AZ59" s="0" t="n">
        <v>55</v>
      </c>
      <c r="BA59" s="0" t="n">
        <v>25</v>
      </c>
      <c r="BB59" s="0" t="n">
        <f aca="false">MIN(AB59/150, 1)*30</f>
        <v>20</v>
      </c>
      <c r="BC59" s="0" t="n">
        <f aca="false">MIN(N59/4000, 1)*20</f>
        <v>0</v>
      </c>
      <c r="BD59" s="0" t="n">
        <f aca="false">MIN(Z59/400,1)*20</f>
        <v>0</v>
      </c>
      <c r="BE59" s="3" t="n">
        <f aca="false">1-(MAX(J59-1900, 0)/750)</f>
        <v>0.932</v>
      </c>
      <c r="BF59" s="0" t="n">
        <f aca="false">((MAX($M59,1)*MIN($AJ59/300,1)))*IF(G59="Wagon",50,10)</f>
        <v>11</v>
      </c>
      <c r="BG59" s="0" t="n">
        <f aca="false">VLOOKUP($H59,Constants!$I:$K, 2, FALSE())</f>
        <v>1.2</v>
      </c>
      <c r="BH59" s="0" t="n">
        <f aca="false">VLOOKUP($H59,Constants!$I:$K, 3, FALSE())*IF(AND(G59="multiple_unit",AB59&lt;110),0.75,1)</f>
        <v>0.6</v>
      </c>
      <c r="BI59" s="0" t="n">
        <f aca="false">INT(POWER(((Constants!$G$2+$BB59+$BC59+$BD59+$BF59)*$BE59)*$BH59, 1.05))+$BA59</f>
        <v>48</v>
      </c>
      <c r="BJ59" s="0" t="n">
        <f aca="false">INT(POWER((((Constants!$G$1+$BB59+$BC59+$BD59+$BF59)*($BE59))*$BG59),IF($G59="wagon",1,1.2)))+$AZ59</f>
        <v>106</v>
      </c>
      <c r="BK59" s="17" t="n">
        <f aca="false">BI59*IF($G59="wagon",62.5,781.25)</f>
        <v>3000</v>
      </c>
      <c r="BL59" s="17" t="n">
        <f aca="false">BJ59*IF($G59="wagon",2.73,81.25)</f>
        <v>289.38</v>
      </c>
      <c r="BU59" s="0" t="s">
        <v>218</v>
      </c>
      <c r="BV59" s="0" t="n">
        <v>1</v>
      </c>
      <c r="BW59" s="0" t="n">
        <v>185</v>
      </c>
      <c r="BY59" s="0" t="s">
        <v>219</v>
      </c>
      <c r="BZ59" s="0" t="s">
        <v>220</v>
      </c>
      <c r="CA59" s="0" t="str">
        <f aca="false">VLOOKUP(J59,Eras!$A$2:$C$10, 2, TRUE())</f>
        <v>ebr</v>
      </c>
      <c r="CB59" s="0" t="s">
        <v>221</v>
      </c>
      <c r="CC59" s="0" t="str">
        <f aca="false">CONCATENATE(CA59,"_",CB59)</f>
        <v>ebr_Mail Carriage</v>
      </c>
      <c r="CD59" s="0" t="str">
        <f aca="false">_xlfn.CONCAT(H59, "_",I59)</f>
        <v>carriage_RAIL</v>
      </c>
      <c r="CE59" s="6" t="str">
        <f aca="false" t="array" ref="CE59:CE59">_xlfn.CONCAT("{BLACK}Length: {GOLD}", TEXT(ROUNDUP(IF(AQ59&lt;&gt;"",SUM(VALUE(_xlfn.TEXTSPLIT(AQ59, ","))), SUM(VALUE(_xlfn.TEXTSPLIT(AN59, ",")))*IF(M59, M59, 1))/16, 1), "#,##0.0"), " tiles{}")</f>
        <v>{BLACK}Length: {GOLD}0.8 tiles{}</v>
      </c>
      <c r="CF59" s="0" t="str">
        <f aca="false">VLOOKUP($CD59, Constants!$M:$N, 2, FALSE())</f>
        <v/>
      </c>
      <c r="CG59" s="0" t="str">
        <f aca="false">IF(M59&gt;1,_xlfn.CONCAT("{BLACK}Cars: {GOLD}", M59),"")</f>
        <v/>
      </c>
      <c r="CH59" s="0" t="s">
        <v>255</v>
      </c>
      <c r="CI59" s="0" t="str">
        <f aca="false">IF($BU59="!param_no_gameplay_units","{GREEN}Included for gameplay purposes","")</f>
        <v>{GREEN}Included for gameplay purposes</v>
      </c>
      <c r="CJ59" s="0" t="str">
        <f aca="false">IF(BX59="buffet","{YELLOW}25% long distance bonus for consist{}",IF(BZ59="BRAKE","{YELLOW}Speed bonus for slow wagons{}",IF(BW59&gt;190,CONCATENATE("{YELLOW}",INT((BW59-185)/1.85),"% bonus for long distance travel{}"),IF(AND(BW59&lt;180,BW59&lt;&gt;0),CONCATENATE("{YELLOW}",INT((185-BW59)/1.85),"% penalty for long distance travel{}"),""))))</f>
        <v/>
      </c>
      <c r="CK59" s="0" t="str">
        <f aca="false">_xlfn.CONCAT(CF59,IF(CF59&lt;&gt;""," ",""),CG59,IF(OR(CG59&lt;&gt;"",CF59&lt;&gt;""),"{}",""),CE59,CJ59,"{SILVER}",CH59,IF(CI59&lt;&gt;"","{}{}",""),CI59)</f>
        <v>{BLACK}Length: {GOLD}0.8 tiles{}{SILVER}BG for (Brake Gangway) is the BR designation for a brake coach. As well as a guard's compartment it had two large areas for storing luggage.{}{}{GREEN}Included for gameplay purposes</v>
      </c>
    </row>
    <row r="60" customFormat="false" ht="14.25" hidden="false" customHeight="false" outlineLevel="0" collapsed="false">
      <c r="A60" s="0" t="s">
        <v>256</v>
      </c>
      <c r="B60" s="15" t="s">
        <v>257</v>
      </c>
      <c r="C60" s="0" t="n">
        <v>45</v>
      </c>
      <c r="D60" s="0" t="n">
        <v>25</v>
      </c>
      <c r="E60" s="0" t="n">
        <v>1036</v>
      </c>
      <c r="F60" s="0" t="s">
        <v>143</v>
      </c>
      <c r="G60" s="0" t="s">
        <v>144</v>
      </c>
      <c r="H60" s="0" t="s">
        <v>145</v>
      </c>
      <c r="I60" s="0" t="s">
        <v>92</v>
      </c>
      <c r="J60" s="0" t="n">
        <v>1964</v>
      </c>
      <c r="L60" s="0" t="n">
        <v>2010</v>
      </c>
      <c r="W60" s="0" t="n">
        <v>33</v>
      </c>
      <c r="Y60" s="0" t="n">
        <v>5</v>
      </c>
      <c r="AA60" s="3" t="str">
        <f aca="false">IF(AND(W60&gt;0,Z60&gt;0),(Z60/((W60+X60)*10)),"")</f>
        <v/>
      </c>
      <c r="AB60" s="0" t="n">
        <v>110</v>
      </c>
      <c r="AC60" s="0" t="n">
        <f aca="false">ROUND(AB60*1.6, 0)</f>
        <v>176</v>
      </c>
      <c r="AF60" s="0" t="n">
        <v>19.66</v>
      </c>
      <c r="AG60" s="0" t="n">
        <v>19.66</v>
      </c>
      <c r="AH60" s="0" t="n">
        <v>2.83</v>
      </c>
      <c r="AI60" s="0" t="n">
        <v>3.79</v>
      </c>
      <c r="AJ60" s="4" t="n">
        <v>69</v>
      </c>
      <c r="AK60" s="0" t="str">
        <f aca="false">CONCATENATE(VLOOKUP(AL60, 'Voxel Sizes'!$A$2:$B$18,2,FALSE()),"x",INT(AH60*15), "x", INT(AI60*15))</f>
        <v>198x42x56</v>
      </c>
      <c r="AL60" s="0" t="n">
        <f aca="false">ROUND(15*((AG60*10)/256),0)</f>
        <v>12</v>
      </c>
      <c r="AN60" s="0" t="str">
        <f aca="false">CONCATENATE(VLOOKUP(AL60,Constants!$A$2:$C$16,IF(AM60&lt;&gt;"", 3, 2), FALSE()),IF(AM60&lt;&gt;"",CONCATENATE(",",VLOOKUP(AM60,$B:$AN,39,FALSE())),""))</f>
        <v>4,4,4</v>
      </c>
      <c r="AX60" s="0" t="n">
        <v>30</v>
      </c>
      <c r="AY60" s="16" t="n">
        <f aca="false">IF(L60&lt;&gt;"",MAX(16,(L60-J60)+8),"")</f>
        <v>54</v>
      </c>
      <c r="AZ60" s="0" t="n">
        <v>58</v>
      </c>
      <c r="BA60" s="0" t="n">
        <v>27</v>
      </c>
      <c r="BB60" s="0" t="n">
        <f aca="false">MIN(AB60/150, 1)*30</f>
        <v>22</v>
      </c>
      <c r="BC60" s="0" t="n">
        <f aca="false">MIN(N60/4000, 1)*20</f>
        <v>0</v>
      </c>
      <c r="BD60" s="0" t="n">
        <f aca="false">MIN(Z60/400,1)*20</f>
        <v>0</v>
      </c>
      <c r="BE60" s="3" t="n">
        <f aca="false">1-(MAX(J60-1900, 0)/750)</f>
        <v>0.914666666666667</v>
      </c>
      <c r="BF60" s="0" t="n">
        <f aca="false">((MAX($M60,1)*MIN($AJ60/300,1)))*IF(G60="Wagon",50,10)</f>
        <v>11.5</v>
      </c>
      <c r="BG60" s="0" t="n">
        <f aca="false">VLOOKUP($H60,Constants!$I:$K, 2, FALSE())</f>
        <v>1.2</v>
      </c>
      <c r="BH60" s="0" t="n">
        <f aca="false">VLOOKUP($H60,Constants!$I:$K, 3, FALSE())*IF(AND(G60="multiple_unit",AB60&lt;110),0.75,1)</f>
        <v>0.6</v>
      </c>
      <c r="BI60" s="0" t="n">
        <f aca="false">INT(POWER(((Constants!$G$2+$BB60+$BC60+$BD60+$BF60)*$BE60)*$BH60, 1.05))+$BA60</f>
        <v>51</v>
      </c>
      <c r="BJ60" s="0" t="n">
        <f aca="false">INT(POWER((((Constants!$G$1+$BB60+$BC60+$BD60+$BF60)*($BE60))*$BG60),IF($G60="wagon",1,1.2)))+$AZ60</f>
        <v>111</v>
      </c>
      <c r="BK60" s="17" t="n">
        <f aca="false">BI60*IF($G60="wagon",62.5,781.25)</f>
        <v>3187.5</v>
      </c>
      <c r="BL60" s="17" t="n">
        <f aca="false">BJ60*IF($G60="wagon",2.73,81.25)</f>
        <v>303.03</v>
      </c>
      <c r="BU60" s="0" t="s">
        <v>218</v>
      </c>
      <c r="BV60" s="0" t="n">
        <v>1</v>
      </c>
      <c r="BW60" s="0" t="n">
        <v>185</v>
      </c>
      <c r="BY60" s="0" t="s">
        <v>219</v>
      </c>
      <c r="BZ60" s="0" t="s">
        <v>220</v>
      </c>
      <c r="CA60" s="0" t="str">
        <f aca="false">VLOOKUP(J60,Eras!$A$2:$C$10, 2, TRUE())</f>
        <v>dsl</v>
      </c>
      <c r="CB60" s="0" t="s">
        <v>149</v>
      </c>
      <c r="CC60" s="0" t="str">
        <f aca="false">CONCATENATE(CA60,"_",CB60)</f>
        <v>dsl_Carriage</v>
      </c>
      <c r="CD60" s="0" t="str">
        <f aca="false">_xlfn.CONCAT(H60, "_",I60)</f>
        <v>carriage_RAIL</v>
      </c>
      <c r="CE60" s="6" t="str">
        <f aca="false" t="array" ref="CE60:CE60">_xlfn.CONCAT("{BLACK}Length: {GOLD}", TEXT(ROUNDUP(IF(AQ60&lt;&gt;"",SUM(VALUE(_xlfn.TEXTSPLIT(AQ60, ","))), SUM(VALUE(_xlfn.TEXTSPLIT(AN60, ",")))*IF(M60, M60, 1))/16, 1), "#,##0.0"), " tiles{}")</f>
        <v>{BLACK}Length: {GOLD}0.8 tiles{}</v>
      </c>
      <c r="CF60" s="0" t="str">
        <f aca="false">VLOOKUP($CD60, Constants!$M:$N, 2, FALSE())</f>
        <v/>
      </c>
      <c r="CG60" s="0" t="str">
        <f aca="false">IF(M60&gt;1,_xlfn.CONCAT("{BLACK}Cars: {GOLD}", M60),"")</f>
        <v/>
      </c>
      <c r="CH60" s="0" t="s">
        <v>258</v>
      </c>
      <c r="CI60" s="0" t="str">
        <f aca="false">IF($BU60="!param_no_gameplay_units","{GREEN}Included for gameplay purposes","")</f>
        <v>{GREEN}Included for gameplay purposes</v>
      </c>
      <c r="CJ60" s="0" t="str">
        <f aca="false">IF(BX60="buffet","{YELLOW}25% long distance bonus for consist{}",IF(BZ60="BRAKE","{YELLOW}Speed bonus for slow wagons{}",IF(BW60&gt;190,CONCATENATE("{YELLOW}",INT((BW60-185)/1.85),"% bonus for long distance travel{}"),IF(AND(BW60&lt;180,BW60&lt;&gt;0),CONCATENATE("{YELLOW}",INT((185-BW60)/1.85),"% penalty for long distance travel{}"),""))))</f>
        <v/>
      </c>
      <c r="CK60" s="0" t="str">
        <f aca="false">_xlfn.CONCAT(CF60,IF(CF60&lt;&gt;""," ",""),CG60,IF(OR(CG60&lt;&gt;"",CF60&lt;&gt;""),"{}",""),CE60,CJ60,"{SILVER}",CH60,IF(CI60&lt;&gt;"","{}{}",""),CI60)</f>
        <v>{BLACK}Length: {GOLD}0.8 tiles{}{SILVER}BR started rationalising the number of carriage variants with the Mk2 so there was no dedicated parcels van, and most consists used a Mk1 BG attached to Mk2 passenger stock.{}{}{GREEN}Included for gameplay purposes</v>
      </c>
    </row>
    <row r="61" customFormat="false" ht="14.25" hidden="false" customHeight="false" outlineLevel="0" collapsed="false">
      <c r="A61" s="0" t="s">
        <v>259</v>
      </c>
      <c r="B61" s="15" t="s">
        <v>260</v>
      </c>
      <c r="C61" s="0" t="n">
        <v>46</v>
      </c>
      <c r="E61" s="0" t="n">
        <v>1037</v>
      </c>
      <c r="F61" s="0" t="s">
        <v>143</v>
      </c>
      <c r="G61" s="0" t="s">
        <v>144</v>
      </c>
      <c r="H61" s="0" t="s">
        <v>144</v>
      </c>
      <c r="I61" s="0" t="s">
        <v>92</v>
      </c>
      <c r="J61" s="0" t="n">
        <v>1958</v>
      </c>
      <c r="W61" s="0" t="n">
        <v>30</v>
      </c>
      <c r="Y61" s="0" t="n">
        <v>6</v>
      </c>
      <c r="AA61" s="3" t="str">
        <f aca="false">IF(AND(W61&gt;0,Z61&gt;0),(Z61/((W61+X61)*10)),"")</f>
        <v/>
      </c>
      <c r="AB61" s="0" t="n">
        <v>100</v>
      </c>
      <c r="AC61" s="0" t="n">
        <f aca="false">ROUND(AB61*1.6, 0)</f>
        <v>160</v>
      </c>
      <c r="AF61" s="0" t="n">
        <v>19.3</v>
      </c>
      <c r="AG61" s="0" t="n">
        <v>20</v>
      </c>
      <c r="AJ61" s="4" t="n">
        <v>78</v>
      </c>
      <c r="AK61" s="0" t="str">
        <f aca="false">CONCATENATE(VLOOKUP(AL61, 'Voxel Sizes'!$A$2:$B$18,2,FALSE()),"x",INT(AH61*15), "x", INT(AI61*15))</f>
        <v>198x0x0</v>
      </c>
      <c r="AL61" s="0" t="n">
        <f aca="false">ROUND(15*((AG61*10)/256),0)</f>
        <v>12</v>
      </c>
      <c r="AN61" s="0" t="str">
        <f aca="false">CONCATENATE(VLOOKUP(AL61,Constants!$A$2:$C$16,IF(AM61&lt;&gt;"", 3, 2), FALSE()),IF(AM61&lt;&gt;"",CONCATENATE(",",VLOOKUP(AM61,$B:$AN,39,FALSE())),""))</f>
        <v>4,4,4</v>
      </c>
      <c r="AX61" s="0" t="n">
        <v>30</v>
      </c>
      <c r="AY61" s="16" t="str">
        <f aca="false">IF(L61&lt;&gt;"",MAX(16,(L61-J61)+8),"")</f>
        <v/>
      </c>
      <c r="AZ61" s="0" t="n">
        <v>48</v>
      </c>
      <c r="BA61" s="0" t="n">
        <v>19</v>
      </c>
      <c r="BB61" s="0" t="n">
        <f aca="false">MIN(AB61/150, 1)*30</f>
        <v>20</v>
      </c>
      <c r="BC61" s="0" t="n">
        <f aca="false">MIN(N61/4000, 1)*20</f>
        <v>0</v>
      </c>
      <c r="BD61" s="0" t="n">
        <f aca="false">MIN(Z61/400,1)*20</f>
        <v>0</v>
      </c>
      <c r="BE61" s="3" t="n">
        <f aca="false">1-(MAX(J61-1900, 0)/750)</f>
        <v>0.922666666666667</v>
      </c>
      <c r="BF61" s="0" t="n">
        <f aca="false">((MAX($M61,1)*MIN($AJ61/300,1)))*IF(G61="Wagon",50,10)</f>
        <v>13</v>
      </c>
      <c r="BG61" s="0" t="n">
        <f aca="false">VLOOKUP($H61,Constants!$I:$K, 2, FALSE())</f>
        <v>1</v>
      </c>
      <c r="BH61" s="0" t="n">
        <f aca="false">VLOOKUP($H61,Constants!$I:$K, 3, FALSE())*IF(AND(G61="multiple_unit",AB61&lt;110),0.75,1)</f>
        <v>0.45</v>
      </c>
      <c r="BI61" s="0" t="n">
        <f aca="false">INT(POWER(((Constants!$G$2+$BB61+$BC61+$BD61+$BF61)*$BE61)*$BH61, 1.05))+$BA61</f>
        <v>37</v>
      </c>
      <c r="BJ61" s="0" t="n">
        <f aca="false">INT(POWER((((Constants!$G$1+$BB61+$BC61+$BD61+$BF61)*($BE61))*$BG61),IF($G61="wagon",1,1.2)))+$AZ61</f>
        <v>92</v>
      </c>
      <c r="BK61" s="17" t="n">
        <f aca="false">BI61*IF($G61="wagon",62.5,781.25)</f>
        <v>2312.5</v>
      </c>
      <c r="BL61" s="17" t="n">
        <f aca="false">BJ61*IF($G61="wagon",2.73,81.25)</f>
        <v>251.16</v>
      </c>
      <c r="BV61" s="0" t="n">
        <v>1</v>
      </c>
      <c r="BW61" s="0" t="n">
        <v>233</v>
      </c>
      <c r="BY61" s="0" t="s">
        <v>219</v>
      </c>
      <c r="BZ61" s="0" t="s">
        <v>220</v>
      </c>
      <c r="CA61" s="0" t="str">
        <f aca="false">VLOOKUP(J61,Eras!$A$2:$C$10, 2, TRUE())</f>
        <v>dsl</v>
      </c>
      <c r="CB61" s="0" t="s">
        <v>221</v>
      </c>
      <c r="CC61" s="0" t="str">
        <f aca="false">CONCATENATE(CA61,"_",CB61)</f>
        <v>dsl_Mail Carriage</v>
      </c>
      <c r="CD61" s="0" t="str">
        <f aca="false">_xlfn.CONCAT(H61, "_",I61)</f>
        <v>wagon_RAIL</v>
      </c>
      <c r="CE61" s="6" t="str">
        <f aca="false" t="array" ref="CE61:CE61">_xlfn.CONCAT("{BLACK}Length: {GOLD}", TEXT(ROUNDUP(IF(AQ61&lt;&gt;"",SUM(VALUE(_xlfn.TEXTSPLIT(AQ61, ","))), SUM(VALUE(_xlfn.TEXTSPLIT(AN61, ",")))*IF(M61, M61, 1))/16, 1), "#,##0.0"), " tiles{}")</f>
        <v>{BLACK}Length: {GOLD}0.8 tiles{}</v>
      </c>
      <c r="CF61" s="0" t="str">
        <f aca="false">VLOOKUP($CD61, Constants!$M:$N, 2, FALSE())</f>
        <v/>
      </c>
      <c r="CG61" s="0" t="str">
        <f aca="false">IF(M61&gt;1,_xlfn.CONCAT("{BLACK}Cars: {GOLD}", M61),"")</f>
        <v/>
      </c>
      <c r="CH61" s="0" t="s">
        <v>261</v>
      </c>
      <c r="CI61" s="0" t="str">
        <f aca="false">IF($BU61="!param_no_gameplay_units","{GREEN}Included for gameplay purposes","")</f>
        <v/>
      </c>
      <c r="CJ61" s="0" t="str">
        <f aca="false">IF(BX61="buffet","{YELLOW}25% long distance bonus for consist{}",IF(BZ61="BRAKE","{YELLOW}Speed bonus for slow wagons{}",IF(BW61&gt;190,CONCATENATE("{YELLOW}",INT((BW61-185)/1.85),"% bonus for long distance travel{}"),IF(AND(BW61&lt;180,BW61&lt;&gt;0),CONCATENATE("{YELLOW}",INT((185-BW61)/1.85),"% penalty for long distance travel{}"),""))))</f>
        <v>{YELLOW}25% bonus for long distance travel{}</v>
      </c>
      <c r="CK61" s="0" t="str">
        <f aca="false">_xlfn.CONCAT(CF61,IF(CF61&lt;&gt;""," ",""),CG61,IF(OR(CG61&lt;&gt;"",CF61&lt;&gt;""),"{}",""),CE61,CJ61,"{SILVER}",CH61,IF(CI61&lt;&gt;"","{}{}",""),CI61)</f>
        <v>{BLACK}Length: {GOLD}0.8 tiles{}{YELLOW}25% bonus for long distance travel{}{SILVER}Based on the Mark 1 carriage, the TPO (Travelling Post Office) allowed mail to be sorted as it was transported.</v>
      </c>
    </row>
    <row r="62" customFormat="false" ht="14.25" hidden="false" customHeight="false" outlineLevel="0" collapsed="false">
      <c r="A62" s="0" t="s">
        <v>262</v>
      </c>
      <c r="B62" s="15" t="s">
        <v>263</v>
      </c>
      <c r="C62" s="0" t="n">
        <v>47</v>
      </c>
      <c r="E62" s="0" t="n">
        <v>1038</v>
      </c>
      <c r="F62" s="0" t="s">
        <v>143</v>
      </c>
      <c r="G62" s="0" t="s">
        <v>144</v>
      </c>
      <c r="H62" s="0" t="s">
        <v>144</v>
      </c>
      <c r="I62" s="0" t="s">
        <v>146</v>
      </c>
      <c r="J62" s="0" t="n">
        <v>1700</v>
      </c>
      <c r="L62" s="0" t="n">
        <v>1875</v>
      </c>
      <c r="W62" s="0" t="n">
        <v>2</v>
      </c>
      <c r="Y62" s="0" t="n">
        <v>3</v>
      </c>
      <c r="AA62" s="3" t="str">
        <f aca="false">IF(AND(W62&gt;0,Z62&gt;0),(Z62/((W62+X62)*10)),"")</f>
        <v/>
      </c>
      <c r="AB62" s="0" t="n">
        <v>30</v>
      </c>
      <c r="AC62" s="0" t="n">
        <f aca="false">ROUND(AB62*1.6, 0)</f>
        <v>48</v>
      </c>
      <c r="AF62" s="0" t="n">
        <v>4.9</v>
      </c>
      <c r="AG62" s="0" t="n">
        <v>6</v>
      </c>
      <c r="AJ62" s="4" t="n">
        <v>12</v>
      </c>
      <c r="AK62" s="0" t="str">
        <f aca="false">CONCATENATE(VLOOKUP(AL62, 'Voxel Sizes'!$A$2:$B$18,2,FALSE()),"x",INT(AH62*15), "x", INT(AI62*15))</f>
        <v>60x0x0</v>
      </c>
      <c r="AL62" s="0" t="n">
        <f aca="false">ROUND(15*((AG62*10)/256),0)</f>
        <v>4</v>
      </c>
      <c r="AN62" s="0" t="str">
        <f aca="false">CONCATENATE(VLOOKUP(AL62,Constants!$A$2:$C$16,IF(AM62&lt;&gt;"", 3, 2), FALSE()),IF(AM62&lt;&gt;"",CONCATENATE(",",VLOOKUP(AM62,$B:$AN,39,FALSE())),""))</f>
        <v>1,2,1</v>
      </c>
      <c r="AX62" s="0" t="n">
        <v>30</v>
      </c>
      <c r="AY62" s="16" t="n">
        <f aca="false">IF(L62&lt;&gt;"",MAX(16,(L62-J62)+8),"")</f>
        <v>183</v>
      </c>
      <c r="AZ62" s="0" t="n">
        <v>-15</v>
      </c>
      <c r="BA62" s="0" t="n">
        <v>-2</v>
      </c>
      <c r="BB62" s="0" t="n">
        <f aca="false">MIN(AB62/150, 1)*30</f>
        <v>6</v>
      </c>
      <c r="BC62" s="0" t="n">
        <f aca="false">MIN(N62/4000, 1)*20</f>
        <v>0</v>
      </c>
      <c r="BD62" s="0" t="n">
        <f aca="false">MIN(Z62/400,1)*20</f>
        <v>0</v>
      </c>
      <c r="BE62" s="3" t="n">
        <f aca="false">1-(MAX(J62-1900, 0)/750)</f>
        <v>1</v>
      </c>
      <c r="BF62" s="0" t="n">
        <f aca="false">((MAX($M62,1)*MIN($AJ62/300,1)))*IF(G62="Wagon",50,10)</f>
        <v>2</v>
      </c>
      <c r="BG62" s="0" t="n">
        <f aca="false">VLOOKUP($H62,Constants!$I:$K, 2, FALSE())</f>
        <v>1</v>
      </c>
      <c r="BH62" s="0" t="n">
        <f aca="false">VLOOKUP($H62,Constants!$I:$K, 3, FALSE())*IF(AND(G62="multiple_unit",AB62&lt;110),0.75,1)</f>
        <v>0.45</v>
      </c>
      <c r="BI62" s="0" t="n">
        <f aca="false">INT(POWER(((Constants!$G$2+$BB62+$BC62+$BD62+$BF62)*$BE62)*$BH62, 1.05))+$BA62</f>
        <v>4</v>
      </c>
      <c r="BJ62" s="0" t="n">
        <f aca="false">INT(POWER((((Constants!$G$1+$BB62+$BC62+$BD62+$BF62)*($BE62))*$BG62),IF($G62="wagon",1,1.2)))+$AZ62</f>
        <v>8</v>
      </c>
      <c r="BK62" s="17" t="n">
        <f aca="false">BI62*IF($G62="wagon",62.5,781.25)</f>
        <v>250</v>
      </c>
      <c r="BL62" s="17" t="n">
        <f aca="false">BJ62*IF($G62="wagon",2.73,81.25)</f>
        <v>21.84</v>
      </c>
      <c r="BV62" s="0" t="n">
        <v>1</v>
      </c>
      <c r="BW62" s="0" t="n">
        <v>185</v>
      </c>
      <c r="BY62" s="0" t="s">
        <v>264</v>
      </c>
      <c r="BZ62" s="0" t="s">
        <v>265</v>
      </c>
      <c r="CA62" s="0" t="str">
        <f aca="false">VLOOKUP(J62,Eras!$A$2:$C$10, 2, TRUE())</f>
        <v>early</v>
      </c>
      <c r="CB62" s="0" t="s">
        <v>266</v>
      </c>
      <c r="CC62" s="0" t="str">
        <f aca="false">CONCATENATE(CA62,"_",CB62)</f>
        <v>early_Open Wagon</v>
      </c>
      <c r="CD62" s="0" t="str">
        <f aca="false">_xlfn.CONCAT(H62, "_",I62)</f>
        <v>wagon_PLATEWAY</v>
      </c>
      <c r="CE62" s="6" t="str">
        <f aca="false" t="array" ref="CE62:CE62">_xlfn.CONCAT("{BLACK}Length: {GOLD}", TEXT(ROUNDUP(IF(AQ62&lt;&gt;"",SUM(VALUE(_xlfn.TEXTSPLIT(AQ62, ","))), SUM(VALUE(_xlfn.TEXTSPLIT(AN62, ",")))*IF(M62, M62, 1))/16, 1), "#,##0.0"), " tiles{}")</f>
        <v>{BLACK}Length: {GOLD}0.3 tiles{}</v>
      </c>
      <c r="CF62" s="0" t="str">
        <f aca="false">VLOOKUP($CD62, Constants!$M:$N, 2, FALSE())</f>
        <v/>
      </c>
      <c r="CG62" s="0" t="str">
        <f aca="false">IF(M62&gt;1,_xlfn.CONCAT("{BLACK}Cars: {GOLD}", M62),"")</f>
        <v/>
      </c>
      <c r="CH62" s="0" t="s">
        <v>267</v>
      </c>
      <c r="CI62" s="0" t="str">
        <f aca="false">IF($BU62="!param_no_gameplay_units","{GREEN}Included for gameplay purposes","")</f>
        <v/>
      </c>
      <c r="CJ62" s="0" t="str">
        <f aca="false">IF(BX62="buffet","{YELLOW}25% long distance bonus for consist{}",IF(BZ62="BRAKE","{YELLOW}Speed bonus for slow wagons{}",IF(BW62&gt;190,CONCATENATE("{YELLOW}",INT((BW62-185)/1.85),"% bonus for long distance travel{}"),IF(AND(BW62&lt;180,BW62&lt;&gt;0),CONCATENATE("{YELLOW}",INT((185-BW62)/1.85),"% penalty for long distance travel{}"),""))))</f>
        <v/>
      </c>
      <c r="CK62" s="0" t="str">
        <f aca="false">_xlfn.CONCAT(CF62,IF(CF62&lt;&gt;""," ",""),CG62,IF(OR(CG62&lt;&gt;"",CF62&lt;&gt;""),"{}",""),CE62,CJ62,"{SILVER}",CH62,IF(CI62&lt;&gt;"","{}{}",""),CI62)</f>
        <v>{BLACK}Length: {GOLD}0.3 tiles{}{SILVER}Early open wagons had simple four-wheeled structures and were typically pulled by horses on quarry lines.</v>
      </c>
    </row>
    <row r="63" customFormat="false" ht="14.25" hidden="false" customHeight="false" outlineLevel="0" collapsed="false">
      <c r="A63" s="0" t="s">
        <v>268</v>
      </c>
      <c r="B63" s="15" t="s">
        <v>269</v>
      </c>
      <c r="C63" s="0" t="n">
        <v>48</v>
      </c>
      <c r="E63" s="0" t="n">
        <v>1039</v>
      </c>
      <c r="F63" s="0" t="s">
        <v>143</v>
      </c>
      <c r="G63" s="0" t="s">
        <v>144</v>
      </c>
      <c r="H63" s="0" t="s">
        <v>144</v>
      </c>
      <c r="I63" s="0" t="s">
        <v>92</v>
      </c>
      <c r="J63" s="0" t="n">
        <v>1850</v>
      </c>
      <c r="L63" s="0" t="n">
        <v>1920</v>
      </c>
      <c r="W63" s="0" t="n">
        <v>5</v>
      </c>
      <c r="Y63" s="0" t="n">
        <v>3</v>
      </c>
      <c r="AA63" s="3" t="str">
        <f aca="false">IF(AND(W63&gt;0,Z63&gt;0),(Z63/((W63+X63)*10)),"")</f>
        <v/>
      </c>
      <c r="AB63" s="0" t="n">
        <v>35</v>
      </c>
      <c r="AC63" s="0" t="n">
        <f aca="false">ROUND(AB63*1.6, 0)</f>
        <v>56</v>
      </c>
      <c r="AF63" s="0" t="n">
        <v>4.9</v>
      </c>
      <c r="AG63" s="0" t="n">
        <v>6</v>
      </c>
      <c r="AJ63" s="4" t="n">
        <v>15</v>
      </c>
      <c r="AK63" s="0" t="str">
        <f aca="false">CONCATENATE(VLOOKUP(AL63, 'Voxel Sizes'!$A$2:$B$18,2,FALSE()),"x",INT(AH63*15), "x", INT(AI63*15))</f>
        <v>60x0x0</v>
      </c>
      <c r="AL63" s="0" t="n">
        <f aca="false">ROUND(15*((AG63*10)/256),0)</f>
        <v>4</v>
      </c>
      <c r="AN63" s="0" t="str">
        <f aca="false">CONCATENATE(VLOOKUP(AL63,Constants!$A$2:$C$16,IF(AM63&lt;&gt;"", 3, 2), FALSE()),IF(AM63&lt;&gt;"",CONCATENATE(",",VLOOKUP(AM63,$B:$AN,39,FALSE())),""))</f>
        <v>1,2,1</v>
      </c>
      <c r="AX63" s="0" t="n">
        <v>30</v>
      </c>
      <c r="AY63" s="16" t="n">
        <f aca="false">IF(L63&lt;&gt;"",MAX(16,(L63-J63)+8),"")</f>
        <v>78</v>
      </c>
      <c r="BB63" s="0" t="n">
        <f aca="false">MIN(AB63/150, 1)*30</f>
        <v>7</v>
      </c>
      <c r="BC63" s="0" t="n">
        <f aca="false">MIN(N63/4000, 1)*20</f>
        <v>0</v>
      </c>
      <c r="BD63" s="0" t="n">
        <f aca="false">MIN(Z63/400,1)*20</f>
        <v>0</v>
      </c>
      <c r="BE63" s="3" t="n">
        <f aca="false">1-(MAX(J63-1900, 0)/750)</f>
        <v>1</v>
      </c>
      <c r="BF63" s="0" t="n">
        <f aca="false">((MAX($M63,1)*MIN($AJ63/300,1)))*IF(G63="Wagon",50,10)</f>
        <v>2.5</v>
      </c>
      <c r="BG63" s="0" t="n">
        <f aca="false">VLOOKUP($H63,Constants!$I:$K, 2, FALSE())</f>
        <v>1</v>
      </c>
      <c r="BH63" s="0" t="n">
        <f aca="false">VLOOKUP($H63,Constants!$I:$K, 3, FALSE())*IF(AND(G63="multiple_unit",AB63&lt;110),0.75,1)</f>
        <v>0.45</v>
      </c>
      <c r="BI63" s="0" t="n">
        <f aca="false">INT(POWER(((Constants!$G$2+$BB63+$BC63+$BD63+$BF63)*$BE63)*$BH63, 1.05))+$BA63</f>
        <v>7</v>
      </c>
      <c r="BJ63" s="0" t="n">
        <f aca="false">INT(POWER((((Constants!$G$1+$BB63+$BC63+$BD63+$BF63)*($BE63))*$BG63),IF($G63="wagon",1,1.2)))+$AZ63</f>
        <v>24</v>
      </c>
      <c r="BK63" s="17" t="n">
        <f aca="false">BI63*IF($G63="wagon",62.5,781.25)</f>
        <v>437.5</v>
      </c>
      <c r="BL63" s="17" t="n">
        <f aca="false">BJ63*IF($G63="wagon",2.73,81.25)</f>
        <v>65.52</v>
      </c>
      <c r="BV63" s="0" t="n">
        <v>1</v>
      </c>
      <c r="BW63" s="0" t="n">
        <v>185</v>
      </c>
      <c r="BY63" s="0" t="s">
        <v>264</v>
      </c>
      <c r="BZ63" s="0" t="s">
        <v>265</v>
      </c>
      <c r="CA63" s="0" t="str">
        <f aca="false">VLOOKUP(J63,Eras!$A$2:$C$10, 2, TRUE())</f>
        <v>vct</v>
      </c>
      <c r="CB63" s="0" t="s">
        <v>266</v>
      </c>
      <c r="CC63" s="0" t="str">
        <f aca="false">CONCATENATE(CA63,"_",CB63)</f>
        <v>vct_Open Wagon</v>
      </c>
      <c r="CD63" s="0" t="str">
        <f aca="false">_xlfn.CONCAT(H63, "_",I63)</f>
        <v>wagon_RAIL</v>
      </c>
      <c r="CE63" s="6" t="str">
        <f aca="false" t="array" ref="CE63:CE63">_xlfn.CONCAT("{BLACK}Length: {GOLD}", TEXT(ROUNDUP(IF(AQ63&lt;&gt;"",SUM(VALUE(_xlfn.TEXTSPLIT(AQ63, ","))), SUM(VALUE(_xlfn.TEXTSPLIT(AN63, ",")))*IF(M63, M63, 1))/16, 1), "#,##0.0"), " tiles{}")</f>
        <v>{BLACK}Length: {GOLD}0.3 tiles{}</v>
      </c>
      <c r="CF63" s="0" t="str">
        <f aca="false">VLOOKUP($CD63, Constants!$M:$N, 2, FALSE())</f>
        <v/>
      </c>
      <c r="CG63" s="0" t="str">
        <f aca="false">IF(M63&gt;1,_xlfn.CONCAT("{BLACK}Cars: {GOLD}", M63),"")</f>
        <v/>
      </c>
      <c r="CH63" s="0" t="s">
        <v>270</v>
      </c>
      <c r="CI63" s="0" t="str">
        <f aca="false">IF($BU63="!param_no_gameplay_units","{GREEN}Included for gameplay purposes","")</f>
        <v/>
      </c>
      <c r="CJ63" s="0" t="str">
        <f aca="false">IF(BX63="buffet","{YELLOW}25% long distance bonus for consist{}",IF(BZ63="BRAKE","{YELLOW}Speed bonus for slow wagons{}",IF(BW63&gt;190,CONCATENATE("{YELLOW}",INT((BW63-185)/1.85),"% bonus for long distance travel{}"),IF(AND(BW63&lt;180,BW63&lt;&gt;0),CONCATENATE("{YELLOW}",INT((185-BW63)/1.85),"% penalty for long distance travel{}"),""))))</f>
        <v/>
      </c>
      <c r="CK63" s="0" t="str">
        <f aca="false">_xlfn.CONCAT(CF63,IF(CF63&lt;&gt;""," ",""),CG63,IF(OR(CG63&lt;&gt;"",CF63&lt;&gt;""),"{}",""),CE63,CJ63,"{SILVER}",CH63,IF(CI63&lt;&gt;"","{}{}",""),CI63)</f>
        <v>{BLACK}Length: {GOLD}0.3 tiles{}{SILVER}Open "plank" wagons are named for the number of planks used in the construction of their sides.</v>
      </c>
    </row>
    <row r="64" customFormat="false" ht="14.25" hidden="false" customHeight="false" outlineLevel="0" collapsed="false">
      <c r="A64" s="0" t="s">
        <v>271</v>
      </c>
      <c r="B64" s="15" t="s">
        <v>272</v>
      </c>
      <c r="C64" s="0" t="n">
        <v>49</v>
      </c>
      <c r="E64" s="0" t="n">
        <v>1040</v>
      </c>
      <c r="F64" s="0" t="s">
        <v>143</v>
      </c>
      <c r="G64" s="0" t="s">
        <v>144</v>
      </c>
      <c r="H64" s="0" t="s">
        <v>144</v>
      </c>
      <c r="I64" s="0" t="s">
        <v>92</v>
      </c>
      <c r="J64" s="0" t="n">
        <v>1902</v>
      </c>
      <c r="L64" s="0" t="n">
        <v>1965</v>
      </c>
      <c r="W64" s="0" t="n">
        <v>8</v>
      </c>
      <c r="Y64" s="0" t="n">
        <v>3</v>
      </c>
      <c r="AA64" s="3" t="str">
        <f aca="false">IF(AND(W64&gt;0,Z64&gt;0),(Z64/((W64+X64)*10)),"")</f>
        <v/>
      </c>
      <c r="AB64" s="0" t="n">
        <v>45</v>
      </c>
      <c r="AC64" s="0" t="n">
        <f aca="false">ROUND(AB64*1.6, 0)</f>
        <v>72</v>
      </c>
      <c r="AF64" s="0" t="n">
        <v>4.9</v>
      </c>
      <c r="AG64" s="0" t="n">
        <v>6</v>
      </c>
      <c r="AJ64" s="4" t="n">
        <v>21</v>
      </c>
      <c r="AK64" s="0" t="str">
        <f aca="false">CONCATENATE(VLOOKUP(AL64, 'Voxel Sizes'!$A$2:$B$18,2,FALSE()),"x",INT(AH64*15), "x", INT(AI64*15))</f>
        <v>60x0x0</v>
      </c>
      <c r="AL64" s="0" t="n">
        <f aca="false">ROUND(15*((AG64*10)/256),0)</f>
        <v>4</v>
      </c>
      <c r="AN64" s="0" t="str">
        <f aca="false">CONCATENATE(VLOOKUP(AL64,Constants!$A$2:$C$16,IF(AM64&lt;&gt;"", 3, 2), FALSE()),IF(AM64&lt;&gt;"",CONCATENATE(",",VLOOKUP(AM64,$B:$AN,39,FALSE())),""))</f>
        <v>1,2,1</v>
      </c>
      <c r="AX64" s="0" t="n">
        <v>30</v>
      </c>
      <c r="AY64" s="16" t="n">
        <f aca="false">IF(L64&lt;&gt;"",MAX(16,(L64-J64)+8),"")</f>
        <v>71</v>
      </c>
      <c r="BB64" s="0" t="n">
        <f aca="false">MIN(AB64/150, 1)*30</f>
        <v>9</v>
      </c>
      <c r="BC64" s="0" t="n">
        <f aca="false">MIN(N64/4000, 1)*20</f>
        <v>0</v>
      </c>
      <c r="BD64" s="0" t="n">
        <f aca="false">MIN(Z64/400,1)*20</f>
        <v>0</v>
      </c>
      <c r="BE64" s="3" t="n">
        <f aca="false">1-(MAX(J64-1900, 0)/750)</f>
        <v>0.997333333333333</v>
      </c>
      <c r="BF64" s="0" t="n">
        <f aca="false">((MAX($M64,1)*MIN($AJ64/300,1)))*IF(G64="Wagon",50,10)</f>
        <v>3.5</v>
      </c>
      <c r="BG64" s="0" t="n">
        <f aca="false">VLOOKUP($H64,Constants!$I:$K, 2, FALSE())</f>
        <v>1</v>
      </c>
      <c r="BH64" s="0" t="n">
        <f aca="false">VLOOKUP($H64,Constants!$I:$K, 3, FALSE())*IF(AND(G64="multiple_unit",AB64&lt;110),0.75,1)</f>
        <v>0.45</v>
      </c>
      <c r="BI64" s="0" t="n">
        <f aca="false">INT(POWER(((Constants!$G$2+$BB64+$BC64+$BD64+$BF64)*$BE64)*$BH64, 1.05))+$BA64</f>
        <v>8</v>
      </c>
      <c r="BJ64" s="0" t="n">
        <f aca="false">INT(POWER((((Constants!$G$1+$BB64+$BC64+$BD64+$BF64)*($BE64))*$BG64),IF($G64="wagon",1,1.2)))+$AZ64</f>
        <v>27</v>
      </c>
      <c r="BK64" s="17" t="n">
        <f aca="false">BI64*IF($G64="wagon",62.5,781.25)</f>
        <v>500</v>
      </c>
      <c r="BL64" s="17" t="n">
        <f aca="false">BJ64*IF($G64="wagon",2.73,81.25)</f>
        <v>73.71</v>
      </c>
      <c r="BV64" s="0" t="n">
        <v>1</v>
      </c>
      <c r="BW64" s="0" t="n">
        <v>185</v>
      </c>
      <c r="BY64" s="0" t="s">
        <v>273</v>
      </c>
      <c r="BZ64" s="0" t="s">
        <v>265</v>
      </c>
      <c r="CA64" s="0" t="str">
        <f aca="false">VLOOKUP(J64,Eras!$A$2:$C$10, 2, TRUE())</f>
        <v>edw</v>
      </c>
      <c r="CB64" s="0" t="s">
        <v>266</v>
      </c>
      <c r="CC64" s="0" t="str">
        <f aca="false">CONCATENATE(CA64,"_",CB64)</f>
        <v>edw_Open Wagon</v>
      </c>
      <c r="CD64" s="0" t="str">
        <f aca="false">_xlfn.CONCAT(H64, "_",I64)</f>
        <v>wagon_RAIL</v>
      </c>
      <c r="CE64" s="6" t="str">
        <f aca="false" t="array" ref="CE64:CE64">_xlfn.CONCAT("{BLACK}Length: {GOLD}", TEXT(ROUNDUP(IF(AQ64&lt;&gt;"",SUM(VALUE(_xlfn.TEXTSPLIT(AQ64, ","))), SUM(VALUE(_xlfn.TEXTSPLIT(AN64, ",")))*IF(M64, M64, 1))/16, 1), "#,##0.0"), " tiles{}")</f>
        <v>{BLACK}Length: {GOLD}0.3 tiles{}</v>
      </c>
      <c r="CF64" s="0" t="str">
        <f aca="false">VLOOKUP($CD64, Constants!$M:$N, 2, FALSE())</f>
        <v/>
      </c>
      <c r="CG64" s="0" t="str">
        <f aca="false">IF(M64&gt;1,_xlfn.CONCAT("{BLACK}Cars: {GOLD}", M64),"")</f>
        <v/>
      </c>
      <c r="CH64" s="0" t="s">
        <v>274</v>
      </c>
      <c r="CI64" s="0" t="str">
        <f aca="false">IF($BU64="!param_no_gameplay_units","{GREEN}Included for gameplay purposes","")</f>
        <v/>
      </c>
      <c r="CJ64" s="0" t="str">
        <f aca="false">IF(BX64="buffet","{YELLOW}25% long distance bonus for consist{}",IF(BZ64="BRAKE","{YELLOW}Speed bonus for slow wagons{}",IF(BW64&gt;190,CONCATENATE("{YELLOW}",INT((BW64-185)/1.85),"% bonus for long distance travel{}"),IF(AND(BW64&lt;180,BW64&lt;&gt;0),CONCATENATE("{YELLOW}",INT((185-BW64)/1.85),"% penalty for long distance travel{}"),""))))</f>
        <v/>
      </c>
      <c r="CK64" s="0" t="str">
        <f aca="false">_xlfn.CONCAT(CF64,IF(CF64&lt;&gt;""," ",""),CG64,IF(OR(CG64&lt;&gt;"",CF64&lt;&gt;""),"{}",""),CE64,CJ64,"{SILVER}",CH64,IF(CI64&lt;&gt;"","{}{}",""),CI64)</f>
        <v>{BLACK}Length: {GOLD}0.3 tiles{}{SILVER}The 5 plank wagon became one of the common standard types used by the GWR, with thousands built.</v>
      </c>
    </row>
    <row r="65" customFormat="false" ht="14.25" hidden="false" customHeight="false" outlineLevel="0" collapsed="false">
      <c r="A65" s="0" t="s">
        <v>275</v>
      </c>
      <c r="B65" s="15" t="s">
        <v>276</v>
      </c>
      <c r="C65" s="0" t="n">
        <v>50</v>
      </c>
      <c r="E65" s="0" t="n">
        <v>1041</v>
      </c>
      <c r="F65" s="0" t="s">
        <v>143</v>
      </c>
      <c r="G65" s="0" t="s">
        <v>144</v>
      </c>
      <c r="H65" s="0" t="s">
        <v>144</v>
      </c>
      <c r="I65" s="0" t="s">
        <v>92</v>
      </c>
      <c r="J65" s="0" t="n">
        <v>1935</v>
      </c>
      <c r="L65" s="0" t="n">
        <v>1970</v>
      </c>
      <c r="W65" s="0" t="n">
        <v>10</v>
      </c>
      <c r="Y65" s="0" t="n">
        <v>4</v>
      </c>
      <c r="AA65" s="3" t="str">
        <f aca="false">IF(AND(W65&gt;0,Z65&gt;0),(Z65/((W65+X65)*10)),"")</f>
        <v/>
      </c>
      <c r="AB65" s="0" t="n">
        <v>50</v>
      </c>
      <c r="AC65" s="0" t="n">
        <f aca="false">ROUND(AB65*1.6, 0)</f>
        <v>80</v>
      </c>
      <c r="AF65" s="0" t="n">
        <v>8</v>
      </c>
      <c r="AG65" s="0" t="n">
        <v>8</v>
      </c>
      <c r="AJ65" s="4" t="n">
        <v>27</v>
      </c>
      <c r="AK65" s="0" t="str">
        <f aca="false">CONCATENATE(VLOOKUP(AL65, 'Voxel Sizes'!$A$2:$B$18,2,FALSE()),"x",INT(AH65*15), "x", INT(AI65*15))</f>
        <v>82x0x0</v>
      </c>
      <c r="AL65" s="0" t="n">
        <f aca="false">ROUND(15*((AG65*10)/256),0)</f>
        <v>5</v>
      </c>
      <c r="AN65" s="0" t="str">
        <f aca="false">CONCATENATE(VLOOKUP(AL65,Constants!$A$2:$C$16,IF(AM65&lt;&gt;"", 3, 2), FALSE()),IF(AM65&lt;&gt;"",CONCATENATE(",",VLOOKUP(AM65,$B:$AN,39,FALSE())),""))</f>
        <v>2,1,2</v>
      </c>
      <c r="AX65" s="0" t="n">
        <v>30</v>
      </c>
      <c r="AY65" s="16" t="n">
        <f aca="false">IF(L65&lt;&gt;"",MAX(16,(L65-J65)+8),"")</f>
        <v>43</v>
      </c>
      <c r="BB65" s="0" t="n">
        <f aca="false">MIN(AB65/150, 1)*30</f>
        <v>10</v>
      </c>
      <c r="BC65" s="0" t="n">
        <f aca="false">MIN(N65/4000, 1)*20</f>
        <v>0</v>
      </c>
      <c r="BD65" s="0" t="n">
        <f aca="false">MIN(Z65/400,1)*20</f>
        <v>0</v>
      </c>
      <c r="BE65" s="3" t="n">
        <f aca="false">1-(MAX(J65-1900, 0)/750)</f>
        <v>0.953333333333333</v>
      </c>
      <c r="BF65" s="0" t="n">
        <f aca="false">((MAX($M65,1)*MIN($AJ65/300,1)))*IF(G65="Wagon",50,10)</f>
        <v>4.5</v>
      </c>
      <c r="BG65" s="0" t="n">
        <f aca="false">VLOOKUP($H65,Constants!$I:$K, 2, FALSE())</f>
        <v>1</v>
      </c>
      <c r="BH65" s="0" t="n">
        <f aca="false">VLOOKUP($H65,Constants!$I:$K, 3, FALSE())*IF(AND(G65="multiple_unit",AB65&lt;110),0.75,1)</f>
        <v>0.45</v>
      </c>
      <c r="BI65" s="0" t="n">
        <f aca="false">INT(POWER(((Constants!$G$2+$BB65+$BC65+$BD65+$BF65)*$BE65)*$BH65, 1.05))+$BA65</f>
        <v>9</v>
      </c>
      <c r="BJ65" s="0" t="n">
        <f aca="false">INT(POWER((((Constants!$G$1+$BB65+$BC65+$BD65+$BF65)*($BE65))*$BG65),IF($G65="wagon",1,1.2)))+$AZ65</f>
        <v>28</v>
      </c>
      <c r="BK65" s="17" t="n">
        <f aca="false">BI65*IF($G65="wagon",62.5,781.25)</f>
        <v>562.5</v>
      </c>
      <c r="BL65" s="17" t="n">
        <f aca="false">BJ65*IF($G65="wagon",2.73,81.25)</f>
        <v>76.44</v>
      </c>
      <c r="BV65" s="0" t="n">
        <v>1</v>
      </c>
      <c r="BW65" s="0" t="n">
        <v>185</v>
      </c>
      <c r="BY65" s="0" t="s">
        <v>273</v>
      </c>
      <c r="BZ65" s="0" t="s">
        <v>265</v>
      </c>
      <c r="CA65" s="0" t="str">
        <f aca="false">VLOOKUP(J65,Eras!$A$2:$C$10, 2, TRUE())</f>
        <v>big4</v>
      </c>
      <c r="CB65" s="0" t="s">
        <v>266</v>
      </c>
      <c r="CC65" s="0" t="str">
        <f aca="false">CONCATENATE(CA65,"_",CB65)</f>
        <v>big4_Open Wagon</v>
      </c>
      <c r="CD65" s="0" t="str">
        <f aca="false">_xlfn.CONCAT(H65, "_",I65)</f>
        <v>wagon_RAIL</v>
      </c>
      <c r="CE65" s="6" t="str">
        <f aca="false" t="array" ref="CE65:CE65">_xlfn.CONCAT("{BLACK}Length: {GOLD}", TEXT(ROUNDUP(IF(AQ65&lt;&gt;"",SUM(VALUE(_xlfn.TEXTSPLIT(AQ65, ","))), SUM(VALUE(_xlfn.TEXTSPLIT(AN65, ",")))*IF(M65, M65, 1))/16, 1), "#,##0.0"), " tiles{}")</f>
        <v>{BLACK}Length: {GOLD}0.4 tiles{}</v>
      </c>
      <c r="CF65" s="0" t="str">
        <f aca="false">VLOOKUP($CD65, Constants!$M:$N, 2, FALSE())</f>
        <v/>
      </c>
      <c r="CG65" s="0" t="str">
        <f aca="false">IF(M65&gt;1,_xlfn.CONCAT("{BLACK}Cars: {GOLD}", M65),"")</f>
        <v/>
      </c>
      <c r="CH65" s="0" t="s">
        <v>277</v>
      </c>
      <c r="CI65" s="0" t="str">
        <f aca="false">IF($BU65="!param_no_gameplay_units","{GREEN}Included for gameplay purposes","")</f>
        <v/>
      </c>
      <c r="CJ65" s="0" t="str">
        <f aca="false">IF(BX65="buffet","{YELLOW}25% long distance bonus for consist{}",IF(BZ65="BRAKE","{YELLOW}Speed bonus for slow wagons{}",IF(BW65&gt;190,CONCATENATE("{YELLOW}",INT((BW65-185)/1.85),"% bonus for long distance travel{}"),IF(AND(BW65&lt;180,BW65&lt;&gt;0),CONCATENATE("{YELLOW}",INT((185-BW65)/1.85),"% penalty for long distance travel{}"),""))))</f>
        <v/>
      </c>
      <c r="CK65" s="0" t="str">
        <f aca="false">_xlfn.CONCAT(CF65,IF(CF65&lt;&gt;""," ",""),CG65,IF(OR(CG65&lt;&gt;"",CF65&lt;&gt;""),"{}",""),CE65,CJ65,"{SILVER}",CH65,IF(CI65&lt;&gt;"","{}{}",""),CI65)</f>
        <v>{BLACK}Length: {GOLD}0.4 tiles{}{SILVER}Steel wagons were introduced in the 1930s to have a longer service life than wooden wagons, which were proving uneconomical for many owners to operate after recessions at the start of the decade.</v>
      </c>
      <c r="CL65" s="0" t="n">
        <v>1</v>
      </c>
    </row>
    <row r="66" customFormat="false" ht="14.25" hidden="false" customHeight="false" outlineLevel="0" collapsed="false">
      <c r="A66" s="0" t="s">
        <v>278</v>
      </c>
      <c r="B66" s="15" t="s">
        <v>279</v>
      </c>
      <c r="C66" s="0" t="n">
        <v>51</v>
      </c>
      <c r="E66" s="0" t="n">
        <v>1042</v>
      </c>
      <c r="F66" s="0" t="s">
        <v>143</v>
      </c>
      <c r="G66" s="0" t="s">
        <v>144</v>
      </c>
      <c r="H66" s="0" t="s">
        <v>144</v>
      </c>
      <c r="I66" s="0" t="s">
        <v>92</v>
      </c>
      <c r="J66" s="0" t="n">
        <v>1938</v>
      </c>
      <c r="L66" s="0" t="n">
        <v>1980</v>
      </c>
      <c r="W66" s="0" t="n">
        <v>11</v>
      </c>
      <c r="Y66" s="0" t="n">
        <v>7</v>
      </c>
      <c r="AA66" s="3" t="str">
        <f aca="false">IF(AND(W66&gt;0,Z66&gt;0),(Z66/((W66+X66)*10)),"")</f>
        <v/>
      </c>
      <c r="AB66" s="0" t="n">
        <v>50</v>
      </c>
      <c r="AC66" s="0" t="n">
        <f aca="false">ROUND(AB66*1.6, 0)</f>
        <v>80</v>
      </c>
      <c r="AF66" s="0" t="n">
        <v>8</v>
      </c>
      <c r="AG66" s="0" t="n">
        <v>8</v>
      </c>
      <c r="AJ66" s="4" t="n">
        <v>21</v>
      </c>
      <c r="AK66" s="0" t="str">
        <f aca="false">CONCATENATE(VLOOKUP(AL66, 'Voxel Sizes'!$A$2:$B$18,2,FALSE()),"x",INT(AH66*15), "x", INT(AI66*15))</f>
        <v>82x0x0</v>
      </c>
      <c r="AL66" s="0" t="n">
        <f aca="false">ROUND(15*((AG66*10)/256),0)</f>
        <v>5</v>
      </c>
      <c r="AN66" s="0" t="str">
        <f aca="false">CONCATENATE(VLOOKUP(AL66,Constants!$A$2:$C$16,IF(AM66&lt;&gt;"", 3, 2), FALSE()),IF(AM66&lt;&gt;"",CONCATENATE(",",VLOOKUP(AM66,$B:$AN,39,FALSE())),""))</f>
        <v>2,1,2</v>
      </c>
      <c r="AX66" s="0" t="n">
        <v>30</v>
      </c>
      <c r="AY66" s="16" t="n">
        <f aca="false">IF(L66&lt;&gt;"",MAX(16,(L66-J66)+8),"")</f>
        <v>50</v>
      </c>
      <c r="BB66" s="0" t="n">
        <f aca="false">MIN(AB66/150, 1)*30</f>
        <v>10</v>
      </c>
      <c r="BC66" s="0" t="n">
        <f aca="false">MIN(N66/4000, 1)*20</f>
        <v>0</v>
      </c>
      <c r="BD66" s="0" t="n">
        <f aca="false">MIN(Z66/400,1)*20</f>
        <v>0</v>
      </c>
      <c r="BE66" s="3" t="n">
        <f aca="false">1-(MAX(J66-1900, 0)/750)</f>
        <v>0.949333333333333</v>
      </c>
      <c r="BF66" s="0" t="n">
        <f aca="false">((MAX($M66,1)*MIN($AJ66/300,1)))*IF(G66="Wagon",50,10)</f>
        <v>3.5</v>
      </c>
      <c r="BG66" s="0" t="n">
        <f aca="false">VLOOKUP($H66,Constants!$I:$K, 2, FALSE())</f>
        <v>1</v>
      </c>
      <c r="BH66" s="0" t="n">
        <f aca="false">VLOOKUP($H66,Constants!$I:$K, 3, FALSE())*IF(AND(G66="multiple_unit",AB66&lt;110),0.75,1)</f>
        <v>0.45</v>
      </c>
      <c r="BI66" s="0" t="n">
        <f aca="false">INT(POWER(((Constants!$G$2+$BB66+$BC66+$BD66+$BF66)*$BE66)*$BH66, 1.05))+$BA66</f>
        <v>8</v>
      </c>
      <c r="BJ66" s="0" t="n">
        <f aca="false">INT(POWER((((Constants!$G$1+$BB66+$BC66+$BD66+$BF66)*($BE66))*$BG66),IF($G66="wagon",1,1.2)))+$AZ66</f>
        <v>27</v>
      </c>
      <c r="BK66" s="17" t="n">
        <f aca="false">BI66*IF($G66="wagon",62.5,781.25)</f>
        <v>500</v>
      </c>
      <c r="BL66" s="17" t="n">
        <f aca="false">BJ66*IF($G66="wagon",2.73,81.25)</f>
        <v>73.71</v>
      </c>
      <c r="BV66" s="0" t="n">
        <v>1</v>
      </c>
      <c r="BW66" s="0" t="n">
        <v>185</v>
      </c>
      <c r="BY66" s="0" t="s">
        <v>273</v>
      </c>
      <c r="BZ66" s="0" t="s">
        <v>265</v>
      </c>
      <c r="CA66" s="0" t="str">
        <f aca="false">VLOOKUP(J66,Eras!$A$2:$C$10, 2, TRUE())</f>
        <v>big4</v>
      </c>
      <c r="CB66" s="0" t="s">
        <v>266</v>
      </c>
      <c r="CC66" s="0" t="str">
        <f aca="false">CONCATENATE(CA66,"_",CB66)</f>
        <v>big4_Open Wagon</v>
      </c>
      <c r="CD66" s="0" t="str">
        <f aca="false">_xlfn.CONCAT(H66, "_",I66)</f>
        <v>wagon_RAIL</v>
      </c>
      <c r="CE66" s="6" t="str">
        <f aca="false" t="array" ref="CE66:CE66">_xlfn.CONCAT("{BLACK}Length: {GOLD}", TEXT(ROUNDUP(IF(AQ66&lt;&gt;"",SUM(VALUE(_xlfn.TEXTSPLIT(AQ66, ","))), SUM(VALUE(_xlfn.TEXTSPLIT(AN66, ",")))*IF(M66, M66, 1))/16, 1), "#,##0.0"), " tiles{}")</f>
        <v>{BLACK}Length: {GOLD}0.4 tiles{}</v>
      </c>
      <c r="CF66" s="0" t="str">
        <f aca="false">VLOOKUP($CD66, Constants!$M:$N, 2, FALSE())</f>
        <v/>
      </c>
      <c r="CG66" s="0" t="str">
        <f aca="false">IF(M66&gt;1,_xlfn.CONCAT("{BLACK}Cars: {GOLD}", M66),"")</f>
        <v/>
      </c>
      <c r="CH66" s="0" t="s">
        <v>280</v>
      </c>
      <c r="CI66" s="0" t="str">
        <f aca="false">IF($BU66="!param_no_gameplay_units","{GREEN}Included for gameplay purposes","")</f>
        <v/>
      </c>
      <c r="CJ66" s="0" t="str">
        <f aca="false">IF(BX66="buffet","{YELLOW}25% long distance bonus for consist{}",IF(BZ66="BRAKE","{YELLOW}Speed bonus for slow wagons{}",IF(BW66&gt;190,CONCATENATE("{YELLOW}",INT((BW66-185)/1.85),"% bonus for long distance travel{}"),IF(AND(BW66&lt;180,BW66&lt;&gt;0),CONCATENATE("{YELLOW}",INT((185-BW66)/1.85),"% penalty for long distance travel{}"),""))))</f>
        <v/>
      </c>
      <c r="CK66" s="0" t="str">
        <f aca="false">_xlfn.CONCAT(CF66,IF(CF66&lt;&gt;""," ",""),CG66,IF(OR(CG66&lt;&gt;"",CF66&lt;&gt;""),"{}",""),CE66,CJ66,"{SILVER}",CH66,IF(CI66&lt;&gt;"","{}{}",""),CI66)</f>
        <v>{BLACK}Length: {GOLD}0.4 tiles{}{SILVER}The LNER built many of these coal hoppers, from 1935 to nationalisation. Although capacity is lower, these can be loaded faster than regular wagons.</v>
      </c>
      <c r="CL66" s="0" t="n">
        <v>1</v>
      </c>
    </row>
    <row r="67" customFormat="false" ht="14.25" hidden="false" customHeight="false" outlineLevel="0" collapsed="false">
      <c r="A67" s="0" t="s">
        <v>281</v>
      </c>
      <c r="B67" s="15" t="s">
        <v>282</v>
      </c>
      <c r="C67" s="0" t="n">
        <v>52</v>
      </c>
      <c r="E67" s="0" t="n">
        <v>1043</v>
      </c>
      <c r="F67" s="0" t="s">
        <v>143</v>
      </c>
      <c r="G67" s="0" t="s">
        <v>144</v>
      </c>
      <c r="H67" s="0" t="s">
        <v>144</v>
      </c>
      <c r="I67" s="0" t="s">
        <v>92</v>
      </c>
      <c r="J67" s="0" t="n">
        <v>1951</v>
      </c>
      <c r="L67" s="0" t="n">
        <v>1985</v>
      </c>
      <c r="W67" s="0" t="n">
        <v>10</v>
      </c>
      <c r="Y67" s="0" t="n">
        <v>4</v>
      </c>
      <c r="AA67" s="3" t="str">
        <f aca="false">IF(AND(W67&gt;0,Z67&gt;0),(Z67/((W67+X67)*10)),"")</f>
        <v/>
      </c>
      <c r="AB67" s="0" t="n">
        <v>60</v>
      </c>
      <c r="AC67" s="0" t="n">
        <f aca="false">ROUND(AB67*1.6, 0)</f>
        <v>96</v>
      </c>
      <c r="AF67" s="0" t="n">
        <v>8</v>
      </c>
      <c r="AG67" s="0" t="n">
        <v>8</v>
      </c>
      <c r="AJ67" s="4" t="n">
        <v>27</v>
      </c>
      <c r="AK67" s="0" t="str">
        <f aca="false">CONCATENATE(VLOOKUP(AL67, 'Voxel Sizes'!$A$2:$B$18,2,FALSE()),"x",INT(AH67*15), "x", INT(AI67*15))</f>
        <v>82x0x0</v>
      </c>
      <c r="AL67" s="0" t="n">
        <f aca="false">ROUND(15*((AG67*10)/256),0)</f>
        <v>5</v>
      </c>
      <c r="AN67" s="0" t="str">
        <f aca="false">CONCATENATE(VLOOKUP(AL67,Constants!$A$2:$C$16,IF(AM67&lt;&gt;"", 3, 2), FALSE()),IF(AM67&lt;&gt;"",CONCATENATE(",",VLOOKUP(AM67,$B:$AN,39,FALSE())),""))</f>
        <v>2,1,2</v>
      </c>
      <c r="AX67" s="0" t="n">
        <v>30</v>
      </c>
      <c r="AY67" s="16" t="n">
        <f aca="false">IF(L67&lt;&gt;"",MAX(16,(L67-J67)+8),"")</f>
        <v>42</v>
      </c>
      <c r="BB67" s="0" t="n">
        <f aca="false">MIN(AB67/150, 1)*30</f>
        <v>12</v>
      </c>
      <c r="BC67" s="0" t="n">
        <f aca="false">MIN(N67/4000, 1)*20</f>
        <v>0</v>
      </c>
      <c r="BD67" s="0" t="n">
        <f aca="false">MIN(Z67/400,1)*20</f>
        <v>0</v>
      </c>
      <c r="BE67" s="3" t="n">
        <f aca="false">1-(MAX(J67-1900, 0)/750)</f>
        <v>0.932</v>
      </c>
      <c r="BF67" s="0" t="n">
        <f aca="false">((MAX($M67,1)*MIN($AJ67/300,1)))*IF(G67="Wagon",50,10)</f>
        <v>4.5</v>
      </c>
      <c r="BG67" s="0" t="n">
        <f aca="false">VLOOKUP($H67,Constants!$I:$K, 2, FALSE())</f>
        <v>1</v>
      </c>
      <c r="BH67" s="0" t="n">
        <f aca="false">VLOOKUP($H67,Constants!$I:$K, 3, FALSE())*IF(AND(G67="multiple_unit",AB67&lt;110),0.75,1)</f>
        <v>0.45</v>
      </c>
      <c r="BI67" s="0" t="n">
        <f aca="false">INT(POWER(((Constants!$G$2+$BB67+$BC67+$BD67+$BF67)*$BE67)*$BH67, 1.05))+$BA67</f>
        <v>10</v>
      </c>
      <c r="BJ67" s="0" t="n">
        <f aca="false">INT(POWER((((Constants!$G$1+$BB67+$BC67+$BD67+$BF67)*($BE67))*$BG67),IF($G67="wagon",1,1.2)))+$AZ67</f>
        <v>29</v>
      </c>
      <c r="BK67" s="17" t="n">
        <f aca="false">BI67*IF($G67="wagon",62.5,781.25)</f>
        <v>625</v>
      </c>
      <c r="BL67" s="17" t="n">
        <f aca="false">BJ67*IF($G67="wagon",2.73,81.25)</f>
        <v>79.17</v>
      </c>
      <c r="BV67" s="0" t="n">
        <v>1</v>
      </c>
      <c r="BW67" s="0" t="n">
        <v>185</v>
      </c>
      <c r="BY67" s="0" t="s">
        <v>273</v>
      </c>
      <c r="BZ67" s="0" t="s">
        <v>265</v>
      </c>
      <c r="CA67" s="0" t="str">
        <f aca="false">VLOOKUP(J67,Eras!$A$2:$C$10, 2, TRUE())</f>
        <v>ebr</v>
      </c>
      <c r="CB67" s="0" t="s">
        <v>266</v>
      </c>
      <c r="CC67" s="0" t="str">
        <f aca="false">CONCATENATE(CA67,"_",CB67)</f>
        <v>ebr_Open Wagon</v>
      </c>
      <c r="CD67" s="0" t="str">
        <f aca="false">_xlfn.CONCAT(H67, "_",I67)</f>
        <v>wagon_RAIL</v>
      </c>
      <c r="CE67" s="6" t="str">
        <f aca="false" t="array" ref="CE67:CE67">_xlfn.CONCAT("{BLACK}Length: {GOLD}", TEXT(ROUNDUP(IF(AQ67&lt;&gt;"",SUM(VALUE(_xlfn.TEXTSPLIT(AQ67, ","))), SUM(VALUE(_xlfn.TEXTSPLIT(AN67, ",")))*IF(M67, M67, 1))/16, 1), "#,##0.0"), " tiles{}")</f>
        <v>{BLACK}Length: {GOLD}0.4 tiles{}</v>
      </c>
      <c r="CF67" s="0" t="str">
        <f aca="false">VLOOKUP($CD67, Constants!$M:$N, 2, FALSE())</f>
        <v/>
      </c>
      <c r="CG67" s="0" t="str">
        <f aca="false">IF(M67&gt;1,_xlfn.CONCAT("{BLACK}Cars: {GOLD}", M67),"")</f>
        <v/>
      </c>
      <c r="CH67" s="0" t="s">
        <v>283</v>
      </c>
      <c r="CI67" s="0" t="str">
        <f aca="false">IF($BU67="!param_no_gameplay_units","{GREEN}Included for gameplay purposes","")</f>
        <v/>
      </c>
      <c r="CJ67" s="0" t="str">
        <f aca="false">IF(BX67="buffet","{YELLOW}25% long distance bonus for consist{}",IF(BZ67="BRAKE","{YELLOW}Speed bonus for slow wagons{}",IF(BW67&gt;190,CONCATENATE("{YELLOW}",INT((BW67-185)/1.85),"% bonus for long distance travel{}"),IF(AND(BW67&lt;180,BW67&lt;&gt;0),CONCATENATE("{YELLOW}",INT((185-BW67)/1.85),"% penalty for long distance travel{}"),""))))</f>
        <v/>
      </c>
      <c r="CK67" s="0" t="str">
        <f aca="false">_xlfn.CONCAT(CF67,IF(CF67&lt;&gt;""," ",""),CG67,IF(OR(CG67&lt;&gt;"",CF67&lt;&gt;""),"{}",""),CE67,CJ67,"{SILVER}",CH67,IF(CI67&lt;&gt;"","{}{}",""),CI67)</f>
        <v>{BLACK}Length: {GOLD}0.4 tiles{}{SILVER}BR continued to make steel bodied wagons following LNER designs, gradually altering the body style.</v>
      </c>
      <c r="CL67" s="0" t="n">
        <v>1</v>
      </c>
    </row>
    <row r="68" customFormat="false" ht="14.25" hidden="false" customHeight="false" outlineLevel="0" collapsed="false">
      <c r="A68" s="0" t="s">
        <v>284</v>
      </c>
      <c r="B68" s="15" t="s">
        <v>285</v>
      </c>
      <c r="C68" s="0" t="n">
        <v>53</v>
      </c>
      <c r="E68" s="0" t="n">
        <v>1044</v>
      </c>
      <c r="F68" s="0" t="s">
        <v>143</v>
      </c>
      <c r="G68" s="0" t="s">
        <v>144</v>
      </c>
      <c r="H68" s="0" t="s">
        <v>144</v>
      </c>
      <c r="I68" s="0" t="s">
        <v>92</v>
      </c>
      <c r="J68" s="0" t="n">
        <v>1971</v>
      </c>
      <c r="L68" s="0" t="n">
        <v>2018</v>
      </c>
      <c r="W68" s="0" t="n">
        <v>14</v>
      </c>
      <c r="Y68" s="0" t="n">
        <v>5</v>
      </c>
      <c r="AA68" s="3" t="str">
        <f aca="false">IF(AND(W68&gt;0,Z68&gt;0),(Z68/((W68+X68)*10)),"")</f>
        <v/>
      </c>
      <c r="AB68" s="0" t="n">
        <v>70</v>
      </c>
      <c r="AC68" s="0" t="n">
        <f aca="false">ROUND(AB68*1.6, 0)</f>
        <v>112</v>
      </c>
      <c r="AF68" s="0" t="n">
        <v>10</v>
      </c>
      <c r="AG68" s="0" t="n">
        <v>10</v>
      </c>
      <c r="AJ68" s="4" t="n">
        <v>33</v>
      </c>
      <c r="AK68" s="0" t="str">
        <f aca="false">CONCATENATE(VLOOKUP(AL68, 'Voxel Sizes'!$A$2:$B$18,2,FALSE()),"x",INT(AH68*15), "x", INT(AI68*15))</f>
        <v>102x0x0</v>
      </c>
      <c r="AL68" s="0" t="n">
        <f aca="false">ROUND(15*((AG68*10)/256),0)</f>
        <v>6</v>
      </c>
      <c r="AN68" s="0" t="str">
        <f aca="false">CONCATENATE(VLOOKUP(AL68,Constants!$A$2:$C$16,IF(AM68&lt;&gt;"", 3, 2), FALSE()),IF(AM68&lt;&gt;"",CONCATENATE(",",VLOOKUP(AM68,$B:$AN,39,FALSE())),""))</f>
        <v>2,2,2</v>
      </c>
      <c r="AX68" s="0" t="n">
        <v>30</v>
      </c>
      <c r="AY68" s="16" t="n">
        <f aca="false">IF(L68&lt;&gt;"",MAX(16,(L68-J68)+8),"")</f>
        <v>55</v>
      </c>
      <c r="BB68" s="0" t="n">
        <f aca="false">MIN(AB68/150, 1)*30</f>
        <v>14</v>
      </c>
      <c r="BC68" s="0" t="n">
        <f aca="false">MIN(N68/4000, 1)*20</f>
        <v>0</v>
      </c>
      <c r="BD68" s="0" t="n">
        <f aca="false">MIN(Z68/400,1)*20</f>
        <v>0</v>
      </c>
      <c r="BE68" s="3" t="n">
        <f aca="false">1-(MAX(J68-1900, 0)/750)</f>
        <v>0.905333333333333</v>
      </c>
      <c r="BF68" s="0" t="n">
        <f aca="false">((MAX($M68,1)*MIN($AJ68/300,1)))*IF(G68="Wagon",50,10)</f>
        <v>5.5</v>
      </c>
      <c r="BG68" s="0" t="n">
        <f aca="false">VLOOKUP($H68,Constants!$I:$K, 2, FALSE())</f>
        <v>1</v>
      </c>
      <c r="BH68" s="0" t="n">
        <f aca="false">VLOOKUP($H68,Constants!$I:$K, 3, FALSE())*IF(AND(G68="multiple_unit",AB68&lt;110),0.75,1)</f>
        <v>0.45</v>
      </c>
      <c r="BI68" s="0" t="n">
        <f aca="false">INT(POWER(((Constants!$G$2+$BB68+$BC68+$BD68+$BF68)*$BE68)*$BH68, 1.05))+$BA68</f>
        <v>11</v>
      </c>
      <c r="BJ68" s="0" t="n">
        <f aca="false">INT(POWER((((Constants!$G$1+$BB68+$BC68+$BD68+$BF68)*($BE68))*$BG68),IF($G68="wagon",1,1.2)))+$AZ68</f>
        <v>31</v>
      </c>
      <c r="BK68" s="17" t="n">
        <f aca="false">BI68*IF($G68="wagon",62.5,781.25)</f>
        <v>687.5</v>
      </c>
      <c r="BL68" s="17" t="n">
        <f aca="false">BJ68*IF($G68="wagon",2.73,81.25)</f>
        <v>84.63</v>
      </c>
      <c r="BV68" s="0" t="n">
        <v>1</v>
      </c>
      <c r="BW68" s="0" t="n">
        <v>185</v>
      </c>
      <c r="BY68" s="0" t="s">
        <v>273</v>
      </c>
      <c r="BZ68" s="0" t="s">
        <v>265</v>
      </c>
      <c r="CA68" s="0" t="str">
        <f aca="false">VLOOKUP(J68,Eras!$A$2:$C$10, 2, TRUE())</f>
        <v>lbr</v>
      </c>
      <c r="CB68" s="0" t="s">
        <v>266</v>
      </c>
      <c r="CC68" s="0" t="str">
        <f aca="false">CONCATENATE(CA68,"_",CB68)</f>
        <v>lbr_Open Wagon</v>
      </c>
      <c r="CD68" s="0" t="str">
        <f aca="false">_xlfn.CONCAT(H68, "_",I68)</f>
        <v>wagon_RAIL</v>
      </c>
      <c r="CE68" s="6" t="str">
        <f aca="false" t="array" ref="CE68:CE68">_xlfn.CONCAT("{BLACK}Length: {GOLD}", TEXT(ROUNDUP(IF(AQ68&lt;&gt;"",SUM(VALUE(_xlfn.TEXTSPLIT(AQ68, ","))), SUM(VALUE(_xlfn.TEXTSPLIT(AN68, ",")))*IF(M68, M68, 1))/16, 1), "#,##0.0"), " tiles{}")</f>
        <v>{BLACK}Length: {GOLD}0.4 tiles{}</v>
      </c>
      <c r="CF68" s="0" t="str">
        <f aca="false">VLOOKUP($CD68, Constants!$M:$N, 2, FALSE())</f>
        <v/>
      </c>
      <c r="CG68" s="0" t="str">
        <f aca="false">IF(M68&gt;1,_xlfn.CONCAT("{BLACK}Cars: {GOLD}", M68),"")</f>
        <v/>
      </c>
      <c r="CH68" s="0" t="s">
        <v>286</v>
      </c>
      <c r="CI68" s="0" t="str">
        <f aca="false">IF($BU68="!param_no_gameplay_units","{GREEN}Included for gameplay purposes","")</f>
        <v/>
      </c>
      <c r="CJ68" s="0" t="str">
        <f aca="false">IF(BX68="buffet","{YELLOW}25% long distance bonus for consist{}",IF(BZ68="BRAKE","{YELLOW}Speed bonus for slow wagons{}",IF(BW68&gt;190,CONCATENATE("{YELLOW}",INT((BW68-185)/1.85),"% bonus for long distance travel{}"),IF(AND(BW68&lt;180,BW68&lt;&gt;0),CONCATENATE("{YELLOW}",INT((185-BW68)/1.85),"% penalty for long distance travel{}"),""))))</f>
        <v/>
      </c>
      <c r="CK68" s="0" t="str">
        <f aca="false">_xlfn.CONCAT(CF68,IF(CF68&lt;&gt;""," ",""),CG68,IF(OR(CG68&lt;&gt;"",CF68&lt;&gt;""),"{}",""),CE68,CJ68,"{SILVER}",CH68,IF(CI68&lt;&gt;"","{}{}",""),CI68)</f>
        <v>{BLACK}Length: {GOLD}0.4 tiles{}{SILVER}The OAA/OBA wagons were BR's first air braked open wagons, later forming part of the Speedlink network. They featured steel end frames with wooden drop sides.</v>
      </c>
      <c r="CL68" s="0" t="n">
        <v>1</v>
      </c>
    </row>
    <row r="69" customFormat="false" ht="14.25" hidden="false" customHeight="false" outlineLevel="0" collapsed="false">
      <c r="A69" s="0" t="s">
        <v>287</v>
      </c>
      <c r="B69" s="15" t="s">
        <v>288</v>
      </c>
      <c r="C69" s="0" t="n">
        <v>54</v>
      </c>
      <c r="E69" s="0" t="n">
        <v>1045</v>
      </c>
      <c r="F69" s="0" t="s">
        <v>143</v>
      </c>
      <c r="G69" s="0" t="s">
        <v>144</v>
      </c>
      <c r="H69" s="0" t="s">
        <v>144</v>
      </c>
      <c r="I69" s="0" t="s">
        <v>92</v>
      </c>
      <c r="J69" s="0" t="n">
        <v>1989</v>
      </c>
      <c r="W69" s="0" t="n">
        <v>12</v>
      </c>
      <c r="Y69" s="0" t="n">
        <v>6</v>
      </c>
      <c r="AA69" s="3" t="str">
        <f aca="false">IF(AND(W69&gt;0,Z69&gt;0),(Z69/((W69+X69)*10)),"")</f>
        <v/>
      </c>
      <c r="AB69" s="0" t="n">
        <v>80</v>
      </c>
      <c r="AC69" s="0" t="n">
        <f aca="false">ROUND(AB69*1.6, 0)</f>
        <v>128</v>
      </c>
      <c r="AF69" s="0" t="n">
        <v>10</v>
      </c>
      <c r="AG69" s="0" t="n">
        <v>10</v>
      </c>
      <c r="AJ69" s="4" t="n">
        <v>45</v>
      </c>
      <c r="AK69" s="0" t="str">
        <f aca="false">CONCATENATE(VLOOKUP(AL69, 'Voxel Sizes'!$A$2:$B$18,2,FALSE()),"x",INT(AH69*15), "x", INT(AI69*15))</f>
        <v>102x0x0</v>
      </c>
      <c r="AL69" s="0" t="n">
        <f aca="false">ROUND(15*((AG69*10)/256),0)</f>
        <v>6</v>
      </c>
      <c r="AN69" s="0" t="str">
        <f aca="false">CONCATENATE(VLOOKUP(AL69,Constants!$A$2:$C$16,IF(AM69&lt;&gt;"", 3, 2), FALSE()),IF(AM69&lt;&gt;"",CONCATENATE(",",VLOOKUP(AM69,$B:$AN,39,FALSE())),""))</f>
        <v>2,2,2</v>
      </c>
      <c r="AX69" s="0" t="n">
        <v>30</v>
      </c>
      <c r="AY69" s="16" t="str">
        <f aca="false">IF(L69&lt;&gt;"",MAX(16,(L69-J69)+8),"")</f>
        <v/>
      </c>
      <c r="BB69" s="0" t="n">
        <f aca="false">MIN(AB69/150, 1)*30</f>
        <v>16</v>
      </c>
      <c r="BC69" s="0" t="n">
        <f aca="false">MIN(N69/4000, 1)*20</f>
        <v>0</v>
      </c>
      <c r="BD69" s="0" t="n">
        <f aca="false">MIN(Z69/400,1)*20</f>
        <v>0</v>
      </c>
      <c r="BE69" s="3" t="n">
        <f aca="false">1-(MAX(J69-1900, 0)/750)</f>
        <v>0.881333333333333</v>
      </c>
      <c r="BF69" s="0" t="n">
        <f aca="false">((MAX($M69,1)*MIN($AJ69/300,1)))*IF(G69="Wagon",50,10)</f>
        <v>7.5</v>
      </c>
      <c r="BG69" s="0" t="n">
        <f aca="false">VLOOKUP($H69,Constants!$I:$K, 2, FALSE())</f>
        <v>1</v>
      </c>
      <c r="BH69" s="0" t="n">
        <f aca="false">VLOOKUP($H69,Constants!$I:$K, 3, FALSE())*IF(AND(G69="multiple_unit",AB69&lt;110),0.75,1)</f>
        <v>0.45</v>
      </c>
      <c r="BI69" s="0" t="n">
        <f aca="false">INT(POWER(((Constants!$G$2+$BB69+$BC69+$BD69+$BF69)*$BE69)*$BH69, 1.05))+$BA69</f>
        <v>12</v>
      </c>
      <c r="BJ69" s="0" t="n">
        <f aca="false">INT(POWER((((Constants!$G$1+$BB69+$BC69+$BD69+$BF69)*($BE69))*$BG69),IF($G69="wagon",1,1.2)))+$AZ69</f>
        <v>33</v>
      </c>
      <c r="BK69" s="17" t="n">
        <f aca="false">BI69*IF($G69="wagon",62.5,781.25)</f>
        <v>750</v>
      </c>
      <c r="BL69" s="17" t="n">
        <f aca="false">BJ69*IF($G69="wagon",2.73,81.25)</f>
        <v>90.09</v>
      </c>
      <c r="BV69" s="0" t="n">
        <v>1</v>
      </c>
      <c r="BW69" s="0" t="n">
        <v>185</v>
      </c>
      <c r="BY69" s="0" t="s">
        <v>273</v>
      </c>
      <c r="BZ69" s="0" t="s">
        <v>265</v>
      </c>
      <c r="CA69" s="0" t="str">
        <f aca="false">VLOOKUP(J69,Eras!$A$2:$C$10, 2, TRUE())</f>
        <v>lbr</v>
      </c>
      <c r="CB69" s="0" t="s">
        <v>266</v>
      </c>
      <c r="CC69" s="0" t="str">
        <f aca="false">CONCATENATE(CA69,"_",CB69)</f>
        <v>lbr_Open Wagon</v>
      </c>
      <c r="CD69" s="0" t="str">
        <f aca="false">_xlfn.CONCAT(H69, "_",I69)</f>
        <v>wagon_RAIL</v>
      </c>
      <c r="CE69" s="6" t="str">
        <f aca="false" t="array" ref="CE69:CE69">_xlfn.CONCAT("{BLACK}Length: {GOLD}", TEXT(ROUNDUP(IF(AQ69&lt;&gt;"",SUM(VALUE(_xlfn.TEXTSPLIT(AQ69, ","))), SUM(VALUE(_xlfn.TEXTSPLIT(AN69, ",")))*IF(M69, M69, 1))/16, 1), "#,##0.0"), " tiles{}")</f>
        <v>{BLACK}Length: {GOLD}0.4 tiles{}</v>
      </c>
      <c r="CF69" s="0" t="str">
        <f aca="false">VLOOKUP($CD69, Constants!$M:$N, 2, FALSE())</f>
        <v/>
      </c>
      <c r="CG69" s="0" t="str">
        <f aca="false">IF(M69&gt;1,_xlfn.CONCAT("{BLACK}Cars: {GOLD}", M69),"")</f>
        <v/>
      </c>
      <c r="CH69" s="0" t="s">
        <v>289</v>
      </c>
      <c r="CI69" s="0" t="str">
        <f aca="false">IF($BU69="!param_no_gameplay_units","{GREEN}Included for gameplay purposes","")</f>
        <v/>
      </c>
      <c r="CJ69" s="0" t="str">
        <f aca="false">IF(BX69="buffet","{YELLOW}25% long distance bonus for consist{}",IF(BZ69="BRAKE","{YELLOW}Speed bonus for slow wagons{}",IF(BW69&gt;190,CONCATENATE("{YELLOW}",INT((BW69-185)/1.85),"% bonus for long distance travel{}"),IF(AND(BW69&lt;180,BW69&lt;&gt;0),CONCATENATE("{YELLOW}",INT((185-BW69)/1.85),"% penalty for long distance travel{}"),""))))</f>
        <v/>
      </c>
      <c r="CK69" s="0" t="str">
        <f aca="false">_xlfn.CONCAT(CF69,IF(CF69&lt;&gt;""," ",""),CG69,IF(OR(CG69&lt;&gt;"",CF69&lt;&gt;""),"{}",""),CE69,CJ69,"{SILVER}",CH69,IF(CI69&lt;&gt;"","{}{}",""),CI69)</f>
        <v>{BLACK}Length: {GOLD}0.4 tiles{}{SILVER}MEA wagons used frames from old hopper wagons combined with a new box body.</v>
      </c>
      <c r="CL69" s="0" t="n">
        <v>1</v>
      </c>
    </row>
    <row r="70" customFormat="false" ht="14.25" hidden="false" customHeight="false" outlineLevel="0" collapsed="false">
      <c r="A70" s="0" t="s">
        <v>290</v>
      </c>
      <c r="B70" s="15" t="s">
        <v>291</v>
      </c>
      <c r="C70" s="0" t="n">
        <v>55</v>
      </c>
      <c r="E70" s="0" t="n">
        <v>1046</v>
      </c>
      <c r="F70" s="0" t="s">
        <v>143</v>
      </c>
      <c r="G70" s="0" t="s">
        <v>144</v>
      </c>
      <c r="H70" s="0" t="s">
        <v>144</v>
      </c>
      <c r="I70" s="0" t="s">
        <v>92</v>
      </c>
      <c r="J70" s="0" t="n">
        <v>2015</v>
      </c>
      <c r="W70" s="0" t="n">
        <v>24</v>
      </c>
      <c r="Y70" s="0" t="n">
        <v>5</v>
      </c>
      <c r="AA70" s="3" t="str">
        <f aca="false">IF(AND(W70&gt;0,Z70&gt;0),(Z70/((W70+X70)*10)),"")</f>
        <v/>
      </c>
      <c r="AB70" s="0" t="n">
        <v>80</v>
      </c>
      <c r="AC70" s="0" t="n">
        <f aca="false">ROUND(AB70*1.6, 0)</f>
        <v>128</v>
      </c>
      <c r="AF70" s="0" t="n">
        <v>17</v>
      </c>
      <c r="AG70" s="0" t="n">
        <v>17</v>
      </c>
      <c r="AJ70" s="4" t="n">
        <v>78</v>
      </c>
      <c r="AK70" s="0" t="str">
        <f aca="false">CONCATENATE(VLOOKUP(AL70, 'Voxel Sizes'!$A$2:$B$18,2,FALSE()),"x",INT(AH70*15), "x", INT(AI70*15))</f>
        <v>164x0x0</v>
      </c>
      <c r="AL70" s="0" t="n">
        <f aca="false">ROUND(15*((AG70*10)/256),0)</f>
        <v>10</v>
      </c>
      <c r="AN70" s="0" t="str">
        <f aca="false">CONCATENATE(VLOOKUP(AL70,Constants!$A$2:$C$16,IF(AM70&lt;&gt;"", 3, 2), FALSE()),IF(AM70&lt;&gt;"",CONCATENATE(",",VLOOKUP(AM70,$B:$AN,39,FALSE())),""))</f>
        <v>4,2,4</v>
      </c>
      <c r="AX70" s="0" t="n">
        <v>30</v>
      </c>
      <c r="AY70" s="16" t="str">
        <f aca="false">IF(L70&lt;&gt;"",MAX(16,(L70-J70)+8),"")</f>
        <v/>
      </c>
      <c r="BB70" s="0" t="n">
        <f aca="false">MIN(AB70/150, 1)*30</f>
        <v>16</v>
      </c>
      <c r="BC70" s="0" t="n">
        <f aca="false">MIN(N70/4000, 1)*20</f>
        <v>0</v>
      </c>
      <c r="BD70" s="0" t="n">
        <f aca="false">MIN(Z70/400,1)*20</f>
        <v>0</v>
      </c>
      <c r="BE70" s="3" t="n">
        <f aca="false">1-(MAX(J70-1900, 0)/750)</f>
        <v>0.846666666666667</v>
      </c>
      <c r="BF70" s="0" t="n">
        <f aca="false">((MAX($M70,1)*MIN($AJ70/300,1)))*IF(G70="Wagon",50,10)</f>
        <v>13</v>
      </c>
      <c r="BG70" s="0" t="n">
        <f aca="false">VLOOKUP($H70,Constants!$I:$K, 2, FALSE())</f>
        <v>1</v>
      </c>
      <c r="BH70" s="0" t="n">
        <f aca="false">VLOOKUP($H70,Constants!$I:$K, 3, FALSE())*IF(AND(G70="multiple_unit",AB70&lt;110),0.75,1)</f>
        <v>0.45</v>
      </c>
      <c r="BI70" s="0" t="n">
        <f aca="false">INT(POWER(((Constants!$G$2+$BB70+$BC70+$BD70+$BF70)*$BE70)*$BH70, 1.05))+$BA70</f>
        <v>14</v>
      </c>
      <c r="BJ70" s="0" t="n">
        <f aca="false">INT(POWER((((Constants!$G$1+$BB70+$BC70+$BD70+$BF70)*($BE70))*$BG70),IF($G70="wagon",1,1.2)))+$AZ70</f>
        <v>37</v>
      </c>
      <c r="BK70" s="17" t="n">
        <f aca="false">BI70*IF($G70="wagon",62.5,781.25)</f>
        <v>875</v>
      </c>
      <c r="BL70" s="17" t="n">
        <f aca="false">BJ70*IF($G70="wagon",2.73,81.25)</f>
        <v>101.01</v>
      </c>
      <c r="BV70" s="0" t="n">
        <v>1</v>
      </c>
      <c r="BW70" s="0" t="n">
        <v>185</v>
      </c>
      <c r="BY70" s="0" t="s">
        <v>273</v>
      </c>
      <c r="BZ70" s="0" t="s">
        <v>265</v>
      </c>
      <c r="CA70" s="0" t="str">
        <f aca="false">VLOOKUP(J70,Eras!$A$2:$C$10, 2, TRUE())</f>
        <v>mod</v>
      </c>
      <c r="CB70" s="0" t="s">
        <v>266</v>
      </c>
      <c r="CC70" s="0" t="str">
        <f aca="false">CONCATENATE(CA70,"_",CB70)</f>
        <v>mod_Open Wagon</v>
      </c>
      <c r="CD70" s="0" t="str">
        <f aca="false">_xlfn.CONCAT(H70, "_",I70)</f>
        <v>wagon_RAIL</v>
      </c>
      <c r="CE70" s="6" t="str">
        <f aca="false" t="array" ref="CE70:CE70">_xlfn.CONCAT("{BLACK}Length: {GOLD}", TEXT(ROUNDUP(IF(AQ70&lt;&gt;"",SUM(VALUE(_xlfn.TEXTSPLIT(AQ70, ","))), SUM(VALUE(_xlfn.TEXTSPLIT(AN70, ",")))*IF(M70, M70, 1))/16, 1), "#,##0.0"), " tiles{}")</f>
        <v>{BLACK}Length: {GOLD}0.7 tiles{}</v>
      </c>
      <c r="CF70" s="0" t="str">
        <f aca="false">VLOOKUP($CD70, Constants!$M:$N, 2, FALSE())</f>
        <v/>
      </c>
      <c r="CG70" s="0" t="str">
        <f aca="false">IF(M70&gt;1,_xlfn.CONCAT("{BLACK}Cars: {GOLD}", M70),"")</f>
        <v/>
      </c>
      <c r="CH70" s="0" t="s">
        <v>292</v>
      </c>
      <c r="CI70" s="0" t="str">
        <f aca="false">IF($BU70="!param_no_gameplay_units","{GREEN}Included for gameplay purposes","")</f>
        <v/>
      </c>
      <c r="CJ70" s="0" t="str">
        <f aca="false">IF(BX70="buffet","{YELLOW}25% long distance bonus for consist{}",IF(BZ70="BRAKE","{YELLOW}Speed bonus for slow wagons{}",IF(BW70&gt;190,CONCATENATE("{YELLOW}",INT((BW70-185)/1.85),"% bonus for long distance travel{}"),IF(AND(BW70&lt;180,BW70&lt;&gt;0),CONCATENATE("{YELLOW}",INT((185-BW70)/1.85),"% penalty for long distance travel{}"),""))))</f>
        <v/>
      </c>
      <c r="CK70" s="0" t="str">
        <f aca="false">_xlfn.CONCAT(CF70,IF(CF70&lt;&gt;""," ",""),CG70,IF(OR(CG70&lt;&gt;"",CF70&lt;&gt;""),"{}",""),CE70,CJ70,"{SILVER}",CH70,IF(CI70&lt;&gt;"","{}{}",""),CI70)</f>
        <v>{BLACK}Length: {GOLD}0.7 tiles{}{SILVER}The MWA is another wagon rebuilt using new bodies on an old frame, resulting in a high capacity bogie open wagon.</v>
      </c>
      <c r="CL70" s="0" t="n">
        <v>1</v>
      </c>
    </row>
    <row r="71" customFormat="false" ht="14.25" hidden="false" customHeight="false" outlineLevel="0" collapsed="false">
      <c r="A71" s="0" t="s">
        <v>293</v>
      </c>
      <c r="B71" s="15" t="s">
        <v>294</v>
      </c>
      <c r="C71" s="0" t="n">
        <v>56</v>
      </c>
      <c r="E71" s="0" t="n">
        <v>1047</v>
      </c>
      <c r="F71" s="0" t="s">
        <v>143</v>
      </c>
      <c r="G71" s="0" t="s">
        <v>144</v>
      </c>
      <c r="H71" s="0" t="s">
        <v>144</v>
      </c>
      <c r="I71" s="0" t="s">
        <v>92</v>
      </c>
      <c r="J71" s="0" t="n">
        <v>1968</v>
      </c>
      <c r="L71" s="0" t="n">
        <v>2010</v>
      </c>
      <c r="W71" s="0" t="n">
        <v>17</v>
      </c>
      <c r="Y71" s="0" t="n">
        <v>8</v>
      </c>
      <c r="AA71" s="3" t="str">
        <f aca="false">IF(AND(W71&gt;0,Z71&gt;0),(Z71/((W71+X71)*10)),"")</f>
        <v/>
      </c>
      <c r="AB71" s="0" t="n">
        <v>60</v>
      </c>
      <c r="AC71" s="0" t="n">
        <f aca="false">ROUND(AB71*1.6, 0)</f>
        <v>96</v>
      </c>
      <c r="AF71" s="0" t="n">
        <v>10</v>
      </c>
      <c r="AG71" s="0" t="n">
        <v>10</v>
      </c>
      <c r="AJ71" s="4" t="n">
        <v>45</v>
      </c>
      <c r="AK71" s="0" t="str">
        <f aca="false">CONCATENATE(VLOOKUP(AL71, 'Voxel Sizes'!$A$2:$B$18,2,FALSE()),"x",INT(AH71*15), "x", INT(AI71*15))</f>
        <v>102x0x0</v>
      </c>
      <c r="AL71" s="0" t="n">
        <f aca="false">ROUND(15*((AG71*10)/256),0)</f>
        <v>6</v>
      </c>
      <c r="AN71" s="0" t="str">
        <f aca="false">CONCATENATE(VLOOKUP(AL71,Constants!$A$2:$C$16,IF(AM71&lt;&gt;"", 3, 2), FALSE()),IF(AM71&lt;&gt;"",CONCATENATE(",",VLOOKUP(AM71,$B:$AN,39,FALSE())),""))</f>
        <v>2,2,2</v>
      </c>
      <c r="AX71" s="0" t="n">
        <v>30</v>
      </c>
      <c r="AY71" s="16" t="n">
        <f aca="false">IF(L71&lt;&gt;"",MAX(16,(L71-J71)+8),"")</f>
        <v>50</v>
      </c>
      <c r="BB71" s="0" t="n">
        <f aca="false">MIN(AB71/150, 1)*30</f>
        <v>12</v>
      </c>
      <c r="BC71" s="0" t="n">
        <f aca="false">MIN(N71/4000, 1)*20</f>
        <v>0</v>
      </c>
      <c r="BD71" s="0" t="n">
        <f aca="false">MIN(Z71/400,1)*20</f>
        <v>0</v>
      </c>
      <c r="BE71" s="3" t="n">
        <f aca="false">1-(MAX(J71-1900, 0)/750)</f>
        <v>0.909333333333333</v>
      </c>
      <c r="BF71" s="0" t="n">
        <f aca="false">((MAX($M71,1)*MIN($AJ71/300,1)))*IF(G71="Wagon",50,10)</f>
        <v>7.5</v>
      </c>
      <c r="BG71" s="0" t="n">
        <f aca="false">VLOOKUP($H71,Constants!$I:$K, 2, FALSE())</f>
        <v>1</v>
      </c>
      <c r="BH71" s="0" t="n">
        <f aca="false">VLOOKUP($H71,Constants!$I:$K, 3, FALSE())*IF(AND(G71="multiple_unit",AB71&lt;110),0.75,1)</f>
        <v>0.45</v>
      </c>
      <c r="BI71" s="0" t="n">
        <f aca="false">INT(POWER(((Constants!$G$2+$BB71+$BC71+$BD71+$BF71)*$BE71)*$BH71, 1.05))+$BA71</f>
        <v>11</v>
      </c>
      <c r="BJ71" s="0" t="n">
        <f aca="false">INT(POWER((((Constants!$G$1+$BB71+$BC71+$BD71+$BF71)*($BE71))*$BG71),IF($G71="wagon",1,1.2)))+$AZ71</f>
        <v>31</v>
      </c>
      <c r="BK71" s="17" t="n">
        <f aca="false">BI71*IF($G71="wagon",62.5,781.25)</f>
        <v>687.5</v>
      </c>
      <c r="BL71" s="17" t="n">
        <f aca="false">BJ71*IF($G71="wagon",2.73,81.25)</f>
        <v>84.63</v>
      </c>
      <c r="BV71" s="0" t="n">
        <v>1</v>
      </c>
      <c r="BW71" s="0" t="n">
        <v>185</v>
      </c>
      <c r="BY71" s="0" t="s">
        <v>273</v>
      </c>
      <c r="BZ71" s="0" t="s">
        <v>265</v>
      </c>
      <c r="CA71" s="0" t="str">
        <f aca="false">VLOOKUP(J71,Eras!$A$2:$C$10, 2, TRUE())</f>
        <v>dsl</v>
      </c>
      <c r="CB71" s="0" t="s">
        <v>266</v>
      </c>
      <c r="CC71" s="0" t="str">
        <f aca="false">CONCATENATE(CA71,"_",CB71)</f>
        <v>dsl_Open Wagon</v>
      </c>
      <c r="CD71" s="0" t="str">
        <f aca="false">_xlfn.CONCAT(H71, "_",I71)</f>
        <v>wagon_RAIL</v>
      </c>
      <c r="CE71" s="6" t="str">
        <f aca="false" t="array" ref="CE71:CE71">_xlfn.CONCAT("{BLACK}Length: {GOLD}", TEXT(ROUNDUP(IF(AQ71&lt;&gt;"",SUM(VALUE(_xlfn.TEXTSPLIT(AQ71, ","))), SUM(VALUE(_xlfn.TEXTSPLIT(AN71, ",")))*IF(M71, M71, 1))/16, 1), "#,##0.0"), " tiles{}")</f>
        <v>{BLACK}Length: {GOLD}0.4 tiles{}</v>
      </c>
      <c r="CF71" s="0" t="str">
        <f aca="false">VLOOKUP($CD71, Constants!$M:$N, 2, FALSE())</f>
        <v/>
      </c>
      <c r="CG71" s="0" t="str">
        <f aca="false">IF(M71&gt;1,_xlfn.CONCAT("{BLACK}Cars: {GOLD}", M71),"")</f>
        <v/>
      </c>
      <c r="CH71" s="0" t="s">
        <v>295</v>
      </c>
      <c r="CI71" s="0" t="str">
        <f aca="false">IF($BU71="!param_no_gameplay_units","{GREEN}Included for gameplay purposes","")</f>
        <v/>
      </c>
      <c r="CJ71" s="0" t="str">
        <f aca="false">IF(BX71="buffet","{YELLOW}25% long distance bonus for consist{}",IF(BZ71="BRAKE","{YELLOW}Speed bonus for slow wagons{}",IF(BW71&gt;190,CONCATENATE("{YELLOW}",INT((BW71-185)/1.85),"% bonus for long distance travel{}"),IF(AND(BW71&lt;180,BW71&lt;&gt;0),CONCATENATE("{YELLOW}",INT((185-BW71)/1.85),"% penalty for long distance travel{}"),""))))</f>
        <v/>
      </c>
      <c r="CK71" s="0" t="str">
        <f aca="false">_xlfn.CONCAT(CF71,IF(CF71&lt;&gt;""," ",""),CG71,IF(OR(CG71&lt;&gt;"",CF71&lt;&gt;""),"{}",""),CE71,CJ71,"{SILVER}",CH71,IF(CI71&lt;&gt;"","{}{}",""),CI71)</f>
        <v>{BLACK}Length: {GOLD}0.4 tiles{}{SILVER}MGR "merry-go-round" hoppers enabled coal trains to load and unload without stopping, emptying coal into discharge hoppers underneath the wagons. In OpenTTD this is represented by faster loading speeds.</v>
      </c>
      <c r="CL71" s="0" t="n">
        <v>1</v>
      </c>
    </row>
    <row r="72" customFormat="false" ht="14.25" hidden="false" customHeight="false" outlineLevel="0" collapsed="false">
      <c r="A72" s="0" t="s">
        <v>296</v>
      </c>
      <c r="B72" s="15" t="s">
        <v>297</v>
      </c>
      <c r="C72" s="0" t="n">
        <v>57</v>
      </c>
      <c r="E72" s="0" t="n">
        <v>1048</v>
      </c>
      <c r="F72" s="0" t="s">
        <v>143</v>
      </c>
      <c r="G72" s="0" t="s">
        <v>144</v>
      </c>
      <c r="H72" s="0" t="s">
        <v>144</v>
      </c>
      <c r="I72" s="0" t="s">
        <v>92</v>
      </c>
      <c r="J72" s="0" t="n">
        <v>2000</v>
      </c>
      <c r="W72" s="0" t="n">
        <v>24</v>
      </c>
      <c r="Y72" s="0" t="n">
        <v>8</v>
      </c>
      <c r="AA72" s="3" t="str">
        <f aca="false">IF(AND(W72&gt;0,Z72&gt;0),(Z72/((W72+X72)*10)),"")</f>
        <v/>
      </c>
      <c r="AB72" s="0" t="n">
        <v>80</v>
      </c>
      <c r="AC72" s="0" t="n">
        <f aca="false">ROUND(AB72*1.6, 0)</f>
        <v>128</v>
      </c>
      <c r="AF72" s="0" t="n">
        <v>19.7</v>
      </c>
      <c r="AG72" s="0" t="n">
        <v>19.4</v>
      </c>
      <c r="AJ72" s="4" t="n">
        <v>78</v>
      </c>
      <c r="AK72" s="0" t="str">
        <f aca="false">CONCATENATE(VLOOKUP(AL72, 'Voxel Sizes'!$A$2:$B$18,2,FALSE()),"x",INT(AH72*15), "x", INT(AI72*15))</f>
        <v>186x0x0</v>
      </c>
      <c r="AL72" s="0" t="n">
        <f aca="false">ROUND(15*((AG72*10)/256),0)</f>
        <v>11</v>
      </c>
      <c r="AN72" s="0" t="str">
        <f aca="false">CONCATENATE(VLOOKUP(AL72,Constants!$A$2:$C$16,IF(AM72&lt;&gt;"", 3, 2), FALSE()),IF(AM72&lt;&gt;"",CONCATENATE(",",VLOOKUP(AM72,$B:$AN,39,FALSE())),""))</f>
        <v>4,3,4</v>
      </c>
      <c r="AX72" s="0" t="n">
        <v>30</v>
      </c>
      <c r="AY72" s="16" t="str">
        <f aca="false">IF(L72&lt;&gt;"",MAX(16,(L72-J72)+8),"")</f>
        <v/>
      </c>
      <c r="BB72" s="0" t="n">
        <f aca="false">MIN(AB72/150, 1)*30</f>
        <v>16</v>
      </c>
      <c r="BC72" s="0" t="n">
        <f aca="false">MIN(N72/4000, 1)*20</f>
        <v>0</v>
      </c>
      <c r="BD72" s="0" t="n">
        <f aca="false">MIN(Z72/400,1)*20</f>
        <v>0</v>
      </c>
      <c r="BE72" s="3" t="n">
        <f aca="false">1-(MAX(J72-1900, 0)/750)</f>
        <v>0.866666666666667</v>
      </c>
      <c r="BF72" s="0" t="n">
        <f aca="false">((MAX($M72,1)*MIN($AJ72/300,1)))*IF(G72="Wagon",50,10)</f>
        <v>13</v>
      </c>
      <c r="BG72" s="0" t="n">
        <f aca="false">VLOOKUP($H72,Constants!$I:$K, 2, FALSE())</f>
        <v>1</v>
      </c>
      <c r="BH72" s="0" t="n">
        <f aca="false">VLOOKUP($H72,Constants!$I:$K, 3, FALSE())*IF(AND(G72="multiple_unit",AB72&lt;110),0.75,1)</f>
        <v>0.45</v>
      </c>
      <c r="BI72" s="0" t="n">
        <f aca="false">INT(POWER(((Constants!$G$2+$BB72+$BC72+$BD72+$BF72)*$BE72)*$BH72, 1.05))+$BA72</f>
        <v>15</v>
      </c>
      <c r="BJ72" s="0" t="n">
        <f aca="false">INT(POWER((((Constants!$G$1+$BB72+$BC72+$BD72+$BF72)*($BE72))*$BG72),IF($G72="wagon",1,1.2)))+$AZ72</f>
        <v>38</v>
      </c>
      <c r="BK72" s="17" t="n">
        <f aca="false">BI72*IF($G72="wagon",62.5,781.25)</f>
        <v>937.5</v>
      </c>
      <c r="BL72" s="17" t="n">
        <f aca="false">BJ72*IF($G72="wagon",2.73,81.25)</f>
        <v>103.74</v>
      </c>
      <c r="BV72" s="0" t="n">
        <v>1</v>
      </c>
      <c r="BW72" s="0" t="n">
        <v>185</v>
      </c>
      <c r="BY72" s="0" t="s">
        <v>273</v>
      </c>
      <c r="BZ72" s="0" t="s">
        <v>265</v>
      </c>
      <c r="CA72" s="0" t="str">
        <f aca="false">VLOOKUP(J72,Eras!$A$2:$C$10, 2, TRUE())</f>
        <v>prv</v>
      </c>
      <c r="CB72" s="0" t="s">
        <v>266</v>
      </c>
      <c r="CC72" s="0" t="str">
        <f aca="false">CONCATENATE(CA72,"_",CB72)</f>
        <v>prv_Open Wagon</v>
      </c>
      <c r="CD72" s="0" t="str">
        <f aca="false">_xlfn.CONCAT(H72, "_",I72)</f>
        <v>wagon_RAIL</v>
      </c>
      <c r="CE72" s="6" t="str">
        <f aca="false" t="array" ref="CE72:CE72">_xlfn.CONCAT("{BLACK}Length: {GOLD}", TEXT(ROUNDUP(IF(AQ72&lt;&gt;"",SUM(VALUE(_xlfn.TEXTSPLIT(AQ72, ","))), SUM(VALUE(_xlfn.TEXTSPLIT(AN72, ",")))*IF(M72, M72, 1))/16, 1), "#,##0.0"), " tiles{}")</f>
        <v>{BLACK}Length: {GOLD}0.7 tiles{}</v>
      </c>
      <c r="CF72" s="0" t="str">
        <f aca="false">VLOOKUP($CD72, Constants!$M:$N, 2, FALSE())</f>
        <v/>
      </c>
      <c r="CG72" s="0" t="str">
        <f aca="false">IF(M72&gt;1,_xlfn.CONCAT("{BLACK}Cars: {GOLD}", M72),"")</f>
        <v/>
      </c>
      <c r="CH72" s="0" t="s">
        <v>298</v>
      </c>
      <c r="CI72" s="0" t="str">
        <f aca="false">IF($BU72="!param_no_gameplay_units","{GREEN}Included for gameplay purposes","")</f>
        <v/>
      </c>
      <c r="CJ72" s="0" t="str">
        <f aca="false">IF(BX72="buffet","{YELLOW}25% long distance bonus for consist{}",IF(BZ72="BRAKE","{YELLOW}Speed bonus for slow wagons{}",IF(BW72&gt;190,CONCATENATE("{YELLOW}",INT((BW72-185)/1.85),"% bonus for long distance travel{}"),IF(AND(BW72&lt;180,BW72&lt;&gt;0),CONCATENATE("{YELLOW}",INT((185-BW72)/1.85),"% penalty for long distance travel{}"),""))))</f>
        <v/>
      </c>
      <c r="CK72" s="0" t="str">
        <f aca="false">_xlfn.CONCAT(CF72,IF(CF72&lt;&gt;""," ",""),CG72,IF(OR(CG72&lt;&gt;"",CF72&lt;&gt;""),"{}",""),CE72,CJ72,"{SILVER}",CH72,IF(CI72&lt;&gt;"","{}{}",""),CI72)</f>
        <v>{BLACK}Length: {GOLD}0.7 tiles{}{SILVER}The HHA is a large self-discharging hopper built for Freightliner to use on coal trains.</v>
      </c>
      <c r="CL72" s="0" t="n">
        <v>1</v>
      </c>
    </row>
    <row r="73" customFormat="false" ht="14.25" hidden="false" customHeight="false" outlineLevel="0" collapsed="false">
      <c r="A73" s="0" t="s">
        <v>299</v>
      </c>
      <c r="B73" s="15" t="s">
        <v>300</v>
      </c>
      <c r="C73" s="0" t="n">
        <v>58</v>
      </c>
      <c r="E73" s="0" t="n">
        <v>1049</v>
      </c>
      <c r="F73" s="0" t="s">
        <v>143</v>
      </c>
      <c r="G73" s="0" t="s">
        <v>144</v>
      </c>
      <c r="H73" s="0" t="s">
        <v>144</v>
      </c>
      <c r="I73" s="0" t="s">
        <v>92</v>
      </c>
      <c r="J73" s="0" t="n">
        <v>1930</v>
      </c>
      <c r="L73" s="0" t="n">
        <v>1970</v>
      </c>
      <c r="W73" s="0" t="n">
        <v>7</v>
      </c>
      <c r="Y73" s="0" t="n">
        <v>9</v>
      </c>
      <c r="AA73" s="3" t="str">
        <f aca="false">IF(AND(W73&gt;0,Z73&gt;0),(Z73/((W73+X73)*10)),"")</f>
        <v/>
      </c>
      <c r="AB73" s="0" t="n">
        <v>60</v>
      </c>
      <c r="AC73" s="0" t="n">
        <f aca="false">ROUND(AB73*1.6, 0)</f>
        <v>96</v>
      </c>
      <c r="AF73" s="0" t="n">
        <v>8</v>
      </c>
      <c r="AG73" s="0" t="n">
        <v>8</v>
      </c>
      <c r="AJ73" s="4" t="n">
        <v>27</v>
      </c>
      <c r="AK73" s="0" t="str">
        <f aca="false">CONCATENATE(VLOOKUP(AL73, 'Voxel Sizes'!$A$2:$B$18,2,FALSE()),"x",INT(AH73*15), "x", INT(AI73*15))</f>
        <v>82x0x0</v>
      </c>
      <c r="AL73" s="0" t="n">
        <f aca="false">ROUND(15*((AG73*10)/256),0)</f>
        <v>5</v>
      </c>
      <c r="AN73" s="0" t="str">
        <f aca="false">CONCATENATE(VLOOKUP(AL73,Constants!$A$2:$C$16,IF(AM73&lt;&gt;"", 3, 2), FALSE()),IF(AM73&lt;&gt;"",CONCATENATE(",",VLOOKUP(AM73,$B:$AN,39,FALSE())),""))</f>
        <v>2,1,2</v>
      </c>
      <c r="AX73" s="0" t="n">
        <v>30</v>
      </c>
      <c r="AY73" s="16" t="n">
        <f aca="false">IF(L73&lt;&gt;"",MAX(16,(L73-J73)+8),"")</f>
        <v>48</v>
      </c>
      <c r="BB73" s="0" t="n">
        <f aca="false">MIN(AB73/150, 1)*30</f>
        <v>12</v>
      </c>
      <c r="BC73" s="0" t="n">
        <f aca="false">MIN(N73/4000, 1)*20</f>
        <v>0</v>
      </c>
      <c r="BD73" s="0" t="n">
        <f aca="false">MIN(Z73/400,1)*20</f>
        <v>0</v>
      </c>
      <c r="BE73" s="3" t="n">
        <f aca="false">1-(MAX(J73-1900, 0)/750)</f>
        <v>0.96</v>
      </c>
      <c r="BF73" s="0" t="n">
        <f aca="false">((MAX($M73,1)*MIN($AJ73/300,1)))*IF(G73="Wagon",50,10)</f>
        <v>4.5</v>
      </c>
      <c r="BG73" s="0" t="n">
        <f aca="false">VLOOKUP($H73,Constants!$I:$K, 2, FALSE())</f>
        <v>1</v>
      </c>
      <c r="BH73" s="0" t="n">
        <f aca="false">VLOOKUP($H73,Constants!$I:$K, 3, FALSE())*IF(AND(G73="multiple_unit",AB73&lt;110),0.75,1)</f>
        <v>0.45</v>
      </c>
      <c r="BI73" s="0" t="n">
        <f aca="false">INT(POWER(((Constants!$G$2+$BB73+$BC73+$BD73+$BF73)*$BE73)*$BH73, 1.05))+$BA73</f>
        <v>10</v>
      </c>
      <c r="BJ73" s="0" t="n">
        <f aca="false">INT(POWER((((Constants!$G$1+$BB73+$BC73+$BD73+$BF73)*($BE73))*$BG73),IF($G73="wagon",1,1.2)))+$AZ73</f>
        <v>30</v>
      </c>
      <c r="BK73" s="17" t="n">
        <f aca="false">BI73*IF($G73="wagon",62.5,781.25)</f>
        <v>625</v>
      </c>
      <c r="BL73" s="17" t="n">
        <f aca="false">BJ73*IF($G73="wagon",2.73,81.25)</f>
        <v>81.9</v>
      </c>
      <c r="BV73" s="0" t="n">
        <v>1</v>
      </c>
      <c r="BW73" s="0" t="n">
        <v>185</v>
      </c>
      <c r="BY73" s="0" t="s">
        <v>301</v>
      </c>
      <c r="BZ73" s="0" t="s">
        <v>302</v>
      </c>
      <c r="CA73" s="0" t="str">
        <f aca="false">VLOOKUP(J73,Eras!$A$2:$C$10, 2, TRUE())</f>
        <v>big4</v>
      </c>
      <c r="CB73" s="0" t="s">
        <v>303</v>
      </c>
      <c r="CC73" s="0" t="str">
        <f aca="false">CONCATENATE(CA73,"_",CB73)</f>
        <v>big4_Extra</v>
      </c>
      <c r="CD73" s="0" t="str">
        <f aca="false">_xlfn.CONCAT(H73, "_",I73)</f>
        <v>wagon_RAIL</v>
      </c>
      <c r="CE73" s="6" t="str">
        <f aca="false" t="array" ref="CE73:CE73">_xlfn.CONCAT("{BLACK}Length: {GOLD}", TEXT(ROUNDUP(IF(AQ73&lt;&gt;"",SUM(VALUE(_xlfn.TEXTSPLIT(AQ73, ","))), SUM(VALUE(_xlfn.TEXTSPLIT(AN73, ",")))*IF(M73, M73, 1))/16, 1), "#,##0.0"), " tiles{}")</f>
        <v>{BLACK}Length: {GOLD}0.4 tiles{}</v>
      </c>
      <c r="CF73" s="0" t="str">
        <f aca="false">VLOOKUP($CD73, Constants!$M:$N, 2, FALSE())</f>
        <v/>
      </c>
      <c r="CG73" s="0" t="str">
        <f aca="false">IF(M73&gt;1,_xlfn.CONCAT("{BLACK}Cars: {GOLD}", M73),"")</f>
        <v/>
      </c>
      <c r="CH73" s="0" t="s">
        <v>304</v>
      </c>
      <c r="CI73" s="0" t="str">
        <f aca="false">IF($BU73="!param_no_gameplay_units","{GREEN}Included for gameplay purposes","")</f>
        <v/>
      </c>
      <c r="CJ73" s="0" t="str">
        <f aca="false">IF(BX73="buffet","{YELLOW}25% long distance bonus for consist{}",IF(BZ73="BRAKE","{YELLOW}Speed bonus for slow wagons{}",IF(BW73&gt;190,CONCATENATE("{YELLOW}",INT((BW73-185)/1.85),"% bonus for long distance travel{}"),IF(AND(BW73&lt;180,BW73&lt;&gt;0),CONCATENATE("{YELLOW}",INT((185-BW73)/1.85),"% penalty for long distance travel{}"),""))))</f>
        <v/>
      </c>
      <c r="CK73" s="0" t="str">
        <f aca="false">_xlfn.CONCAT(CF73,IF(CF73&lt;&gt;""," ",""),CG73,IF(OR(CG73&lt;&gt;"",CF73&lt;&gt;""),"{}",""),CE73,CJ73,"{SILVER}",CH73,IF(CI73&lt;&gt;"","{}{}",""),CI73)</f>
        <v>{BLACK}Length: {GOLD}0.4 tiles{}{SILVER}Conflats were built to carry containers, meaning goods could be loaded separately and then the whole container placed on the train in one operation.</v>
      </c>
    </row>
    <row r="74" customFormat="false" ht="14.25" hidden="false" customHeight="false" outlineLevel="0" collapsed="false">
      <c r="A74" s="0" t="s">
        <v>305</v>
      </c>
      <c r="B74" s="15" t="s">
        <v>306</v>
      </c>
      <c r="C74" s="0" t="n">
        <v>59</v>
      </c>
      <c r="E74" s="0" t="n">
        <v>1050</v>
      </c>
      <c r="F74" s="0" t="s">
        <v>143</v>
      </c>
      <c r="G74" s="0" t="s">
        <v>144</v>
      </c>
      <c r="H74" s="0" t="s">
        <v>144</v>
      </c>
      <c r="I74" s="0" t="s">
        <v>92</v>
      </c>
      <c r="J74" s="0" t="n">
        <v>1964</v>
      </c>
      <c r="L74" s="0" t="n">
        <v>1995</v>
      </c>
      <c r="W74" s="0" t="n">
        <v>17</v>
      </c>
      <c r="Y74" s="0" t="n">
        <v>9</v>
      </c>
      <c r="AA74" s="3" t="str">
        <f aca="false">IF(AND(W74&gt;0,Z74&gt;0),(Z74/((W74+X74)*10)),"")</f>
        <v/>
      </c>
      <c r="AB74" s="0" t="n">
        <v>70</v>
      </c>
      <c r="AC74" s="0" t="n">
        <f aca="false">ROUND(AB74*1.6, 0)</f>
        <v>112</v>
      </c>
      <c r="AF74" s="0" t="n">
        <v>19.3</v>
      </c>
      <c r="AG74" s="0" t="n">
        <v>19.3</v>
      </c>
      <c r="AJ74" s="4" t="n">
        <v>60</v>
      </c>
      <c r="AK74" s="0" t="str">
        <f aca="false">CONCATENATE(VLOOKUP(AL74, 'Voxel Sizes'!$A$2:$B$18,2,FALSE()),"x",INT(AH74*15), "x", INT(AI74*15))</f>
        <v>186x0x0</v>
      </c>
      <c r="AL74" s="0" t="n">
        <f aca="false">ROUND(15*((AG74*10)/256),0)</f>
        <v>11</v>
      </c>
      <c r="AN74" s="0" t="str">
        <f aca="false">CONCATENATE(VLOOKUP(AL74,Constants!$A$2:$C$16,IF(AM74&lt;&gt;"", 3, 2), FALSE()),IF(AM74&lt;&gt;"",CONCATENATE(",",VLOOKUP(AM74,$B:$AN,39,FALSE())),""))</f>
        <v>4,3,4</v>
      </c>
      <c r="AX74" s="0" t="n">
        <v>30</v>
      </c>
      <c r="AY74" s="16" t="n">
        <f aca="false">IF(L74&lt;&gt;"",MAX(16,(L74-J74)+8),"")</f>
        <v>39</v>
      </c>
      <c r="BB74" s="0" t="n">
        <f aca="false">MIN(AB74/150, 1)*30</f>
        <v>14</v>
      </c>
      <c r="BC74" s="0" t="n">
        <f aca="false">MIN(N74/4000, 1)*20</f>
        <v>0</v>
      </c>
      <c r="BD74" s="0" t="n">
        <f aca="false">MIN(Z74/400,1)*20</f>
        <v>0</v>
      </c>
      <c r="BE74" s="3" t="n">
        <f aca="false">1-(MAX(J74-1900, 0)/750)</f>
        <v>0.914666666666667</v>
      </c>
      <c r="BF74" s="0" t="n">
        <f aca="false">((MAX($M74,1)*MIN($AJ74/300,1)))*IF(G74="Wagon",50,10)</f>
        <v>10</v>
      </c>
      <c r="BG74" s="0" t="n">
        <f aca="false">VLOOKUP($H74,Constants!$I:$K, 2, FALSE())</f>
        <v>1</v>
      </c>
      <c r="BH74" s="0" t="n">
        <f aca="false">VLOOKUP($H74,Constants!$I:$K, 3, FALSE())*IF(AND(G74="multiple_unit",AB74&lt;110),0.75,1)</f>
        <v>0.45</v>
      </c>
      <c r="BI74" s="0" t="n">
        <f aca="false">INT(POWER(((Constants!$G$2+$BB74+$BC74+$BD74+$BF74)*$BE74)*$BH74, 1.05))+$BA74</f>
        <v>13</v>
      </c>
      <c r="BJ74" s="0" t="n">
        <f aca="false">INT(POWER((((Constants!$G$1+$BB74+$BC74+$BD74+$BF74)*($BE74))*$BG74),IF($G74="wagon",1,1.2)))+$AZ74</f>
        <v>35</v>
      </c>
      <c r="BK74" s="17" t="n">
        <f aca="false">BI74*IF($G74="wagon",62.5,781.25)</f>
        <v>812.5</v>
      </c>
      <c r="BL74" s="17" t="n">
        <f aca="false">BJ74*IF($G74="wagon",2.73,81.25)</f>
        <v>95.55</v>
      </c>
      <c r="BV74" s="0" t="n">
        <v>1</v>
      </c>
      <c r="BW74" s="0" t="n">
        <v>185</v>
      </c>
      <c r="BY74" s="0" t="s">
        <v>301</v>
      </c>
      <c r="BZ74" s="0" t="s">
        <v>302</v>
      </c>
      <c r="CA74" s="0" t="str">
        <f aca="false">VLOOKUP(J74,Eras!$A$2:$C$10, 2, TRUE())</f>
        <v>dsl</v>
      </c>
      <c r="CB74" s="0" t="s">
        <v>303</v>
      </c>
      <c r="CC74" s="0" t="str">
        <f aca="false">CONCATENATE(CA74,"_",CB74)</f>
        <v>dsl_Extra</v>
      </c>
      <c r="CD74" s="0" t="str">
        <f aca="false">_xlfn.CONCAT(H74, "_",I74)</f>
        <v>wagon_RAIL</v>
      </c>
      <c r="CE74" s="6" t="str">
        <f aca="false" t="array" ref="CE74:CE74">_xlfn.CONCAT("{BLACK}Length: {GOLD}", TEXT(ROUNDUP(IF(AQ74&lt;&gt;"",SUM(VALUE(_xlfn.TEXTSPLIT(AQ74, ","))), SUM(VALUE(_xlfn.TEXTSPLIT(AN74, ",")))*IF(M74, M74, 1))/16, 1), "#,##0.0"), " tiles{}")</f>
        <v>{BLACK}Length: {GOLD}0.7 tiles{}</v>
      </c>
      <c r="CF74" s="0" t="str">
        <f aca="false">VLOOKUP($CD74, Constants!$M:$N, 2, FALSE())</f>
        <v/>
      </c>
      <c r="CG74" s="0" t="str">
        <f aca="false">IF(M74&gt;1,_xlfn.CONCAT("{BLACK}Cars: {GOLD}", M74),"")</f>
        <v/>
      </c>
      <c r="CH74" s="0" t="s">
        <v>307</v>
      </c>
      <c r="CI74" s="0" t="str">
        <f aca="false">IF($BU74="!param_no_gameplay_units","{GREEN}Included for gameplay purposes","")</f>
        <v/>
      </c>
      <c r="CJ74" s="0" t="str">
        <f aca="false">IF(BX74="buffet","{YELLOW}25% long distance bonus for consist{}",IF(BZ74="BRAKE","{YELLOW}Speed bonus for slow wagons{}",IF(BW74&gt;190,CONCATENATE("{YELLOW}",INT((BW74-185)/1.85),"% bonus for long distance travel{}"),IF(AND(BW74&lt;180,BW74&lt;&gt;0),CONCATENATE("{YELLOW}",INT((185-BW74)/1.85),"% penalty for long distance travel{}"),""))))</f>
        <v/>
      </c>
      <c r="CK74" s="0" t="str">
        <f aca="false">_xlfn.CONCAT(CF74,IF(CF74&lt;&gt;""," ",""),CG74,IF(OR(CG74&lt;&gt;"",CF74&lt;&gt;""),"{}",""),CE74,CJ74,"{SILVER}",CH74,IF(CI74&lt;&gt;"","{}{}",""),CI74)</f>
        <v>{BLACK}Length: {GOLD}0.7 tiles{}{SILVER}The FFA container wagons were a major advance over short-wheelbase conflats when built, and being easily adapted to the then-new ISO container standard only increased this advantage.</v>
      </c>
    </row>
    <row r="75" customFormat="false" ht="14.25" hidden="false" customHeight="false" outlineLevel="0" collapsed="false">
      <c r="A75" s="0" t="s">
        <v>308</v>
      </c>
      <c r="B75" s="15" t="s">
        <v>309</v>
      </c>
      <c r="C75" s="0" t="n">
        <v>60</v>
      </c>
      <c r="E75" s="0" t="n">
        <v>1051</v>
      </c>
      <c r="F75" s="0" t="s">
        <v>143</v>
      </c>
      <c r="G75" s="0" t="s">
        <v>144</v>
      </c>
      <c r="H75" s="0" t="s">
        <v>144</v>
      </c>
      <c r="I75" s="0" t="s">
        <v>92</v>
      </c>
      <c r="J75" s="0" t="n">
        <v>1991</v>
      </c>
      <c r="W75" s="0" t="n">
        <v>17</v>
      </c>
      <c r="Y75" s="0" t="n">
        <v>9</v>
      </c>
      <c r="AA75" s="3" t="str">
        <f aca="false">IF(AND(W75&gt;0,Z75&gt;0),(Z75/((W75+X75)*10)),"")</f>
        <v/>
      </c>
      <c r="AB75" s="0" t="n">
        <v>90</v>
      </c>
      <c r="AC75" s="0" t="n">
        <f aca="false">ROUND(AB75*1.6, 0)</f>
        <v>144</v>
      </c>
      <c r="AF75" s="0" t="n">
        <v>19.3</v>
      </c>
      <c r="AG75" s="0" t="n">
        <v>19.3</v>
      </c>
      <c r="AJ75" s="4" t="n">
        <v>60</v>
      </c>
      <c r="AK75" s="0" t="str">
        <f aca="false">CONCATENATE(VLOOKUP(AL75, 'Voxel Sizes'!$A$2:$B$18,2,FALSE()),"x",INT(AH75*15), "x", INT(AI75*15))</f>
        <v>186x0x0</v>
      </c>
      <c r="AL75" s="0" t="n">
        <f aca="false">ROUND(15*((AG75*10)/256),0)</f>
        <v>11</v>
      </c>
      <c r="AN75" s="0" t="str">
        <f aca="false">CONCATENATE(VLOOKUP(AL75,Constants!$A$2:$C$16,IF(AM75&lt;&gt;"", 3, 2), FALSE()),IF(AM75&lt;&gt;"",CONCATENATE(",",VLOOKUP(AM75,$B:$AN,39,FALSE())),""))</f>
        <v>4,3,4</v>
      </c>
      <c r="AX75" s="0" t="n">
        <v>30</v>
      </c>
      <c r="AY75" s="16" t="str">
        <f aca="false">IF(L75&lt;&gt;"",MAX(16,(L75-J75)+8),"")</f>
        <v/>
      </c>
      <c r="BB75" s="0" t="n">
        <f aca="false">MIN(AB75/150, 1)*30</f>
        <v>18</v>
      </c>
      <c r="BC75" s="0" t="n">
        <f aca="false">MIN(N75/4000, 1)*20</f>
        <v>0</v>
      </c>
      <c r="BD75" s="0" t="n">
        <f aca="false">MIN(Z75/400,1)*20</f>
        <v>0</v>
      </c>
      <c r="BE75" s="3" t="n">
        <f aca="false">1-(MAX(J75-1900, 0)/750)</f>
        <v>0.878666666666667</v>
      </c>
      <c r="BF75" s="0" t="n">
        <f aca="false">((MAX($M75,1)*MIN($AJ75/300,1)))*IF(G75="Wagon",50,10)</f>
        <v>10</v>
      </c>
      <c r="BG75" s="0" t="n">
        <f aca="false">VLOOKUP($H75,Constants!$I:$K, 2, FALSE())</f>
        <v>1</v>
      </c>
      <c r="BH75" s="0" t="n">
        <f aca="false">VLOOKUP($H75,Constants!$I:$K, 3, FALSE())*IF(AND(G75="multiple_unit",AB75&lt;110),0.75,1)</f>
        <v>0.45</v>
      </c>
      <c r="BI75" s="0" t="n">
        <f aca="false">INT(POWER(((Constants!$G$2+$BB75+$BC75+$BD75+$BF75)*$BE75)*$BH75, 1.05))+$BA75</f>
        <v>14</v>
      </c>
      <c r="BJ75" s="0" t="n">
        <f aca="false">INT(POWER((((Constants!$G$1+$BB75+$BC75+$BD75+$BF75)*($BE75))*$BG75),IF($G75="wagon",1,1.2)))+$AZ75</f>
        <v>37</v>
      </c>
      <c r="BK75" s="17" t="n">
        <f aca="false">BI75*IF($G75="wagon",62.5,781.25)</f>
        <v>875</v>
      </c>
      <c r="BL75" s="17" t="n">
        <f aca="false">BJ75*IF($G75="wagon",2.73,81.25)</f>
        <v>101.01</v>
      </c>
      <c r="BV75" s="0" t="n">
        <v>1</v>
      </c>
      <c r="BW75" s="0" t="n">
        <v>185</v>
      </c>
      <c r="BY75" s="0" t="s">
        <v>301</v>
      </c>
      <c r="BZ75" s="0" t="s">
        <v>302</v>
      </c>
      <c r="CA75" s="0" t="str">
        <f aca="false">VLOOKUP(J75,Eras!$A$2:$C$10, 2, TRUE())</f>
        <v>lbr</v>
      </c>
      <c r="CB75" s="0" t="s">
        <v>303</v>
      </c>
      <c r="CC75" s="0" t="str">
        <f aca="false">CONCATENATE(CA75,"_",CB75)</f>
        <v>lbr_Extra</v>
      </c>
      <c r="CD75" s="0" t="str">
        <f aca="false">_xlfn.CONCAT(H75, "_",I75)</f>
        <v>wagon_RAIL</v>
      </c>
      <c r="CE75" s="6" t="str">
        <f aca="false" t="array" ref="CE75:CE75">_xlfn.CONCAT("{BLACK}Length: {GOLD}", TEXT(ROUNDUP(IF(AQ75&lt;&gt;"",SUM(VALUE(_xlfn.TEXTSPLIT(AQ75, ","))), SUM(VALUE(_xlfn.TEXTSPLIT(AN75, ",")))*IF(M75, M75, 1))/16, 1), "#,##0.0"), " tiles{}")</f>
        <v>{BLACK}Length: {GOLD}0.7 tiles{}</v>
      </c>
      <c r="CF75" s="0" t="str">
        <f aca="false">VLOOKUP($CD75, Constants!$M:$N, 2, FALSE())</f>
        <v/>
      </c>
      <c r="CG75" s="0" t="str">
        <f aca="false">IF(M75&gt;1,_xlfn.CONCAT("{BLACK}Cars: {GOLD}", M75),"")</f>
        <v/>
      </c>
      <c r="CH75" s="0" t="s">
        <v>310</v>
      </c>
      <c r="CI75" s="0" t="str">
        <f aca="false">IF($BU75="!param_no_gameplay_units","{GREEN}Included for gameplay purposes","")</f>
        <v/>
      </c>
      <c r="CJ75" s="0" t="str">
        <f aca="false">IF(BX75="buffet","{YELLOW}25% long distance bonus for consist{}",IF(BZ75="BRAKE","{YELLOW}Speed bonus for slow wagons{}",IF(BW75&gt;190,CONCATENATE("{YELLOW}",INT((BW75-185)/1.85),"% bonus for long distance travel{}"),IF(AND(BW75&lt;180,BW75&lt;&gt;0),CONCATENATE("{YELLOW}",INT((185-BW75)/1.85),"% penalty for long distance travel{}"),""))))</f>
        <v/>
      </c>
      <c r="CK75" s="0" t="str">
        <f aca="false">_xlfn.CONCAT(CF75,IF(CF75&lt;&gt;""," ",""),CG75,IF(OR(CG75&lt;&gt;"",CF75&lt;&gt;""),"{}",""),CE75,CJ75,"{SILVER}",CH75,IF(CI75&lt;&gt;"","{}{}",""),CI75)</f>
        <v>{BLACK}Length: {GOLD}0.7 tiles{}{SILVER}Freightliner had considered replacing the FFA wagons with a shorter 40ft container flat, but the poor running quality of fixed axle wagons resulted in the choice of another standard bogie flat.</v>
      </c>
    </row>
    <row r="76" customFormat="false" ht="14.25" hidden="false" customHeight="false" outlineLevel="0" collapsed="false">
      <c r="A76" s="0" t="s">
        <v>311</v>
      </c>
      <c r="B76" s="15" t="s">
        <v>312</v>
      </c>
      <c r="C76" s="0" t="n">
        <v>61</v>
      </c>
      <c r="E76" s="0" t="n">
        <v>1052</v>
      </c>
      <c r="F76" s="0" t="s">
        <v>143</v>
      </c>
      <c r="G76" s="0" t="s">
        <v>144</v>
      </c>
      <c r="H76" s="0" t="s">
        <v>144</v>
      </c>
      <c r="I76" s="0" t="s">
        <v>92</v>
      </c>
      <c r="J76" s="0" t="n">
        <v>1997</v>
      </c>
      <c r="W76" s="0" t="n">
        <v>23</v>
      </c>
      <c r="Y76" s="0" t="n">
        <v>9</v>
      </c>
      <c r="AA76" s="3" t="str">
        <f aca="false">IF(AND(W76&gt;0,Z76&gt;0),(Z76/((W76+X76)*10)),"")</f>
        <v/>
      </c>
      <c r="AB76" s="0" t="n">
        <v>90</v>
      </c>
      <c r="AC76" s="0" t="n">
        <f aca="false">ROUND(AB76*1.6, 0)</f>
        <v>144</v>
      </c>
      <c r="AF76" s="0" t="n">
        <v>19.3</v>
      </c>
      <c r="AG76" s="0" t="n">
        <v>19.3</v>
      </c>
      <c r="AJ76" s="4" t="n">
        <v>51</v>
      </c>
      <c r="AK76" s="0" t="str">
        <f aca="false">CONCATENATE(VLOOKUP(AL76, 'Voxel Sizes'!$A$2:$B$18,2,FALSE()),"x",INT(AH76*15), "x", INT(AI76*15))</f>
        <v>186x0x0</v>
      </c>
      <c r="AL76" s="0" t="n">
        <f aca="false">ROUND(15*((AG76*10)/256),0)</f>
        <v>11</v>
      </c>
      <c r="AN76" s="0" t="str">
        <f aca="false">CONCATENATE(VLOOKUP(AL76,Constants!$A$2:$C$16,IF(AM76&lt;&gt;"", 3, 2), FALSE()),IF(AM76&lt;&gt;"",CONCATENATE(",",VLOOKUP(AM76,$B:$AN,39,FALSE())),""))</f>
        <v>4,3,4</v>
      </c>
      <c r="AX76" s="0" t="n">
        <v>30</v>
      </c>
      <c r="AY76" s="16" t="str">
        <f aca="false">IF(L76&lt;&gt;"",MAX(16,(L76-J76)+8),"")</f>
        <v/>
      </c>
      <c r="BB76" s="0" t="n">
        <f aca="false">MIN(AB76/150, 1)*30</f>
        <v>18</v>
      </c>
      <c r="BC76" s="0" t="n">
        <f aca="false">MIN(N76/4000, 1)*20</f>
        <v>0</v>
      </c>
      <c r="BD76" s="0" t="n">
        <f aca="false">MIN(Z76/400,1)*20</f>
        <v>0</v>
      </c>
      <c r="BE76" s="3" t="n">
        <f aca="false">1-(MAX(J76-1900, 0)/750)</f>
        <v>0.870666666666667</v>
      </c>
      <c r="BF76" s="0" t="n">
        <f aca="false">((MAX($M76,1)*MIN($AJ76/300,1)))*IF(G76="Wagon",50,10)</f>
        <v>8.5</v>
      </c>
      <c r="BG76" s="0" t="n">
        <f aca="false">VLOOKUP($H76,Constants!$I:$K, 2, FALSE())</f>
        <v>1</v>
      </c>
      <c r="BH76" s="0" t="n">
        <f aca="false">VLOOKUP($H76,Constants!$I:$K, 3, FALSE())*IF(AND(G76="multiple_unit",AB76&lt;110),0.75,1)</f>
        <v>0.45</v>
      </c>
      <c r="BI76" s="0" t="n">
        <f aca="false">INT(POWER(((Constants!$G$2+$BB76+$BC76+$BD76+$BF76)*$BE76)*$BH76, 1.05))+$BA76</f>
        <v>13</v>
      </c>
      <c r="BJ76" s="0" t="n">
        <f aca="false">INT(POWER((((Constants!$G$1+$BB76+$BC76+$BD76+$BF76)*($BE76))*$BG76),IF($G76="wagon",1,1.2)))+$AZ76</f>
        <v>36</v>
      </c>
      <c r="BK76" s="17" t="n">
        <f aca="false">BI76*IF($G76="wagon",62.5,781.25)</f>
        <v>812.5</v>
      </c>
      <c r="BL76" s="17" t="n">
        <f aca="false">BJ76*IF($G76="wagon",2.73,81.25)</f>
        <v>98.28</v>
      </c>
      <c r="BV76" s="0" t="n">
        <v>1</v>
      </c>
      <c r="BW76" s="0" t="n">
        <v>185</v>
      </c>
      <c r="BY76" s="0" t="s">
        <v>301</v>
      </c>
      <c r="BZ76" s="0" t="s">
        <v>302</v>
      </c>
      <c r="CA76" s="0" t="str">
        <f aca="false">VLOOKUP(J76,Eras!$A$2:$C$10, 2, TRUE())</f>
        <v>prv</v>
      </c>
      <c r="CB76" s="0" t="s">
        <v>303</v>
      </c>
      <c r="CC76" s="0" t="str">
        <f aca="false">CONCATENATE(CA76,"_",CB76)</f>
        <v>prv_Extra</v>
      </c>
      <c r="CD76" s="0" t="str">
        <f aca="false">_xlfn.CONCAT(H76, "_",I76)</f>
        <v>wagon_RAIL</v>
      </c>
      <c r="CE76" s="6" t="str">
        <f aca="false" t="array" ref="CE76:CE76">_xlfn.CONCAT("{BLACK}Length: {GOLD}", TEXT(ROUNDUP(IF(AQ76&lt;&gt;"",SUM(VALUE(_xlfn.TEXTSPLIT(AQ76, ","))), SUM(VALUE(_xlfn.TEXTSPLIT(AN76, ",")))*IF(M76, M76, 1))/16, 1), "#,##0.0"), " tiles{}")</f>
        <v>{BLACK}Length: {GOLD}0.7 tiles{}</v>
      </c>
      <c r="CF76" s="0" t="str">
        <f aca="false">VLOOKUP($CD76, Constants!$M:$N, 2, FALSE())</f>
        <v/>
      </c>
      <c r="CG76" s="0" t="str">
        <f aca="false">IF(M76&gt;1,_xlfn.CONCAT("{BLACK}Cars: {GOLD}", M76),"")</f>
        <v/>
      </c>
      <c r="CH76" s="0" t="s">
        <v>313</v>
      </c>
      <c r="CI76" s="0" t="str">
        <f aca="false">IF($BU76="!param_no_gameplay_units","{GREEN}Included for gameplay purposes","")</f>
        <v/>
      </c>
      <c r="CJ76" s="0" t="str">
        <f aca="false">IF(BX76="buffet","{YELLOW}25% long distance bonus for consist{}",IF(BZ76="BRAKE","{YELLOW}Speed bonus for slow wagons{}",IF(BW76&gt;190,CONCATENATE("{YELLOW}",INT((BW76-185)/1.85),"% bonus for long distance travel{}"),IF(AND(BW76&lt;180,BW76&lt;&gt;0),CONCATENATE("{YELLOW}",INT((185-BW76)/1.85),"% penalty for long distance travel{}"),""))))</f>
        <v/>
      </c>
      <c r="CK76" s="0" t="str">
        <f aca="false">_xlfn.CONCAT(CF76,IF(CF76&lt;&gt;""," ",""),CG76,IF(OR(CG76&lt;&gt;"",CF76&lt;&gt;""),"{}",""),CE76,CJ76,"{SILVER}",CH76,IF(CI76&lt;&gt;"","{}{}",""),CI76)</f>
        <v>{BLACK}Length: {GOLD}0.7 tiles{}{SILVER}KTA wagons solve the problem of carrying high-cube containers in the small British loading gauge, using a "pocket" between the axles that can take either a single 40ft container or two 20ft ones.</v>
      </c>
    </row>
    <row r="77" customFormat="false" ht="14.25" hidden="false" customHeight="false" outlineLevel="0" collapsed="false">
      <c r="A77" s="0" t="s">
        <v>314</v>
      </c>
      <c r="B77" s="15" t="s">
        <v>315</v>
      </c>
      <c r="C77" s="0" t="n">
        <v>62</v>
      </c>
      <c r="E77" s="0" t="n">
        <v>1053</v>
      </c>
      <c r="F77" s="0" t="s">
        <v>143</v>
      </c>
      <c r="G77" s="0" t="s">
        <v>144</v>
      </c>
      <c r="H77" s="0" t="s">
        <v>144</v>
      </c>
      <c r="I77" s="0" t="s">
        <v>146</v>
      </c>
      <c r="J77" s="0" t="n">
        <v>1700</v>
      </c>
      <c r="L77" s="0" t="n">
        <v>1875</v>
      </c>
      <c r="W77" s="0" t="n">
        <v>2</v>
      </c>
      <c r="Y77" s="0" t="n">
        <v>3</v>
      </c>
      <c r="AA77" s="3" t="str">
        <f aca="false">IF(AND(W77&gt;0,Z77&gt;0),(Z77/((W77+X77)*10)),"")</f>
        <v/>
      </c>
      <c r="AB77" s="0" t="n">
        <v>30</v>
      </c>
      <c r="AC77" s="0" t="n">
        <f aca="false">ROUND(AB77*1.6, 0)</f>
        <v>48</v>
      </c>
      <c r="AF77" s="0" t="n">
        <v>6</v>
      </c>
      <c r="AG77" s="0" t="n">
        <v>6</v>
      </c>
      <c r="AJ77" s="4" t="n">
        <v>18</v>
      </c>
      <c r="AK77" s="0" t="str">
        <f aca="false">CONCATENATE(VLOOKUP(AL77, 'Voxel Sizes'!$A$2:$B$18,2,FALSE()),"x",INT(AH77*15), "x", INT(AI77*15))</f>
        <v>60x0x0</v>
      </c>
      <c r="AL77" s="0" t="n">
        <f aca="false">ROUND(15*((AG77*10)/256),0)</f>
        <v>4</v>
      </c>
      <c r="AN77" s="0" t="str">
        <f aca="false">CONCATENATE(VLOOKUP(AL77,Constants!$A$2:$C$16,IF(AM77&lt;&gt;"", 3, 2), FALSE()),IF(AM77&lt;&gt;"",CONCATENATE(",",VLOOKUP(AM77,$B:$AN,39,FALSE())),""))</f>
        <v>1,2,1</v>
      </c>
      <c r="AX77" s="0" t="n">
        <v>30</v>
      </c>
      <c r="AY77" s="16" t="n">
        <f aca="false">IF(L77&lt;&gt;"",MAX(16,(L77-J77)+8),"")</f>
        <v>183</v>
      </c>
      <c r="AZ77" s="0" t="n">
        <v>-15</v>
      </c>
      <c r="BA77" s="0" t="n">
        <v>-2</v>
      </c>
      <c r="BB77" s="0" t="n">
        <f aca="false">MIN(AB77/150, 1)*30</f>
        <v>6</v>
      </c>
      <c r="BC77" s="0" t="n">
        <f aca="false">MIN(N77/4000, 1)*20</f>
        <v>0</v>
      </c>
      <c r="BD77" s="0" t="n">
        <f aca="false">MIN(Z77/400,1)*20</f>
        <v>0</v>
      </c>
      <c r="BE77" s="3" t="n">
        <f aca="false">1-(MAX(J77-1900, 0)/750)</f>
        <v>1</v>
      </c>
      <c r="BF77" s="0" t="n">
        <f aca="false">((MAX($M77,1)*MIN($AJ77/300,1)))*IF(G77="Wagon",50,10)</f>
        <v>3</v>
      </c>
      <c r="BG77" s="0" t="n">
        <f aca="false">VLOOKUP($H77,Constants!$I:$K, 2, FALSE())</f>
        <v>1</v>
      </c>
      <c r="BH77" s="0" t="n">
        <f aca="false">VLOOKUP($H77,Constants!$I:$K, 3, FALSE())*IF(AND(G77="multiple_unit",AB77&lt;110),0.75,1)</f>
        <v>0.45</v>
      </c>
      <c r="BI77" s="0" t="n">
        <f aca="false">INT(POWER(((Constants!$G$2+$BB77+$BC77+$BD77+$BF77)*$BE77)*$BH77, 1.05))+$BA77</f>
        <v>4</v>
      </c>
      <c r="BJ77" s="0" t="n">
        <f aca="false">INT(POWER((((Constants!$G$1+$BB77+$BC77+$BD77+$BF77)*($BE77))*$BG77),IF($G77="wagon",1,1.2)))+$AZ77</f>
        <v>9</v>
      </c>
      <c r="BK77" s="17" t="n">
        <f aca="false">BI77*IF($G77="wagon",62.5,781.25)</f>
        <v>250</v>
      </c>
      <c r="BL77" s="17" t="n">
        <f aca="false">BJ77*IF($G77="wagon",2.73,81.25)</f>
        <v>24.57</v>
      </c>
      <c r="BV77" s="0" t="n">
        <v>1</v>
      </c>
      <c r="BW77" s="0" t="n">
        <v>185</v>
      </c>
      <c r="BY77" s="0" t="s">
        <v>316</v>
      </c>
      <c r="BZ77" s="0" t="s">
        <v>317</v>
      </c>
      <c r="CA77" s="0" t="str">
        <f aca="false">VLOOKUP(J77,Eras!$A$2:$C$10, 2, TRUE())</f>
        <v>early</v>
      </c>
      <c r="CB77" s="0" t="s">
        <v>318</v>
      </c>
      <c r="CC77" s="0" t="str">
        <f aca="false">CONCATENATE(CA77,"_",CB77)</f>
        <v>early_Flat Wagon</v>
      </c>
      <c r="CD77" s="0" t="str">
        <f aca="false">_xlfn.CONCAT(H77, "_",I77)</f>
        <v>wagon_PLATEWAY</v>
      </c>
      <c r="CE77" s="6" t="str">
        <f aca="false" t="array" ref="CE77:CE77">_xlfn.CONCAT("{BLACK}Length: {GOLD}", TEXT(ROUNDUP(IF(AQ77&lt;&gt;"",SUM(VALUE(_xlfn.TEXTSPLIT(AQ77, ","))), SUM(VALUE(_xlfn.TEXTSPLIT(AN77, ",")))*IF(M77, M77, 1))/16, 1), "#,##0.0"), " tiles{}")</f>
        <v>{BLACK}Length: {GOLD}0.3 tiles{}</v>
      </c>
      <c r="CF77" s="0" t="str">
        <f aca="false">VLOOKUP($CD77, Constants!$M:$N, 2, FALSE())</f>
        <v/>
      </c>
      <c r="CG77" s="0" t="str">
        <f aca="false">IF(M77&gt;1,_xlfn.CONCAT("{BLACK}Cars: {GOLD}", M77),"")</f>
        <v/>
      </c>
      <c r="CH77" s="0" t="s">
        <v>319</v>
      </c>
      <c r="CI77" s="0" t="str">
        <f aca="false">IF($BU77="!param_no_gameplay_units","{GREEN}Included for gameplay purposes","")</f>
        <v/>
      </c>
      <c r="CJ77" s="0" t="str">
        <f aca="false">IF(BX77="buffet","{YELLOW}25% long distance bonus for consist{}",IF(BZ77="BRAKE","{YELLOW}Speed bonus for slow wagons{}",IF(BW77&gt;190,CONCATENATE("{YELLOW}",INT((BW77-185)/1.85),"% bonus for long distance travel{}"),IF(AND(BW77&lt;180,BW77&lt;&gt;0),CONCATENATE("{YELLOW}",INT((185-BW77)/1.85),"% penalty for long distance travel{}"),""))))</f>
        <v/>
      </c>
      <c r="CK77" s="0" t="str">
        <f aca="false">_xlfn.CONCAT(CF77,IF(CF77&lt;&gt;""," ",""),CG77,IF(OR(CG77&lt;&gt;"",CF77&lt;&gt;""),"{}",""),CE77,CJ77,"{SILVER}",CH77,IF(CI77&lt;&gt;"","{}{}",""),CI77)</f>
        <v>{BLACK}Length: {GOLD}0.3 tiles{}{SILVER}Early flat wagons had simple wooden construction, and sometimes featured stakes for securing loads.</v>
      </c>
    </row>
    <row r="78" customFormat="false" ht="14.25" hidden="false" customHeight="false" outlineLevel="0" collapsed="false">
      <c r="A78" s="0" t="s">
        <v>320</v>
      </c>
      <c r="B78" s="15" t="s">
        <v>321</v>
      </c>
      <c r="C78" s="0" t="n">
        <v>63</v>
      </c>
      <c r="E78" s="0" t="n">
        <v>1054</v>
      </c>
      <c r="F78" s="0" t="s">
        <v>143</v>
      </c>
      <c r="G78" s="0" t="s">
        <v>144</v>
      </c>
      <c r="H78" s="0" t="s">
        <v>144</v>
      </c>
      <c r="I78" s="0" t="s">
        <v>92</v>
      </c>
      <c r="J78" s="0" t="n">
        <v>1850</v>
      </c>
      <c r="L78" s="0" t="n">
        <v>1924</v>
      </c>
      <c r="W78" s="0" t="n">
        <v>5</v>
      </c>
      <c r="Y78" s="0" t="n">
        <v>3</v>
      </c>
      <c r="AA78" s="3" t="str">
        <f aca="false">IF(AND(W78&gt;0,Z78&gt;0),(Z78/((W78+X78)*10)),"")</f>
        <v/>
      </c>
      <c r="AB78" s="0" t="n">
        <v>35</v>
      </c>
      <c r="AC78" s="0" t="n">
        <f aca="false">ROUND(AB78*1.6, 0)</f>
        <v>56</v>
      </c>
      <c r="AF78" s="0" t="n">
        <v>6</v>
      </c>
      <c r="AG78" s="0" t="n">
        <v>6</v>
      </c>
      <c r="AJ78" s="4" t="n">
        <v>24</v>
      </c>
      <c r="AK78" s="0" t="str">
        <f aca="false">CONCATENATE(VLOOKUP(AL78, 'Voxel Sizes'!$A$2:$B$18,2,FALSE()),"x",INT(AH78*15), "x", INT(AI78*15))</f>
        <v>60x0x0</v>
      </c>
      <c r="AL78" s="0" t="n">
        <f aca="false">ROUND(15*((AG78*10)/256),0)</f>
        <v>4</v>
      </c>
      <c r="AN78" s="0" t="str">
        <f aca="false">CONCATENATE(VLOOKUP(AL78,Constants!$A$2:$C$16,IF(AM78&lt;&gt;"", 3, 2), FALSE()),IF(AM78&lt;&gt;"",CONCATENATE(",",VLOOKUP(AM78,$B:$AN,39,FALSE())),""))</f>
        <v>1,2,1</v>
      </c>
      <c r="AX78" s="0" t="n">
        <v>30</v>
      </c>
      <c r="AY78" s="16" t="n">
        <f aca="false">IF(L78&lt;&gt;"",MAX(16,(L78-J78)+8),"")</f>
        <v>82</v>
      </c>
      <c r="BB78" s="0" t="n">
        <f aca="false">MIN(AB78/150, 1)*30</f>
        <v>7</v>
      </c>
      <c r="BC78" s="0" t="n">
        <f aca="false">MIN(N78/4000, 1)*20</f>
        <v>0</v>
      </c>
      <c r="BD78" s="0" t="n">
        <f aca="false">MIN(Z78/400,1)*20</f>
        <v>0</v>
      </c>
      <c r="BE78" s="3" t="n">
        <f aca="false">1-(MAX(J78-1900, 0)/750)</f>
        <v>1</v>
      </c>
      <c r="BF78" s="0" t="n">
        <f aca="false">((MAX($M78,1)*MIN($AJ78/300,1)))*IF(G78="Wagon",50,10)</f>
        <v>4</v>
      </c>
      <c r="BG78" s="0" t="n">
        <f aca="false">VLOOKUP($H78,Constants!$I:$K, 2, FALSE())</f>
        <v>1</v>
      </c>
      <c r="BH78" s="0" t="n">
        <f aca="false">VLOOKUP($H78,Constants!$I:$K, 3, FALSE())*IF(AND(G78="multiple_unit",AB78&lt;110),0.75,1)</f>
        <v>0.45</v>
      </c>
      <c r="BI78" s="0" t="n">
        <f aca="false">INT(POWER(((Constants!$G$2+$BB78+$BC78+$BD78+$BF78)*$BE78)*$BH78, 1.05))+$BA78</f>
        <v>7</v>
      </c>
      <c r="BJ78" s="0" t="n">
        <f aca="false">INT(POWER((((Constants!$G$1+$BB78+$BC78+$BD78+$BF78)*($BE78))*$BG78),IF($G78="wagon",1,1.2)))+$AZ78</f>
        <v>26</v>
      </c>
      <c r="BK78" s="17" t="n">
        <f aca="false">BI78*IF($G78="wagon",62.5,781.25)</f>
        <v>437.5</v>
      </c>
      <c r="BL78" s="17" t="n">
        <f aca="false">BJ78*IF($G78="wagon",2.73,81.25)</f>
        <v>70.98</v>
      </c>
      <c r="BV78" s="0" t="n">
        <v>1</v>
      </c>
      <c r="BW78" s="0" t="n">
        <v>185</v>
      </c>
      <c r="BY78" s="0" t="s">
        <v>316</v>
      </c>
      <c r="BZ78" s="0" t="s">
        <v>317</v>
      </c>
      <c r="CA78" s="0" t="str">
        <f aca="false">VLOOKUP(J78,Eras!$A$2:$C$10, 2, TRUE())</f>
        <v>vct</v>
      </c>
      <c r="CB78" s="0" t="s">
        <v>318</v>
      </c>
      <c r="CC78" s="0" t="str">
        <f aca="false">CONCATENATE(CA78,"_",CB78)</f>
        <v>vct_Flat Wagon</v>
      </c>
      <c r="CD78" s="0" t="str">
        <f aca="false">_xlfn.CONCAT(H78, "_",I78)</f>
        <v>wagon_RAIL</v>
      </c>
      <c r="CE78" s="6" t="str">
        <f aca="false" t="array" ref="CE78:CE78">_xlfn.CONCAT("{BLACK}Length: {GOLD}", TEXT(ROUNDUP(IF(AQ78&lt;&gt;"",SUM(VALUE(_xlfn.TEXTSPLIT(AQ78, ","))), SUM(VALUE(_xlfn.TEXTSPLIT(AN78, ",")))*IF(M78, M78, 1))/16, 1), "#,##0.0"), " tiles{}")</f>
        <v>{BLACK}Length: {GOLD}0.3 tiles{}</v>
      </c>
      <c r="CF78" s="0" t="str">
        <f aca="false">VLOOKUP($CD78, Constants!$M:$N, 2, FALSE())</f>
        <v/>
      </c>
      <c r="CG78" s="0" t="str">
        <f aca="false">IF(M78&gt;1,_xlfn.CONCAT("{BLACK}Cars: {GOLD}", M78),"")</f>
        <v/>
      </c>
      <c r="CH78" s="0" t="s">
        <v>322</v>
      </c>
      <c r="CI78" s="0" t="str">
        <f aca="false">IF($BU78="!param_no_gameplay_units","{GREEN}Included for gameplay purposes","")</f>
        <v/>
      </c>
      <c r="CJ78" s="0" t="str">
        <f aca="false">IF(BX78="buffet","{YELLOW}25% long distance bonus for consist{}",IF(BZ78="BRAKE","{YELLOW}Speed bonus for slow wagons{}",IF(BW78&gt;190,CONCATENATE("{YELLOW}",INT((BW78-185)/1.85),"% bonus for long distance travel{}"),IF(AND(BW78&lt;180,BW78&lt;&gt;0),CONCATENATE("{YELLOW}",INT((185-BW78)/1.85),"% penalty for long distance travel{}"),""))))</f>
        <v/>
      </c>
      <c r="CK78" s="0" t="str">
        <f aca="false">_xlfn.CONCAT(CF78,IF(CF78&lt;&gt;""," ",""),CG78,IF(OR(CG78&lt;&gt;"",CF78&lt;&gt;""),"{}",""),CE78,CJ78,"{SILVER}",CH78,IF(CI78&lt;&gt;"","{}{}",""),CI78)</f>
        <v>{BLACK}Length: {GOLD}0.3 tiles{}{SILVER}Flat wagons carried goods such as metal pipes and wood, where a flat surface with bolsters for tying loads down was most convenient.</v>
      </c>
    </row>
    <row r="79" customFormat="false" ht="14.25" hidden="false" customHeight="false" outlineLevel="0" collapsed="false">
      <c r="A79" s="0" t="s">
        <v>323</v>
      </c>
      <c r="B79" s="15" t="s">
        <v>324</v>
      </c>
      <c r="C79" s="0" t="n">
        <v>64</v>
      </c>
      <c r="E79" s="0" t="n">
        <v>1055</v>
      </c>
      <c r="F79" s="0" t="s">
        <v>143</v>
      </c>
      <c r="G79" s="0" t="s">
        <v>144</v>
      </c>
      <c r="H79" s="0" t="s">
        <v>144</v>
      </c>
      <c r="I79" s="0" t="s">
        <v>92</v>
      </c>
      <c r="J79" s="0" t="n">
        <v>1906</v>
      </c>
      <c r="L79" s="0" t="n">
        <v>1960</v>
      </c>
      <c r="W79" s="0" t="n">
        <v>7</v>
      </c>
      <c r="Y79" s="0" t="n">
        <v>3</v>
      </c>
      <c r="AA79" s="3" t="str">
        <f aca="false">IF(AND(W79&gt;0,Z79&gt;0),(Z79/((W79+X79)*10)),"")</f>
        <v/>
      </c>
      <c r="AB79" s="0" t="n">
        <v>45</v>
      </c>
      <c r="AC79" s="0" t="n">
        <f aca="false">ROUND(AB79*1.6, 0)</f>
        <v>72</v>
      </c>
      <c r="AF79" s="0" t="n">
        <v>8</v>
      </c>
      <c r="AG79" s="0" t="n">
        <v>8</v>
      </c>
      <c r="AJ79" s="4" t="n">
        <v>24</v>
      </c>
      <c r="AK79" s="0" t="str">
        <f aca="false">CONCATENATE(VLOOKUP(AL79, 'Voxel Sizes'!$A$2:$B$18,2,FALSE()),"x",INT(AH79*15), "x", INT(AI79*15))</f>
        <v>82x0x0</v>
      </c>
      <c r="AL79" s="0" t="n">
        <f aca="false">ROUND(15*((AG79*10)/256),0)</f>
        <v>5</v>
      </c>
      <c r="AN79" s="0" t="str">
        <f aca="false">CONCATENATE(VLOOKUP(AL79,Constants!$A$2:$C$16,IF(AM79&lt;&gt;"", 3, 2), FALSE()),IF(AM79&lt;&gt;"",CONCATENATE(",",VLOOKUP(AM79,$B:$AN,39,FALSE())),""))</f>
        <v>2,1,2</v>
      </c>
      <c r="AX79" s="0" t="n">
        <v>30</v>
      </c>
      <c r="AY79" s="16" t="n">
        <f aca="false">IF(L79&lt;&gt;"",MAX(16,(L79-J79)+8),"")</f>
        <v>62</v>
      </c>
      <c r="BB79" s="0" t="n">
        <f aca="false">MIN(AB79/150, 1)*30</f>
        <v>9</v>
      </c>
      <c r="BC79" s="0" t="n">
        <f aca="false">MIN(N79/4000, 1)*20</f>
        <v>0</v>
      </c>
      <c r="BD79" s="0" t="n">
        <f aca="false">MIN(Z79/400,1)*20</f>
        <v>0</v>
      </c>
      <c r="BE79" s="3" t="n">
        <f aca="false">1-(MAX(J79-1900, 0)/750)</f>
        <v>0.992</v>
      </c>
      <c r="BF79" s="0" t="n">
        <f aca="false">((MAX($M79,1)*MIN($AJ79/300,1)))*IF(G79="Wagon",50,10)</f>
        <v>4</v>
      </c>
      <c r="BG79" s="0" t="n">
        <f aca="false">VLOOKUP($H79,Constants!$I:$K, 2, FALSE())</f>
        <v>1</v>
      </c>
      <c r="BH79" s="0" t="n">
        <f aca="false">VLOOKUP($H79,Constants!$I:$K, 3, FALSE())*IF(AND(G79="multiple_unit",AB79&lt;110),0.75,1)</f>
        <v>0.45</v>
      </c>
      <c r="BI79" s="0" t="n">
        <f aca="false">INT(POWER(((Constants!$G$2+$BB79+$BC79+$BD79+$BF79)*$BE79)*$BH79, 1.05))+$BA79</f>
        <v>8</v>
      </c>
      <c r="BJ79" s="0" t="n">
        <f aca="false">INT(POWER((((Constants!$G$1+$BB79+$BC79+$BD79+$BF79)*($BE79))*$BG79),IF($G79="wagon",1,1.2)))+$AZ79</f>
        <v>27</v>
      </c>
      <c r="BK79" s="17" t="n">
        <f aca="false">BI79*IF($G79="wagon",62.5,781.25)</f>
        <v>500</v>
      </c>
      <c r="BL79" s="17" t="n">
        <f aca="false">BJ79*IF($G79="wagon",2.73,81.25)</f>
        <v>73.71</v>
      </c>
      <c r="BV79" s="0" t="n">
        <v>1</v>
      </c>
      <c r="BW79" s="0" t="n">
        <v>185</v>
      </c>
      <c r="BY79" s="0" t="s">
        <v>316</v>
      </c>
      <c r="BZ79" s="0" t="s">
        <v>317</v>
      </c>
      <c r="CA79" s="0" t="str">
        <f aca="false">VLOOKUP(J79,Eras!$A$2:$C$10, 2, TRUE())</f>
        <v>edw</v>
      </c>
      <c r="CB79" s="0" t="s">
        <v>318</v>
      </c>
      <c r="CC79" s="0" t="str">
        <f aca="false">CONCATENATE(CA79,"_",CB79)</f>
        <v>edw_Flat Wagon</v>
      </c>
      <c r="CD79" s="0" t="str">
        <f aca="false">_xlfn.CONCAT(H79, "_",I79)</f>
        <v>wagon_RAIL</v>
      </c>
      <c r="CE79" s="6" t="str">
        <f aca="false" t="array" ref="CE79:CE79">_xlfn.CONCAT("{BLACK}Length: {GOLD}", TEXT(ROUNDUP(IF(AQ79&lt;&gt;"",SUM(VALUE(_xlfn.TEXTSPLIT(AQ79, ","))), SUM(VALUE(_xlfn.TEXTSPLIT(AN79, ",")))*IF(M79, M79, 1))/16, 1), "#,##0.0"), " tiles{}")</f>
        <v>{BLACK}Length: {GOLD}0.4 tiles{}</v>
      </c>
      <c r="CF79" s="0" t="str">
        <f aca="false">VLOOKUP($CD79, Constants!$M:$N, 2, FALSE())</f>
        <v/>
      </c>
      <c r="CG79" s="0" t="str">
        <f aca="false">IF(M79&gt;1,_xlfn.CONCAT("{BLACK}Cars: {GOLD}", M79),"")</f>
        <v/>
      </c>
      <c r="CH79" s="0" t="s">
        <v>325</v>
      </c>
      <c r="CI79" s="0" t="str">
        <f aca="false">IF($BU79="!param_no_gameplay_units","{GREEN}Included for gameplay purposes","")</f>
        <v/>
      </c>
      <c r="CJ79" s="0" t="str">
        <f aca="false">IF(BX79="buffet","{YELLOW}25% long distance bonus for consist{}",IF(BZ79="BRAKE","{YELLOW}Speed bonus for slow wagons{}",IF(BW79&gt;190,CONCATENATE("{YELLOW}",INT((BW79-185)/1.85),"% bonus for long distance travel{}"),IF(AND(BW79&lt;180,BW79&lt;&gt;0),CONCATENATE("{YELLOW}",INT((185-BW79)/1.85),"% penalty for long distance travel{}"),""))))</f>
        <v/>
      </c>
      <c r="CK79" s="0" t="str">
        <f aca="false">_xlfn.CONCAT(CF79,IF(CF79&lt;&gt;""," ",""),CG79,IF(OR(CG79&lt;&gt;"",CF79&lt;&gt;""),"{}",""),CE79,CJ79,"{SILVER}",CH79,IF(CI79&lt;&gt;"","{}{}",""),CI79)</f>
        <v>{BLACK}Length: {GOLD}0.4 tiles{}{SILVER}"Beaver" was the GWR telegraph code for a flat wagon, with an additional letter used to identify the length.</v>
      </c>
    </row>
    <row r="80" customFormat="false" ht="14.25" hidden="false" customHeight="false" outlineLevel="0" collapsed="false">
      <c r="A80" s="0" t="s">
        <v>326</v>
      </c>
      <c r="B80" s="15" t="s">
        <v>327</v>
      </c>
      <c r="C80" s="0" t="n">
        <v>65</v>
      </c>
      <c r="E80" s="0" t="n">
        <v>1056</v>
      </c>
      <c r="F80" s="0" t="s">
        <v>143</v>
      </c>
      <c r="G80" s="0" t="s">
        <v>144</v>
      </c>
      <c r="H80" s="0" t="s">
        <v>144</v>
      </c>
      <c r="I80" s="0" t="s">
        <v>92</v>
      </c>
      <c r="J80" s="0" t="n">
        <v>1916</v>
      </c>
      <c r="L80" s="0" t="n">
        <v>1965</v>
      </c>
      <c r="W80" s="0" t="n">
        <v>14</v>
      </c>
      <c r="Y80" s="0" t="n">
        <v>4</v>
      </c>
      <c r="AA80" s="3" t="str">
        <f aca="false">IF(AND(W80&gt;0,Z80&gt;0),(Z80/((W80+X80)*10)),"")</f>
        <v/>
      </c>
      <c r="AB80" s="0" t="n">
        <v>45</v>
      </c>
      <c r="AC80" s="0" t="n">
        <f aca="false">ROUND(AB80*1.6, 0)</f>
        <v>72</v>
      </c>
      <c r="AF80" s="0" t="n">
        <v>15.2</v>
      </c>
      <c r="AG80" s="0" t="n">
        <v>15.2</v>
      </c>
      <c r="AJ80" s="4" t="n">
        <v>42</v>
      </c>
      <c r="AK80" s="0" t="str">
        <f aca="false">CONCATENATE(VLOOKUP(AL80, 'Voxel Sizes'!$A$2:$B$18,2,FALSE()),"x",INT(AH80*15), "x", INT(AI80*15))</f>
        <v>152x0x0</v>
      </c>
      <c r="AL80" s="0" t="n">
        <f aca="false">ROUND(15*((AG80*10)/256),0)</f>
        <v>9</v>
      </c>
      <c r="AN80" s="0" t="str">
        <f aca="false">CONCATENATE(VLOOKUP(AL80,Constants!$A$2:$C$16,IF(AM80&lt;&gt;"", 3, 2), FALSE()),IF(AM80&lt;&gt;"",CONCATENATE(",",VLOOKUP(AM80,$B:$AN,39,FALSE())),""))</f>
        <v>2,5,2</v>
      </c>
      <c r="AX80" s="0" t="n">
        <v>30</v>
      </c>
      <c r="AY80" s="16" t="n">
        <f aca="false">IF(L80&lt;&gt;"",MAX(16,(L80-J80)+8),"")</f>
        <v>57</v>
      </c>
      <c r="BB80" s="0" t="n">
        <f aca="false">MIN(AB80/150, 1)*30</f>
        <v>9</v>
      </c>
      <c r="BC80" s="0" t="n">
        <f aca="false">MIN(N80/4000, 1)*20</f>
        <v>0</v>
      </c>
      <c r="BD80" s="0" t="n">
        <f aca="false">MIN(Z80/400,1)*20</f>
        <v>0</v>
      </c>
      <c r="BE80" s="3" t="n">
        <f aca="false">1-(MAX(J80-1900, 0)/750)</f>
        <v>0.978666666666667</v>
      </c>
      <c r="BF80" s="0" t="n">
        <f aca="false">((MAX($M80,1)*MIN($AJ80/300,1)))*IF(G80="Wagon",50,10)</f>
        <v>7</v>
      </c>
      <c r="BG80" s="0" t="n">
        <f aca="false">VLOOKUP($H80,Constants!$I:$K, 2, FALSE())</f>
        <v>1</v>
      </c>
      <c r="BH80" s="0" t="n">
        <f aca="false">VLOOKUP($H80,Constants!$I:$K, 3, FALSE())*IF(AND(G80="multiple_unit",AB80&lt;110),0.75,1)</f>
        <v>0.45</v>
      </c>
      <c r="BI80" s="0" t="n">
        <f aca="false">INT(POWER(((Constants!$G$2+$BB80+$BC80+$BD80+$BF80)*$BE80)*$BH80, 1.05))+$BA80</f>
        <v>10</v>
      </c>
      <c r="BJ80" s="0" t="n">
        <f aca="false">INT(POWER((((Constants!$G$1+$BB80+$BC80+$BD80+$BF80)*($BE80))*$BG80),IF($G80="wagon",1,1.2)))+$AZ80</f>
        <v>30</v>
      </c>
      <c r="BK80" s="17" t="n">
        <f aca="false">BI80*IF($G80="wagon",62.5,781.25)</f>
        <v>625</v>
      </c>
      <c r="BL80" s="17" t="n">
        <f aca="false">BJ80*IF($G80="wagon",2.73,81.25)</f>
        <v>81.9</v>
      </c>
      <c r="BV80" s="0" t="n">
        <v>1</v>
      </c>
      <c r="BW80" s="0" t="n">
        <v>185</v>
      </c>
      <c r="BY80" s="0" t="s">
        <v>316</v>
      </c>
      <c r="BZ80" s="0" t="s">
        <v>317</v>
      </c>
      <c r="CA80" s="0" t="str">
        <f aca="false">VLOOKUP(J80,Eras!$A$2:$C$10, 2, TRUE())</f>
        <v>edw</v>
      </c>
      <c r="CB80" s="0" t="s">
        <v>318</v>
      </c>
      <c r="CC80" s="0" t="str">
        <f aca="false">CONCATENATE(CA80,"_",CB80)</f>
        <v>edw_Flat Wagon</v>
      </c>
      <c r="CD80" s="0" t="str">
        <f aca="false">_xlfn.CONCAT(H80, "_",I80)</f>
        <v>wagon_RAIL</v>
      </c>
      <c r="CE80" s="6" t="str">
        <f aca="false" t="array" ref="CE80:CE80">_xlfn.CONCAT("{BLACK}Length: {GOLD}", TEXT(ROUNDUP(IF(AQ80&lt;&gt;"",SUM(VALUE(_xlfn.TEXTSPLIT(AQ80, ","))), SUM(VALUE(_xlfn.TEXTSPLIT(AN80, ",")))*IF(M80, M80, 1))/16, 1), "#,##0.0"), " tiles{}")</f>
        <v>{BLACK}Length: {GOLD}0.6 tiles{}</v>
      </c>
      <c r="CF80" s="0" t="str">
        <f aca="false">VLOOKUP($CD80, Constants!$M:$N, 2, FALSE())</f>
        <v/>
      </c>
      <c r="CG80" s="0" t="str">
        <f aca="false">IF(M80&gt;1,_xlfn.CONCAT("{BLACK}Cars: {GOLD}", M80),"")</f>
        <v/>
      </c>
      <c r="CH80" s="0" t="s">
        <v>328</v>
      </c>
      <c r="CI80" s="0" t="str">
        <f aca="false">IF($BU80="!param_no_gameplay_units","{GREEN}Included for gameplay purposes","")</f>
        <v/>
      </c>
      <c r="CJ80" s="0" t="str">
        <f aca="false">IF(BX80="buffet","{YELLOW}25% long distance bonus for consist{}",IF(BZ80="BRAKE","{YELLOW}Speed bonus for slow wagons{}",IF(BW80&gt;190,CONCATENATE("{YELLOW}",INT((BW80-185)/1.85),"% bonus for long distance travel{}"),IF(AND(BW80&lt;180,BW80&lt;&gt;0),CONCATENATE("{YELLOW}",INT((185-BW80)/1.85),"% penalty for long distance travel{}"),""))))</f>
        <v/>
      </c>
      <c r="CK80" s="0" t="str">
        <f aca="false">_xlfn.CONCAT(CF80,IF(CF80&lt;&gt;""," ",""),CG80,IF(OR(CG80&lt;&gt;"",CF80&lt;&gt;""),"{}",""),CE80,CJ80,"{SILVER}",CH80,IF(CI80&lt;&gt;"","{}{}",""),CI80)</f>
        <v>{BLACK}Length: {GOLD}0.6 tiles{}{SILVER}Bolster wagons were some of the earliest goods vehicles to use bogies rather than fixed axles. The wooden bolsters running across the wagon made long, rigid loads easy to tie down.</v>
      </c>
    </row>
    <row r="81" customFormat="false" ht="14.25" hidden="false" customHeight="false" outlineLevel="0" collapsed="false">
      <c r="A81" s="0" t="s">
        <v>329</v>
      </c>
      <c r="B81" s="15" t="s">
        <v>330</v>
      </c>
      <c r="C81" s="0" t="n">
        <v>66</v>
      </c>
      <c r="E81" s="0" t="n">
        <v>1057</v>
      </c>
      <c r="F81" s="0" t="s">
        <v>143</v>
      </c>
      <c r="G81" s="0" t="s">
        <v>144</v>
      </c>
      <c r="H81" s="0" t="s">
        <v>144</v>
      </c>
      <c r="I81" s="0" t="s">
        <v>92</v>
      </c>
      <c r="J81" s="0" t="n">
        <v>1925</v>
      </c>
      <c r="L81" s="0" t="n">
        <v>1970</v>
      </c>
      <c r="W81" s="0" t="n">
        <v>7</v>
      </c>
      <c r="Y81" s="0" t="n">
        <v>3</v>
      </c>
      <c r="AA81" s="3" t="str">
        <f aca="false">IF(AND(W81&gt;0,Z81&gt;0),(Z81/((W81+X81)*10)),"")</f>
        <v/>
      </c>
      <c r="AB81" s="0" t="n">
        <v>50</v>
      </c>
      <c r="AC81" s="0" t="n">
        <f aca="false">ROUND(AB81*1.6, 0)</f>
        <v>80</v>
      </c>
      <c r="AF81" s="0" t="n">
        <v>10</v>
      </c>
      <c r="AG81" s="0" t="n">
        <v>10</v>
      </c>
      <c r="AJ81" s="4" t="n">
        <v>30</v>
      </c>
      <c r="AK81" s="0" t="str">
        <f aca="false">CONCATENATE(VLOOKUP(AL81, 'Voxel Sizes'!$A$2:$B$18,2,FALSE()),"x",INT(AH81*15), "x", INT(AI81*15))</f>
        <v>102x0x0</v>
      </c>
      <c r="AL81" s="0" t="n">
        <f aca="false">ROUND(15*((AG81*10)/256),0)</f>
        <v>6</v>
      </c>
      <c r="AN81" s="0" t="str">
        <f aca="false">CONCATENATE(VLOOKUP(AL81,Constants!$A$2:$C$16,IF(AM81&lt;&gt;"", 3, 2), FALSE()),IF(AM81&lt;&gt;"",CONCATENATE(",",VLOOKUP(AM81,$B:$AN,39,FALSE())),""))</f>
        <v>2,2,2</v>
      </c>
      <c r="AX81" s="0" t="n">
        <v>30</v>
      </c>
      <c r="AY81" s="16" t="n">
        <f aca="false">IF(L81&lt;&gt;"",MAX(16,(L81-J81)+8),"")</f>
        <v>53</v>
      </c>
      <c r="BB81" s="0" t="n">
        <f aca="false">MIN(AB81/150, 1)*30</f>
        <v>10</v>
      </c>
      <c r="BC81" s="0" t="n">
        <f aca="false">MIN(N81/4000, 1)*20</f>
        <v>0</v>
      </c>
      <c r="BD81" s="0" t="n">
        <f aca="false">MIN(Z81/400,1)*20</f>
        <v>0</v>
      </c>
      <c r="BE81" s="3" t="n">
        <f aca="false">1-(MAX(J81-1900, 0)/750)</f>
        <v>0.966666666666667</v>
      </c>
      <c r="BF81" s="0" t="n">
        <f aca="false">((MAX($M81,1)*MIN($AJ81/300,1)))*IF(G81="Wagon",50,10)</f>
        <v>5</v>
      </c>
      <c r="BG81" s="0" t="n">
        <f aca="false">VLOOKUP($H81,Constants!$I:$K, 2, FALSE())</f>
        <v>1</v>
      </c>
      <c r="BH81" s="0" t="n">
        <f aca="false">VLOOKUP($H81,Constants!$I:$K, 3, FALSE())*IF(AND(G81="multiple_unit",AB81&lt;110),0.75,1)</f>
        <v>0.45</v>
      </c>
      <c r="BI81" s="0" t="n">
        <f aca="false">INT(POWER(((Constants!$G$2+$BB81+$BC81+$BD81+$BF81)*$BE81)*$BH81, 1.05))+$BA81</f>
        <v>9</v>
      </c>
      <c r="BJ81" s="0" t="n">
        <f aca="false">INT(POWER((((Constants!$G$1+$BB81+$BC81+$BD81+$BF81)*($BE81))*$BG81),IF($G81="wagon",1,1.2)))+$AZ81</f>
        <v>29</v>
      </c>
      <c r="BK81" s="17" t="n">
        <f aca="false">BI81*IF($G81="wagon",62.5,781.25)</f>
        <v>562.5</v>
      </c>
      <c r="BL81" s="17" t="n">
        <f aca="false">BJ81*IF($G81="wagon",2.73,81.25)</f>
        <v>79.17</v>
      </c>
      <c r="BV81" s="0" t="n">
        <v>1</v>
      </c>
      <c r="BW81" s="0" t="n">
        <v>185</v>
      </c>
      <c r="BY81" s="0" t="s">
        <v>316</v>
      </c>
      <c r="BZ81" s="0" t="s">
        <v>317</v>
      </c>
      <c r="CA81" s="0" t="str">
        <f aca="false">VLOOKUP(J81,Eras!$A$2:$C$10, 2, TRUE())</f>
        <v>big4</v>
      </c>
      <c r="CB81" s="0" t="s">
        <v>318</v>
      </c>
      <c r="CC81" s="0" t="str">
        <f aca="false">CONCATENATE(CA81,"_",CB81)</f>
        <v>big4_Flat Wagon</v>
      </c>
      <c r="CD81" s="0" t="str">
        <f aca="false">_xlfn.CONCAT(H81, "_",I81)</f>
        <v>wagon_RAIL</v>
      </c>
      <c r="CE81" s="6" t="str">
        <f aca="false" t="array" ref="CE81:CE81">_xlfn.CONCAT("{BLACK}Length: {GOLD}", TEXT(ROUNDUP(IF(AQ81&lt;&gt;"",SUM(VALUE(_xlfn.TEXTSPLIT(AQ81, ","))), SUM(VALUE(_xlfn.TEXTSPLIT(AN81, ",")))*IF(M81, M81, 1))/16, 1), "#,##0.0"), " tiles{}")</f>
        <v>{BLACK}Length: {GOLD}0.4 tiles{}</v>
      </c>
      <c r="CF81" s="0" t="str">
        <f aca="false">VLOOKUP($CD81, Constants!$M:$N, 2, FALSE())</f>
        <v/>
      </c>
      <c r="CG81" s="0" t="str">
        <f aca="false">IF(M81&gt;1,_xlfn.CONCAT("{BLACK}Cars: {GOLD}", M81),"")</f>
        <v/>
      </c>
      <c r="CH81" s="0" t="s">
        <v>331</v>
      </c>
      <c r="CI81" s="0" t="str">
        <f aca="false">IF($BU81="!param_no_gameplay_units","{GREEN}Included for gameplay purposes","")</f>
        <v/>
      </c>
      <c r="CJ81" s="0" t="str">
        <f aca="false">IF(BX81="buffet","{YELLOW}25% long distance bonus for consist{}",IF(BZ81="BRAKE","{YELLOW}Speed bonus for slow wagons{}",IF(BW81&gt;190,CONCATENATE("{YELLOW}",INT((BW81-185)/1.85),"% bonus for long distance travel{}"),IF(AND(BW81&lt;180,BW81&lt;&gt;0),CONCATENATE("{YELLOW}",INT((185-BW81)/1.85),"% penalty for long distance travel{}"),""))))</f>
        <v/>
      </c>
      <c r="CK81" s="0" t="str">
        <f aca="false">_xlfn.CONCAT(CF81,IF(CF81&lt;&gt;""," ",""),CG81,IF(OR(CG81&lt;&gt;"",CF81&lt;&gt;""),"{}",""),CE81,CJ81,"{SILVER}",CH81,IF(CI81&lt;&gt;"","{}{}",""),CI81)</f>
        <v>{BLACK}Length: {GOLD}0.4 tiles{}{SILVER}The LMS built double bolsters to carry welded rail, with single rails laid across multiple bolster wagons.</v>
      </c>
    </row>
    <row r="82" customFormat="false" ht="14.25" hidden="false" customHeight="false" outlineLevel="0" collapsed="false">
      <c r="A82" s="0" t="s">
        <v>332</v>
      </c>
      <c r="B82" s="15" t="s">
        <v>333</v>
      </c>
      <c r="C82" s="0" t="n">
        <v>67</v>
      </c>
      <c r="E82" s="0" t="n">
        <v>1058</v>
      </c>
      <c r="F82" s="0" t="s">
        <v>143</v>
      </c>
      <c r="G82" s="0" t="s">
        <v>144</v>
      </c>
      <c r="H82" s="0" t="s">
        <v>144</v>
      </c>
      <c r="I82" s="0" t="s">
        <v>92</v>
      </c>
      <c r="J82" s="0" t="n">
        <v>1949</v>
      </c>
      <c r="L82" s="0" t="n">
        <v>2010</v>
      </c>
      <c r="W82" s="0" t="n">
        <v>16</v>
      </c>
      <c r="Y82" s="0" t="n">
        <v>5</v>
      </c>
      <c r="AA82" s="3" t="str">
        <f aca="false">IF(AND(W82&gt;0,Z82&gt;0),(Z82/((W82+X82)*10)),"")</f>
        <v/>
      </c>
      <c r="AB82" s="0" t="n">
        <v>60</v>
      </c>
      <c r="AC82" s="0" t="n">
        <f aca="false">ROUND(AB82*1.6, 0)</f>
        <v>96</v>
      </c>
      <c r="AF82" s="0" t="n">
        <v>15.8</v>
      </c>
      <c r="AG82" s="0" t="n">
        <v>19.8</v>
      </c>
      <c r="AJ82" s="4" t="n">
        <f aca="false">19*3</f>
        <v>57</v>
      </c>
      <c r="AK82" s="0" t="str">
        <f aca="false">CONCATENATE(VLOOKUP(AL82, 'Voxel Sizes'!$A$2:$B$18,2,FALSE()),"x",INT(AH82*15), "x", INT(AI82*15))</f>
        <v>198x0x0</v>
      </c>
      <c r="AL82" s="0" t="n">
        <f aca="false">ROUND(15*((AG82*10)/256),0)</f>
        <v>12</v>
      </c>
      <c r="AN82" s="0" t="str">
        <f aca="false">CONCATENATE(VLOOKUP(AL82,Constants!$A$2:$C$16,IF(AM82&lt;&gt;"", 3, 2), FALSE()),IF(AM82&lt;&gt;"",CONCATENATE(",",VLOOKUP(AM82,$B:$AN,39,FALSE())),""))</f>
        <v>4,4,4</v>
      </c>
      <c r="AX82" s="0" t="n">
        <v>30</v>
      </c>
      <c r="AY82" s="16" t="n">
        <f aca="false">IF(L82&lt;&gt;"",MAX(16,(L82-J82)+8),"")</f>
        <v>69</v>
      </c>
      <c r="BB82" s="0" t="n">
        <f aca="false">MIN(AB82/150, 1)*30</f>
        <v>12</v>
      </c>
      <c r="BC82" s="0" t="n">
        <f aca="false">MIN(N82/4000, 1)*20</f>
        <v>0</v>
      </c>
      <c r="BD82" s="0" t="n">
        <f aca="false">MIN(Z82/400,1)*20</f>
        <v>0</v>
      </c>
      <c r="BE82" s="3" t="n">
        <f aca="false">1-(MAX(J82-1900, 0)/750)</f>
        <v>0.934666666666667</v>
      </c>
      <c r="BF82" s="0" t="n">
        <f aca="false">((MAX($M82,1)*MIN($AJ82/300,1)))*IF(G82="Wagon",50,10)</f>
        <v>9.5</v>
      </c>
      <c r="BG82" s="0" t="n">
        <f aca="false">VLOOKUP($H82,Constants!$I:$K, 2, FALSE())</f>
        <v>1</v>
      </c>
      <c r="BH82" s="0" t="n">
        <f aca="false">VLOOKUP($H82,Constants!$I:$K, 3, FALSE())*IF(AND(G82="multiple_unit",AB82&lt;110),0.75,1)</f>
        <v>0.45</v>
      </c>
      <c r="BI82" s="0" t="n">
        <f aca="false">INT(POWER(((Constants!$G$2+$BB82+$BC82+$BD82+$BF82)*$BE82)*$BH82, 1.05))+$BA82</f>
        <v>12</v>
      </c>
      <c r="BJ82" s="0" t="n">
        <f aca="false">INT(POWER((((Constants!$G$1+$BB82+$BC82+$BD82+$BF82)*($BE82))*$BG82),IF($G82="wagon",1,1.2)))+$AZ82</f>
        <v>34</v>
      </c>
      <c r="BK82" s="17" t="n">
        <f aca="false">BI82*IF($G82="wagon",62.5,781.25)</f>
        <v>750</v>
      </c>
      <c r="BL82" s="17" t="n">
        <f aca="false">BJ82*IF($G82="wagon",2.73,81.25)</f>
        <v>92.82</v>
      </c>
      <c r="BV82" s="0" t="n">
        <v>1</v>
      </c>
      <c r="BW82" s="0" t="n">
        <v>185</v>
      </c>
      <c r="BY82" s="0" t="s">
        <v>316</v>
      </c>
      <c r="BZ82" s="0" t="s">
        <v>317</v>
      </c>
      <c r="CA82" s="0" t="str">
        <f aca="false">VLOOKUP(J82,Eras!$A$2:$C$10, 2, TRUE())</f>
        <v>ebr</v>
      </c>
      <c r="CB82" s="0" t="s">
        <v>318</v>
      </c>
      <c r="CC82" s="0" t="str">
        <f aca="false">CONCATENATE(CA82,"_",CB82)</f>
        <v>ebr_Flat Wagon</v>
      </c>
      <c r="CD82" s="0" t="str">
        <f aca="false">_xlfn.CONCAT(H82, "_",I82)</f>
        <v>wagon_RAIL</v>
      </c>
      <c r="CE82" s="6" t="str">
        <f aca="false" t="array" ref="CE82:CE82">_xlfn.CONCAT("{BLACK}Length: {GOLD}", TEXT(ROUNDUP(IF(AQ82&lt;&gt;"",SUM(VALUE(_xlfn.TEXTSPLIT(AQ82, ","))), SUM(VALUE(_xlfn.TEXTSPLIT(AN82, ",")))*IF(M82, M82, 1))/16, 1), "#,##0.0"), " tiles{}")</f>
        <v>{BLACK}Length: {GOLD}0.8 tiles{}</v>
      </c>
      <c r="CF82" s="0" t="str">
        <f aca="false">VLOOKUP($CD82, Constants!$M:$N, 2, FALSE())</f>
        <v/>
      </c>
      <c r="CG82" s="0" t="str">
        <f aca="false">IF(M82&gt;1,_xlfn.CONCAT("{BLACK}Cars: {GOLD}", M82),"")</f>
        <v/>
      </c>
      <c r="CH82" s="0" t="s">
        <v>334</v>
      </c>
      <c r="CI82" s="0" t="str">
        <f aca="false">IF($BU82="!param_no_gameplay_units","{GREEN}Included for gameplay purposes","")</f>
        <v/>
      </c>
      <c r="CJ82" s="0" t="str">
        <f aca="false">IF(BX82="buffet","{YELLOW}25% long distance bonus for consist{}",IF(BZ82="BRAKE","{YELLOW}Speed bonus for slow wagons{}",IF(BW82&gt;190,CONCATENATE("{YELLOW}",INT((BW82-185)/1.85),"% bonus for long distance travel{}"),IF(AND(BW82&lt;180,BW82&lt;&gt;0),CONCATENATE("{YELLOW}",INT((185-BW82)/1.85),"% penalty for long distance travel{}"),""))))</f>
        <v/>
      </c>
      <c r="CK82" s="0" t="str">
        <f aca="false">_xlfn.CONCAT(CF82,IF(CF82&lt;&gt;""," ",""),CG82,IF(OR(CG82&lt;&gt;"",CF82&lt;&gt;""),"{}",""),CE82,CJ82,"{SILVER}",CH82,IF(CI82&lt;&gt;"","{}{}",""),CI82)</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83" customFormat="false" ht="14.25" hidden="false" customHeight="false" outlineLevel="0" collapsed="false">
      <c r="A83" s="0" t="s">
        <v>335</v>
      </c>
      <c r="B83" s="15" t="s">
        <v>336</v>
      </c>
      <c r="C83" s="0" t="n">
        <v>68</v>
      </c>
      <c r="E83" s="0" t="n">
        <v>1059</v>
      </c>
      <c r="F83" s="0" t="s">
        <v>143</v>
      </c>
      <c r="G83" s="0" t="s">
        <v>144</v>
      </c>
      <c r="H83" s="0" t="s">
        <v>144</v>
      </c>
      <c r="I83" s="0" t="s">
        <v>92</v>
      </c>
      <c r="J83" s="0" t="n">
        <v>1952</v>
      </c>
      <c r="L83" s="0" t="n">
        <v>1985</v>
      </c>
      <c r="W83" s="0" t="n">
        <v>9</v>
      </c>
      <c r="Y83" s="0" t="n">
        <v>4</v>
      </c>
      <c r="AA83" s="3" t="str">
        <f aca="false">IF(AND(W83&gt;0,Z83&gt;0),(Z83/((W83+X83)*10)),"")</f>
        <v/>
      </c>
      <c r="AB83" s="0" t="n">
        <v>60</v>
      </c>
      <c r="AC83" s="0" t="n">
        <f aca="false">ROUND(AB83*1.6, 0)</f>
        <v>96</v>
      </c>
      <c r="AF83" s="0" t="n">
        <v>11</v>
      </c>
      <c r="AG83" s="0" t="n">
        <v>11</v>
      </c>
      <c r="AJ83" s="4" t="n">
        <v>24</v>
      </c>
      <c r="AK83" s="0" t="str">
        <f aca="false">CONCATENATE(VLOOKUP(AL83, 'Voxel Sizes'!$A$2:$B$18,2,FALSE()),"x",INT(AH83*15), "x", INT(AI83*15))</f>
        <v>102x0x0</v>
      </c>
      <c r="AL83" s="0" t="n">
        <f aca="false">ROUND(15*((AG83*10)/256),0)</f>
        <v>6</v>
      </c>
      <c r="AN83" s="0" t="str">
        <f aca="false">CONCATENATE(VLOOKUP(AL83,Constants!$A$2:$C$16,IF(AM83&lt;&gt;"", 3, 2), FALSE()),IF(AM83&lt;&gt;"",CONCATENATE(",",VLOOKUP(AM83,$B:$AN,39,FALSE())),""))</f>
        <v>2,2,2</v>
      </c>
      <c r="AX83" s="0" t="n">
        <v>30</v>
      </c>
      <c r="AY83" s="16" t="n">
        <f aca="false">IF(L83&lt;&gt;"",MAX(16,(L83-J83)+8),"")</f>
        <v>41</v>
      </c>
      <c r="BB83" s="0" t="n">
        <f aca="false">MIN(AB83/150, 1)*30</f>
        <v>12</v>
      </c>
      <c r="BC83" s="0" t="n">
        <f aca="false">MIN(N83/4000, 1)*20</f>
        <v>0</v>
      </c>
      <c r="BD83" s="0" t="n">
        <f aca="false">MIN(Z83/400,1)*20</f>
        <v>0</v>
      </c>
      <c r="BE83" s="3" t="n">
        <f aca="false">1-(MAX(J83-1900, 0)/750)</f>
        <v>0.930666666666667</v>
      </c>
      <c r="BF83" s="0" t="n">
        <f aca="false">((MAX($M83,1)*MIN($AJ83/300,1)))*IF(G83="Wagon",50,10)</f>
        <v>4</v>
      </c>
      <c r="BG83" s="0" t="n">
        <f aca="false">VLOOKUP($H83,Constants!$I:$K, 2, FALSE())</f>
        <v>1</v>
      </c>
      <c r="BH83" s="0" t="n">
        <f aca="false">VLOOKUP($H83,Constants!$I:$K, 3, FALSE())*IF(AND(G83="multiple_unit",AB83&lt;110),0.75,1)</f>
        <v>0.45</v>
      </c>
      <c r="BI83" s="0" t="n">
        <f aca="false">INT(POWER(((Constants!$G$2+$BB83+$BC83+$BD83+$BF83)*$BE83)*$BH83, 1.05))+$BA83</f>
        <v>9</v>
      </c>
      <c r="BJ83" s="0" t="n">
        <f aca="false">INT(POWER((((Constants!$G$1+$BB83+$BC83+$BD83+$BF83)*($BE83))*$BG83),IF($G83="wagon",1,1.2)))+$AZ83</f>
        <v>28</v>
      </c>
      <c r="BK83" s="17" t="n">
        <f aca="false">BI83*IF($G83="wagon",62.5,781.25)</f>
        <v>562.5</v>
      </c>
      <c r="BL83" s="17" t="n">
        <f aca="false">BJ83*IF($G83="wagon",2.73,81.25)</f>
        <v>76.44</v>
      </c>
      <c r="BV83" s="0" t="n">
        <v>1</v>
      </c>
      <c r="BW83" s="0" t="n">
        <v>185</v>
      </c>
      <c r="BY83" s="0" t="s">
        <v>316</v>
      </c>
      <c r="BZ83" s="0" t="s">
        <v>317</v>
      </c>
      <c r="CA83" s="0" t="str">
        <f aca="false">VLOOKUP(J83,Eras!$A$2:$C$10, 2, TRUE())</f>
        <v>ebr</v>
      </c>
      <c r="CB83" s="0" t="s">
        <v>318</v>
      </c>
      <c r="CC83" s="0" t="str">
        <f aca="false">CONCATENATE(CA83,"_",CB83)</f>
        <v>ebr_Flat Wagon</v>
      </c>
      <c r="CD83" s="0" t="str">
        <f aca="false">_xlfn.CONCAT(H83, "_",I83)</f>
        <v>wagon_RAIL</v>
      </c>
      <c r="CE83" s="6" t="str">
        <f aca="false" t="array" ref="CE83:CE83">_xlfn.CONCAT("{BLACK}Length: {GOLD}", TEXT(ROUNDUP(IF(AQ83&lt;&gt;"",SUM(VALUE(_xlfn.TEXTSPLIT(AQ83, ","))), SUM(VALUE(_xlfn.TEXTSPLIT(AN83, ",")))*IF(M83, M83, 1))/16, 1), "#,##0.0"), " tiles{}")</f>
        <v>{BLACK}Length: {GOLD}0.4 tiles{}</v>
      </c>
      <c r="CF83" s="0" t="str">
        <f aca="false">VLOOKUP($CD83, Constants!$M:$N, 2, FALSE())</f>
        <v/>
      </c>
      <c r="CG83" s="0" t="str">
        <f aca="false">IF(M83&gt;1,_xlfn.CONCAT("{BLACK}Cars: {GOLD}", M83),"")</f>
        <v/>
      </c>
      <c r="CH83" s="0" t="s">
        <v>337</v>
      </c>
      <c r="CI83" s="0" t="str">
        <f aca="false">IF($BU83="!param_no_gameplay_units","{GREEN}Included for gameplay purposes","")</f>
        <v/>
      </c>
      <c r="CJ83" s="0" t="str">
        <f aca="false">IF(BX83="buffet","{YELLOW}25% long distance bonus for consist{}",IF(BZ83="BRAKE","{YELLOW}Speed bonus for slow wagons{}",IF(BW83&gt;190,CONCATENATE("{YELLOW}",INT((BW83-185)/1.85),"% bonus for long distance travel{}"),IF(AND(BW83&lt;180,BW83&lt;&gt;0),CONCATENATE("{YELLOW}",INT((185-BW83)/1.85),"% penalty for long distance travel{}"),""))))</f>
        <v/>
      </c>
      <c r="CK83" s="0" t="str">
        <f aca="false">_xlfn.CONCAT(CF83,IF(CF83&lt;&gt;""," ",""),CG83,IF(OR(CG83&lt;&gt;"",CF83&lt;&gt;""),"{}",""),CE83,CJ83,"{SILVER}",CH83,IF(CI83&lt;&gt;"","{}{}",""),CI83)</f>
        <v>{BLACK}Length: {GOLD}0.4 tiles{}{SILVER}"Lowmac" was a GWR code for a low wagon intended to fit tall, bulky cargo within the railway loading gauge. BR built a number of small Lowmac types in the early 1950s.</v>
      </c>
    </row>
    <row r="84" customFormat="false" ht="14.25" hidden="false" customHeight="false" outlineLevel="0" collapsed="false">
      <c r="A84" s="0" t="s">
        <v>338</v>
      </c>
      <c r="B84" s="15" t="s">
        <v>339</v>
      </c>
      <c r="C84" s="0" t="n">
        <v>69</v>
      </c>
      <c r="E84" s="0" t="n">
        <v>1060</v>
      </c>
      <c r="F84" s="0" t="s">
        <v>143</v>
      </c>
      <c r="G84" s="0" t="s">
        <v>144</v>
      </c>
      <c r="H84" s="0" t="s">
        <v>144</v>
      </c>
      <c r="I84" s="0" t="s">
        <v>92</v>
      </c>
      <c r="J84" s="0" t="n">
        <v>1975</v>
      </c>
      <c r="W84" s="0" t="n">
        <v>16</v>
      </c>
      <c r="Y84" s="0" t="n">
        <v>4</v>
      </c>
      <c r="AA84" s="3" t="str">
        <f aca="false">IF(AND(W84&gt;0,Z84&gt;0),(Z84/((W84+X84)*10)),"")</f>
        <v/>
      </c>
      <c r="AB84" s="0" t="n">
        <v>70</v>
      </c>
      <c r="AC84" s="0" t="n">
        <f aca="false">ROUND(AB84*1.6, 0)</f>
        <v>112</v>
      </c>
      <c r="AF84" s="0" t="n">
        <v>15.8</v>
      </c>
      <c r="AG84" s="0" t="n">
        <v>15.8</v>
      </c>
      <c r="AJ84" s="4" t="n">
        <v>45</v>
      </c>
      <c r="AK84" s="0" t="str">
        <f aca="false">CONCATENATE(VLOOKUP(AL84, 'Voxel Sizes'!$A$2:$B$18,2,FALSE()),"x",INT(AH84*15), "x", INT(AI84*15))</f>
        <v>152x0x0</v>
      </c>
      <c r="AL84" s="0" t="n">
        <f aca="false">ROUND(15*((AG84*10)/256),0)</f>
        <v>9</v>
      </c>
      <c r="AN84" s="0" t="str">
        <f aca="false">CONCATENATE(VLOOKUP(AL84,Constants!$A$2:$C$16,IF(AM84&lt;&gt;"", 3, 2), FALSE()),IF(AM84&lt;&gt;"",CONCATENATE(",",VLOOKUP(AM84,$B:$AN,39,FALSE())),""))</f>
        <v>2,5,2</v>
      </c>
      <c r="AX84" s="0" t="n">
        <v>30</v>
      </c>
      <c r="AY84" s="16" t="str">
        <f aca="false">IF(L84&lt;&gt;"",MAX(16,(L84-J84)+8),"")</f>
        <v/>
      </c>
      <c r="BB84" s="0" t="n">
        <f aca="false">MIN(AB84/150, 1)*30</f>
        <v>14</v>
      </c>
      <c r="BC84" s="0" t="n">
        <f aca="false">MIN(N84/4000, 1)*20</f>
        <v>0</v>
      </c>
      <c r="BD84" s="0" t="n">
        <f aca="false">MIN(Z84/400,1)*20</f>
        <v>0</v>
      </c>
      <c r="BE84" s="3" t="n">
        <f aca="false">1-(MAX(J84-1900, 0)/750)</f>
        <v>0.9</v>
      </c>
      <c r="BF84" s="0" t="n">
        <f aca="false">((MAX($M84,1)*MIN($AJ84/300,1)))*IF(G84="Wagon",50,10)</f>
        <v>7.5</v>
      </c>
      <c r="BG84" s="0" t="n">
        <f aca="false">VLOOKUP($H84,Constants!$I:$K, 2, FALSE())</f>
        <v>1</v>
      </c>
      <c r="BH84" s="0" t="n">
        <f aca="false">VLOOKUP($H84,Constants!$I:$K, 3, FALSE())*IF(AND(G84="multiple_unit",AB84&lt;110),0.75,1)</f>
        <v>0.45</v>
      </c>
      <c r="BI84" s="0" t="n">
        <f aca="false">INT(POWER(((Constants!$G$2+$BB84+$BC84+$BD84+$BF84)*$BE84)*$BH84, 1.05))+$BA84</f>
        <v>12</v>
      </c>
      <c r="BJ84" s="0" t="n">
        <f aca="false">INT(POWER((((Constants!$G$1+$BB84+$BC84+$BD84+$BF84)*($BE84))*$BG84),IF($G84="wagon",1,1.2)))+$AZ84</f>
        <v>32</v>
      </c>
      <c r="BK84" s="17" t="n">
        <f aca="false">BI84*IF($G84="wagon",62.5,781.25)</f>
        <v>750</v>
      </c>
      <c r="BL84" s="17" t="n">
        <f aca="false">BJ84*IF($G84="wagon",2.73,81.25)</f>
        <v>87.36</v>
      </c>
      <c r="BV84" s="0" t="n">
        <v>1</v>
      </c>
      <c r="BW84" s="0" t="n">
        <v>185</v>
      </c>
      <c r="BY84" s="0" t="s">
        <v>316</v>
      </c>
      <c r="BZ84" s="0" t="s">
        <v>317</v>
      </c>
      <c r="CA84" s="0" t="str">
        <f aca="false">VLOOKUP(J84,Eras!$A$2:$C$10, 2, TRUE())</f>
        <v>lbr</v>
      </c>
      <c r="CB84" s="0" t="s">
        <v>318</v>
      </c>
      <c r="CC84" s="0" t="str">
        <f aca="false">CONCATENATE(CA84,"_",CB84)</f>
        <v>lbr_Flat Wagon</v>
      </c>
      <c r="CD84" s="0" t="str">
        <f aca="false">_xlfn.CONCAT(H84, "_",I84)</f>
        <v>wagon_RAIL</v>
      </c>
      <c r="CE84" s="6" t="str">
        <f aca="false" t="array" ref="CE84:CE84">_xlfn.CONCAT("{BLACK}Length: {GOLD}", TEXT(ROUNDUP(IF(AQ84&lt;&gt;"",SUM(VALUE(_xlfn.TEXTSPLIT(AQ84, ","))), SUM(VALUE(_xlfn.TEXTSPLIT(AN84, ",")))*IF(M84, M84, 1))/16, 1), "#,##0.0"), " tiles{}")</f>
        <v>{BLACK}Length: {GOLD}0.6 tiles{}</v>
      </c>
      <c r="CF84" s="0" t="str">
        <f aca="false">VLOOKUP($CD84, Constants!$M:$N, 2, FALSE())</f>
        <v/>
      </c>
      <c r="CG84" s="0" t="str">
        <f aca="false">IF(M84&gt;1,_xlfn.CONCAT("{BLACK}Cars: {GOLD}", M84),"")</f>
        <v/>
      </c>
      <c r="CH84" s="0" t="s">
        <v>340</v>
      </c>
      <c r="CI84" s="0" t="str">
        <f aca="false">IF($BU84="!param_no_gameplay_units","{GREEN}Included for gameplay purposes","")</f>
        <v/>
      </c>
      <c r="CJ84" s="0" t="str">
        <f aca="false">IF(BX84="buffet","{YELLOW}25% long distance bonus for consist{}",IF(BZ84="BRAKE","{YELLOW}Speed bonus for slow wagons{}",IF(BW84&gt;190,CONCATENATE("{YELLOW}",INT((BW84-185)/1.85),"% bonus for long distance travel{}"),IF(AND(BW84&lt;180,BW84&lt;&gt;0),CONCATENATE("{YELLOW}",INT((185-BW84)/1.85),"% penalty for long distance travel{}"),""))))</f>
        <v/>
      </c>
      <c r="CK84" s="0" t="str">
        <f aca="false">_xlfn.CONCAT(CF84,IF(CF84&lt;&gt;""," ",""),CG84,IF(OR(CG84&lt;&gt;"",CF84&lt;&gt;""),"{}",""),CE84,CJ84,"{SILVER}",CH84,IF(CI84&lt;&gt;"","{}{}",""),CI84)</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85" customFormat="false" ht="14.25" hidden="false" customHeight="false" outlineLevel="0" collapsed="false">
      <c r="A85" s="0" t="s">
        <v>341</v>
      </c>
      <c r="B85" s="15" t="s">
        <v>342</v>
      </c>
      <c r="C85" s="0" t="n">
        <v>70</v>
      </c>
      <c r="E85" s="0" t="n">
        <v>1061</v>
      </c>
      <c r="F85" s="0" t="s">
        <v>143</v>
      </c>
      <c r="G85" s="0" t="s">
        <v>144</v>
      </c>
      <c r="H85" s="0" t="s">
        <v>144</v>
      </c>
      <c r="I85" s="0" t="s">
        <v>92</v>
      </c>
      <c r="J85" s="0" t="n">
        <v>2009</v>
      </c>
      <c r="W85" s="0" t="n">
        <v>16</v>
      </c>
      <c r="Y85" s="0" t="n">
        <v>4</v>
      </c>
      <c r="AA85" s="3" t="str">
        <f aca="false">IF(AND(W85&gt;0,Z85&gt;0),(Z85/((W85+X85)*10)),"")</f>
        <v/>
      </c>
      <c r="AB85" s="0" t="n">
        <v>85</v>
      </c>
      <c r="AC85" s="0" t="n">
        <f aca="false">ROUND(AB85*1.6, 0)</f>
        <v>136</v>
      </c>
      <c r="AF85" s="0" t="n">
        <v>15.8</v>
      </c>
      <c r="AG85" s="0" t="n">
        <v>19.8</v>
      </c>
      <c r="AJ85" s="4" t="n">
        <v>60</v>
      </c>
      <c r="AK85" s="0" t="str">
        <f aca="false">CONCATENATE(VLOOKUP(AL85, 'Voxel Sizes'!$A$2:$B$18,2,FALSE()),"x",INT(AH85*15), "x", INT(AI85*15))</f>
        <v>198x0x0</v>
      </c>
      <c r="AL85" s="0" t="n">
        <f aca="false">ROUND(15*((AG85*10)/256),0)</f>
        <v>12</v>
      </c>
      <c r="AN85" s="0" t="str">
        <f aca="false">CONCATENATE(VLOOKUP(AL85,Constants!$A$2:$C$16,IF(AM85&lt;&gt;"", 3, 2), FALSE()),IF(AM85&lt;&gt;"",CONCATENATE(",",VLOOKUP(AM85,$B:$AN,39,FALSE())),""))</f>
        <v>4,4,4</v>
      </c>
      <c r="AX85" s="0" t="n">
        <v>30</v>
      </c>
      <c r="AY85" s="16" t="str">
        <f aca="false">IF(L85&lt;&gt;"",MAX(16,(L85-J85)+8),"")</f>
        <v/>
      </c>
      <c r="BB85" s="0" t="n">
        <f aca="false">MIN(AB85/150, 1)*30</f>
        <v>17</v>
      </c>
      <c r="BC85" s="0" t="n">
        <f aca="false">MIN(N85/4000, 1)*20</f>
        <v>0</v>
      </c>
      <c r="BD85" s="0" t="n">
        <f aca="false">MIN(Z85/400,1)*20</f>
        <v>0</v>
      </c>
      <c r="BE85" s="3" t="n">
        <f aca="false">1-(MAX(J85-1900, 0)/750)</f>
        <v>0.854666666666667</v>
      </c>
      <c r="BF85" s="0" t="n">
        <f aca="false">((MAX($M85,1)*MIN($AJ85/300,1)))*IF(G85="Wagon",50,10)</f>
        <v>10</v>
      </c>
      <c r="BG85" s="0" t="n">
        <f aca="false">VLOOKUP($H85,Constants!$I:$K, 2, FALSE())</f>
        <v>1</v>
      </c>
      <c r="BH85" s="0" t="n">
        <f aca="false">VLOOKUP($H85,Constants!$I:$K, 3, FALSE())*IF(AND(G85="multiple_unit",AB85&lt;110),0.75,1)</f>
        <v>0.45</v>
      </c>
      <c r="BI85" s="0" t="n">
        <f aca="false">INT(POWER(((Constants!$G$2+$BB85+$BC85+$BD85+$BF85)*$BE85)*$BH85, 1.05))+$BA85</f>
        <v>13</v>
      </c>
      <c r="BJ85" s="0" t="n">
        <f aca="false">INT(POWER((((Constants!$G$1+$BB85+$BC85+$BD85+$BF85)*($BE85))*$BG85),IF($G85="wagon",1,1.2)))+$AZ85</f>
        <v>35</v>
      </c>
      <c r="BK85" s="17" t="n">
        <f aca="false">BI85*IF($G85="wagon",62.5,781.25)</f>
        <v>812.5</v>
      </c>
      <c r="BL85" s="17" t="n">
        <f aca="false">BJ85*IF($G85="wagon",2.73,81.25)</f>
        <v>95.55</v>
      </c>
      <c r="BV85" s="0" t="n">
        <v>1</v>
      </c>
      <c r="BW85" s="0" t="n">
        <v>185</v>
      </c>
      <c r="BY85" s="0" t="s">
        <v>316</v>
      </c>
      <c r="BZ85" s="0" t="s">
        <v>317</v>
      </c>
      <c r="CA85" s="0" t="str">
        <f aca="false">VLOOKUP(J85,Eras!$A$2:$C$10, 2, TRUE())</f>
        <v>mod</v>
      </c>
      <c r="CB85" s="0" t="s">
        <v>318</v>
      </c>
      <c r="CC85" s="0" t="str">
        <f aca="false">CONCATENATE(CA85,"_",CB85)</f>
        <v>mod_Flat Wagon</v>
      </c>
      <c r="CD85" s="0" t="str">
        <f aca="false">_xlfn.CONCAT(H85, "_",I85)</f>
        <v>wagon_RAIL</v>
      </c>
      <c r="CE85" s="6" t="str">
        <f aca="false" t="array" ref="CE85:CE85">_xlfn.CONCAT("{BLACK}Length: {GOLD}", TEXT(ROUNDUP(IF(AQ85&lt;&gt;"",SUM(VALUE(_xlfn.TEXTSPLIT(AQ85, ","))), SUM(VALUE(_xlfn.TEXTSPLIT(AN85, ",")))*IF(M85, M85, 1))/16, 1), "#,##0.0"), " tiles{}")</f>
        <v>{BLACK}Length: {GOLD}0.8 tiles{}</v>
      </c>
      <c r="CF85" s="0" t="str">
        <f aca="false">VLOOKUP($CD85, Constants!$M:$N, 2, FALSE())</f>
        <v/>
      </c>
      <c r="CG85" s="0" t="str">
        <f aca="false">IF(M85&gt;1,_xlfn.CONCAT("{BLACK}Cars: {GOLD}", M85),"")</f>
        <v/>
      </c>
      <c r="CH85" s="0" t="s">
        <v>343</v>
      </c>
      <c r="CI85" s="0" t="str">
        <f aca="false">IF($BU85="!param_no_gameplay_units","{GREEN}Included for gameplay purposes","")</f>
        <v/>
      </c>
      <c r="CJ85" s="0" t="str">
        <f aca="false">IF(BX85="buffet","{YELLOW}25% long distance bonus for consist{}",IF(BZ85="BRAKE","{YELLOW}Speed bonus for slow wagons{}",IF(BW85&gt;190,CONCATENATE("{YELLOW}",INT((BW85-185)/1.85),"% bonus for long distance travel{}"),IF(AND(BW85&lt;180,BW85&lt;&gt;0),CONCATENATE("{YELLOW}",INT((185-BW85)/1.85),"% penalty for long distance travel{}"),""))))</f>
        <v/>
      </c>
      <c r="CK85" s="0" t="str">
        <f aca="false">_xlfn.CONCAT(CF85,IF(CF85&lt;&gt;""," ",""),CG85,IF(OR(CG85&lt;&gt;"",CF85&lt;&gt;""),"{}",""),CE85,CJ85,"{SILVER}",CH85,IF(CI85&lt;&gt;"","{}{}",""),CI85)</f>
        <v>{BLACK}Length: {GOLD}0.8 tiles{}{SILVER}Despite the age of the "Salmon" bolster wagons, in 2009 they were refurbished with new end plates to make loading track panels simpler.</v>
      </c>
    </row>
    <row r="86" customFormat="false" ht="14.25" hidden="false" customHeight="false" outlineLevel="0" collapsed="false">
      <c r="A86" s="0" t="s">
        <v>344</v>
      </c>
      <c r="B86" s="15" t="s">
        <v>345</v>
      </c>
      <c r="C86" s="0" t="n">
        <v>71</v>
      </c>
      <c r="E86" s="0" t="n">
        <v>1062</v>
      </c>
      <c r="F86" s="0" t="s">
        <v>143</v>
      </c>
      <c r="G86" s="0" t="s">
        <v>144</v>
      </c>
      <c r="H86" s="0" t="s">
        <v>144</v>
      </c>
      <c r="I86" s="0" t="s">
        <v>92</v>
      </c>
      <c r="J86" s="0" t="n">
        <v>2020</v>
      </c>
      <c r="W86" s="0" t="n">
        <v>15</v>
      </c>
      <c r="Y86" s="0" t="n">
        <v>4</v>
      </c>
      <c r="AA86" s="3" t="str">
        <f aca="false">IF(AND(W86&gt;0,Z86&gt;0),(Z86/((W86+X86)*10)),"")</f>
        <v/>
      </c>
      <c r="AB86" s="0" t="n">
        <v>85</v>
      </c>
      <c r="AC86" s="0" t="n">
        <f aca="false">ROUND(AB86*1.6, 0)</f>
        <v>136</v>
      </c>
      <c r="AF86" s="0" t="n">
        <v>15.8</v>
      </c>
      <c r="AG86" s="0" t="n">
        <v>19.8</v>
      </c>
      <c r="AJ86" s="4" t="n">
        <v>60</v>
      </c>
      <c r="AK86" s="0" t="str">
        <f aca="false">CONCATENATE(VLOOKUP(AL86, 'Voxel Sizes'!$A$2:$B$18,2,FALSE()),"x",INT(AH86*15), "x", INT(AI86*15))</f>
        <v>198x0x0</v>
      </c>
      <c r="AL86" s="0" t="n">
        <f aca="false">ROUND(15*((AG86*10)/256),0)</f>
        <v>12</v>
      </c>
      <c r="AN86" s="0" t="str">
        <f aca="false">CONCATENATE(VLOOKUP(AL86,Constants!$A$2:$C$16,IF(AM86&lt;&gt;"", 3, 2), FALSE()),IF(AM86&lt;&gt;"",CONCATENATE(",",VLOOKUP(AM86,$B:$AN,39,FALSE())),""))</f>
        <v>4,4,4</v>
      </c>
      <c r="AX86" s="0" t="n">
        <v>30</v>
      </c>
      <c r="AY86" s="16" t="str">
        <f aca="false">IF(L86&lt;&gt;"",MAX(16,(L86-J86)+8),"")</f>
        <v/>
      </c>
      <c r="AZ86" s="0" t="n">
        <v>-2</v>
      </c>
      <c r="BA86" s="0" t="n">
        <v>2</v>
      </c>
      <c r="BB86" s="0" t="n">
        <f aca="false">MIN(AB86/150, 1)*30</f>
        <v>17</v>
      </c>
      <c r="BC86" s="0" t="n">
        <f aca="false">MIN(N86/4000, 1)*20</f>
        <v>0</v>
      </c>
      <c r="BD86" s="0" t="n">
        <f aca="false">MIN(Z86/400,1)*20</f>
        <v>0</v>
      </c>
      <c r="BE86" s="3" t="n">
        <f aca="false">1-(MAX(J86-1900, 0)/750)</f>
        <v>0.84</v>
      </c>
      <c r="BF86" s="0" t="n">
        <f aca="false">((MAX($M86,1)*MIN($AJ86/300,1)))*IF(G86="Wagon",50,10)</f>
        <v>10</v>
      </c>
      <c r="BG86" s="0" t="n">
        <f aca="false">VLOOKUP($H86,Constants!$I:$K, 2, FALSE())</f>
        <v>1</v>
      </c>
      <c r="BH86" s="0" t="n">
        <f aca="false">VLOOKUP($H86,Constants!$I:$K, 3, FALSE())*IF(AND(G86="multiple_unit",AB86&lt;110),0.75,1)</f>
        <v>0.45</v>
      </c>
      <c r="BI86" s="0" t="n">
        <f aca="false">INT(POWER(((Constants!$G$2+$BB86+$BC86+$BD86+$BF86)*$BE86)*$BH86, 1.05))+$BA86</f>
        <v>15</v>
      </c>
      <c r="BJ86" s="0" t="n">
        <f aca="false">INT(POWER((((Constants!$G$1+$BB86+$BC86+$BD86+$BF86)*($BE86))*$BG86),IF($G86="wagon",1,1.2)))+$AZ86</f>
        <v>33</v>
      </c>
      <c r="BK86" s="17" t="n">
        <f aca="false">BI86*IF($G86="wagon",62.5,781.25)</f>
        <v>937.5</v>
      </c>
      <c r="BL86" s="17" t="n">
        <f aca="false">BJ86*IF($G86="wagon",2.73,81.25)</f>
        <v>90.09</v>
      </c>
      <c r="BV86" s="0" t="n">
        <v>1</v>
      </c>
      <c r="BW86" s="0" t="n">
        <v>185</v>
      </c>
      <c r="BY86" s="0" t="s">
        <v>316</v>
      </c>
      <c r="BZ86" s="0" t="s">
        <v>317</v>
      </c>
      <c r="CA86" s="0" t="str">
        <f aca="false">VLOOKUP(J86,Eras!$A$2:$C$10, 2, TRUE())</f>
        <v>mod</v>
      </c>
      <c r="CB86" s="0" t="s">
        <v>318</v>
      </c>
      <c r="CC86" s="0" t="str">
        <f aca="false">CONCATENATE(CA86,"_",CB86)</f>
        <v>mod_Flat Wagon</v>
      </c>
      <c r="CD86" s="0" t="str">
        <f aca="false">_xlfn.CONCAT(H86, "_",I86)</f>
        <v>wagon_RAIL</v>
      </c>
      <c r="CE86" s="6" t="str">
        <f aca="false" t="array" ref="CE86:CE86">_xlfn.CONCAT("{BLACK}Length: {GOLD}", TEXT(ROUNDUP(IF(AQ86&lt;&gt;"",SUM(VALUE(_xlfn.TEXTSPLIT(AQ86, ","))), SUM(VALUE(_xlfn.TEXTSPLIT(AN86, ",")))*IF(M86, M86, 1))/16, 1), "#,##0.0"), " tiles{}")</f>
        <v>{BLACK}Length: {GOLD}0.8 tiles{}</v>
      </c>
      <c r="CF86" s="0" t="str">
        <f aca="false">VLOOKUP($CD86, Constants!$M:$N, 2, FALSE())</f>
        <v/>
      </c>
      <c r="CG86" s="0" t="str">
        <f aca="false">IF(M86&gt;1,_xlfn.CONCAT("{BLACK}Cars: {GOLD}", M86),"")</f>
        <v/>
      </c>
      <c r="CH86" s="0" t="s">
        <v>346</v>
      </c>
      <c r="CI86" s="0" t="str">
        <f aca="false">IF($BU86="!param_no_gameplay_units","{GREEN}Included for gameplay purposes","")</f>
        <v/>
      </c>
      <c r="CJ86" s="0" t="str">
        <f aca="false">IF(BX86="buffet","{YELLOW}25% long distance bonus for consist{}",IF(BZ86="BRAKE","{YELLOW}Speed bonus for slow wagons{}",IF(BW86&gt;190,CONCATENATE("{YELLOW}",INT((BW86-185)/1.85),"% bonus for long distance travel{}"),IF(AND(BW86&lt;180,BW86&lt;&gt;0),CONCATENATE("{YELLOW}",INT((185-BW86)/1.85),"% penalty for long distance travel{}"),""))))</f>
        <v/>
      </c>
      <c r="CK86" s="0" t="str">
        <f aca="false">_xlfn.CONCAT(CF86,IF(CF86&lt;&gt;""," ",""),CG86,IF(OR(CG86&lt;&gt;"",CF86&lt;&gt;""),"{}",""),CE86,CJ86,"{SILVER}",CH86,IF(CI86&lt;&gt;"","{}{}",""),CI86)</f>
        <v>{BLACK}Length: {GOLD}0.8 tiles{}{SILVER}The FEA-W is a modular wagon built by Wascosa, based on a strong metal spine which can be topped by a variety of modules for different purposes.</v>
      </c>
    </row>
    <row r="87" customFormat="false" ht="14.25" hidden="false" customHeight="false" outlineLevel="0" collapsed="false">
      <c r="A87" s="0" t="s">
        <v>347</v>
      </c>
      <c r="B87" s="15" t="s">
        <v>348</v>
      </c>
      <c r="C87" s="0" t="n">
        <v>72</v>
      </c>
      <c r="E87" s="0" t="n">
        <v>1063</v>
      </c>
      <c r="F87" s="0" t="s">
        <v>143</v>
      </c>
      <c r="G87" s="0" t="s">
        <v>144</v>
      </c>
      <c r="H87" s="0" t="s">
        <v>144</v>
      </c>
      <c r="I87" s="0" t="s">
        <v>92</v>
      </c>
      <c r="J87" s="0" t="n">
        <v>1972</v>
      </c>
      <c r="W87" s="0" t="n">
        <v>17</v>
      </c>
      <c r="Y87" s="0" t="n">
        <v>5</v>
      </c>
      <c r="AA87" s="3" t="str">
        <f aca="false">IF(AND(W87&gt;0,Z87&gt;0),(Z87/((W87+X87)*10)),"")</f>
        <v/>
      </c>
      <c r="AB87" s="0" t="n">
        <v>70</v>
      </c>
      <c r="AC87" s="0" t="n">
        <f aca="false">ROUND(AB87*1.6, 0)</f>
        <v>112</v>
      </c>
      <c r="AF87" s="0" t="n">
        <v>13.3</v>
      </c>
      <c r="AG87" s="0" t="n">
        <v>13.3</v>
      </c>
      <c r="AJ87" s="4" t="n">
        <v>42</v>
      </c>
      <c r="AK87" s="0" t="str">
        <f aca="false">CONCATENATE(VLOOKUP(AL87, 'Voxel Sizes'!$A$2:$B$18,2,FALSE()),"x",INT(AH87*15), "x", INT(AI87*15))</f>
        <v>136x0x0</v>
      </c>
      <c r="AL87" s="0" t="n">
        <f aca="false">ROUND(15*((AG87*10)/256),0)</f>
        <v>8</v>
      </c>
      <c r="AN87" s="0" t="str">
        <f aca="false">CONCATENATE(VLOOKUP(AL87,Constants!$A$2:$C$16,IF(AM87&lt;&gt;"", 3, 2), FALSE()),IF(AM87&lt;&gt;"",CONCATENATE(",",VLOOKUP(AM87,$B:$AN,39,FALSE())),""))</f>
        <v>2,4,2</v>
      </c>
      <c r="AX87" s="0" t="n">
        <v>30</v>
      </c>
      <c r="AY87" s="16" t="str">
        <f aca="false">IF(L87&lt;&gt;"",MAX(16,(L87-J87)+8),"")</f>
        <v/>
      </c>
      <c r="BB87" s="0" t="n">
        <f aca="false">MIN(AB87/150, 1)*30</f>
        <v>14</v>
      </c>
      <c r="BC87" s="0" t="n">
        <f aca="false">MIN(N87/4000, 1)*20</f>
        <v>0</v>
      </c>
      <c r="BD87" s="0" t="n">
        <f aca="false">MIN(Z87/400,1)*20</f>
        <v>0</v>
      </c>
      <c r="BE87" s="3" t="n">
        <f aca="false">1-(MAX(J87-1900, 0)/750)</f>
        <v>0.904</v>
      </c>
      <c r="BF87" s="0" t="n">
        <f aca="false">((MAX($M87,1)*MIN($AJ87/300,1)))*IF(G87="Wagon",50,10)</f>
        <v>7</v>
      </c>
      <c r="BG87" s="0" t="n">
        <f aca="false">VLOOKUP($H87,Constants!$I:$K, 2, FALSE())</f>
        <v>1</v>
      </c>
      <c r="BH87" s="0" t="n">
        <f aca="false">VLOOKUP($H87,Constants!$I:$K, 3, FALSE())*IF(AND(G87="multiple_unit",AB87&lt;110),0.75,1)</f>
        <v>0.45</v>
      </c>
      <c r="BI87" s="0" t="n">
        <f aca="false">INT(POWER(((Constants!$G$2+$BB87+$BC87+$BD87+$BF87)*$BE87)*$BH87, 1.05))+$BA87</f>
        <v>11</v>
      </c>
      <c r="BJ87" s="0" t="n">
        <f aca="false">INT(POWER((((Constants!$G$1+$BB87+$BC87+$BD87+$BF87)*($BE87))*$BG87),IF($G87="wagon",1,1.2)))+$AZ87</f>
        <v>32</v>
      </c>
      <c r="BK87" s="17" t="n">
        <f aca="false">BI87*IF($G87="wagon",62.5,781.25)</f>
        <v>687.5</v>
      </c>
      <c r="BL87" s="17" t="n">
        <f aca="false">BJ87*IF($G87="wagon",2.73,81.25)</f>
        <v>87.36</v>
      </c>
      <c r="BV87" s="0" t="n">
        <v>1</v>
      </c>
      <c r="BW87" s="0" t="n">
        <v>185</v>
      </c>
      <c r="BY87" s="0" t="s">
        <v>349</v>
      </c>
      <c r="BZ87" s="0" t="s">
        <v>350</v>
      </c>
      <c r="CA87" s="0" t="str">
        <f aca="false">VLOOKUP(J87,Eras!$A$2:$C$10, 2, TRUE())</f>
        <v>lbr</v>
      </c>
      <c r="CB87" s="0" t="s">
        <v>318</v>
      </c>
      <c r="CC87" s="0" t="str">
        <f aca="false">CONCATENATE(CA87,"_",CB87)</f>
        <v>lbr_Flat Wagon</v>
      </c>
      <c r="CD87" s="0" t="str">
        <f aca="false">_xlfn.CONCAT(H87, "_",I87)</f>
        <v>wagon_RAIL</v>
      </c>
      <c r="CE87" s="6" t="str">
        <f aca="false" t="array" ref="CE87:CE87">_xlfn.CONCAT("{BLACK}Length: {GOLD}", TEXT(ROUNDUP(IF(AQ87&lt;&gt;"",SUM(VALUE(_xlfn.TEXTSPLIT(AQ87, ","))), SUM(VALUE(_xlfn.TEXTSPLIT(AN87, ",")))*IF(M87, M87, 1))/16, 1), "#,##0.0"), " tiles{}")</f>
        <v>{BLACK}Length: {GOLD}0.5 tiles{}</v>
      </c>
      <c r="CF87" s="0" t="str">
        <f aca="false">VLOOKUP($CD87, Constants!$M:$N, 2, FALSE())</f>
        <v/>
      </c>
      <c r="CG87" s="0" t="str">
        <f aca="false">IF(M87&gt;1,_xlfn.CONCAT("{BLACK}Cars: {GOLD}", M87),"")</f>
        <v/>
      </c>
      <c r="CH87" s="0" t="s">
        <v>351</v>
      </c>
      <c r="CI87" s="0" t="str">
        <f aca="false">IF($BU87="!param_no_gameplay_units","{GREEN}Included for gameplay purposes","")</f>
        <v/>
      </c>
      <c r="CJ87" s="0" t="str">
        <f aca="false">IF(BX87="buffet","{YELLOW}25% long distance bonus for consist{}",IF(BZ87="BRAKE","{YELLOW}Speed bonus for slow wagons{}",IF(BW87&gt;190,CONCATENATE("{YELLOW}",INT((BW87-185)/1.85),"% bonus for long distance travel{}"),IF(AND(BW87&lt;180,BW87&lt;&gt;0),CONCATENATE("{YELLOW}",INT((185-BW87)/1.85),"% penalty for long distance travel{}"),""))))</f>
        <v/>
      </c>
      <c r="CK87" s="0" t="str">
        <f aca="false">_xlfn.CONCAT(CF87,IF(CF87&lt;&gt;""," ",""),CG87,IF(OR(CG87&lt;&gt;"",CF87&lt;&gt;""),"{}",""),CE87,CJ87,"{SILVER}",CH87,IF(CI87&lt;&gt;"","{}{}",""),CI87)</f>
        <v>{BLACK}Length: {GOLD}0.5 tiles{}{SILVER}BAA wagons could initially carry steel in a large variety of forms, although many were later modified to be dedicated coil carriers.</v>
      </c>
    </row>
    <row r="88" customFormat="false" ht="14.25" hidden="false" customHeight="false" outlineLevel="0" collapsed="false">
      <c r="A88" s="0" t="s">
        <v>352</v>
      </c>
      <c r="B88" s="15" t="s">
        <v>353</v>
      </c>
      <c r="C88" s="0" t="n">
        <v>73</v>
      </c>
      <c r="E88" s="0" t="n">
        <v>1064</v>
      </c>
      <c r="F88" s="0" t="s">
        <v>143</v>
      </c>
      <c r="G88" s="0" t="s">
        <v>144</v>
      </c>
      <c r="H88" s="0" t="s">
        <v>144</v>
      </c>
      <c r="I88" s="0" t="s">
        <v>92</v>
      </c>
      <c r="J88" s="0" t="n">
        <v>1998</v>
      </c>
      <c r="W88" s="0" t="n">
        <v>24</v>
      </c>
      <c r="Y88" s="0" t="n">
        <v>8</v>
      </c>
      <c r="AA88" s="3" t="str">
        <f aca="false">IF(AND(W88&gt;0,Z88&gt;0),(Z88/((W88+X88)*10)),"")</f>
        <v/>
      </c>
      <c r="AB88" s="0" t="n">
        <v>85</v>
      </c>
      <c r="AC88" s="0" t="n">
        <f aca="false">ROUND(AB88*1.6, 0)</f>
        <v>136</v>
      </c>
      <c r="AF88" s="0" t="n">
        <v>18.6</v>
      </c>
      <c r="AG88" s="0" t="n">
        <v>18.6</v>
      </c>
      <c r="AJ88" s="4" t="n">
        <v>78</v>
      </c>
      <c r="AK88" s="0" t="str">
        <f aca="false">CONCATENATE(VLOOKUP(AL88, 'Voxel Sizes'!$A$2:$B$18,2,FALSE()),"x",INT(AH88*15), "x", INT(AI88*15))</f>
        <v>186x0x0</v>
      </c>
      <c r="AL88" s="0" t="n">
        <f aca="false">ROUND(15*((AG88*10)/256),0)</f>
        <v>11</v>
      </c>
      <c r="AN88" s="0" t="str">
        <f aca="false">CONCATENATE(VLOOKUP(AL88,Constants!$A$2:$C$16,IF(AM88&lt;&gt;"", 3, 2), FALSE()),IF(AM88&lt;&gt;"",CONCATENATE(",",VLOOKUP(AM88,$B:$AN,39,FALSE())),""))</f>
        <v>4,3,4</v>
      </c>
      <c r="AX88" s="0" t="n">
        <v>30</v>
      </c>
      <c r="AY88" s="16" t="str">
        <f aca="false">IF(L88&lt;&gt;"",MAX(16,(L88-J88)+8),"")</f>
        <v/>
      </c>
      <c r="BB88" s="0" t="n">
        <f aca="false">MIN(AB88/150, 1)*30</f>
        <v>17</v>
      </c>
      <c r="BC88" s="0" t="n">
        <f aca="false">MIN(N88/4000, 1)*20</f>
        <v>0</v>
      </c>
      <c r="BD88" s="0" t="n">
        <f aca="false">MIN(Z88/400,1)*20</f>
        <v>0</v>
      </c>
      <c r="BE88" s="3" t="n">
        <f aca="false">1-(MAX(J88-1900, 0)/750)</f>
        <v>0.869333333333333</v>
      </c>
      <c r="BF88" s="0" t="n">
        <f aca="false">((MAX($M88,1)*MIN($AJ88/300,1)))*IF(G88="Wagon",50,10)</f>
        <v>13</v>
      </c>
      <c r="BG88" s="0" t="n">
        <f aca="false">VLOOKUP($H88,Constants!$I:$K, 2, FALSE())</f>
        <v>1</v>
      </c>
      <c r="BH88" s="0" t="n">
        <f aca="false">VLOOKUP($H88,Constants!$I:$K, 3, FALSE())*IF(AND(G88="multiple_unit",AB88&lt;110),0.75,1)</f>
        <v>0.45</v>
      </c>
      <c r="BI88" s="0" t="n">
        <f aca="false">INT(POWER(((Constants!$G$2+$BB88+$BC88+$BD88+$BF88)*$BE88)*$BH88, 1.05))+$BA88</f>
        <v>15</v>
      </c>
      <c r="BJ88" s="0" t="n">
        <f aca="false">INT(POWER((((Constants!$G$1+$BB88+$BC88+$BD88+$BF88)*($BE88))*$BG88),IF($G88="wagon",1,1.2)))+$AZ88</f>
        <v>39</v>
      </c>
      <c r="BK88" s="17" t="n">
        <f aca="false">BI88*IF($G88="wagon",62.5,781.25)</f>
        <v>937.5</v>
      </c>
      <c r="BL88" s="17" t="n">
        <f aca="false">BJ88*IF($G88="wagon",2.73,81.25)</f>
        <v>106.47</v>
      </c>
      <c r="BV88" s="0" t="n">
        <v>1</v>
      </c>
      <c r="BW88" s="0" t="n">
        <v>185</v>
      </c>
      <c r="BY88" s="0" t="s">
        <v>349</v>
      </c>
      <c r="BZ88" s="0" t="s">
        <v>350</v>
      </c>
      <c r="CA88" s="0" t="str">
        <f aca="false">VLOOKUP(J88,Eras!$A$2:$C$10, 2, TRUE())</f>
        <v>prv</v>
      </c>
      <c r="CB88" s="0" t="s">
        <v>318</v>
      </c>
      <c r="CC88" s="0" t="str">
        <f aca="false">CONCATENATE(CA88,"_",CB88)</f>
        <v>prv_Flat Wagon</v>
      </c>
      <c r="CD88" s="0" t="str">
        <f aca="false">_xlfn.CONCAT(H88, "_",I88)</f>
        <v>wagon_RAIL</v>
      </c>
      <c r="CE88" s="6" t="str">
        <f aca="false" t="array" ref="CE88:CE88">_xlfn.CONCAT("{BLACK}Length: {GOLD}", TEXT(ROUNDUP(IF(AQ88&lt;&gt;"",SUM(VALUE(_xlfn.TEXTSPLIT(AQ88, ","))), SUM(VALUE(_xlfn.TEXTSPLIT(AN88, ",")))*IF(M88, M88, 1))/16, 1), "#,##0.0"), " tiles{}")</f>
        <v>{BLACK}Length: {GOLD}0.7 tiles{}</v>
      </c>
      <c r="CF88" s="0" t="str">
        <f aca="false">VLOOKUP($CD88, Constants!$M:$N, 2, FALSE())</f>
        <v/>
      </c>
      <c r="CG88" s="0" t="str">
        <f aca="false">IF(M88&gt;1,_xlfn.CONCAT("{BLACK}Cars: {GOLD}", M88),"")</f>
        <v/>
      </c>
      <c r="CH88" s="0" t="s">
        <v>354</v>
      </c>
      <c r="CI88" s="0" t="str">
        <f aca="false">IF($BU88="!param_no_gameplay_units","{GREEN}Included for gameplay purposes","")</f>
        <v/>
      </c>
      <c r="CJ88" s="0" t="str">
        <f aca="false">IF(BX88="buffet","{YELLOW}25% long distance bonus for consist{}",IF(BZ88="BRAKE","{YELLOW}Speed bonus for slow wagons{}",IF(BW88&gt;190,CONCATENATE("{YELLOW}",INT((BW88-185)/1.85),"% bonus for long distance travel{}"),IF(AND(BW88&lt;180,BW88&lt;&gt;0),CONCATENATE("{YELLOW}",INT((185-BW88)/1.85),"% penalty for long distance travel{}"),""))))</f>
        <v/>
      </c>
      <c r="CK88" s="0" t="str">
        <f aca="false">_xlfn.CONCAT(CF88,IF(CF88&lt;&gt;""," ",""),CG88,IF(OR(CG88&lt;&gt;"",CF88&lt;&gt;""),"{}",""),CE88,CJ88,"{SILVER}",CH88,IF(CI88&lt;&gt;"","{}{}",""),CI88)</f>
        <v>{BLACK}Length: {GOLD}0.7 tiles{}{SILVER}The BYA/BRA covered steel carriers gained their name from the corrugated sliding cover and its curved cross section.</v>
      </c>
      <c r="CL88" s="0" t="n">
        <v>1</v>
      </c>
    </row>
    <row r="89" customFormat="false" ht="14.25" hidden="false" customHeight="false" outlineLevel="0" collapsed="false">
      <c r="A89" s="0" t="s">
        <v>355</v>
      </c>
      <c r="B89" s="15" t="s">
        <v>356</v>
      </c>
      <c r="C89" s="0" t="n">
        <v>74</v>
      </c>
      <c r="E89" s="0" t="n">
        <v>1065</v>
      </c>
      <c r="F89" s="0" t="s">
        <v>143</v>
      </c>
      <c r="G89" s="0" t="s">
        <v>144</v>
      </c>
      <c r="H89" s="0" t="s">
        <v>144</v>
      </c>
      <c r="I89" s="0" t="s">
        <v>92</v>
      </c>
      <c r="J89" s="0" t="n">
        <v>1860</v>
      </c>
      <c r="L89" s="0" t="n">
        <v>1922</v>
      </c>
      <c r="W89" s="0" t="n">
        <v>5</v>
      </c>
      <c r="Y89" s="0" t="n">
        <v>2</v>
      </c>
      <c r="AA89" s="3" t="str">
        <f aca="false">IF(AND(W89&gt;0,Z89&gt;0),(Z89/((W89+X89)*10)),"")</f>
        <v/>
      </c>
      <c r="AB89" s="0" t="n">
        <v>35</v>
      </c>
      <c r="AC89" s="0" t="n">
        <f aca="false">ROUND(AB89*1.6, 0)</f>
        <v>56</v>
      </c>
      <c r="AF89" s="0" t="n">
        <v>4.9</v>
      </c>
      <c r="AG89" s="0" t="n">
        <v>6</v>
      </c>
      <c r="AJ89" s="4" t="n">
        <v>15</v>
      </c>
      <c r="AK89" s="0" t="str">
        <f aca="false">CONCATENATE(VLOOKUP(AL89, 'Voxel Sizes'!$A$2:$B$18,2,FALSE()),"x",INT(AH89*15), "x", INT(AI89*15))</f>
        <v>60x0x0</v>
      </c>
      <c r="AL89" s="0" t="n">
        <f aca="false">ROUND(15*((AG89*10)/256),0)</f>
        <v>4</v>
      </c>
      <c r="AN89" s="0" t="str">
        <f aca="false">CONCATENATE(VLOOKUP(AL89,Constants!$A$2:$C$16,IF(AM89&lt;&gt;"", 3, 2), FALSE()),IF(AM89&lt;&gt;"",CONCATENATE(",",VLOOKUP(AM89,$B:$AN,39,FALSE())),""))</f>
        <v>1,2,1</v>
      </c>
      <c r="AX89" s="0" t="n">
        <v>30</v>
      </c>
      <c r="AY89" s="16" t="n">
        <f aca="false">IF(L89&lt;&gt;"",MAX(16,(L89-J89)+8),"")</f>
        <v>70</v>
      </c>
      <c r="BB89" s="0" t="n">
        <f aca="false">MIN(AB89/150, 1)*30</f>
        <v>7</v>
      </c>
      <c r="BC89" s="0" t="n">
        <f aca="false">MIN(N89/4000, 1)*20</f>
        <v>0</v>
      </c>
      <c r="BD89" s="0" t="n">
        <f aca="false">MIN(Z89/400,1)*20</f>
        <v>0</v>
      </c>
      <c r="BE89" s="3" t="n">
        <f aca="false">1-(MAX(J89-1900, 0)/750)</f>
        <v>1</v>
      </c>
      <c r="BF89" s="0" t="n">
        <f aca="false">((MAX($M89,1)*MIN($AJ89/300,1)))*IF(G89="Wagon",50,10)</f>
        <v>2.5</v>
      </c>
      <c r="BG89" s="0" t="n">
        <f aca="false">VLOOKUP($H89,Constants!$I:$K, 2, FALSE())</f>
        <v>1</v>
      </c>
      <c r="BH89" s="0" t="n">
        <f aca="false">VLOOKUP($H89,Constants!$I:$K, 3, FALSE())*IF(AND(G89="multiple_unit",AB89&lt;110),0.75,1)</f>
        <v>0.45</v>
      </c>
      <c r="BI89" s="0" t="n">
        <f aca="false">INT(POWER(((Constants!$G$2+$BB89+$BC89+$BD89+$BF89)*$BE89)*$BH89, 1.05))+$BA89</f>
        <v>7</v>
      </c>
      <c r="BJ89" s="0" t="n">
        <f aca="false">INT(POWER((((Constants!$G$1+$BB89+$BC89+$BD89+$BF89)*($BE89))*$BG89),IF($G89="wagon",1,1.2)))+$AZ89</f>
        <v>24</v>
      </c>
      <c r="BK89" s="17" t="n">
        <f aca="false">BI89*IF($G89="wagon",62.5,781.25)</f>
        <v>437.5</v>
      </c>
      <c r="BL89" s="17" t="n">
        <f aca="false">BJ89*IF($G89="wagon",2.73,81.25)</f>
        <v>65.52</v>
      </c>
      <c r="BV89" s="0" t="n">
        <v>1</v>
      </c>
      <c r="BW89" s="0" t="n">
        <v>185</v>
      </c>
      <c r="BY89" s="0" t="s">
        <v>357</v>
      </c>
      <c r="BZ89" s="0" t="s">
        <v>358</v>
      </c>
      <c r="CA89" s="0" t="str">
        <f aca="false">VLOOKUP(J89,Eras!$A$2:$C$10, 2, TRUE())</f>
        <v>vct</v>
      </c>
      <c r="CB89" s="0" t="s">
        <v>357</v>
      </c>
      <c r="CC89" s="0" t="str">
        <f aca="false">CONCATENATE(CA89,"_",CB89)</f>
        <v>vct_Tanker</v>
      </c>
      <c r="CD89" s="0" t="str">
        <f aca="false">_xlfn.CONCAT(H89, "_",I89)</f>
        <v>wagon_RAIL</v>
      </c>
      <c r="CE89" s="6" t="str">
        <f aca="false" t="array" ref="CE89:CE89">_xlfn.CONCAT("{BLACK}Length: {GOLD}", TEXT(ROUNDUP(IF(AQ89&lt;&gt;"",SUM(VALUE(_xlfn.TEXTSPLIT(AQ89, ","))), SUM(VALUE(_xlfn.TEXTSPLIT(AN89, ",")))*IF(M89, M89, 1))/16, 1), "#,##0.0"), " tiles{}")</f>
        <v>{BLACK}Length: {GOLD}0.3 tiles{}</v>
      </c>
      <c r="CF89" s="0" t="str">
        <f aca="false">VLOOKUP($CD89, Constants!$M:$N, 2, FALSE())</f>
        <v/>
      </c>
      <c r="CG89" s="0" t="str">
        <f aca="false">IF(M89&gt;1,_xlfn.CONCAT("{BLACK}Cars: {GOLD}", M89),"")</f>
        <v/>
      </c>
      <c r="CH89" s="0" t="s">
        <v>359</v>
      </c>
      <c r="CI89" s="0" t="str">
        <f aca="false">IF($BU89="!param_no_gameplay_units","{GREEN}Included for gameplay purposes","")</f>
        <v/>
      </c>
      <c r="CJ89" s="0" t="str">
        <f aca="false">IF(BX89="buffet","{YELLOW}25% long distance bonus for consist{}",IF(BZ89="BRAKE","{YELLOW}Speed bonus for slow wagons{}",IF(BW89&gt;190,CONCATENATE("{YELLOW}",INT((BW89-185)/1.85),"% bonus for long distance travel{}"),IF(AND(BW89&lt;180,BW89&lt;&gt;0),CONCATENATE("{YELLOW}",INT((185-BW89)/1.85),"% penalty for long distance travel{}"),""))))</f>
        <v/>
      </c>
      <c r="CK89" s="0" t="str">
        <f aca="false">_xlfn.CONCAT(CF89,IF(CF89&lt;&gt;""," ",""),CG89,IF(OR(CG89&lt;&gt;"",CF89&lt;&gt;""),"{}",""),CE89,CJ89,"{SILVER}",CH89,IF(CI89&lt;&gt;"","{}{}",""),CI89)</f>
        <v>{BLACK}Length: {GOLD}0.3 tiles{}{SILVER}Early four wheel tank wagons are limited to low speeds by their construction and primitive suspension.</v>
      </c>
    </row>
    <row r="90" customFormat="false" ht="14.25" hidden="false" customHeight="false" outlineLevel="0" collapsed="false">
      <c r="A90" s="0" t="s">
        <v>360</v>
      </c>
      <c r="B90" s="15" t="s">
        <v>361</v>
      </c>
      <c r="C90" s="0" t="n">
        <v>75</v>
      </c>
      <c r="E90" s="0" t="n">
        <v>1066</v>
      </c>
      <c r="F90" s="0" t="s">
        <v>143</v>
      </c>
      <c r="G90" s="0" t="s">
        <v>144</v>
      </c>
      <c r="H90" s="0" t="s">
        <v>144</v>
      </c>
      <c r="I90" s="0" t="s">
        <v>92</v>
      </c>
      <c r="J90" s="0" t="n">
        <v>1901</v>
      </c>
      <c r="L90" s="0" t="n">
        <v>1939</v>
      </c>
      <c r="W90" s="0" t="n">
        <v>10</v>
      </c>
      <c r="Y90" s="0" t="n">
        <v>3</v>
      </c>
      <c r="AA90" s="3" t="str">
        <f aca="false">IF(AND(W90&gt;0,Z90&gt;0),(Z90/((W90+X90)*10)),"")</f>
        <v/>
      </c>
      <c r="AB90" s="0" t="n">
        <v>45</v>
      </c>
      <c r="AC90" s="0" t="n">
        <f aca="false">ROUND(AB90*1.6, 0)</f>
        <v>72</v>
      </c>
      <c r="AF90" s="0" t="n">
        <v>8</v>
      </c>
      <c r="AG90" s="0" t="n">
        <v>8</v>
      </c>
      <c r="AJ90" s="4" t="n">
        <v>21</v>
      </c>
      <c r="AK90" s="0" t="str">
        <f aca="false">CONCATENATE(VLOOKUP(AL90, 'Voxel Sizes'!$A$2:$B$18,2,FALSE()),"x",INT(AH90*15), "x", INT(AI90*15))</f>
        <v>82x0x0</v>
      </c>
      <c r="AL90" s="0" t="n">
        <f aca="false">ROUND(15*((AG90*10)/256),0)</f>
        <v>5</v>
      </c>
      <c r="AN90" s="0" t="str">
        <f aca="false">CONCATENATE(VLOOKUP(AL90,Constants!$A$2:$C$16,IF(AM90&lt;&gt;"", 3, 2), FALSE()),IF(AM90&lt;&gt;"",CONCATENATE(",",VLOOKUP(AM90,$B:$AN,39,FALSE())),""))</f>
        <v>2,1,2</v>
      </c>
      <c r="AX90" s="0" t="n">
        <v>30</v>
      </c>
      <c r="AY90" s="16" t="n">
        <f aca="false">IF(L90&lt;&gt;"",MAX(16,(L90-J90)+8),"")</f>
        <v>46</v>
      </c>
      <c r="BB90" s="0" t="n">
        <f aca="false">MIN(AB90/150, 1)*30</f>
        <v>9</v>
      </c>
      <c r="BC90" s="0" t="n">
        <f aca="false">MIN(N90/4000, 1)*20</f>
        <v>0</v>
      </c>
      <c r="BD90" s="0" t="n">
        <f aca="false">MIN(Z90/400,1)*20</f>
        <v>0</v>
      </c>
      <c r="BE90" s="3" t="n">
        <f aca="false">1-(MAX(J90-1900, 0)/750)</f>
        <v>0.998666666666667</v>
      </c>
      <c r="BF90" s="0" t="n">
        <f aca="false">((MAX($M90,1)*MIN($AJ90/300,1)))*IF(G90="Wagon",50,10)</f>
        <v>3.5</v>
      </c>
      <c r="BG90" s="0" t="n">
        <f aca="false">VLOOKUP($H90,Constants!$I:$K, 2, FALSE())</f>
        <v>1</v>
      </c>
      <c r="BH90" s="0" t="n">
        <f aca="false">VLOOKUP($H90,Constants!$I:$K, 3, FALSE())*IF(AND(G90="multiple_unit",AB90&lt;110),0.75,1)</f>
        <v>0.45</v>
      </c>
      <c r="BI90" s="0" t="n">
        <f aca="false">INT(POWER(((Constants!$G$2+$BB90+$BC90+$BD90+$BF90)*$BE90)*$BH90, 1.05))+$BA90</f>
        <v>8</v>
      </c>
      <c r="BJ90" s="0" t="n">
        <f aca="false">INT(POWER((((Constants!$G$1+$BB90+$BC90+$BD90+$BF90)*($BE90))*$BG90),IF($G90="wagon",1,1.2)))+$AZ90</f>
        <v>27</v>
      </c>
      <c r="BK90" s="17" t="n">
        <f aca="false">BI90*IF($G90="wagon",62.5,781.25)</f>
        <v>500</v>
      </c>
      <c r="BL90" s="17" t="n">
        <f aca="false">BJ90*IF($G90="wagon",2.73,81.25)</f>
        <v>73.71</v>
      </c>
      <c r="BV90" s="0" t="n">
        <v>1</v>
      </c>
      <c r="BW90" s="0" t="n">
        <v>185</v>
      </c>
      <c r="BY90" s="0" t="s">
        <v>357</v>
      </c>
      <c r="BZ90" s="0" t="s">
        <v>358</v>
      </c>
      <c r="CA90" s="0" t="str">
        <f aca="false">VLOOKUP(J90,Eras!$A$2:$C$10, 2, TRUE())</f>
        <v>edw</v>
      </c>
      <c r="CB90" s="0" t="s">
        <v>357</v>
      </c>
      <c r="CC90" s="0" t="str">
        <f aca="false">CONCATENATE(CA90,"_",CB90)</f>
        <v>edw_Tanker</v>
      </c>
      <c r="CD90" s="0" t="str">
        <f aca="false">_xlfn.CONCAT(H90, "_",I90)</f>
        <v>wagon_RAIL</v>
      </c>
      <c r="CE90" s="6" t="str">
        <f aca="false" t="array" ref="CE90:CE90">_xlfn.CONCAT("{BLACK}Length: {GOLD}", TEXT(ROUNDUP(IF(AQ90&lt;&gt;"",SUM(VALUE(_xlfn.TEXTSPLIT(AQ90, ","))), SUM(VALUE(_xlfn.TEXTSPLIT(AN90, ",")))*IF(M90, M90, 1))/16, 1), "#,##0.0"), " tiles{}")</f>
        <v>{BLACK}Length: {GOLD}0.4 tiles{}</v>
      </c>
      <c r="CF90" s="0" t="str">
        <f aca="false">VLOOKUP($CD90, Constants!$M:$N, 2, FALSE())</f>
        <v/>
      </c>
      <c r="CG90" s="0" t="str">
        <f aca="false">IF(M90&gt;1,_xlfn.CONCAT("{BLACK}Cars: {GOLD}", M90),"")</f>
        <v/>
      </c>
      <c r="CH90" s="0" t="s">
        <v>362</v>
      </c>
      <c r="CI90" s="0" t="str">
        <f aca="false">IF($BU90="!param_no_gameplay_units","{GREEN}Included for gameplay purposes","")</f>
        <v/>
      </c>
      <c r="CJ90" s="0" t="str">
        <f aca="false">IF(BX90="buffet","{YELLOW}25% long distance bonus for consist{}",IF(BZ90="BRAKE","{YELLOW}Speed bonus for slow wagons{}",IF(BW90&gt;190,CONCATENATE("{YELLOW}",INT((BW90-185)/1.85),"% bonus for long distance travel{}"),IF(AND(BW90&lt;180,BW90&lt;&gt;0),CONCATENATE("{YELLOW}",INT((185-BW90)/1.85),"% penalty for long distance travel{}"),""))))</f>
        <v/>
      </c>
      <c r="CK90" s="0" t="str">
        <f aca="false">_xlfn.CONCAT(CF90,IF(CF90&lt;&gt;""," ",""),CG90,IF(OR(CG90&lt;&gt;"",CF90&lt;&gt;""),"{}",""),CE90,CJ90,"{SILVER}",CH90,IF(CI90&lt;&gt;"","{}{}",""),CI90)</f>
        <v>{BLACK}Length: {GOLD}0.4 tiles{}{SILVER}The GWR's cylindrical tank wagons were built by the Locomotive department, as the iron cylinders used similar techniques to steam engines.</v>
      </c>
    </row>
    <row r="91" customFormat="false" ht="14.25" hidden="false" customHeight="false" outlineLevel="0" collapsed="false">
      <c r="A91" s="0" t="s">
        <v>363</v>
      </c>
      <c r="B91" s="15" t="s">
        <v>364</v>
      </c>
      <c r="C91" s="0" t="n">
        <v>76</v>
      </c>
      <c r="E91" s="0" t="n">
        <v>1067</v>
      </c>
      <c r="F91" s="0" t="s">
        <v>143</v>
      </c>
      <c r="G91" s="0" t="s">
        <v>144</v>
      </c>
      <c r="H91" s="0" t="s">
        <v>144</v>
      </c>
      <c r="I91" s="0" t="s">
        <v>92</v>
      </c>
      <c r="J91" s="0" t="n">
        <v>1928</v>
      </c>
      <c r="L91" s="0" t="n">
        <v>1975</v>
      </c>
      <c r="W91" s="0" t="n">
        <v>11</v>
      </c>
      <c r="Y91" s="0" t="n">
        <v>3</v>
      </c>
      <c r="AB91" s="0" t="n">
        <v>50</v>
      </c>
      <c r="AC91" s="0" t="n">
        <f aca="false">ROUND(AB91*1.6, 0)</f>
        <v>80</v>
      </c>
      <c r="AF91" s="0" t="n">
        <v>8</v>
      </c>
      <c r="AG91" s="0" t="n">
        <v>8</v>
      </c>
      <c r="AJ91" s="4" t="n">
        <v>27</v>
      </c>
      <c r="AK91" s="0" t="str">
        <f aca="false">CONCATENATE(VLOOKUP(AL91, 'Voxel Sizes'!$A$2:$B$18,2,FALSE()),"x",INT(AH91*15), "x", INT(AI91*15))</f>
        <v>82x0x0</v>
      </c>
      <c r="AL91" s="0" t="n">
        <f aca="false">ROUND(15*((AG91*10)/256),0)</f>
        <v>5</v>
      </c>
      <c r="AN91" s="0" t="str">
        <f aca="false">CONCATENATE(VLOOKUP(AL91,Constants!$A$2:$C$16,IF(AM91&lt;&gt;"", 3, 2), FALSE()),IF(AM91&lt;&gt;"",CONCATENATE(",",VLOOKUP(AM91,$B:$AN,39,FALSE())),""))</f>
        <v>2,1,2</v>
      </c>
      <c r="AX91" s="0" t="n">
        <v>30</v>
      </c>
      <c r="AY91" s="16" t="n">
        <f aca="false">IF(L91&lt;&gt;"",MAX(16,(L91-J91)+8),"")</f>
        <v>55</v>
      </c>
      <c r="BB91" s="0" t="n">
        <f aca="false">MIN(AB91/150, 1)*30</f>
        <v>10</v>
      </c>
      <c r="BC91" s="0" t="n">
        <f aca="false">MIN(N91/4000, 1)*20</f>
        <v>0</v>
      </c>
      <c r="BD91" s="0" t="n">
        <f aca="false">MIN(Z91/400,1)*20</f>
        <v>0</v>
      </c>
      <c r="BE91" s="3" t="n">
        <f aca="false">1-(MAX(J91-1900, 0)/750)</f>
        <v>0.962666666666667</v>
      </c>
      <c r="BF91" s="0" t="n">
        <f aca="false">((MAX($M91,1)*MIN($AJ91/300,1)))*IF(G91="Wagon",50,10)</f>
        <v>4.5</v>
      </c>
      <c r="BG91" s="0" t="n">
        <f aca="false">VLOOKUP($H91,Constants!$I:$K, 2, FALSE())</f>
        <v>1</v>
      </c>
      <c r="BH91" s="0" t="n">
        <f aca="false">VLOOKUP($H91,Constants!$I:$K, 3, FALSE())*IF(AND(G91="multiple_unit",AB91&lt;110),0.75,1)</f>
        <v>0.45</v>
      </c>
      <c r="BI91" s="0" t="n">
        <f aca="false">INT(POWER(((Constants!$G$2+$BB91+$BC91+$BD91+$BF91)*$BE91)*$BH91, 1.05))+$BA91</f>
        <v>9</v>
      </c>
      <c r="BJ91" s="0" t="n">
        <f aca="false">INT(POWER((((Constants!$G$1+$BB91+$BC91+$BD91+$BF91)*($BE91))*$BG91),IF($G91="wagon",1,1.2)))+$AZ91</f>
        <v>28</v>
      </c>
      <c r="BK91" s="17" t="n">
        <f aca="false">BI91*IF($G91="wagon",62.5,781.25)</f>
        <v>562.5</v>
      </c>
      <c r="BL91" s="17" t="n">
        <f aca="false">BJ91*IF($G91="wagon",2.73,81.25)</f>
        <v>76.44</v>
      </c>
      <c r="BV91" s="0" t="n">
        <v>1</v>
      </c>
      <c r="BW91" s="0" t="n">
        <v>185</v>
      </c>
      <c r="BY91" s="0" t="s">
        <v>357</v>
      </c>
      <c r="BZ91" s="0" t="s">
        <v>358</v>
      </c>
      <c r="CA91" s="0" t="str">
        <f aca="false">VLOOKUP(J91,Eras!$A$2:$C$10, 2, TRUE())</f>
        <v>big4</v>
      </c>
      <c r="CB91" s="0" t="s">
        <v>357</v>
      </c>
      <c r="CC91" s="0" t="str">
        <f aca="false">CONCATENATE(CA91,"_",CB91)</f>
        <v>big4_Tanker</v>
      </c>
      <c r="CD91" s="0" t="str">
        <f aca="false">_xlfn.CONCAT(H91, "_",I91)</f>
        <v>wagon_RAIL</v>
      </c>
      <c r="CE91" s="6" t="str">
        <f aca="false" t="array" ref="CE91:CE91">_xlfn.CONCAT("{BLACK}Length: {GOLD}", TEXT(ROUNDUP(IF(AQ91&lt;&gt;"",SUM(VALUE(_xlfn.TEXTSPLIT(AQ91, ","))), SUM(VALUE(_xlfn.TEXTSPLIT(AN91, ",")))*IF(M91, M91, 1))/16, 1), "#,##0.0"), " tiles{}")</f>
        <v>{BLACK}Length: {GOLD}0.4 tiles{}</v>
      </c>
      <c r="CF91" s="0" t="str">
        <f aca="false">VLOOKUP($CD91, Constants!$M:$N, 2, FALSE())</f>
        <v/>
      </c>
      <c r="CG91" s="0" t="str">
        <f aca="false">IF(M91&gt;1,_xlfn.CONCAT("{BLACK}Cars: {GOLD}", M91),"")</f>
        <v/>
      </c>
      <c r="CH91" s="0" t="s">
        <v>365</v>
      </c>
      <c r="CI91" s="0" t="str">
        <f aca="false">IF($BU91="!param_no_gameplay_units","{GREEN}Included for gameplay purposes","")</f>
        <v/>
      </c>
      <c r="CJ91" s="0" t="str">
        <f aca="false">IF(BX91="buffet","{YELLOW}25% long distance bonus for consist{}",IF(BZ91="BRAKE","{YELLOW}Speed bonus for slow wagons{}",IF(BW91&gt;190,CONCATENATE("{YELLOW}",INT((BW91-185)/1.85),"% bonus for long distance travel{}"),IF(AND(BW91&lt;180,BW91&lt;&gt;0),CONCATENATE("{YELLOW}",INT((185-BW91)/1.85),"% penalty for long distance travel{}"),""))))</f>
        <v/>
      </c>
      <c r="CK91" s="0" t="str">
        <f aca="false">_xlfn.CONCAT(CF91,IF(CF91&lt;&gt;""," ",""),CG91,IF(OR(CG91&lt;&gt;"",CF91&lt;&gt;""),"{}",""),CE91,CJ91,"{SILVER}",CH91,IF(CI91&lt;&gt;"","{}{}",""),CI91)</f>
        <v>{BLACK}Length: {GOLD}0.4 tiles{}{SILVER}Six wheeled tank wagons formed the core of the GWR (and later BR) "milk trains", long freight consists transporting milk from farms to cities.</v>
      </c>
      <c r="CL91" s="0" t="n">
        <v>1</v>
      </c>
    </row>
    <row r="92" customFormat="false" ht="14.25" hidden="false" customHeight="false" outlineLevel="0" collapsed="false">
      <c r="A92" s="0" t="s">
        <v>366</v>
      </c>
      <c r="B92" s="15" t="s">
        <v>367</v>
      </c>
      <c r="C92" s="0" t="n">
        <v>77</v>
      </c>
      <c r="E92" s="0" t="n">
        <v>1068</v>
      </c>
      <c r="F92" s="0" t="s">
        <v>143</v>
      </c>
      <c r="G92" s="0" t="s">
        <v>144</v>
      </c>
      <c r="H92" s="0" t="s">
        <v>144</v>
      </c>
      <c r="I92" s="0" t="s">
        <v>92</v>
      </c>
      <c r="J92" s="0" t="n">
        <v>1966</v>
      </c>
      <c r="W92" s="0" t="n">
        <v>12</v>
      </c>
      <c r="Y92" s="0" t="n">
        <v>4</v>
      </c>
      <c r="AA92" s="3" t="str">
        <f aca="false">IF(AND(W92&gt;0,Z92&gt;0),(Z92/((W92+X92)*10)),"")</f>
        <v/>
      </c>
      <c r="AB92" s="0" t="n">
        <v>65</v>
      </c>
      <c r="AC92" s="0" t="n">
        <f aca="false">ROUND(AB92*1.6, 0)</f>
        <v>104</v>
      </c>
      <c r="AF92" s="0" t="n">
        <v>9.8</v>
      </c>
      <c r="AG92" s="0" t="n">
        <v>9.8</v>
      </c>
      <c r="AJ92" s="4" t="n">
        <v>33</v>
      </c>
      <c r="AK92" s="0" t="str">
        <f aca="false">CONCATENATE(VLOOKUP(AL92, 'Voxel Sizes'!$A$2:$B$18,2,FALSE()),"x",INT(AH92*15), "x", INT(AI92*15))</f>
        <v>102x0x0</v>
      </c>
      <c r="AL92" s="0" t="n">
        <f aca="false">ROUND(15*((AG92*10)/256),0)</f>
        <v>6</v>
      </c>
      <c r="AN92" s="0" t="str">
        <f aca="false">CONCATENATE(VLOOKUP(AL92,Constants!$A$2:$C$16,IF(AM92&lt;&gt;"", 3, 2), FALSE()),IF(AM92&lt;&gt;"",CONCATENATE(",",VLOOKUP(AM92,$B:$AN,39,FALSE())),""))</f>
        <v>2,2,2</v>
      </c>
      <c r="AX92" s="0" t="n">
        <v>30</v>
      </c>
      <c r="AY92" s="16" t="str">
        <f aca="false">IF(L92&lt;&gt;"",MAX(16,(L92-J92)+8),"")</f>
        <v/>
      </c>
      <c r="BB92" s="0" t="n">
        <f aca="false">MIN(AB92/150, 1)*30</f>
        <v>13</v>
      </c>
      <c r="BC92" s="0" t="n">
        <f aca="false">MIN(N92/4000, 1)*20</f>
        <v>0</v>
      </c>
      <c r="BD92" s="0" t="n">
        <f aca="false">MIN(Z92/400,1)*20</f>
        <v>0</v>
      </c>
      <c r="BE92" s="3" t="n">
        <f aca="false">1-(MAX(J92-1900, 0)/750)</f>
        <v>0.912</v>
      </c>
      <c r="BF92" s="0" t="n">
        <f aca="false">((MAX($M92,1)*MIN($AJ92/300,1)))*IF(G92="Wagon",50,10)</f>
        <v>5.5</v>
      </c>
      <c r="BG92" s="0" t="n">
        <f aca="false">VLOOKUP($H92,Constants!$I:$K, 2, FALSE())</f>
        <v>1</v>
      </c>
      <c r="BH92" s="0" t="n">
        <f aca="false">VLOOKUP($H92,Constants!$I:$K, 3, FALSE())*IF(AND(G92="multiple_unit",AB92&lt;110),0.75,1)</f>
        <v>0.45</v>
      </c>
      <c r="BI92" s="0" t="n">
        <f aca="false">INT(POWER(((Constants!$G$2+$BB92+$BC92+$BD92+$BF92)*$BE92)*$BH92, 1.05))+$BA92</f>
        <v>10</v>
      </c>
      <c r="BJ92" s="0" t="n">
        <f aca="false">INT(POWER((((Constants!$G$1+$BB92+$BC92+$BD92+$BF92)*($BE92))*$BG92),IF($G92="wagon",1,1.2)))+$AZ92</f>
        <v>30</v>
      </c>
      <c r="BK92" s="17" t="n">
        <f aca="false">BI92*IF($G92="wagon",62.5,781.25)</f>
        <v>625</v>
      </c>
      <c r="BL92" s="17" t="n">
        <f aca="false">BJ92*IF($G92="wagon",2.73,81.25)</f>
        <v>81.9</v>
      </c>
      <c r="BV92" s="0" t="n">
        <v>1</v>
      </c>
      <c r="BW92" s="0" t="n">
        <v>185</v>
      </c>
      <c r="BY92" s="0" t="s">
        <v>357</v>
      </c>
      <c r="BZ92" s="0" t="s">
        <v>358</v>
      </c>
      <c r="CA92" s="0" t="str">
        <f aca="false">VLOOKUP(J92,Eras!$A$2:$C$10, 2, TRUE())</f>
        <v>dsl</v>
      </c>
      <c r="CB92" s="0" t="s">
        <v>357</v>
      </c>
      <c r="CC92" s="0" t="str">
        <f aca="false">CONCATENATE(CA92,"_",CB92)</f>
        <v>dsl_Tanker</v>
      </c>
      <c r="CD92" s="0" t="str">
        <f aca="false">_xlfn.CONCAT(H92, "_",I92)</f>
        <v>wagon_RAIL</v>
      </c>
      <c r="CE92" s="6" t="str">
        <f aca="false" t="array" ref="CE92:CE92">_xlfn.CONCAT("{BLACK}Length: {GOLD}", TEXT(ROUNDUP(IF(AQ92&lt;&gt;"",SUM(VALUE(_xlfn.TEXTSPLIT(AQ92, ","))), SUM(VALUE(_xlfn.TEXTSPLIT(AN92, ",")))*IF(M92, M92, 1))/16, 1), "#,##0.0"), " tiles{}")</f>
        <v>{BLACK}Length: {GOLD}0.4 tiles{}</v>
      </c>
      <c r="CF92" s="0" t="str">
        <f aca="false">VLOOKUP($CD92, Constants!$M:$N, 2, FALSE())</f>
        <v/>
      </c>
      <c r="CG92" s="0" t="str">
        <f aca="false">IF(M92&gt;1,_xlfn.CONCAT("{BLACK}Cars: {GOLD}", M92),"")</f>
        <v/>
      </c>
      <c r="CH92" s="0" t="s">
        <v>368</v>
      </c>
      <c r="CI92" s="0" t="str">
        <f aca="false">IF($BU92="!param_no_gameplay_units","{GREEN}Included for gameplay purposes","")</f>
        <v/>
      </c>
      <c r="CJ92" s="0" t="str">
        <f aca="false">IF(BX92="buffet","{YELLOW}25% long distance bonus for consist{}",IF(BZ92="BRAKE","{YELLOW}Speed bonus for slow wagons{}",IF(BW92&gt;190,CONCATENATE("{YELLOW}",INT((BW92-185)/1.85),"% bonus for long distance travel{}"),IF(AND(BW92&lt;180,BW92&lt;&gt;0),CONCATENATE("{YELLOW}",INT((185-BW92)/1.85),"% penalty for long distance travel{}"),""))))</f>
        <v/>
      </c>
      <c r="CK92" s="0" t="str">
        <f aca="false">_xlfn.CONCAT(CF92,IF(CF92&lt;&gt;""," ",""),CG92,IF(OR(CG92&lt;&gt;"",CF92&lt;&gt;""),"{}",""),CE92,CJ92,"{SILVER}",CH92,IF(CI92&lt;&gt;"","{}{}",""),CI92)</f>
        <v>{BLACK}Length: {GOLD}0.4 tiles{}{SILVER}TTA tankers were constructed on "monobloc" principles and featured automatic braking.</v>
      </c>
      <c r="CL92" s="0" t="n">
        <v>1</v>
      </c>
    </row>
    <row r="93" customFormat="false" ht="14.25" hidden="false" customHeight="false" outlineLevel="0" collapsed="false">
      <c r="A93" s="0" t="s">
        <v>369</v>
      </c>
      <c r="B93" s="15" t="s">
        <v>370</v>
      </c>
      <c r="C93" s="0" t="n">
        <v>78</v>
      </c>
      <c r="E93" s="0" t="n">
        <v>1069</v>
      </c>
      <c r="F93" s="0" t="s">
        <v>143</v>
      </c>
      <c r="G93" s="0" t="s">
        <v>144</v>
      </c>
      <c r="H93" s="0" t="s">
        <v>144</v>
      </c>
      <c r="I93" s="0" t="s">
        <v>92</v>
      </c>
      <c r="J93" s="0" t="n">
        <v>1970</v>
      </c>
      <c r="W93" s="0" t="n">
        <v>24</v>
      </c>
      <c r="Y93" s="0" t="n">
        <v>5</v>
      </c>
      <c r="AA93" s="3" t="str">
        <f aca="false">IF(AND(W93&gt;0,Z93&gt;0),(Z93/((W93+X93)*10)),"")</f>
        <v/>
      </c>
      <c r="AB93" s="0" t="n">
        <v>70</v>
      </c>
      <c r="AC93" s="0" t="n">
        <f aca="false">ROUND(AB93*1.6, 0)</f>
        <v>112</v>
      </c>
      <c r="AF93" s="0" t="n">
        <v>17.7</v>
      </c>
      <c r="AG93" s="0" t="n">
        <v>17.7</v>
      </c>
      <c r="AJ93" s="4" t="n">
        <v>78</v>
      </c>
      <c r="AK93" s="0" t="str">
        <f aca="false">CONCATENATE(VLOOKUP(AL93, 'Voxel Sizes'!$A$2:$B$18,2,FALSE()),"x",INT(AH93*15), "x", INT(AI93*15))</f>
        <v>164x0x0</v>
      </c>
      <c r="AL93" s="0" t="n">
        <f aca="false">ROUND(15*((AG93*10)/256),0)</f>
        <v>10</v>
      </c>
      <c r="AN93" s="0" t="str">
        <f aca="false">CONCATENATE(VLOOKUP(AL93,Constants!$A$2:$C$16,IF(AM93&lt;&gt;"", 3, 2), FALSE()),IF(AM93&lt;&gt;"",CONCATENATE(",",VLOOKUP(AM93,$B:$AN,39,FALSE())),""))</f>
        <v>4,2,4</v>
      </c>
      <c r="AX93" s="0" t="n">
        <v>30</v>
      </c>
      <c r="AY93" s="16" t="str">
        <f aca="false">IF(L93&lt;&gt;"",MAX(16,(L93-J93)+8),"")</f>
        <v/>
      </c>
      <c r="BB93" s="0" t="n">
        <f aca="false">MIN(AB93/150, 1)*30</f>
        <v>14</v>
      </c>
      <c r="BC93" s="0" t="n">
        <f aca="false">MIN(N93/4000, 1)*20</f>
        <v>0</v>
      </c>
      <c r="BD93" s="0" t="n">
        <f aca="false">MIN(Z93/400,1)*20</f>
        <v>0</v>
      </c>
      <c r="BE93" s="3" t="n">
        <f aca="false">1-(MAX(J93-1900, 0)/750)</f>
        <v>0.906666666666667</v>
      </c>
      <c r="BF93" s="0" t="n">
        <f aca="false">((MAX($M93,1)*MIN($AJ93/300,1)))*IF(G93="Wagon",50,10)</f>
        <v>13</v>
      </c>
      <c r="BG93" s="0" t="n">
        <f aca="false">VLOOKUP($H93,Constants!$I:$K, 2, FALSE())</f>
        <v>1</v>
      </c>
      <c r="BH93" s="0" t="n">
        <f aca="false">VLOOKUP($H93,Constants!$I:$K, 3, FALSE())*IF(AND(G93="multiple_unit",AB93&lt;110),0.75,1)</f>
        <v>0.45</v>
      </c>
      <c r="BI93" s="0" t="n">
        <f aca="false">INT(POWER(((Constants!$G$2+$BB93+$BC93+$BD93+$BF93)*$BE93)*$BH93, 1.05))+$BA93</f>
        <v>14</v>
      </c>
      <c r="BJ93" s="0" t="n">
        <f aca="false">INT(POWER((((Constants!$G$1+$BB93+$BC93+$BD93+$BF93)*($BE93))*$BG93),IF($G93="wagon",1,1.2)))+$AZ93</f>
        <v>38</v>
      </c>
      <c r="BK93" s="17" t="n">
        <f aca="false">BI93*IF($G93="wagon",62.5,781.25)</f>
        <v>875</v>
      </c>
      <c r="BL93" s="17" t="n">
        <f aca="false">BJ93*IF($G93="wagon",2.73,81.25)</f>
        <v>103.74</v>
      </c>
      <c r="BV93" s="0" t="n">
        <v>1</v>
      </c>
      <c r="BW93" s="0" t="n">
        <v>185</v>
      </c>
      <c r="BY93" s="0" t="s">
        <v>357</v>
      </c>
      <c r="BZ93" s="0" t="s">
        <v>358</v>
      </c>
      <c r="CA93" s="0" t="str">
        <f aca="false">VLOOKUP(J93,Eras!$A$2:$C$10, 2, TRUE())</f>
        <v>lbr</v>
      </c>
      <c r="CB93" s="0" t="s">
        <v>357</v>
      </c>
      <c r="CC93" s="0" t="str">
        <f aca="false">CONCATENATE(CA93,"_",CB93)</f>
        <v>lbr_Tanker</v>
      </c>
      <c r="CD93" s="0" t="str">
        <f aca="false">_xlfn.CONCAT(H93, "_",I93)</f>
        <v>wagon_RAIL</v>
      </c>
      <c r="CE93" s="6" t="str">
        <f aca="false" t="array" ref="CE93:CE93">_xlfn.CONCAT("{BLACK}Length: {GOLD}", TEXT(ROUNDUP(IF(AQ93&lt;&gt;"",SUM(VALUE(_xlfn.TEXTSPLIT(AQ93, ","))), SUM(VALUE(_xlfn.TEXTSPLIT(AN93, ",")))*IF(M93, M93, 1))/16, 1), "#,##0.0"), " tiles{}")</f>
        <v>{BLACK}Length: {GOLD}0.7 tiles{}</v>
      </c>
      <c r="CF93" s="0" t="str">
        <f aca="false">VLOOKUP($CD93, Constants!$M:$N, 2, FALSE())</f>
        <v/>
      </c>
      <c r="CG93" s="0" t="str">
        <f aca="false">IF(M93&gt;1,_xlfn.CONCAT("{BLACK}Cars: {GOLD}", M93),"")</f>
        <v/>
      </c>
      <c r="CH93" s="0" t="s">
        <v>371</v>
      </c>
      <c r="CI93" s="0" t="str">
        <f aca="false">IF($BU93="!param_no_gameplay_units","{GREEN}Included for gameplay purposes","")</f>
        <v/>
      </c>
      <c r="CJ93" s="0" t="str">
        <f aca="false">IF(BX93="buffet","{YELLOW}25% long distance bonus for consist{}",IF(BZ93="BRAKE","{YELLOW}Speed bonus for slow wagons{}",IF(BW93&gt;190,CONCATENATE("{YELLOW}",INT((BW93-185)/1.85),"% bonus for long distance travel{}"),IF(AND(BW93&lt;180,BW93&lt;&gt;0),CONCATENATE("{YELLOW}",INT((185-BW93)/1.85),"% penalty for long distance travel{}"),""))))</f>
        <v/>
      </c>
      <c r="CK93" s="0" t="str">
        <f aca="false">_xlfn.CONCAT(CF93,IF(CF93&lt;&gt;""," ",""),CG93,IF(OR(CG93&lt;&gt;"",CF93&lt;&gt;""),"{}",""),CE93,CJ93,"{SILVER}",CH93,IF(CI93&lt;&gt;"","{}{}",""),CI93)</f>
        <v>{BLACK}Length: {GOLD}0.7 tiles{}{SILVER}Large bogie tankers allowed for carrying heavy loads of liquids at high speeds. The long frames allow tanks to take up more space without fouling axles.</v>
      </c>
      <c r="CL93" s="0" t="n">
        <v>1</v>
      </c>
    </row>
    <row r="94" customFormat="false" ht="14.25" hidden="false" customHeight="false" outlineLevel="0" collapsed="false">
      <c r="A94" s="0" t="s">
        <v>372</v>
      </c>
      <c r="B94" s="15" t="s">
        <v>373</v>
      </c>
      <c r="C94" s="0" t="n">
        <v>79</v>
      </c>
      <c r="E94" s="0" t="n">
        <v>1070</v>
      </c>
      <c r="F94" s="0" t="s">
        <v>143</v>
      </c>
      <c r="G94" s="0" t="s">
        <v>144</v>
      </c>
      <c r="H94" s="0" t="s">
        <v>144</v>
      </c>
      <c r="I94" s="0" t="s">
        <v>92</v>
      </c>
      <c r="J94" s="0" t="n">
        <v>1850</v>
      </c>
      <c r="L94" s="0" t="n">
        <v>1925</v>
      </c>
      <c r="W94" s="0" t="n">
        <v>8</v>
      </c>
      <c r="Y94" s="0" t="n">
        <v>3</v>
      </c>
      <c r="AA94" s="3" t="str">
        <f aca="false">IF(AND(W94&gt;0,Z94&gt;0),(Z94/((W94+X94)*10)),"")</f>
        <v/>
      </c>
      <c r="AB94" s="0" t="n">
        <v>40</v>
      </c>
      <c r="AC94" s="0" t="n">
        <f aca="false">ROUND(AB94*1.6, 0)</f>
        <v>64</v>
      </c>
      <c r="AF94" s="0" t="n">
        <v>6</v>
      </c>
      <c r="AG94" s="0" t="n">
        <v>6</v>
      </c>
      <c r="AJ94" s="4" t="n">
        <v>18</v>
      </c>
      <c r="AK94" s="0" t="str">
        <f aca="false">CONCATENATE(VLOOKUP(AL94, 'Voxel Sizes'!$A$2:$B$18,2,FALSE()),"x",INT(AH94*15), "x", INT(AI94*15))</f>
        <v>60x0x0</v>
      </c>
      <c r="AL94" s="0" t="n">
        <f aca="false">ROUND(15*((AG94*10)/256),0)</f>
        <v>4</v>
      </c>
      <c r="AN94" s="0" t="str">
        <f aca="false">CONCATENATE(VLOOKUP(AL94,Constants!$A$2:$C$16,IF(AM94&lt;&gt;"", 3, 2), FALSE()),IF(AM94&lt;&gt;"",CONCATENATE(",",VLOOKUP(AM94,$B:$AN,39,FALSE())),""))</f>
        <v>1,2,1</v>
      </c>
      <c r="AX94" s="0" t="n">
        <v>30</v>
      </c>
      <c r="AY94" s="16" t="n">
        <f aca="false">IF(L94&lt;&gt;"",MAX(16,(L94-J94)+8),"")</f>
        <v>83</v>
      </c>
      <c r="BB94" s="0" t="n">
        <f aca="false">MIN(AB94/150, 1)*30</f>
        <v>8</v>
      </c>
      <c r="BC94" s="0" t="n">
        <f aca="false">MIN(N94/4000, 1)*20</f>
        <v>0</v>
      </c>
      <c r="BD94" s="0" t="n">
        <f aca="false">MIN(Z94/400,1)*20</f>
        <v>0</v>
      </c>
      <c r="BE94" s="3" t="n">
        <f aca="false">1-(MAX(J94-1900, 0)/750)</f>
        <v>1</v>
      </c>
      <c r="BF94" s="0" t="n">
        <f aca="false">((MAX($M94,1)*MIN($AJ94/300,1)))*IF(G94="Wagon",50,10)</f>
        <v>3</v>
      </c>
      <c r="BG94" s="0" t="n">
        <f aca="false">VLOOKUP($H94,Constants!$I:$K, 2, FALSE())</f>
        <v>1</v>
      </c>
      <c r="BH94" s="0" t="n">
        <f aca="false">VLOOKUP($H94,Constants!$I:$K, 3, FALSE())*IF(AND(G94="multiple_unit",AB94&lt;110),0.75,1)</f>
        <v>0.45</v>
      </c>
      <c r="BI94" s="0" t="n">
        <f aca="false">INT(POWER(((Constants!$G$2+$BB94+$BC94+$BD94+$BF94)*$BE94)*$BH94, 1.05))+$BA94</f>
        <v>7</v>
      </c>
      <c r="BJ94" s="0" t="n">
        <f aca="false">INT(POWER((((Constants!$G$1+$BB94+$BC94+$BD94+$BF94)*($BE94))*$BG94),IF($G94="wagon",1,1.2)))+$AZ94</f>
        <v>26</v>
      </c>
      <c r="BK94" s="17" t="n">
        <f aca="false">BI94*IF($G94="wagon",62.5,781.25)</f>
        <v>437.5</v>
      </c>
      <c r="BL94" s="17" t="n">
        <f aca="false">BJ94*IF($G94="wagon",2.73,81.25)</f>
        <v>70.98</v>
      </c>
      <c r="BV94" s="0" t="n">
        <v>1</v>
      </c>
      <c r="BW94" s="0" t="n">
        <v>185</v>
      </c>
      <c r="BY94" s="0" t="s">
        <v>374</v>
      </c>
      <c r="BZ94" s="0" t="s">
        <v>375</v>
      </c>
      <c r="CA94" s="0" t="str">
        <f aca="false">VLOOKUP(J94,Eras!$A$2:$C$10, 2, TRUE())</f>
        <v>vct</v>
      </c>
      <c r="CB94" s="0" t="s">
        <v>376</v>
      </c>
      <c r="CC94" s="0" t="str">
        <f aca="false">CONCATENATE(CA94,"_",CB94)</f>
        <v>vct_Van</v>
      </c>
      <c r="CD94" s="0" t="str">
        <f aca="false">_xlfn.CONCAT(H94, "_",I94)</f>
        <v>wagon_RAIL</v>
      </c>
      <c r="CE94" s="6" t="str">
        <f aca="false" t="array" ref="CE94:CE94">_xlfn.CONCAT("{BLACK}Length: {GOLD}", TEXT(ROUNDUP(IF(AQ94&lt;&gt;"",SUM(VALUE(_xlfn.TEXTSPLIT(AQ94, ","))), SUM(VALUE(_xlfn.TEXTSPLIT(AN94, ",")))*IF(M94, M94, 1))/16, 1), "#,##0.0"), " tiles{}")</f>
        <v>{BLACK}Length: {GOLD}0.3 tiles{}</v>
      </c>
      <c r="CF94" s="0" t="str">
        <f aca="false">VLOOKUP($CD94, Constants!$M:$N, 2, FALSE())</f>
        <v/>
      </c>
      <c r="CG94" s="0" t="str">
        <f aca="false">IF(M94&gt;1,_xlfn.CONCAT("{BLACK}Cars: {GOLD}", M94),"")</f>
        <v/>
      </c>
      <c r="CH94" s="0" t="s">
        <v>377</v>
      </c>
      <c r="CI94" s="0" t="str">
        <f aca="false">IF($BU94="!param_no_gameplay_units","{GREEN}Included for gameplay purposes","")</f>
        <v/>
      </c>
      <c r="CJ94" s="0" t="str">
        <f aca="false">IF(BX94="buffet","{YELLOW}25% long distance bonus for consist{}",IF(BZ94="BRAKE","{YELLOW}Speed bonus for slow wagons{}",IF(BW94&gt;190,CONCATENATE("{YELLOW}",INT((BW94-185)/1.85),"% bonus for long distance travel{}"),IF(AND(BW94&lt;180,BW94&lt;&gt;0),CONCATENATE("{YELLOW}",INT((185-BW94)/1.85),"% penalty for long distance travel{}"),""))))</f>
        <v/>
      </c>
      <c r="CK94" s="0" t="str">
        <f aca="false">_xlfn.CONCAT(CF94,IF(CF94&lt;&gt;""," ",""),CG94,IF(OR(CG94&lt;&gt;"",CF94&lt;&gt;""),"{}",""),CE94,CJ94,"{SILVER}",CH94,IF(CI94&lt;&gt;"","{}{}",""),CI94)</f>
        <v>{BLACK}Length: {GOLD}0.3 tiles{}{SILVER}Livestock traffic was common early on in railway history, with specialised cattle wagons and stations equipped to handle loading and unloading.</v>
      </c>
    </row>
    <row r="95" customFormat="false" ht="14.25" hidden="false" customHeight="false" outlineLevel="0" collapsed="false">
      <c r="A95" s="0" t="s">
        <v>378</v>
      </c>
      <c r="B95" s="15" t="s">
        <v>379</v>
      </c>
      <c r="C95" s="0" t="n">
        <v>80</v>
      </c>
      <c r="E95" s="0" t="n">
        <v>1071</v>
      </c>
      <c r="F95" s="0" t="s">
        <v>143</v>
      </c>
      <c r="G95" s="0" t="s">
        <v>144</v>
      </c>
      <c r="H95" s="0" t="s">
        <v>144</v>
      </c>
      <c r="I95" s="0" t="s">
        <v>92</v>
      </c>
      <c r="J95" s="0" t="n">
        <v>1905</v>
      </c>
      <c r="L95" s="0" t="n">
        <v>1955</v>
      </c>
      <c r="W95" s="0" t="n">
        <v>10</v>
      </c>
      <c r="Y95" s="0" t="n">
        <v>3</v>
      </c>
      <c r="AA95" s="3" t="str">
        <f aca="false">IF(AND(W95&gt;0,Z95&gt;0),(Z95/((W95+X95)*10)),"")</f>
        <v/>
      </c>
      <c r="AB95" s="0" t="n">
        <v>45</v>
      </c>
      <c r="AC95" s="0" t="n">
        <f aca="false">ROUND(AB95*1.6, 0)</f>
        <v>72</v>
      </c>
      <c r="AF95" s="0" t="n">
        <v>8.9</v>
      </c>
      <c r="AG95" s="0" t="n">
        <v>8.9</v>
      </c>
      <c r="AJ95" s="4" t="n">
        <v>24</v>
      </c>
      <c r="AK95" s="0" t="str">
        <f aca="false">CONCATENATE(VLOOKUP(AL95, 'Voxel Sizes'!$A$2:$B$18,2,FALSE()),"x",INT(AH95*15), "x", INT(AI95*15))</f>
        <v>82x0x0</v>
      </c>
      <c r="AL95" s="0" t="n">
        <f aca="false">ROUND(15*((AG95*10)/256),0)</f>
        <v>5</v>
      </c>
      <c r="AN95" s="0" t="str">
        <f aca="false">CONCATENATE(VLOOKUP(AL95,Constants!$A$2:$C$16,IF(AM95&lt;&gt;"", 3, 2), FALSE()),IF(AM95&lt;&gt;"",CONCATENATE(",",VLOOKUP(AM95,$B:$AN,39,FALSE())),""))</f>
        <v>2,1,2</v>
      </c>
      <c r="AX95" s="0" t="n">
        <v>30</v>
      </c>
      <c r="AY95" s="16" t="n">
        <f aca="false">IF(L95&lt;&gt;"",MAX(16,(L95-J95)+8),"")</f>
        <v>58</v>
      </c>
      <c r="BB95" s="0" t="n">
        <f aca="false">MIN(AB95/150, 1)*30</f>
        <v>9</v>
      </c>
      <c r="BC95" s="0" t="n">
        <f aca="false">MIN(N95/4000, 1)*20</f>
        <v>0</v>
      </c>
      <c r="BD95" s="0" t="n">
        <f aca="false">MIN(Z95/400,1)*20</f>
        <v>0</v>
      </c>
      <c r="BE95" s="3" t="n">
        <f aca="false">1-(MAX(J95-1900, 0)/750)</f>
        <v>0.993333333333333</v>
      </c>
      <c r="BF95" s="0" t="n">
        <f aca="false">((MAX($M95,1)*MIN($AJ95/300,1)))*IF(G95="Wagon",50,10)</f>
        <v>4</v>
      </c>
      <c r="BG95" s="0" t="n">
        <f aca="false">VLOOKUP($H95,Constants!$I:$K, 2, FALSE())</f>
        <v>1</v>
      </c>
      <c r="BH95" s="0" t="n">
        <f aca="false">VLOOKUP($H95,Constants!$I:$K, 3, FALSE())*IF(AND(G95="multiple_unit",AB95&lt;110),0.75,1)</f>
        <v>0.45</v>
      </c>
      <c r="BI95" s="0" t="n">
        <f aca="false">INT(POWER(((Constants!$G$2+$BB95+$BC95+$BD95+$BF95)*$BE95)*$BH95, 1.05))+$BA95</f>
        <v>8</v>
      </c>
      <c r="BJ95" s="0" t="n">
        <f aca="false">INT(POWER((((Constants!$G$1+$BB95+$BC95+$BD95+$BF95)*($BE95))*$BG95),IF($G95="wagon",1,1.2)))+$AZ95</f>
        <v>27</v>
      </c>
      <c r="BK95" s="17" t="n">
        <f aca="false">BI95*IF($G95="wagon",62.5,781.25)</f>
        <v>500</v>
      </c>
      <c r="BL95" s="17" t="n">
        <f aca="false">BJ95*IF($G95="wagon",2.73,81.25)</f>
        <v>73.71</v>
      </c>
      <c r="BV95" s="0" t="n">
        <v>1</v>
      </c>
      <c r="BW95" s="0" t="n">
        <v>185</v>
      </c>
      <c r="BY95" s="0" t="s">
        <v>374</v>
      </c>
      <c r="BZ95" s="0" t="s">
        <v>375</v>
      </c>
      <c r="CA95" s="0" t="str">
        <f aca="false">VLOOKUP(J95,Eras!$A$2:$C$10, 2, TRUE())</f>
        <v>edw</v>
      </c>
      <c r="CB95" s="0" t="s">
        <v>376</v>
      </c>
      <c r="CC95" s="0" t="str">
        <f aca="false">CONCATENATE(CA95,"_",CB95)</f>
        <v>edw_Van</v>
      </c>
      <c r="CD95" s="0" t="str">
        <f aca="false">_xlfn.CONCAT(H95, "_",I95)</f>
        <v>wagon_RAIL</v>
      </c>
      <c r="CE95" s="6" t="str">
        <f aca="false" t="array" ref="CE95:CE95">_xlfn.CONCAT("{BLACK}Length: {GOLD}", TEXT(ROUNDUP(IF(AQ95&lt;&gt;"",SUM(VALUE(_xlfn.TEXTSPLIT(AQ95, ","))), SUM(VALUE(_xlfn.TEXTSPLIT(AN95, ",")))*IF(M95, M95, 1))/16, 1), "#,##0.0"), " tiles{}")</f>
        <v>{BLACK}Length: {GOLD}0.4 tiles{}</v>
      </c>
      <c r="CF95" s="0" t="str">
        <f aca="false">VLOOKUP($CD95, Constants!$M:$N, 2, FALSE())</f>
        <v/>
      </c>
      <c r="CG95" s="0" t="str">
        <f aca="false">IF(M95&gt;1,_xlfn.CONCAT("{BLACK}Cars: {GOLD}", M95),"")</f>
        <v/>
      </c>
      <c r="CH95" s="0" t="s">
        <v>380</v>
      </c>
      <c r="CI95" s="0" t="str">
        <f aca="false">IF($BU95="!param_no_gameplay_units","{GREEN}Included for gameplay purposes","")</f>
        <v/>
      </c>
      <c r="CJ95" s="0" t="str">
        <f aca="false">IF(BX95="buffet","{YELLOW}25% long distance bonus for consist{}",IF(BZ95="BRAKE","{YELLOW}Speed bonus for slow wagons{}",IF(BW95&gt;190,CONCATENATE("{YELLOW}",INT((BW95-185)/1.85),"% bonus for long distance travel{}"),IF(AND(BW95&lt;180,BW95&lt;&gt;0),CONCATENATE("{YELLOW}",INT((185-BW95)/1.85),"% penalty for long distance travel{}"),""))))</f>
        <v/>
      </c>
      <c r="CK95" s="0" t="str">
        <f aca="false">_xlfn.CONCAT(CF95,IF(CF95&lt;&gt;""," ",""),CG95,IF(OR(CG95&lt;&gt;"",CF95&lt;&gt;""),"{}",""),CE95,CJ95,"{SILVER}",CH95,IF(CI95&lt;&gt;"","{}{}",""),CI95)</f>
        <v>{BLACK}Length: {GOLD}0.4 tiles{}{SILVER}Livestock vans evolved along with improvements in covered van design.</v>
      </c>
    </row>
    <row r="96" customFormat="false" ht="14.25" hidden="false" customHeight="false" outlineLevel="0" collapsed="false">
      <c r="A96" s="0" t="s">
        <v>381</v>
      </c>
      <c r="B96" s="15" t="s">
        <v>382</v>
      </c>
      <c r="C96" s="0" t="n">
        <v>81</v>
      </c>
      <c r="E96" s="0" t="n">
        <v>1072</v>
      </c>
      <c r="F96" s="0" t="s">
        <v>143</v>
      </c>
      <c r="G96" s="0" t="s">
        <v>144</v>
      </c>
      <c r="H96" s="0" t="s">
        <v>144</v>
      </c>
      <c r="I96" s="0" t="s">
        <v>92</v>
      </c>
      <c r="J96" s="0" t="n">
        <v>1930</v>
      </c>
      <c r="L96" s="0" t="n">
        <v>1975</v>
      </c>
      <c r="W96" s="0" t="n">
        <v>10</v>
      </c>
      <c r="Y96" s="0" t="n">
        <v>3</v>
      </c>
      <c r="AA96" s="3" t="str">
        <f aca="false">IF(AND(W96&gt;0,Z96&gt;0),(Z96/((W96+X96)*10)),"")</f>
        <v/>
      </c>
      <c r="AB96" s="0" t="n">
        <v>50</v>
      </c>
      <c r="AC96" s="0" t="n">
        <f aca="false">ROUND(AB96*1.6, 0)</f>
        <v>80</v>
      </c>
      <c r="AF96" s="0" t="n">
        <v>8.9</v>
      </c>
      <c r="AG96" s="0" t="n">
        <v>8.9</v>
      </c>
      <c r="AJ96" s="4" t="n">
        <v>24</v>
      </c>
      <c r="AK96" s="0" t="str">
        <f aca="false">CONCATENATE(VLOOKUP(AL96, 'Voxel Sizes'!$A$2:$B$18,2,FALSE()),"x",INT(AH96*15), "x", INT(AI96*15))</f>
        <v>82x0x0</v>
      </c>
      <c r="AL96" s="0" t="n">
        <f aca="false">ROUND(15*((AG96*10)/256),0)</f>
        <v>5</v>
      </c>
      <c r="AN96" s="0" t="str">
        <f aca="false">CONCATENATE(VLOOKUP(AL96,Constants!$A$2:$C$16,IF(AM96&lt;&gt;"", 3, 2), FALSE()),IF(AM96&lt;&gt;"",CONCATENATE(",",VLOOKUP(AM96,$B:$AN,39,FALSE())),""))</f>
        <v>2,1,2</v>
      </c>
      <c r="AX96" s="0" t="n">
        <v>30</v>
      </c>
      <c r="AY96" s="16" t="n">
        <f aca="false">IF(L96&lt;&gt;"",MAX(16,(L96-J96)+8),"")</f>
        <v>53</v>
      </c>
      <c r="BB96" s="0" t="n">
        <f aca="false">MIN(AB96/150, 1)*30</f>
        <v>10</v>
      </c>
      <c r="BC96" s="0" t="n">
        <f aca="false">MIN(N96/4000, 1)*20</f>
        <v>0</v>
      </c>
      <c r="BD96" s="0" t="n">
        <f aca="false">MIN(Z96/400,1)*20</f>
        <v>0</v>
      </c>
      <c r="BE96" s="3" t="n">
        <f aca="false">1-(MAX(J96-1900, 0)/750)</f>
        <v>0.96</v>
      </c>
      <c r="BF96" s="0" t="n">
        <f aca="false">((MAX($M96,1)*MIN($AJ96/300,1)))*IF(G96="Wagon",50,10)</f>
        <v>4</v>
      </c>
      <c r="BG96" s="0" t="n">
        <f aca="false">VLOOKUP($H96,Constants!$I:$K, 2, FALSE())</f>
        <v>1</v>
      </c>
      <c r="BH96" s="0" t="n">
        <f aca="false">VLOOKUP($H96,Constants!$I:$K, 3, FALSE())*IF(AND(G96="multiple_unit",AB96&lt;110),0.75,1)</f>
        <v>0.45</v>
      </c>
      <c r="BI96" s="0" t="n">
        <f aca="false">INT(POWER(((Constants!$G$2+$BB96+$BC96+$BD96+$BF96)*$BE96)*$BH96, 1.05))+$BA96</f>
        <v>9</v>
      </c>
      <c r="BJ96" s="0" t="n">
        <f aca="false">INT(POWER((((Constants!$G$1+$BB96+$BC96+$BD96+$BF96)*($BE96))*$BG96),IF($G96="wagon",1,1.2)))+$AZ96</f>
        <v>27</v>
      </c>
      <c r="BK96" s="17" t="n">
        <f aca="false">BI96*IF($G96="wagon",62.5,781.25)</f>
        <v>562.5</v>
      </c>
      <c r="BL96" s="17" t="n">
        <f aca="false">BJ96*IF($G96="wagon",2.73,81.25)</f>
        <v>73.71</v>
      </c>
      <c r="BV96" s="0" t="n">
        <v>1</v>
      </c>
      <c r="BW96" s="0" t="n">
        <v>185</v>
      </c>
      <c r="BY96" s="0" t="s">
        <v>374</v>
      </c>
      <c r="BZ96" s="0" t="s">
        <v>375</v>
      </c>
      <c r="CA96" s="0" t="str">
        <f aca="false">VLOOKUP(J96,Eras!$A$2:$C$10, 2, TRUE())</f>
        <v>big4</v>
      </c>
      <c r="CB96" s="0" t="s">
        <v>376</v>
      </c>
      <c r="CC96" s="0" t="str">
        <f aca="false">CONCATENATE(CA96,"_",CB96)</f>
        <v>big4_Van</v>
      </c>
      <c r="CD96" s="0" t="str">
        <f aca="false">_xlfn.CONCAT(H96, "_",I96)</f>
        <v>wagon_RAIL</v>
      </c>
      <c r="CE96" s="6" t="str">
        <f aca="false" t="array" ref="CE96:CE96">_xlfn.CONCAT("{BLACK}Length: {GOLD}", TEXT(ROUNDUP(IF(AQ96&lt;&gt;"",SUM(VALUE(_xlfn.TEXTSPLIT(AQ96, ","))), SUM(VALUE(_xlfn.TEXTSPLIT(AN96, ",")))*IF(M96, M96, 1))/16, 1), "#,##0.0"), " tiles{}")</f>
        <v>{BLACK}Length: {GOLD}0.4 tiles{}</v>
      </c>
      <c r="CF96" s="0" t="str">
        <f aca="false">VLOOKUP($CD96, Constants!$M:$N, 2, FALSE())</f>
        <v/>
      </c>
      <c r="CG96" s="0" t="str">
        <f aca="false">IF(M96&gt;1,_xlfn.CONCAT("{BLACK}Cars: {GOLD}", M96),"")</f>
        <v/>
      </c>
      <c r="CH96" s="0" t="s">
        <v>383</v>
      </c>
      <c r="CI96" s="0" t="str">
        <f aca="false">IF($BU96="!param_no_gameplay_units","{GREEN}Included for gameplay purposes","")</f>
        <v/>
      </c>
      <c r="CJ96" s="0" t="str">
        <f aca="false">IF(BX96="buffet","{YELLOW}25% long distance bonus for consist{}",IF(BZ96="BRAKE","{YELLOW}Speed bonus for slow wagons{}",IF(BW96&gt;190,CONCATENATE("{YELLOW}",INT((BW96-185)/1.85),"% bonus for long distance travel{}"),IF(AND(BW96&lt;180,BW96&lt;&gt;0),CONCATENATE("{YELLOW}",INT((185-BW96)/1.85),"% penalty for long distance travel{}"),""))))</f>
        <v/>
      </c>
      <c r="CK96" s="0" t="str">
        <f aca="false">_xlfn.CONCAT(CF96,IF(CF96&lt;&gt;""," ",""),CG96,IF(OR(CG96&lt;&gt;"",CF96&lt;&gt;""),"{}",""),CE96,CJ96,"{SILVER}",CH96,IF(CI96&lt;&gt;"","{}{}",""),CI96)</f>
        <v>{BLACK}Length: {GOLD}0.4 tiles{}{SILVER}Specialised cattle vans such as this Southern Railway example were built from the 1930s to the 1950s, although livestock traffic reduced in the latter part of this period.</v>
      </c>
    </row>
    <row r="97" customFormat="false" ht="14.25" hidden="false" customHeight="false" outlineLevel="0" collapsed="false">
      <c r="A97" s="0" t="s">
        <v>384</v>
      </c>
      <c r="B97" s="15" t="s">
        <v>385</v>
      </c>
      <c r="C97" s="0" t="n">
        <v>82</v>
      </c>
      <c r="E97" s="0" t="n">
        <v>1073</v>
      </c>
      <c r="F97" s="0" t="s">
        <v>143</v>
      </c>
      <c r="G97" s="0" t="s">
        <v>144</v>
      </c>
      <c r="H97" s="0" t="s">
        <v>144</v>
      </c>
      <c r="I97" s="0" t="s">
        <v>92</v>
      </c>
      <c r="J97" s="0" t="n">
        <v>1960</v>
      </c>
      <c r="L97" s="0" t="n">
        <v>2000</v>
      </c>
      <c r="W97" s="0" t="n">
        <v>14</v>
      </c>
      <c r="Y97" s="0" t="n">
        <v>4</v>
      </c>
      <c r="AA97" s="3" t="str">
        <f aca="false">IF(AND(W97&gt;0,Z97&gt;0),(Z97/((W97+X97)*10)),"")</f>
        <v/>
      </c>
      <c r="AB97" s="0" t="n">
        <v>65</v>
      </c>
      <c r="AC97" s="0" t="n">
        <f aca="false">ROUND(AB97*1.6, 0)</f>
        <v>104</v>
      </c>
      <c r="AF97" s="0" t="n">
        <v>10.6</v>
      </c>
      <c r="AG97" s="0" t="n">
        <v>10.6</v>
      </c>
      <c r="AJ97" s="4" t="n">
        <v>39</v>
      </c>
      <c r="AK97" s="0" t="str">
        <f aca="false">CONCATENATE(VLOOKUP(AL97, 'Voxel Sizes'!$A$2:$B$18,2,FALSE()),"x",INT(AH97*15), "x", INT(AI97*15))</f>
        <v>102x0x0</v>
      </c>
      <c r="AL97" s="0" t="n">
        <f aca="false">ROUND(15*((AG97*10)/256),0)</f>
        <v>6</v>
      </c>
      <c r="AN97" s="0" t="str">
        <f aca="false">CONCATENATE(VLOOKUP(AL97,Constants!$A$2:$C$16,IF(AM97&lt;&gt;"", 3, 2), FALSE()),IF(AM97&lt;&gt;"",CONCATENATE(",",VLOOKUP(AM97,$B:$AN,39,FALSE())),""))</f>
        <v>2,2,2</v>
      </c>
      <c r="AX97" s="0" t="n">
        <v>30</v>
      </c>
      <c r="AY97" s="16" t="n">
        <f aca="false">IF(L97&lt;&gt;"",MAX(16,(L97-J97)+8),"")</f>
        <v>48</v>
      </c>
      <c r="BB97" s="0" t="n">
        <f aca="false">MIN(AB97/150, 1)*30</f>
        <v>13</v>
      </c>
      <c r="BC97" s="0" t="n">
        <f aca="false">MIN(N97/4000, 1)*20</f>
        <v>0</v>
      </c>
      <c r="BD97" s="0" t="n">
        <f aca="false">MIN(Z97/400,1)*20</f>
        <v>0</v>
      </c>
      <c r="BE97" s="3" t="n">
        <f aca="false">1-(MAX(J97-1900, 0)/750)</f>
        <v>0.92</v>
      </c>
      <c r="BF97" s="0" t="n">
        <f aca="false">((MAX($M97,1)*MIN($AJ97/300,1)))*IF(G97="Wagon",50,10)</f>
        <v>6.5</v>
      </c>
      <c r="BG97" s="0" t="n">
        <f aca="false">VLOOKUP($H97,Constants!$I:$K, 2, FALSE())</f>
        <v>1</v>
      </c>
      <c r="BH97" s="0" t="n">
        <f aca="false">VLOOKUP($H97,Constants!$I:$K, 3, FALSE())*IF(AND(G97="multiple_unit",AB97&lt;110),0.75,1)</f>
        <v>0.45</v>
      </c>
      <c r="BI97" s="0" t="n">
        <f aca="false">INT(POWER(((Constants!$G$2+$BB97+$BC97+$BD97+$BF97)*$BE97)*$BH97, 1.05))+$BA97</f>
        <v>11</v>
      </c>
      <c r="BJ97" s="0" t="n">
        <f aca="false">INT(POWER((((Constants!$G$1+$BB97+$BC97+$BD97+$BF97)*($BE97))*$BG97),IF($G97="wagon",1,1.2)))+$AZ97</f>
        <v>31</v>
      </c>
      <c r="BK97" s="17" t="n">
        <f aca="false">BI97*IF($G97="wagon",62.5,781.25)</f>
        <v>687.5</v>
      </c>
      <c r="BL97" s="17" t="n">
        <f aca="false">BJ97*IF($G97="wagon",2.73,81.25)</f>
        <v>84.63</v>
      </c>
      <c r="BU97" s="0" t="s">
        <v>218</v>
      </c>
      <c r="BV97" s="0" t="n">
        <v>1</v>
      </c>
      <c r="BW97" s="0" t="n">
        <v>185</v>
      </c>
      <c r="BY97" s="0" t="s">
        <v>374</v>
      </c>
      <c r="BZ97" s="0" t="s">
        <v>375</v>
      </c>
      <c r="CA97" s="0" t="str">
        <f aca="false">VLOOKUP(J97,Eras!$A$2:$C$10, 2, TRUE())</f>
        <v>dsl</v>
      </c>
      <c r="CB97" s="0" t="s">
        <v>376</v>
      </c>
      <c r="CC97" s="0" t="str">
        <f aca="false">CONCATENATE(CA97,"_",CB97)</f>
        <v>dsl_Van</v>
      </c>
      <c r="CD97" s="0" t="str">
        <f aca="false">_xlfn.CONCAT(H97, "_",I97)</f>
        <v>wagon_RAIL</v>
      </c>
      <c r="CE97" s="6" t="str">
        <f aca="false" t="array" ref="CE97:CE97">_xlfn.CONCAT("{BLACK}Length: {GOLD}", TEXT(ROUNDUP(IF(AQ97&lt;&gt;"",SUM(VALUE(_xlfn.TEXTSPLIT(AQ97, ","))), SUM(VALUE(_xlfn.TEXTSPLIT(AN97, ",")))*IF(M97, M97, 1))/16, 1), "#,##0.0"), " tiles{}")</f>
        <v>{BLACK}Length: {GOLD}0.4 tiles{}</v>
      </c>
      <c r="CF97" s="0" t="str">
        <f aca="false">VLOOKUP($CD97, Constants!$M:$N, 2, FALSE())</f>
        <v/>
      </c>
      <c r="CG97" s="0" t="str">
        <f aca="false">IF(M97&gt;1,_xlfn.CONCAT("{BLACK}Cars: {GOLD}", M97),"")</f>
        <v/>
      </c>
      <c r="CH97" s="0" t="s">
        <v>386</v>
      </c>
      <c r="CI97" s="0" t="str">
        <f aca="false">IF($BU97="!param_no_gameplay_units","{GREEN}Included for gameplay purposes","")</f>
        <v>{GREEN}Included for gameplay purposes</v>
      </c>
      <c r="CJ97" s="0" t="str">
        <f aca="false">IF(BX97="buffet","{YELLOW}25% long distance bonus for consist{}",IF(BZ97="BRAKE","{YELLOW}Speed bonus for slow wagons{}",IF(BW97&gt;190,CONCATENATE("{YELLOW}",INT((BW97-185)/1.85),"% bonus for long distance travel{}"),IF(AND(BW97&lt;180,BW97&lt;&gt;0),CONCATENATE("{YELLOW}",INT((185-BW97)/1.85),"% penalty for long distance travel{}"),""))))</f>
        <v/>
      </c>
      <c r="CK97" s="0" t="str">
        <f aca="false">_xlfn.CONCAT(CF97,IF(CF97&lt;&gt;""," ",""),CG97,IF(OR(CG97&lt;&gt;"",CF97&lt;&gt;""),"{}",""),CE97,CJ97,"{SILVER}",CH97,IF(CI97&lt;&gt;"","{}{}",""),CI97)</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L97" s="0" t="n">
        <v>1</v>
      </c>
    </row>
    <row r="98" customFormat="false" ht="14.25" hidden="false" customHeight="false" outlineLevel="0" collapsed="false">
      <c r="A98" s="0" t="s">
        <v>387</v>
      </c>
      <c r="B98" s="15" t="s">
        <v>388</v>
      </c>
      <c r="C98" s="0" t="n">
        <v>83</v>
      </c>
      <c r="E98" s="0" t="n">
        <v>1074</v>
      </c>
      <c r="F98" s="0" t="s">
        <v>143</v>
      </c>
      <c r="G98" s="0" t="s">
        <v>144</v>
      </c>
      <c r="H98" s="0" t="s">
        <v>144</v>
      </c>
      <c r="I98" s="0" t="s">
        <v>92</v>
      </c>
      <c r="J98" s="0" t="n">
        <v>1990</v>
      </c>
      <c r="W98" s="0" t="n">
        <v>16</v>
      </c>
      <c r="Y98" s="0" t="n">
        <v>4</v>
      </c>
      <c r="AA98" s="3" t="str">
        <f aca="false">IF(AND(W98&gt;0,Z98&gt;0),(Z98/((W98+X98)*10)),"")</f>
        <v/>
      </c>
      <c r="AB98" s="0" t="n">
        <v>75</v>
      </c>
      <c r="AC98" s="0" t="n">
        <f aca="false">ROUND(AB98*1.6, 0)</f>
        <v>120</v>
      </c>
      <c r="AF98" s="0" t="n">
        <v>12.2</v>
      </c>
      <c r="AG98" s="0" t="n">
        <v>12.2</v>
      </c>
      <c r="AJ98" s="4" t="n">
        <v>39</v>
      </c>
      <c r="AK98" s="0" t="str">
        <f aca="false">CONCATENATE(VLOOKUP(AL98, 'Voxel Sizes'!$A$2:$B$18,2,FALSE()),"x",INT(AH98*15), "x", INT(AI98*15))</f>
        <v>120x0x0</v>
      </c>
      <c r="AL98" s="0" t="n">
        <f aca="false">ROUND(15*((AG98*10)/256),0)</f>
        <v>7</v>
      </c>
      <c r="AN98" s="0" t="str">
        <f aca="false">CONCATENATE(VLOOKUP(AL98,Constants!$A$2:$C$16,IF(AM98&lt;&gt;"", 3, 2), FALSE()),IF(AM98&lt;&gt;"",CONCATENATE(",",VLOOKUP(AM98,$B:$AN,39,FALSE())),""))</f>
        <v>2,3,2</v>
      </c>
      <c r="AX98" s="0" t="n">
        <v>30</v>
      </c>
      <c r="AY98" s="16" t="str">
        <f aca="false">IF(L98&lt;&gt;"",MAX(16,(L98-J98)+8),"")</f>
        <v/>
      </c>
      <c r="BB98" s="0" t="n">
        <f aca="false">MIN(AB98/150, 1)*30</f>
        <v>15</v>
      </c>
      <c r="BC98" s="0" t="n">
        <f aca="false">MIN(N98/4000, 1)*20</f>
        <v>0</v>
      </c>
      <c r="BD98" s="0" t="n">
        <f aca="false">MIN(Z98/400,1)*20</f>
        <v>0</v>
      </c>
      <c r="BE98" s="3" t="n">
        <f aca="false">1-(MAX(J98-1900, 0)/750)</f>
        <v>0.88</v>
      </c>
      <c r="BF98" s="0" t="n">
        <f aca="false">((MAX($M98,1)*MIN($AJ98/300,1)))*IF(G98="Wagon",50,10)</f>
        <v>6.5</v>
      </c>
      <c r="BG98" s="0" t="n">
        <f aca="false">VLOOKUP($H98,Constants!$I:$K, 2, FALSE())</f>
        <v>1</v>
      </c>
      <c r="BH98" s="0" t="n">
        <f aca="false">VLOOKUP($H98,Constants!$I:$K, 3, FALSE())*IF(AND(G98="multiple_unit",AB98&lt;110),0.75,1)</f>
        <v>0.45</v>
      </c>
      <c r="BI98" s="0" t="n">
        <f aca="false">INT(POWER(((Constants!$G$2+$BB98+$BC98+$BD98+$BF98)*$BE98)*$BH98, 1.05))+$BA98</f>
        <v>11</v>
      </c>
      <c r="BJ98" s="0" t="n">
        <f aca="false">INT(POWER((((Constants!$G$1+$BB98+$BC98+$BD98+$BF98)*($BE98))*$BG98),IF($G98="wagon",1,1.2)))+$AZ98</f>
        <v>32</v>
      </c>
      <c r="BK98" s="17" t="n">
        <f aca="false">BI98*IF($G98="wagon",62.5,781.25)</f>
        <v>687.5</v>
      </c>
      <c r="BL98" s="17" t="n">
        <f aca="false">BJ98*IF($G98="wagon",2.73,81.25)</f>
        <v>87.36</v>
      </c>
      <c r="BU98" s="0" t="s">
        <v>218</v>
      </c>
      <c r="BV98" s="0" t="n">
        <v>1</v>
      </c>
      <c r="BW98" s="0" t="n">
        <v>185</v>
      </c>
      <c r="BY98" s="0" t="s">
        <v>374</v>
      </c>
      <c r="BZ98" s="0" t="s">
        <v>375</v>
      </c>
      <c r="CA98" s="0" t="str">
        <f aca="false">VLOOKUP(J98,Eras!$A$2:$C$10, 2, TRUE())</f>
        <v>lbr</v>
      </c>
      <c r="CB98" s="0" t="s">
        <v>376</v>
      </c>
      <c r="CC98" s="0" t="str">
        <f aca="false">CONCATENATE(CA98,"_",CB98)</f>
        <v>lbr_Van</v>
      </c>
      <c r="CD98" s="0" t="str">
        <f aca="false">_xlfn.CONCAT(H98, "_",I98)</f>
        <v>wagon_RAIL</v>
      </c>
      <c r="CE98" s="6" t="str">
        <f aca="false" t="array" ref="CE98:CE98">_xlfn.CONCAT("{BLACK}Length: {GOLD}", TEXT(ROUNDUP(IF(AQ98&lt;&gt;"",SUM(VALUE(_xlfn.TEXTSPLIT(AQ98, ","))), SUM(VALUE(_xlfn.TEXTSPLIT(AN98, ",")))*IF(M98, M98, 1))/16, 1), "#,##0.0"), " tiles{}")</f>
        <v>{BLACK}Length: {GOLD}0.5 tiles{}</v>
      </c>
      <c r="CF98" s="0" t="str">
        <f aca="false">VLOOKUP($CD98, Constants!$M:$N, 2, FALSE())</f>
        <v/>
      </c>
      <c r="CG98" s="0" t="str">
        <f aca="false">IF(M98&gt;1,_xlfn.CONCAT("{BLACK}Cars: {GOLD}", M98),"")</f>
        <v/>
      </c>
      <c r="CH98" s="0" t="s">
        <v>389</v>
      </c>
      <c r="CI98" s="0" t="str">
        <f aca="false">IF($BU98="!param_no_gameplay_units","{GREEN}Included for gameplay purposes","")</f>
        <v>{GREEN}Included for gameplay purposes</v>
      </c>
      <c r="CJ98" s="0" t="str">
        <f aca="false">IF(BX98="buffet","{YELLOW}25% long distance bonus for consist{}",IF(BZ98="BRAKE","{YELLOW}Speed bonus for slow wagons{}",IF(BW98&gt;190,CONCATENATE("{YELLOW}",INT((BW98-185)/1.85),"% bonus for long distance travel{}"),IF(AND(BW98&lt;180,BW98&lt;&gt;0),CONCATENATE("{YELLOW}",INT((185-BW98)/1.85),"% penalty for long distance travel{}"),""))))</f>
        <v/>
      </c>
      <c r="CK98" s="0" t="str">
        <f aca="false">_xlfn.CONCAT(CF98,IF(CF98&lt;&gt;""," ",""),CG98,IF(OR(CG98&lt;&gt;"",CF98&lt;&gt;""),"{}",""),CE98,CJ98,"{SILVER}",CH98,IF(CI98&lt;&gt;"","{}{}",""),CI98)</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L98" s="0" t="n">
        <v>1</v>
      </c>
    </row>
    <row r="99" customFormat="false" ht="14.25" hidden="false" customHeight="false" outlineLevel="0" collapsed="false">
      <c r="A99" s="0" t="s">
        <v>390</v>
      </c>
      <c r="B99" s="15" t="s">
        <v>391</v>
      </c>
      <c r="C99" s="0" t="n">
        <v>84</v>
      </c>
      <c r="E99" s="0" t="n">
        <v>1075</v>
      </c>
      <c r="F99" s="0" t="s">
        <v>143</v>
      </c>
      <c r="G99" s="0" t="s">
        <v>144</v>
      </c>
      <c r="H99" s="0" t="s">
        <v>144</v>
      </c>
      <c r="I99" s="0" t="s">
        <v>146</v>
      </c>
      <c r="J99" s="0" t="n">
        <v>1700</v>
      </c>
      <c r="L99" s="0" t="n">
        <v>1875</v>
      </c>
      <c r="W99" s="0" t="n">
        <v>3</v>
      </c>
      <c r="Y99" s="0" t="n">
        <v>2</v>
      </c>
      <c r="AA99" s="3" t="str">
        <f aca="false">IF(AND(W99&gt;0,Z99&gt;0),(Z99/((W99+X99)*10)),"")</f>
        <v/>
      </c>
      <c r="AB99" s="0" t="n">
        <v>35</v>
      </c>
      <c r="AC99" s="0" t="n">
        <f aca="false">ROUND(AB99*1.6, 0)</f>
        <v>56</v>
      </c>
      <c r="AF99" s="0" t="n">
        <v>6</v>
      </c>
      <c r="AG99" s="0" t="n">
        <v>6</v>
      </c>
      <c r="AJ99" s="4" t="n">
        <v>15</v>
      </c>
      <c r="AK99" s="0" t="str">
        <f aca="false">CONCATENATE(VLOOKUP(AL99, 'Voxel Sizes'!$A$2:$B$18,2,FALSE()),"x",INT(AH99*15), "x", INT(AI99*15))</f>
        <v>60x0x0</v>
      </c>
      <c r="AL99" s="0" t="n">
        <f aca="false">ROUND(15*((AG99*10)/256),0)</f>
        <v>4</v>
      </c>
      <c r="AN99" s="0" t="str">
        <f aca="false">CONCATENATE(VLOOKUP(AL99,Constants!$A$2:$C$16,IF(AM99&lt;&gt;"", 3, 2), FALSE()),IF(AM99&lt;&gt;"",CONCATENATE(",",VLOOKUP(AM99,$B:$AN,39,FALSE())),""))</f>
        <v>1,2,1</v>
      </c>
      <c r="AX99" s="0" t="n">
        <v>30</v>
      </c>
      <c r="AY99" s="16" t="n">
        <f aca="false">IF(L99&lt;&gt;"",MAX(16,(L99-J99)+8),"")</f>
        <v>183</v>
      </c>
      <c r="AZ99" s="0" t="n">
        <v>-15</v>
      </c>
      <c r="BA99" s="0" t="n">
        <v>-2</v>
      </c>
      <c r="BB99" s="0" t="n">
        <f aca="false">MIN(AB99/150, 1)*30</f>
        <v>7</v>
      </c>
      <c r="BC99" s="0" t="n">
        <f aca="false">MIN(N99/4000, 1)*20</f>
        <v>0</v>
      </c>
      <c r="BD99" s="0" t="n">
        <f aca="false">MIN(Z99/400,1)*20</f>
        <v>0</v>
      </c>
      <c r="BE99" s="3" t="n">
        <f aca="false">1-(MAX(J99-1900, 0)/750)</f>
        <v>1</v>
      </c>
      <c r="BF99" s="0" t="n">
        <f aca="false">((MAX($M99,1)*MIN($AJ99/300,1)))*IF(G99="Wagon",50,10)</f>
        <v>2.5</v>
      </c>
      <c r="BG99" s="0" t="n">
        <f aca="false">VLOOKUP($H99,Constants!$I:$K, 2, FALSE())</f>
        <v>1</v>
      </c>
      <c r="BH99" s="0" t="n">
        <f aca="false">VLOOKUP($H99,Constants!$I:$K, 3, FALSE())*IF(AND(G99="multiple_unit",AB99&lt;110),0.75,1)</f>
        <v>0.45</v>
      </c>
      <c r="BI99" s="0" t="n">
        <f aca="false">INT(POWER(((Constants!$G$2+$BB99+$BC99+$BD99+$BF99)*$BE99)*$BH99, 1.05))+$BA99</f>
        <v>5</v>
      </c>
      <c r="BJ99" s="0" t="n">
        <f aca="false">INT(POWER((((Constants!$G$1+$BB99+$BC99+$BD99+$BF99)*($BE99))*$BG99),IF($G99="wagon",1,1.2)))+$AZ99</f>
        <v>9</v>
      </c>
      <c r="BK99" s="17" t="n">
        <f aca="false">BI99*IF($G99="wagon",62.5,781.25)</f>
        <v>312.5</v>
      </c>
      <c r="BL99" s="17" t="n">
        <f aca="false">BJ99*IF($G99="wagon",2.73,81.25)</f>
        <v>24.57</v>
      </c>
      <c r="BV99" s="0" t="n">
        <v>1</v>
      </c>
      <c r="BW99" s="0" t="n">
        <v>185</v>
      </c>
      <c r="BY99" s="0" t="s">
        <v>376</v>
      </c>
      <c r="BZ99" s="0" t="s">
        <v>302</v>
      </c>
      <c r="CA99" s="0" t="str">
        <f aca="false">VLOOKUP(J99,Eras!$A$2:$C$10, 2, TRUE())</f>
        <v>early</v>
      </c>
      <c r="CB99" s="0" t="s">
        <v>376</v>
      </c>
      <c r="CC99" s="0" t="str">
        <f aca="false">CONCATENATE(CA99,"_",CB99)</f>
        <v>early_Van</v>
      </c>
      <c r="CD99" s="0" t="str">
        <f aca="false">_xlfn.CONCAT(H99, "_",I99)</f>
        <v>wagon_PLATEWAY</v>
      </c>
      <c r="CE99" s="6" t="str">
        <f aca="false" t="array" ref="CE99:CE99">_xlfn.CONCAT("{BLACK}Length: {GOLD}", TEXT(ROUNDUP(IF(AQ99&lt;&gt;"",SUM(VALUE(_xlfn.TEXTSPLIT(AQ99, ","))), SUM(VALUE(_xlfn.TEXTSPLIT(AN99, ",")))*IF(M99, M99, 1))/16, 1), "#,##0.0"), " tiles{}")</f>
        <v>{BLACK}Length: {GOLD}0.3 tiles{}</v>
      </c>
      <c r="CF99" s="0" t="str">
        <f aca="false">VLOOKUP($CD99, Constants!$M:$N, 2, FALSE())</f>
        <v/>
      </c>
      <c r="CG99" s="0" t="str">
        <f aca="false">IF(M99&gt;1,_xlfn.CONCAT("{BLACK}Cars: {GOLD}", M99),"")</f>
        <v/>
      </c>
      <c r="CH99" s="0" t="s">
        <v>392</v>
      </c>
      <c r="CI99" s="0" t="str">
        <f aca="false">IF($BU99="!param_no_gameplay_units","{GREEN}Included for gameplay purposes","")</f>
        <v/>
      </c>
      <c r="CJ99" s="0" t="str">
        <f aca="false">IF(BX99="buffet","{YELLOW}25% long distance bonus for consist{}",IF(BZ99="BRAKE","{YELLOW}Speed bonus for slow wagons{}",IF(BW99&gt;190,CONCATENATE("{YELLOW}",INT((BW99-185)/1.85),"% bonus for long distance travel{}"),IF(AND(BW99&lt;180,BW99&lt;&gt;0),CONCATENATE("{YELLOW}",INT((185-BW99)/1.85),"% penalty for long distance travel{}"),""))))</f>
        <v/>
      </c>
      <c r="CK99" s="0" t="str">
        <f aca="false">_xlfn.CONCAT(CF99,IF(CF99&lt;&gt;""," ",""),CG99,IF(OR(CG99&lt;&gt;"",CF99&lt;&gt;""),"{}",""),CE99,CJ99,"{SILVER}",CH99,IF(CI99&lt;&gt;"","{}{}",""),CI99)</f>
        <v>{BLACK}Length: {GOLD}0.3 tiles{}{SILVER}Simple canvas-covered wagons were some of the earliest vehicles for moving piece goods which needed to be sheltered from the elements.</v>
      </c>
    </row>
    <row r="100" customFormat="false" ht="14.25" hidden="false" customHeight="false" outlineLevel="0" collapsed="false">
      <c r="A100" s="0" t="s">
        <v>393</v>
      </c>
      <c r="B100" s="15" t="s">
        <v>394</v>
      </c>
      <c r="C100" s="0" t="n">
        <v>85</v>
      </c>
      <c r="E100" s="0" t="n">
        <v>1076</v>
      </c>
      <c r="F100" s="0" t="s">
        <v>143</v>
      </c>
      <c r="G100" s="0" t="s">
        <v>144</v>
      </c>
      <c r="H100" s="0" t="s">
        <v>144</v>
      </c>
      <c r="I100" s="0" t="s">
        <v>92</v>
      </c>
      <c r="J100" s="0" t="n">
        <v>1850</v>
      </c>
      <c r="L100" s="0" t="n">
        <v>1930</v>
      </c>
      <c r="W100" s="0" t="n">
        <v>6</v>
      </c>
      <c r="Y100" s="0" t="n">
        <v>3</v>
      </c>
      <c r="AA100" s="3" t="str">
        <f aca="false">IF(AND(W100&gt;0,Z100&gt;0),(Z100/((W100+X100)*10)),"")</f>
        <v/>
      </c>
      <c r="AB100" s="0" t="n">
        <v>45</v>
      </c>
      <c r="AC100" s="0" t="n">
        <f aca="false">ROUND(AB100*1.6, 0)</f>
        <v>72</v>
      </c>
      <c r="AF100" s="0" t="n">
        <v>6</v>
      </c>
      <c r="AG100" s="0" t="n">
        <v>6</v>
      </c>
      <c r="AJ100" s="4" t="n">
        <v>18</v>
      </c>
      <c r="AK100" s="0" t="str">
        <f aca="false">CONCATENATE(VLOOKUP(AL100, 'Voxel Sizes'!$A$2:$B$18,2,FALSE()),"x",INT(AH100*15), "x", INT(AI100*15))</f>
        <v>60x0x0</v>
      </c>
      <c r="AL100" s="0" t="n">
        <f aca="false">ROUND(15*((AG100*10)/256),0)</f>
        <v>4</v>
      </c>
      <c r="AN100" s="0" t="str">
        <f aca="false">CONCATENATE(VLOOKUP(AL100,Constants!$A$2:$C$16,IF(AM100&lt;&gt;"", 3, 2), FALSE()),IF(AM100&lt;&gt;"",CONCATENATE(",",VLOOKUP(AM100,$B:$AN,39,FALSE())),""))</f>
        <v>1,2,1</v>
      </c>
      <c r="AX100" s="0" t="n">
        <v>30</v>
      </c>
      <c r="AY100" s="16" t="n">
        <f aca="false">IF(L100&lt;&gt;"",MAX(16,(L100-J100)+8),"")</f>
        <v>88</v>
      </c>
      <c r="BB100" s="0" t="n">
        <f aca="false">MIN(AB100/150, 1)*30</f>
        <v>9</v>
      </c>
      <c r="BC100" s="0" t="n">
        <f aca="false">MIN(N100/4000, 1)*20</f>
        <v>0</v>
      </c>
      <c r="BD100" s="0" t="n">
        <f aca="false">MIN(Z100/400,1)*20</f>
        <v>0</v>
      </c>
      <c r="BE100" s="3" t="n">
        <f aca="false">1-(MAX(J100-1900, 0)/750)</f>
        <v>1</v>
      </c>
      <c r="BF100" s="0" t="n">
        <f aca="false">((MAX($M100,1)*MIN($AJ100/300,1)))*IF(G100="Wagon",50,10)</f>
        <v>3</v>
      </c>
      <c r="BG100" s="0" t="n">
        <f aca="false">VLOOKUP($H100,Constants!$I:$K, 2, FALSE())</f>
        <v>1</v>
      </c>
      <c r="BH100" s="0" t="n">
        <f aca="false">VLOOKUP($H100,Constants!$I:$K, 3, FALSE())*IF(AND(G100="multiple_unit",AB100&lt;110),0.75,1)</f>
        <v>0.45</v>
      </c>
      <c r="BI100" s="0" t="n">
        <f aca="false">INT(POWER(((Constants!$G$2+$BB100+$BC100+$BD100+$BF100)*$BE100)*$BH100, 1.05))+$BA100</f>
        <v>8</v>
      </c>
      <c r="BJ100" s="0" t="n">
        <f aca="false">INT(POWER((((Constants!$G$1+$BB100+$BC100+$BD100+$BF100)*($BE100))*$BG100),IF($G100="wagon",1,1.2)))+$AZ100</f>
        <v>27</v>
      </c>
      <c r="BK100" s="17" t="n">
        <f aca="false">BI100*IF($G100="wagon",62.5,781.25)</f>
        <v>500</v>
      </c>
      <c r="BL100" s="17" t="n">
        <f aca="false">BJ100*IF($G100="wagon",2.73,81.25)</f>
        <v>73.71</v>
      </c>
      <c r="BV100" s="0" t="n">
        <v>1</v>
      </c>
      <c r="BW100" s="0" t="n">
        <v>185</v>
      </c>
      <c r="BY100" s="0" t="s">
        <v>376</v>
      </c>
      <c r="BZ100" s="0" t="s">
        <v>302</v>
      </c>
      <c r="CA100" s="0" t="str">
        <f aca="false">VLOOKUP(J100,Eras!$A$2:$C$10, 2, TRUE())</f>
        <v>vct</v>
      </c>
      <c r="CB100" s="0" t="s">
        <v>376</v>
      </c>
      <c r="CC100" s="0" t="str">
        <f aca="false">CONCATENATE(CA100,"_",CB100)</f>
        <v>vct_Van</v>
      </c>
      <c r="CD100" s="0" t="str">
        <f aca="false">_xlfn.CONCAT(H100, "_",I100)</f>
        <v>wagon_RAIL</v>
      </c>
      <c r="CE100" s="6" t="str">
        <f aca="false" t="array" ref="CE100:CE100">_xlfn.CONCAT("{BLACK}Length: {GOLD}", TEXT(ROUNDUP(IF(AQ100&lt;&gt;"",SUM(VALUE(_xlfn.TEXTSPLIT(AQ100, ","))), SUM(VALUE(_xlfn.TEXTSPLIT(AN100, ",")))*IF(M100, M100, 1))/16, 1), "#,##0.0"), " tiles{}")</f>
        <v>{BLACK}Length: {GOLD}0.3 tiles{}</v>
      </c>
      <c r="CF100" s="0" t="str">
        <f aca="false">VLOOKUP($CD100, Constants!$M:$N, 2, FALSE())</f>
        <v/>
      </c>
      <c r="CG100" s="0" t="str">
        <f aca="false">IF(M100&gt;1,_xlfn.CONCAT("{BLACK}Cars: {GOLD}", M100),"")</f>
        <v/>
      </c>
      <c r="CH100" s="0" t="s">
        <v>395</v>
      </c>
      <c r="CI100" s="0" t="str">
        <f aca="false">IF($BU100="!param_no_gameplay_units","{GREEN}Included for gameplay purposes","")</f>
        <v/>
      </c>
      <c r="CJ100" s="0" t="str">
        <f aca="false">IF(BX100="buffet","{YELLOW}25% long distance bonus for consist{}",IF(BZ100="BRAKE","{YELLOW}Speed bonus for slow wagons{}",IF(BW100&gt;190,CONCATENATE("{YELLOW}",INT((BW100-185)/1.85),"% bonus for long distance travel{}"),IF(AND(BW100&lt;180,BW100&lt;&gt;0),CONCATENATE("{YELLOW}",INT((185-BW100)/1.85),"% penalty for long distance travel{}"),""))))</f>
        <v/>
      </c>
      <c r="CK100" s="0" t="str">
        <f aca="false">_xlfn.CONCAT(CF100,IF(CF100&lt;&gt;""," ",""),CG100,IF(OR(CG100&lt;&gt;"",CF100&lt;&gt;""),"{}",""),CE100,CJ100,"{SILVER}",CH100,IF(CI100&lt;&gt;"","{}{}",""),CI100)</f>
        <v>{BLACK}Length: {GOLD}0.3 tiles{}{SILVER}Piece goods were an important source of revenue for early railways, with most building large quantities of covered vans.</v>
      </c>
    </row>
    <row r="101" customFormat="false" ht="14.25" hidden="false" customHeight="false" outlineLevel="0" collapsed="false">
      <c r="A101" s="0" t="s">
        <v>396</v>
      </c>
      <c r="B101" s="15" t="s">
        <v>397</v>
      </c>
      <c r="C101" s="0" t="n">
        <v>86</v>
      </c>
      <c r="E101" s="0" t="n">
        <v>1077</v>
      </c>
      <c r="F101" s="0" t="s">
        <v>143</v>
      </c>
      <c r="G101" s="0" t="s">
        <v>144</v>
      </c>
      <c r="H101" s="0" t="s">
        <v>144</v>
      </c>
      <c r="I101" s="0" t="s">
        <v>92</v>
      </c>
      <c r="J101" s="0" t="n">
        <v>1902</v>
      </c>
      <c r="L101" s="0" t="n">
        <v>1960</v>
      </c>
      <c r="W101" s="0" t="n">
        <v>7</v>
      </c>
      <c r="Y101" s="0" t="n">
        <v>3</v>
      </c>
      <c r="AA101" s="3" t="str">
        <f aca="false">IF(AND(W101&gt;0,Z101&gt;0),(Z101/((W101+X101)*10)),"")</f>
        <v/>
      </c>
      <c r="AB101" s="0" t="n">
        <v>50</v>
      </c>
      <c r="AC101" s="0" t="n">
        <f aca="false">ROUND(AB101*1.6, 0)</f>
        <v>80</v>
      </c>
      <c r="AF101" s="0" t="n">
        <v>8</v>
      </c>
      <c r="AG101" s="0" t="n">
        <v>8</v>
      </c>
      <c r="AJ101" s="4" t="n">
        <v>24</v>
      </c>
      <c r="AK101" s="0" t="str">
        <f aca="false">CONCATENATE(VLOOKUP(AL101, 'Voxel Sizes'!$A$2:$B$18,2,FALSE()),"x",INT(AH101*15), "x", INT(AI101*15))</f>
        <v>82x0x0</v>
      </c>
      <c r="AL101" s="0" t="n">
        <f aca="false">ROUND(15*((AG101*10)/256),0)</f>
        <v>5</v>
      </c>
      <c r="AN101" s="0" t="str">
        <f aca="false">CONCATENATE(VLOOKUP(AL101,Constants!$A$2:$C$16,IF(AM101&lt;&gt;"", 3, 2), FALSE()),IF(AM101&lt;&gt;"",CONCATENATE(",",VLOOKUP(AM101,$B:$AN,39,FALSE())),""))</f>
        <v>2,1,2</v>
      </c>
      <c r="AX101" s="0" t="n">
        <v>30</v>
      </c>
      <c r="AY101" s="16" t="n">
        <f aca="false">IF(L101&lt;&gt;"",MAX(16,(L101-J101)+8),"")</f>
        <v>66</v>
      </c>
      <c r="BB101" s="0" t="n">
        <f aca="false">MIN(AB101/150, 1)*30</f>
        <v>10</v>
      </c>
      <c r="BC101" s="0" t="n">
        <f aca="false">MIN(N101/4000, 1)*20</f>
        <v>0</v>
      </c>
      <c r="BD101" s="0" t="n">
        <f aca="false">MIN(Z101/400,1)*20</f>
        <v>0</v>
      </c>
      <c r="BE101" s="3" t="n">
        <f aca="false">1-(MAX(J101-1900, 0)/750)</f>
        <v>0.997333333333333</v>
      </c>
      <c r="BF101" s="0" t="n">
        <f aca="false">((MAX($M101,1)*MIN($AJ101/300,1)))*IF(G101="Wagon",50,10)</f>
        <v>4</v>
      </c>
      <c r="BG101" s="0" t="n">
        <f aca="false">VLOOKUP($H101,Constants!$I:$K, 2, FALSE())</f>
        <v>1</v>
      </c>
      <c r="BH101" s="0" t="n">
        <f aca="false">VLOOKUP($H101,Constants!$I:$K, 3, FALSE())*IF(AND(G101="multiple_unit",AB101&lt;110),0.75,1)</f>
        <v>0.45</v>
      </c>
      <c r="BI101" s="0" t="n">
        <f aca="false">INT(POWER(((Constants!$G$2+$BB101+$BC101+$BD101+$BF101)*$BE101)*$BH101, 1.05))+$BA101</f>
        <v>9</v>
      </c>
      <c r="BJ101" s="0" t="n">
        <f aca="false">INT(POWER((((Constants!$G$1+$BB101+$BC101+$BD101+$BF101)*($BE101))*$BG101),IF($G101="wagon",1,1.2)))+$AZ101</f>
        <v>28</v>
      </c>
      <c r="BK101" s="17" t="n">
        <f aca="false">BI101*IF($G101="wagon",62.5,781.25)</f>
        <v>562.5</v>
      </c>
      <c r="BL101" s="17" t="n">
        <f aca="false">BJ101*IF($G101="wagon",2.73,81.25)</f>
        <v>76.44</v>
      </c>
      <c r="BV101" s="0" t="n">
        <v>1</v>
      </c>
      <c r="BW101" s="0" t="n">
        <v>185</v>
      </c>
      <c r="BY101" s="0" t="s">
        <v>376</v>
      </c>
      <c r="BZ101" s="0" t="s">
        <v>302</v>
      </c>
      <c r="CA101" s="0" t="str">
        <f aca="false">VLOOKUP(J101,Eras!$A$2:$C$10, 2, TRUE())</f>
        <v>edw</v>
      </c>
      <c r="CB101" s="0" t="s">
        <v>376</v>
      </c>
      <c r="CC101" s="0" t="str">
        <f aca="false">CONCATENATE(CA101,"_",CB101)</f>
        <v>edw_Van</v>
      </c>
      <c r="CD101" s="0" t="str">
        <f aca="false">_xlfn.CONCAT(H101, "_",I101)</f>
        <v>wagon_RAIL</v>
      </c>
      <c r="CE101" s="6" t="str">
        <f aca="false" t="array" ref="CE101:CE101">_xlfn.CONCAT("{BLACK}Length: {GOLD}", TEXT(ROUNDUP(IF(AQ101&lt;&gt;"",SUM(VALUE(_xlfn.TEXTSPLIT(AQ101, ","))), SUM(VALUE(_xlfn.TEXTSPLIT(AN101, ",")))*IF(M101, M101, 1))/16, 1), "#,##0.0"), " tiles{}")</f>
        <v>{BLACK}Length: {GOLD}0.4 tiles{}</v>
      </c>
      <c r="CF101" s="0" t="str">
        <f aca="false">VLOOKUP($CD101, Constants!$M:$N, 2, FALSE())</f>
        <v/>
      </c>
      <c r="CG101" s="0" t="str">
        <f aca="false">IF(M101&gt;1,_xlfn.CONCAT("{BLACK}Cars: {GOLD}", M101),"")</f>
        <v/>
      </c>
      <c r="CH101" s="0" t="s">
        <v>398</v>
      </c>
      <c r="CI101" s="0" t="str">
        <f aca="false">IF($BU101="!param_no_gameplay_units","{GREEN}Included for gameplay purposes","")</f>
        <v/>
      </c>
      <c r="CJ101" s="0" t="str">
        <f aca="false">IF(BX101="buffet","{YELLOW}25% long distance bonus for consist{}",IF(BZ101="BRAKE","{YELLOW}Speed bonus for slow wagons{}",IF(BW101&gt;190,CONCATENATE("{YELLOW}",INT((BW101-185)/1.85),"% bonus for long distance travel{}"),IF(AND(BW101&lt;180,BW101&lt;&gt;0),CONCATENATE("{YELLOW}",INT((185-BW101)/1.85),"% penalty for long distance travel{}"),""))))</f>
        <v/>
      </c>
      <c r="CK101" s="0" t="str">
        <f aca="false">_xlfn.CONCAT(CF101,IF(CF101&lt;&gt;""," ",""),CG101,IF(OR(CG101&lt;&gt;"",CF101&lt;&gt;""),"{}",""),CE101,CJ101,"{SILVER}",CH101,IF(CI101&lt;&gt;"","{}{}",""),CI101)</f>
        <v>{BLACK}Length: {GOLD}0.4 tiles{}{SILVER}This goods van uses an iron frame with a wooden body, making it stronger than earlier wooden-framed vans.</v>
      </c>
    </row>
    <row r="102" customFormat="false" ht="14.25" hidden="false" customHeight="false" outlineLevel="0" collapsed="false">
      <c r="A102" s="0" t="s">
        <v>399</v>
      </c>
      <c r="B102" s="15" t="s">
        <v>400</v>
      </c>
      <c r="C102" s="0" t="n">
        <v>87</v>
      </c>
      <c r="E102" s="0" t="n">
        <v>1078</v>
      </c>
      <c r="F102" s="0" t="s">
        <v>143</v>
      </c>
      <c r="G102" s="0" t="s">
        <v>144</v>
      </c>
      <c r="H102" s="0" t="s">
        <v>144</v>
      </c>
      <c r="I102" s="0" t="s">
        <v>92</v>
      </c>
      <c r="J102" s="0" t="n">
        <v>1932</v>
      </c>
      <c r="L102" s="0" t="n">
        <v>1970</v>
      </c>
      <c r="W102" s="0" t="n">
        <v>8</v>
      </c>
      <c r="Y102" s="0" t="n">
        <v>3</v>
      </c>
      <c r="AA102" s="3" t="str">
        <f aca="false">IF(AND(W102&gt;0,Z102&gt;0),(Z102/((W102+X102)*10)),"")</f>
        <v/>
      </c>
      <c r="AB102" s="0" t="n">
        <v>60</v>
      </c>
      <c r="AC102" s="0" t="n">
        <f aca="false">ROUND(AB102*1.6, 0)</f>
        <v>96</v>
      </c>
      <c r="AF102" s="0" t="n">
        <v>8</v>
      </c>
      <c r="AG102" s="0" t="n">
        <v>8</v>
      </c>
      <c r="AJ102" s="4" t="n">
        <v>27</v>
      </c>
      <c r="AK102" s="0" t="str">
        <f aca="false">CONCATENATE(VLOOKUP(AL102, 'Voxel Sizes'!$A$2:$B$18,2,FALSE()),"x",INT(AH102*15), "x", INT(AI102*15))</f>
        <v>82x0x0</v>
      </c>
      <c r="AL102" s="0" t="n">
        <f aca="false">ROUND(15*((AG102*10)/256),0)</f>
        <v>5</v>
      </c>
      <c r="AN102" s="0" t="str">
        <f aca="false">CONCATENATE(VLOOKUP(AL102,Constants!$A$2:$C$16,IF(AM102&lt;&gt;"", 3, 2), FALSE()),IF(AM102&lt;&gt;"",CONCATENATE(",",VLOOKUP(AM102,$B:$AN,39,FALSE())),""))</f>
        <v>2,1,2</v>
      </c>
      <c r="AX102" s="0" t="n">
        <v>30</v>
      </c>
      <c r="AY102" s="16" t="n">
        <f aca="false">IF(L102&lt;&gt;"",MAX(16,(L102-J102)+8),"")</f>
        <v>46</v>
      </c>
      <c r="BB102" s="0" t="n">
        <f aca="false">MIN(AB102/150, 1)*30</f>
        <v>12</v>
      </c>
      <c r="BC102" s="0" t="n">
        <f aca="false">MIN(N102/4000, 1)*20</f>
        <v>0</v>
      </c>
      <c r="BD102" s="0" t="n">
        <f aca="false">MIN(Z102/400,1)*20</f>
        <v>0</v>
      </c>
      <c r="BE102" s="3" t="n">
        <f aca="false">1-(MAX(J102-1900, 0)/750)</f>
        <v>0.957333333333333</v>
      </c>
      <c r="BF102" s="0" t="n">
        <f aca="false">((MAX($M102,1)*MIN($AJ102/300,1)))*IF(G102="Wagon",50,10)</f>
        <v>4.5</v>
      </c>
      <c r="BG102" s="0" t="n">
        <f aca="false">VLOOKUP($H102,Constants!$I:$K, 2, FALSE())</f>
        <v>1</v>
      </c>
      <c r="BH102" s="0" t="n">
        <f aca="false">VLOOKUP($H102,Constants!$I:$K, 3, FALSE())*IF(AND(G102="multiple_unit",AB102&lt;110),0.75,1)</f>
        <v>0.45</v>
      </c>
      <c r="BI102" s="0" t="n">
        <f aca="false">INT(POWER(((Constants!$G$2+$BB102+$BC102+$BD102+$BF102)*$BE102)*$BH102, 1.05))+$BA102</f>
        <v>10</v>
      </c>
      <c r="BJ102" s="0" t="n">
        <f aca="false">INT(POWER((((Constants!$G$1+$BB102+$BC102+$BD102+$BF102)*($BE102))*$BG102),IF($G102="wagon",1,1.2)))+$AZ102</f>
        <v>30</v>
      </c>
      <c r="BK102" s="17" t="n">
        <f aca="false">BI102*IF($G102="wagon",62.5,781.25)</f>
        <v>625</v>
      </c>
      <c r="BL102" s="17" t="n">
        <f aca="false">BJ102*IF($G102="wagon",2.73,81.25)</f>
        <v>81.9</v>
      </c>
      <c r="BV102" s="0" t="n">
        <v>1</v>
      </c>
      <c r="BW102" s="0" t="n">
        <v>185</v>
      </c>
      <c r="BY102" s="0" t="s">
        <v>376</v>
      </c>
      <c r="BZ102" s="0" t="s">
        <v>302</v>
      </c>
      <c r="CA102" s="0" t="str">
        <f aca="false">VLOOKUP(J102,Eras!$A$2:$C$10, 2, TRUE())</f>
        <v>big4</v>
      </c>
      <c r="CB102" s="0" t="s">
        <v>376</v>
      </c>
      <c r="CC102" s="0" t="str">
        <f aca="false">CONCATENATE(CA102,"_",CB102)</f>
        <v>big4_Van</v>
      </c>
      <c r="CD102" s="0" t="str">
        <f aca="false">_xlfn.CONCAT(H102, "_",I102)</f>
        <v>wagon_RAIL</v>
      </c>
      <c r="CE102" s="6" t="str">
        <f aca="false" t="array" ref="CE102:CE102">_xlfn.CONCAT("{BLACK}Length: {GOLD}", TEXT(ROUNDUP(IF(AQ102&lt;&gt;"",SUM(VALUE(_xlfn.TEXTSPLIT(AQ102, ","))), SUM(VALUE(_xlfn.TEXTSPLIT(AN102, ",")))*IF(M102, M102, 1))/16, 1), "#,##0.0"), " tiles{}")</f>
        <v>{BLACK}Length: {GOLD}0.4 tiles{}</v>
      </c>
      <c r="CF102" s="0" t="str">
        <f aca="false">VLOOKUP($CD102, Constants!$M:$N, 2, FALSE())</f>
        <v/>
      </c>
      <c r="CG102" s="0" t="str">
        <f aca="false">IF(M102&gt;1,_xlfn.CONCAT("{BLACK}Cars: {GOLD}", M102),"")</f>
        <v/>
      </c>
      <c r="CH102" s="0" t="s">
        <v>401</v>
      </c>
      <c r="CI102" s="0" t="str">
        <f aca="false">IF($BU102="!param_no_gameplay_units","{GREEN}Included for gameplay purposes","")</f>
        <v/>
      </c>
      <c r="CJ102" s="0" t="str">
        <f aca="false">IF(BX102="buffet","{YELLOW}25% long distance bonus for consist{}",IF(BZ102="BRAKE","{YELLOW}Speed bonus for slow wagons{}",IF(BW102&gt;190,CONCATENATE("{YELLOW}",INT((BW102-185)/1.85),"% bonus for long distance travel{}"),IF(AND(BW102&lt;180,BW102&lt;&gt;0),CONCATENATE("{YELLOW}",INT((185-BW102)/1.85),"% penalty for long distance travel{}"),""))))</f>
        <v/>
      </c>
      <c r="CK102" s="0" t="str">
        <f aca="false">_xlfn.CONCAT(CF102,IF(CF102&lt;&gt;""," ",""),CG102,IF(OR(CG102&lt;&gt;"",CF102&lt;&gt;""),"{}",""),CE102,CJ102,"{SILVER}",CH102,IF(CI102&lt;&gt;"","{}{}",""),CI102)</f>
        <v>{BLACK}Length: {GOLD}0.4 tiles{}{SILVER}Fitted vans had brakes which could be controlled from the locomotive or a brake van, allowing higher braking force and thus speed. This example is typical of a Southern Railways vacuum-braked model.</v>
      </c>
    </row>
    <row r="103" customFormat="false" ht="14.25" hidden="false" customHeight="false" outlineLevel="0" collapsed="false">
      <c r="A103" s="0" t="s">
        <v>402</v>
      </c>
      <c r="B103" s="15" t="s">
        <v>403</v>
      </c>
      <c r="C103" s="0" t="n">
        <v>88</v>
      </c>
      <c r="E103" s="0" t="n">
        <v>1079</v>
      </c>
      <c r="F103" s="0" t="s">
        <v>143</v>
      </c>
      <c r="G103" s="0" t="s">
        <v>144</v>
      </c>
      <c r="H103" s="0" t="s">
        <v>144</v>
      </c>
      <c r="I103" s="0" t="s">
        <v>92</v>
      </c>
      <c r="J103" s="0" t="n">
        <v>1962</v>
      </c>
      <c r="L103" s="0" t="n">
        <v>1985</v>
      </c>
      <c r="W103" s="0" t="n">
        <v>8</v>
      </c>
      <c r="Y103" s="0" t="n">
        <v>4</v>
      </c>
      <c r="AA103" s="3" t="str">
        <f aca="false">IF(AND(W103&gt;0,Z103&gt;0),(Z103/((W103+X103)*10)),"")</f>
        <v/>
      </c>
      <c r="AB103" s="0" t="n">
        <v>65</v>
      </c>
      <c r="AC103" s="0" t="n">
        <f aca="false">ROUND(AB103*1.6, 0)</f>
        <v>104</v>
      </c>
      <c r="AF103" s="0" t="n">
        <v>8</v>
      </c>
      <c r="AG103" s="0" t="n">
        <v>8</v>
      </c>
      <c r="AJ103" s="4" t="n">
        <v>27</v>
      </c>
      <c r="AK103" s="0" t="str">
        <f aca="false">CONCATENATE(VLOOKUP(AL103, 'Voxel Sizes'!$A$2:$B$18,2,FALSE()),"x",INT(AH103*15), "x", INT(AI103*15))</f>
        <v>82x0x0</v>
      </c>
      <c r="AL103" s="0" t="n">
        <f aca="false">ROUND(15*((AG103*10)/256),0)</f>
        <v>5</v>
      </c>
      <c r="AN103" s="0" t="str">
        <f aca="false">CONCATENATE(VLOOKUP(AL103,Constants!$A$2:$C$16,IF(AM103&lt;&gt;"", 3, 2), FALSE()),IF(AM103&lt;&gt;"",CONCATENATE(",",VLOOKUP(AM103,$B:$AN,39,FALSE())),""))</f>
        <v>2,1,2</v>
      </c>
      <c r="AX103" s="0" t="n">
        <v>30</v>
      </c>
      <c r="AY103" s="16" t="n">
        <f aca="false">IF(L103&lt;&gt;"",MAX(16,(L103-J103)+8),"")</f>
        <v>31</v>
      </c>
      <c r="BB103" s="0" t="n">
        <f aca="false">MIN(AB103/150, 1)*30</f>
        <v>13</v>
      </c>
      <c r="BC103" s="0" t="n">
        <f aca="false">MIN(N103/4000, 1)*20</f>
        <v>0</v>
      </c>
      <c r="BD103" s="0" t="n">
        <f aca="false">MIN(Z103/400,1)*20</f>
        <v>0</v>
      </c>
      <c r="BE103" s="3" t="n">
        <f aca="false">1-(MAX(J103-1900, 0)/750)</f>
        <v>0.917333333333333</v>
      </c>
      <c r="BF103" s="0" t="n">
        <f aca="false">((MAX($M103,1)*MIN($AJ103/300,1)))*IF(G103="Wagon",50,10)</f>
        <v>4.5</v>
      </c>
      <c r="BG103" s="0" t="n">
        <f aca="false">VLOOKUP($H103,Constants!$I:$K, 2, FALSE())</f>
        <v>1</v>
      </c>
      <c r="BH103" s="0" t="n">
        <f aca="false">VLOOKUP($H103,Constants!$I:$K, 3, FALSE())*IF(AND(G103="multiple_unit",AB103&lt;110),0.75,1)</f>
        <v>0.45</v>
      </c>
      <c r="BI103" s="0" t="n">
        <f aca="false">INT(POWER(((Constants!$G$2+$BB103+$BC103+$BD103+$BF103)*$BE103)*$BH103, 1.05))+$BA103</f>
        <v>10</v>
      </c>
      <c r="BJ103" s="0" t="n">
        <f aca="false">INT(POWER((((Constants!$G$1+$BB103+$BC103+$BD103+$BF103)*($BE103))*$BG103),IF($G103="wagon",1,1.2)))+$AZ103</f>
        <v>29</v>
      </c>
      <c r="BK103" s="17" t="n">
        <f aca="false">BI103*IF($G103="wagon",62.5,781.25)</f>
        <v>625</v>
      </c>
      <c r="BL103" s="17" t="n">
        <f aca="false">BJ103*IF($G103="wagon",2.73,81.25)</f>
        <v>79.17</v>
      </c>
      <c r="BV103" s="0" t="n">
        <v>1</v>
      </c>
      <c r="BW103" s="0" t="n">
        <v>185</v>
      </c>
      <c r="BY103" s="0" t="s">
        <v>376</v>
      </c>
      <c r="BZ103" s="0" t="s">
        <v>302</v>
      </c>
      <c r="CA103" s="0" t="str">
        <f aca="false">VLOOKUP(J103,Eras!$A$2:$C$10, 2, TRUE())</f>
        <v>dsl</v>
      </c>
      <c r="CB103" s="0" t="s">
        <v>376</v>
      </c>
      <c r="CC103" s="0" t="str">
        <f aca="false">CONCATENATE(CA103,"_",CB103)</f>
        <v>dsl_Van</v>
      </c>
      <c r="CD103" s="0" t="str">
        <f aca="false">_xlfn.CONCAT(H103, "_",I103)</f>
        <v>wagon_RAIL</v>
      </c>
      <c r="CE103" s="6" t="str">
        <f aca="false" t="array" ref="CE103:CE103">_xlfn.CONCAT("{BLACK}Length: {GOLD}", TEXT(ROUNDUP(IF(AQ103&lt;&gt;"",SUM(VALUE(_xlfn.TEXTSPLIT(AQ103, ","))), SUM(VALUE(_xlfn.TEXTSPLIT(AN103, ",")))*IF(M103, M103, 1))/16, 1), "#,##0.0"), " tiles{}")</f>
        <v>{BLACK}Length: {GOLD}0.4 tiles{}</v>
      </c>
      <c r="CF103" s="0" t="str">
        <f aca="false">VLOOKUP($CD103, Constants!$M:$N, 2, FALSE())</f>
        <v/>
      </c>
      <c r="CG103" s="0" t="str">
        <f aca="false">IF(M103&gt;1,_xlfn.CONCAT("{BLACK}Cars: {GOLD}", M103),"")</f>
        <v/>
      </c>
      <c r="CH103" s="0" t="s">
        <v>404</v>
      </c>
      <c r="CI103" s="0" t="str">
        <f aca="false">IF($BU103="!param_no_gameplay_units","{GREEN}Included for gameplay purposes","")</f>
        <v/>
      </c>
      <c r="CJ103" s="0" t="str">
        <f aca="false">IF(BX103="buffet","{YELLOW}25% long distance bonus for consist{}",IF(BZ103="BRAKE","{YELLOW}Speed bonus for slow wagons{}",IF(BW103&gt;190,CONCATENATE("{YELLOW}",INT((BW103-185)/1.85),"% bonus for long distance travel{}"),IF(AND(BW103&lt;180,BW103&lt;&gt;0),CONCATENATE("{YELLOW}",INT((185-BW103)/1.85),"% penalty for long distance travel{}"),""))))</f>
        <v/>
      </c>
      <c r="CK103" s="0" t="str">
        <f aca="false">_xlfn.CONCAT(CF103,IF(CF103&lt;&gt;""," ",""),CG103,IF(OR(CG103&lt;&gt;"",CF103&lt;&gt;""),"{}",""),CE103,CJ103,"{SILVER}",CH103,IF(CI103&lt;&gt;"","{}{}",""),CI103)</f>
        <v>{BLACK}Length: {GOLD}0.4 tiles{}{SILVER}The Vanwide was BR's final development of the traditional van design, featuring wider doors for increased loading speed.</v>
      </c>
      <c r="CL103" s="0" t="n">
        <v>1</v>
      </c>
    </row>
    <row r="104" customFormat="false" ht="14.25" hidden="false" customHeight="false" outlineLevel="0" collapsed="false">
      <c r="A104" s="0" t="s">
        <v>405</v>
      </c>
      <c r="B104" s="15" t="s">
        <v>406</v>
      </c>
      <c r="C104" s="0" t="n">
        <v>89</v>
      </c>
      <c r="E104" s="0" t="n">
        <v>1080</v>
      </c>
      <c r="F104" s="0" t="s">
        <v>143</v>
      </c>
      <c r="G104" s="0" t="s">
        <v>144</v>
      </c>
      <c r="H104" s="0" t="s">
        <v>144</v>
      </c>
      <c r="I104" s="0" t="s">
        <v>92</v>
      </c>
      <c r="J104" s="0" t="n">
        <v>1969</v>
      </c>
      <c r="L104" s="0" t="n">
        <v>2010</v>
      </c>
      <c r="W104" s="0" t="n">
        <v>16</v>
      </c>
      <c r="Y104" s="0" t="n">
        <v>4</v>
      </c>
      <c r="AA104" s="3" t="str">
        <f aca="false">IF(AND(W104&gt;0,Z104&gt;0),(Z104/((W104+X104)*10)),"")</f>
        <v/>
      </c>
      <c r="AB104" s="0" t="n">
        <v>75</v>
      </c>
      <c r="AC104" s="0" t="n">
        <f aca="false">ROUND(AB104*1.6, 0)</f>
        <v>120</v>
      </c>
      <c r="AF104" s="0" t="n">
        <v>11.2</v>
      </c>
      <c r="AG104" s="0" t="n">
        <v>11.2</v>
      </c>
      <c r="AJ104" s="4" t="n">
        <v>39</v>
      </c>
      <c r="AK104" s="0" t="str">
        <f aca="false">CONCATENATE(VLOOKUP(AL104, 'Voxel Sizes'!$A$2:$B$18,2,FALSE()),"x",INT(AH104*15), "x", INT(AI104*15))</f>
        <v>120x0x0</v>
      </c>
      <c r="AL104" s="0" t="n">
        <f aca="false">ROUND(15*((AG104*10)/256),0)</f>
        <v>7</v>
      </c>
      <c r="AN104" s="0" t="str">
        <f aca="false">CONCATENATE(VLOOKUP(AL104,Constants!$A$2:$C$16,IF(AM104&lt;&gt;"", 3, 2), FALSE()),IF(AM104&lt;&gt;"",CONCATENATE(",",VLOOKUP(AM104,$B:$AN,39,FALSE())),""))</f>
        <v>2,3,2</v>
      </c>
      <c r="AX104" s="0" t="n">
        <v>30</v>
      </c>
      <c r="AY104" s="16" t="n">
        <f aca="false">IF(L104&lt;&gt;"",MAX(16,(L104-J104)+8),"")</f>
        <v>49</v>
      </c>
      <c r="BB104" s="0" t="n">
        <f aca="false">MIN(AB104/150, 1)*30</f>
        <v>15</v>
      </c>
      <c r="BC104" s="0" t="n">
        <f aca="false">MIN(N104/4000, 1)*20</f>
        <v>0</v>
      </c>
      <c r="BD104" s="0" t="n">
        <f aca="false">MIN(Z104/400,1)*20</f>
        <v>0</v>
      </c>
      <c r="BE104" s="3" t="n">
        <f aca="false">1-(MAX(J104-1900, 0)/750)</f>
        <v>0.908</v>
      </c>
      <c r="BF104" s="0" t="n">
        <f aca="false">((MAX($M104,1)*MIN($AJ104/300,1)))*IF(G104="Wagon",50,10)</f>
        <v>6.5</v>
      </c>
      <c r="BG104" s="0" t="n">
        <f aca="false">VLOOKUP($H104,Constants!$I:$K, 2, FALSE())</f>
        <v>1</v>
      </c>
      <c r="BH104" s="0" t="n">
        <f aca="false">VLOOKUP($H104,Constants!$I:$K, 3, FALSE())*IF(AND(G104="multiple_unit",AB104&lt;110),0.75,1)</f>
        <v>0.45</v>
      </c>
      <c r="BI104" s="0" t="n">
        <f aca="false">INT(POWER(((Constants!$G$2+$BB104+$BC104+$BD104+$BF104)*$BE104)*$BH104, 1.05))+$BA104</f>
        <v>12</v>
      </c>
      <c r="BJ104" s="0" t="n">
        <f aca="false">INT(POWER((((Constants!$G$1+$BB104+$BC104+$BD104+$BF104)*($BE104))*$BG104),IF($G104="wagon",1,1.2)))+$AZ104</f>
        <v>33</v>
      </c>
      <c r="BK104" s="17" t="n">
        <f aca="false">BI104*IF($G104="wagon",62.5,781.25)</f>
        <v>750</v>
      </c>
      <c r="BL104" s="17" t="n">
        <f aca="false">BJ104*IF($G104="wagon",2.73,81.25)</f>
        <v>90.09</v>
      </c>
      <c r="BV104" s="0" t="n">
        <v>1</v>
      </c>
      <c r="BW104" s="0" t="n">
        <v>185</v>
      </c>
      <c r="BY104" s="0" t="s">
        <v>376</v>
      </c>
      <c r="BZ104" s="0" t="s">
        <v>302</v>
      </c>
      <c r="CA104" s="0" t="str">
        <f aca="false">VLOOKUP(J104,Eras!$A$2:$C$10, 2, TRUE())</f>
        <v>dsl</v>
      </c>
      <c r="CB104" s="0" t="s">
        <v>376</v>
      </c>
      <c r="CC104" s="0" t="str">
        <f aca="false">CONCATENATE(CA104,"_",CB104)</f>
        <v>dsl_Van</v>
      </c>
      <c r="CD104" s="0" t="str">
        <f aca="false">_xlfn.CONCAT(H104, "_",I104)</f>
        <v>wagon_RAIL</v>
      </c>
      <c r="CE104" s="6" t="str">
        <f aca="false" t="array" ref="CE104:CE104">_xlfn.CONCAT("{BLACK}Length: {GOLD}", TEXT(ROUNDUP(IF(AQ104&lt;&gt;"",SUM(VALUE(_xlfn.TEXTSPLIT(AQ104, ","))), SUM(VALUE(_xlfn.TEXTSPLIT(AN104, ",")))*IF(M104, M104, 1))/16, 1), "#,##0.0"), " tiles{}")</f>
        <v>{BLACK}Length: {GOLD}0.5 tiles{}</v>
      </c>
      <c r="CF104" s="0" t="str">
        <f aca="false">VLOOKUP($CD104, Constants!$M:$N, 2, FALSE())</f>
        <v/>
      </c>
      <c r="CG104" s="0" t="str">
        <f aca="false">IF(M104&gt;1,_xlfn.CONCAT("{BLACK}Cars: {GOLD}", M104),"")</f>
        <v/>
      </c>
      <c r="CH104" s="0" t="s">
        <v>407</v>
      </c>
      <c r="CI104" s="0" t="str">
        <f aca="false">IF($BU104="!param_no_gameplay_units","{GREEN}Included for gameplay purposes","")</f>
        <v/>
      </c>
      <c r="CJ104" s="0" t="str">
        <f aca="false">IF(BX104="buffet","{YELLOW}25% long distance bonus for consist{}",IF(BZ104="BRAKE","{YELLOW}Speed bonus for slow wagons{}",IF(BW104&gt;190,CONCATENATE("{YELLOW}",INT((BW104-185)/1.85),"% bonus for long distance travel{}"),IF(AND(BW104&lt;180,BW104&lt;&gt;0),CONCATENATE("{YELLOW}",INT((185-BW104)/1.85),"% penalty for long distance travel{}"),""))))</f>
        <v/>
      </c>
      <c r="CK104" s="0" t="str">
        <f aca="false">_xlfn.CONCAT(CF104,IF(CF104&lt;&gt;""," ",""),CG104,IF(OR(CG104&lt;&gt;"",CF104&lt;&gt;""),"{}",""),CE104,CJ104,"{SILVER}",CH104,IF(CI104&lt;&gt;"","{}{}",""),CI104)</f>
        <v>{BLACK}Length: {GOLD}0.5 tiles{}{SILVER}The VDA was BR's first air braked general purpose van, later used for the Speedlink freight network.</v>
      </c>
      <c r="CL104" s="0" t="n">
        <v>1</v>
      </c>
    </row>
    <row r="105" customFormat="false" ht="14.25" hidden="false" customHeight="false" outlineLevel="0" collapsed="false">
      <c r="A105" s="0" t="s">
        <v>408</v>
      </c>
      <c r="B105" s="15" t="s">
        <v>409</v>
      </c>
      <c r="C105" s="0" t="n">
        <v>90</v>
      </c>
      <c r="E105" s="0" t="n">
        <v>1081</v>
      </c>
      <c r="F105" s="0" t="s">
        <v>143</v>
      </c>
      <c r="G105" s="0" t="s">
        <v>144</v>
      </c>
      <c r="H105" s="0" t="s">
        <v>144</v>
      </c>
      <c r="I105" s="0" t="s">
        <v>92</v>
      </c>
      <c r="J105" s="0" t="n">
        <v>1978</v>
      </c>
      <c r="W105" s="0" t="n">
        <v>8</v>
      </c>
      <c r="Y105" s="0" t="n">
        <v>4</v>
      </c>
      <c r="AA105" s="3" t="str">
        <f aca="false">IF(AND(W105&gt;0,Z105&gt;0),(Z105/((W105+X105)*10)),"")</f>
        <v/>
      </c>
      <c r="AB105" s="0" t="n">
        <v>75</v>
      </c>
      <c r="AC105" s="0" t="n">
        <f aca="false">ROUND(AB105*1.6, 0)</f>
        <v>120</v>
      </c>
      <c r="AF105" s="0" t="n">
        <v>8</v>
      </c>
      <c r="AG105" s="0" t="n">
        <v>8</v>
      </c>
      <c r="AJ105" s="4" t="n">
        <v>27</v>
      </c>
      <c r="AK105" s="0" t="str">
        <f aca="false">CONCATENATE(VLOOKUP(AL105, 'Voxel Sizes'!$A$2:$B$18,2,FALSE()),"x",INT(AH105*15), "x", INT(AI105*15))</f>
        <v>82x0x0</v>
      </c>
      <c r="AL105" s="0" t="n">
        <f aca="false">ROUND(15*((AG105*10)/256),0)</f>
        <v>5</v>
      </c>
      <c r="AN105" s="0" t="str">
        <f aca="false">CONCATENATE(VLOOKUP(AL105,Constants!$A$2:$C$16,IF(AM105&lt;&gt;"", 3, 2), FALSE()),IF(AM105&lt;&gt;"",CONCATENATE(",",VLOOKUP(AM105,$B:$AN,39,FALSE())),""))</f>
        <v>2,1,2</v>
      </c>
      <c r="AX105" s="0" t="n">
        <v>30</v>
      </c>
      <c r="AY105" s="16" t="str">
        <f aca="false">IF(L105&lt;&gt;"",MAX(16,(L105-J105)+8),"")</f>
        <v/>
      </c>
      <c r="BB105" s="0" t="n">
        <f aca="false">MIN(AB105/150, 1)*30</f>
        <v>15</v>
      </c>
      <c r="BC105" s="0" t="n">
        <f aca="false">MIN(N105/4000, 1)*20</f>
        <v>0</v>
      </c>
      <c r="BD105" s="0" t="n">
        <f aca="false">MIN(Z105/400,1)*20</f>
        <v>0</v>
      </c>
      <c r="BE105" s="3" t="n">
        <f aca="false">1-(MAX(J105-1900, 0)/750)</f>
        <v>0.896</v>
      </c>
      <c r="BF105" s="0" t="n">
        <f aca="false">((MAX($M105,1)*MIN($AJ105/300,1)))*IF(G105="Wagon",50,10)</f>
        <v>4.5</v>
      </c>
      <c r="BG105" s="0" t="n">
        <f aca="false">VLOOKUP($H105,Constants!$I:$K, 2, FALSE())</f>
        <v>1</v>
      </c>
      <c r="BH105" s="0" t="n">
        <f aca="false">VLOOKUP($H105,Constants!$I:$K, 3, FALSE())*IF(AND(G105="multiple_unit",AB105&lt;110),0.75,1)</f>
        <v>0.45</v>
      </c>
      <c r="BI105" s="0" t="n">
        <f aca="false">INT(POWER(((Constants!$G$2+$BB105+$BC105+$BD105+$BF105)*$BE105)*$BH105, 1.05))+$BA105</f>
        <v>11</v>
      </c>
      <c r="BJ105" s="0" t="n">
        <f aca="false">INT(POWER((((Constants!$G$1+$BB105+$BC105+$BD105+$BF105)*($BE105))*$BG105),IF($G105="wagon",1,1.2)))+$AZ105</f>
        <v>30</v>
      </c>
      <c r="BK105" s="17" t="n">
        <f aca="false">BI105*IF($G105="wagon",62.5,781.25)</f>
        <v>687.5</v>
      </c>
      <c r="BL105" s="17" t="n">
        <f aca="false">BJ105*IF($G105="wagon",2.73,81.25)</f>
        <v>81.9</v>
      </c>
      <c r="BV105" s="0" t="n">
        <v>1</v>
      </c>
      <c r="BW105" s="0" t="n">
        <v>185</v>
      </c>
      <c r="BY105" s="0" t="s">
        <v>376</v>
      </c>
      <c r="BZ105" s="0" t="s">
        <v>302</v>
      </c>
      <c r="CA105" s="0" t="str">
        <f aca="false">VLOOKUP(J105,Eras!$A$2:$C$10, 2, TRUE())</f>
        <v>lbr</v>
      </c>
      <c r="CB105" s="0" t="s">
        <v>376</v>
      </c>
      <c r="CC105" s="0" t="str">
        <f aca="false">CONCATENATE(CA105,"_",CB105)</f>
        <v>lbr_Van</v>
      </c>
      <c r="CD105" s="0" t="str">
        <f aca="false">_xlfn.CONCAT(H105, "_",I105)</f>
        <v>wagon_RAIL</v>
      </c>
      <c r="CE105" s="6" t="str">
        <f aca="false" t="array" ref="CE105:CE105">_xlfn.CONCAT("{BLACK}Length: {GOLD}", TEXT(ROUNDUP(IF(AQ105&lt;&gt;"",SUM(VALUE(_xlfn.TEXTSPLIT(AQ105, ","))), SUM(VALUE(_xlfn.TEXTSPLIT(AN105, ",")))*IF(M105, M105, 1))/16, 1), "#,##0.0"), " tiles{}")</f>
        <v>{BLACK}Length: {GOLD}0.4 tiles{}</v>
      </c>
      <c r="CF105" s="0" t="str">
        <f aca="false">VLOOKUP($CD105, Constants!$M:$N, 2, FALSE())</f>
        <v/>
      </c>
      <c r="CG105" s="0" t="str">
        <f aca="false">IF(M105&gt;1,_xlfn.CONCAT("{BLACK}Cars: {GOLD}", M105),"")</f>
        <v/>
      </c>
      <c r="CH105" s="0" t="s">
        <v>410</v>
      </c>
      <c r="CI105" s="0" t="str">
        <f aca="false">IF($BU105="!param_no_gameplay_units","{GREEN}Included for gameplay purposes","")</f>
        <v/>
      </c>
      <c r="CJ105" s="0" t="str">
        <f aca="false">IF(BX105="buffet","{YELLOW}25% long distance bonus for consist{}",IF(BZ105="BRAKE","{YELLOW}Speed bonus for slow wagons{}",IF(BW105&gt;190,CONCATENATE("{YELLOW}",INT((BW105-185)/1.85),"% bonus for long distance travel{}"),IF(AND(BW105&lt;180,BW105&lt;&gt;0),CONCATENATE("{YELLOW}",INT((185-BW105)/1.85),"% penalty for long distance travel{}"),""))))</f>
        <v/>
      </c>
      <c r="CK105" s="0" t="str">
        <f aca="false">_xlfn.CONCAT(CF105,IF(CF105&lt;&gt;""," ",""),CG105,IF(OR(CG105&lt;&gt;"",CF105&lt;&gt;""),"{}",""),CE105,CJ105,"{SILVER}",CH105,IF(CI105&lt;&gt;"","{}{}",""),CI105)</f>
        <v>{BLACK}Length: {GOLD}0.4 tiles{}{SILVER}VEA vans were refurbished vans fitted with improved suspension and air brakes, allowing higher speed operation while still being suitable for narrow radius curves in small yards.</v>
      </c>
      <c r="CL105" s="0" t="n">
        <v>1</v>
      </c>
    </row>
    <row r="106" customFormat="false" ht="14.25" hidden="false" customHeight="false" outlineLevel="0" collapsed="false">
      <c r="A106" s="0" t="s">
        <v>411</v>
      </c>
      <c r="B106" s="15" t="s">
        <v>412</v>
      </c>
      <c r="C106" s="0" t="n">
        <v>91</v>
      </c>
      <c r="E106" s="0" t="n">
        <v>1082</v>
      </c>
      <c r="F106" s="0" t="s">
        <v>143</v>
      </c>
      <c r="G106" s="0" t="s">
        <v>144</v>
      </c>
      <c r="H106" s="0" t="s">
        <v>144</v>
      </c>
      <c r="I106" s="0" t="s">
        <v>92</v>
      </c>
      <c r="J106" s="0" t="n">
        <v>1982</v>
      </c>
      <c r="W106" s="0" t="n">
        <v>21</v>
      </c>
      <c r="Y106" s="0" t="n">
        <v>6</v>
      </c>
      <c r="AA106" s="3" t="str">
        <f aca="false">IF(AND(W106&gt;0,Z106&gt;0),(Z106/((W106+X106)*10)),"")</f>
        <v/>
      </c>
      <c r="AB106" s="0" t="n">
        <v>85</v>
      </c>
      <c r="AC106" s="0" t="n">
        <f aca="false">ROUND(AB106*1.6, 0)</f>
        <v>136</v>
      </c>
      <c r="AF106" s="0" t="n">
        <v>12.8</v>
      </c>
      <c r="AG106" s="0" t="n">
        <v>12.8</v>
      </c>
      <c r="AJ106" s="4" t="n">
        <v>45</v>
      </c>
      <c r="AK106" s="0" t="str">
        <f aca="false">CONCATENATE(VLOOKUP(AL106, 'Voxel Sizes'!$A$2:$B$18,2,FALSE()),"x",INT(AH106*15), "x", INT(AI106*15))</f>
        <v>136x0x0</v>
      </c>
      <c r="AL106" s="0" t="n">
        <f aca="false">ROUND(15*((AG106*10)/256),0)</f>
        <v>8</v>
      </c>
      <c r="AN106" s="0" t="str">
        <f aca="false">CONCATENATE(VLOOKUP(AL106,Constants!$A$2:$C$16,IF(AM106&lt;&gt;"", 3, 2), FALSE()),IF(AM106&lt;&gt;"",CONCATENATE(",",VLOOKUP(AM106,$B:$AN,39,FALSE())),""))</f>
        <v>2,4,2</v>
      </c>
      <c r="AX106" s="0" t="n">
        <v>30</v>
      </c>
      <c r="AY106" s="16" t="str">
        <f aca="false">IF(L106&lt;&gt;"",MAX(16,(L106-J106)+8),"")</f>
        <v/>
      </c>
      <c r="BB106" s="0" t="n">
        <f aca="false">MIN(AB106/150, 1)*30</f>
        <v>17</v>
      </c>
      <c r="BC106" s="0" t="n">
        <f aca="false">MIN(N106/4000, 1)*20</f>
        <v>0</v>
      </c>
      <c r="BD106" s="0" t="n">
        <f aca="false">MIN(Z106/400,1)*20</f>
        <v>0</v>
      </c>
      <c r="BE106" s="3" t="n">
        <f aca="false">1-(MAX(J106-1900, 0)/750)</f>
        <v>0.890666666666667</v>
      </c>
      <c r="BF106" s="0" t="n">
        <f aca="false">((MAX($M106,1)*MIN($AJ106/300,1)))*IF(G106="Wagon",50,10)</f>
        <v>7.5</v>
      </c>
      <c r="BG106" s="0" t="n">
        <f aca="false">VLOOKUP($H106,Constants!$I:$K, 2, FALSE())</f>
        <v>1</v>
      </c>
      <c r="BH106" s="0" t="n">
        <f aca="false">VLOOKUP($H106,Constants!$I:$K, 3, FALSE())*IF(AND(G106="multiple_unit",AB106&lt;110),0.75,1)</f>
        <v>0.45</v>
      </c>
      <c r="BI106" s="0" t="n">
        <f aca="false">INT(POWER(((Constants!$G$2+$BB106+$BC106+$BD106+$BF106)*$BE106)*$BH106, 1.05))+$BA106</f>
        <v>13</v>
      </c>
      <c r="BJ106" s="0" t="n">
        <f aca="false">INT(POWER((((Constants!$G$1+$BB106+$BC106+$BD106+$BF106)*($BE106))*$BG106),IF($G106="wagon",1,1.2)))+$AZ106</f>
        <v>35</v>
      </c>
      <c r="BK106" s="17" t="n">
        <f aca="false">BI106*IF($G106="wagon",62.5,781.25)</f>
        <v>812.5</v>
      </c>
      <c r="BL106" s="17" t="n">
        <f aca="false">BJ106*IF($G106="wagon",2.73,81.25)</f>
        <v>95.55</v>
      </c>
      <c r="BV106" s="0" t="n">
        <v>1</v>
      </c>
      <c r="BW106" s="0" t="n">
        <v>185</v>
      </c>
      <c r="BY106" s="0" t="s">
        <v>376</v>
      </c>
      <c r="BZ106" s="0" t="s">
        <v>302</v>
      </c>
      <c r="CA106" s="0" t="str">
        <f aca="false">VLOOKUP(J106,Eras!$A$2:$C$10, 2, TRUE())</f>
        <v>lbr</v>
      </c>
      <c r="CB106" s="0" t="s">
        <v>376</v>
      </c>
      <c r="CC106" s="0" t="str">
        <f aca="false">CONCATENATE(CA106,"_",CB106)</f>
        <v>lbr_Van</v>
      </c>
      <c r="CD106" s="0" t="str">
        <f aca="false">_xlfn.CONCAT(H106, "_",I106)</f>
        <v>wagon_RAIL</v>
      </c>
      <c r="CE106" s="6" t="str">
        <f aca="false" t="array" ref="CE106:CE106">_xlfn.CONCAT("{BLACK}Length: {GOLD}", TEXT(ROUNDUP(IF(AQ106&lt;&gt;"",SUM(VALUE(_xlfn.TEXTSPLIT(AQ106, ","))), SUM(VALUE(_xlfn.TEXTSPLIT(AN106, ",")))*IF(M106, M106, 1))/16, 1), "#,##0.0"), " tiles{}")</f>
        <v>{BLACK}Length: {GOLD}0.5 tiles{}</v>
      </c>
      <c r="CF106" s="0" t="str">
        <f aca="false">VLOOKUP($CD106, Constants!$M:$N, 2, FALSE())</f>
        <v/>
      </c>
      <c r="CG106" s="0" t="str">
        <f aca="false">IF(M106&gt;1,_xlfn.CONCAT("{BLACK}Cars: {GOLD}", M106),"")</f>
        <v/>
      </c>
      <c r="CH106" s="0" t="s">
        <v>413</v>
      </c>
      <c r="CI106" s="0" t="str">
        <f aca="false">IF($BU106="!param_no_gameplay_units","{GREEN}Included for gameplay purposes","")</f>
        <v/>
      </c>
      <c r="CJ106" s="0" t="str">
        <f aca="false">IF(BX106="buffet","{YELLOW}25% long distance bonus for consist{}",IF(BZ106="BRAKE","{YELLOW}Speed bonus for slow wagons{}",IF(BW106&gt;190,CONCATENATE("{YELLOW}",INT((BW106-185)/1.85),"% bonus for long distance travel{}"),IF(AND(BW106&lt;180,BW106&lt;&gt;0),CONCATENATE("{YELLOW}",INT((185-BW106)/1.85),"% penalty for long distance travel{}"),""))))</f>
        <v/>
      </c>
      <c r="CK106" s="0" t="str">
        <f aca="false">_xlfn.CONCAT(CF106,IF(CF106&lt;&gt;""," ",""),CG106,IF(OR(CG106&lt;&gt;"",CF106&lt;&gt;""),"{}",""),CE106,CJ106,"{SILVER}",CH106,IF(CI106&lt;&gt;"","{}{}",""),CI106)</f>
        <v>{BLACK}Length: {GOLD}0.5 tiles{}{SILVER}VGA vans followed continental practice with doors extending into the roof panel, providing a larger vertical opening.</v>
      </c>
      <c r="CL106" s="0" t="n">
        <v>1</v>
      </c>
    </row>
    <row r="107" customFormat="false" ht="14.25" hidden="false" customHeight="false" outlineLevel="0" collapsed="false">
      <c r="A107" s="0" t="s">
        <v>414</v>
      </c>
      <c r="B107" s="15" t="s">
        <v>415</v>
      </c>
      <c r="C107" s="0" t="n">
        <v>92</v>
      </c>
      <c r="E107" s="0" t="n">
        <v>1083</v>
      </c>
      <c r="F107" s="0" t="s">
        <v>143</v>
      </c>
      <c r="G107" s="0" t="s">
        <v>144</v>
      </c>
      <c r="H107" s="0" t="s">
        <v>144</v>
      </c>
      <c r="I107" s="0" t="s">
        <v>92</v>
      </c>
      <c r="J107" s="0" t="n">
        <v>1913</v>
      </c>
      <c r="K107" s="0" t="n">
        <v>1955</v>
      </c>
      <c r="L107" s="0" t="n">
        <v>1965</v>
      </c>
      <c r="W107" s="0" t="n">
        <v>20</v>
      </c>
      <c r="Y107" s="0" t="n">
        <v>4</v>
      </c>
      <c r="AA107" s="3" t="str">
        <f aca="false">IF(AND(W107&gt;0,Z107&gt;0),(Z107/((W107+X107)*10)),"")</f>
        <v/>
      </c>
      <c r="AB107" s="0" t="n">
        <v>70</v>
      </c>
      <c r="AC107" s="0" t="n">
        <f aca="false">ROUND(AB107*1.6, 0)</f>
        <v>112</v>
      </c>
      <c r="AF107" s="0" t="n">
        <v>15</v>
      </c>
      <c r="AG107" s="0" t="n">
        <v>15</v>
      </c>
      <c r="AJ107" s="4" t="n">
        <v>60</v>
      </c>
      <c r="AK107" s="0" t="str">
        <f aca="false">CONCATENATE(VLOOKUP(AL107, 'Voxel Sizes'!$A$2:$B$18,2,FALSE()),"x",INT(AH107*15), "x", INT(AI107*15))</f>
        <v>152x0x0</v>
      </c>
      <c r="AL107" s="0" t="n">
        <f aca="false">ROUND(15*((AG107*10)/256),0)</f>
        <v>9</v>
      </c>
      <c r="AN107" s="0" t="str">
        <f aca="false">CONCATENATE(VLOOKUP(AL107,Constants!$A$2:$C$16,IF(AM107&lt;&gt;"", 3, 2), FALSE()),IF(AM107&lt;&gt;"",CONCATENATE(",",VLOOKUP(AM107,$B:$AN,39,FALSE())),""))</f>
        <v>2,5,2</v>
      </c>
      <c r="AX107" s="0" t="n">
        <v>30</v>
      </c>
      <c r="AY107" s="16" t="n">
        <f aca="false">IF(L107&lt;&gt;"",MAX(16,(L107-J107)+8),"")</f>
        <v>60</v>
      </c>
      <c r="AZ107" s="0" t="n">
        <v>25</v>
      </c>
      <c r="BA107" s="0" t="n">
        <v>8</v>
      </c>
      <c r="BB107" s="0" t="n">
        <f aca="false">MIN(AB107/150, 1)*30</f>
        <v>14</v>
      </c>
      <c r="BC107" s="0" t="n">
        <f aca="false">MIN(N107/4000, 1)*20</f>
        <v>0</v>
      </c>
      <c r="BD107" s="0" t="n">
        <f aca="false">MIN(Z107/400,1)*20</f>
        <v>0</v>
      </c>
      <c r="BE107" s="3" t="n">
        <f aca="false">1-(MAX(J107-1900, 0)/750)</f>
        <v>0.982666666666667</v>
      </c>
      <c r="BF107" s="0" t="n">
        <f aca="false">((MAX($M107,1)*MIN($AJ107/300,1)))*IF(G107="Wagon",50,10)</f>
        <v>10</v>
      </c>
      <c r="BG107" s="0" t="n">
        <f aca="false">VLOOKUP($H107,Constants!$I:$K, 2, FALSE())</f>
        <v>1</v>
      </c>
      <c r="BH107" s="0" t="n">
        <f aca="false">VLOOKUP($H107,Constants!$I:$K, 3, FALSE())*IF(AND(G107="multiple_unit",AB107&lt;110),0.75,1)</f>
        <v>0.45</v>
      </c>
      <c r="BI107" s="0" t="n">
        <f aca="false">INT(POWER(((Constants!$G$2+$BB107+$BC107+$BD107+$BF107)*$BE107)*$BH107, 1.05))+$BA107</f>
        <v>22</v>
      </c>
      <c r="BJ107" s="0" t="n">
        <f aca="false">INT(POWER((((Constants!$G$1+$BB107+$BC107+$BD107+$BF107)*($BE107))*$BG107),IF($G107="wagon",1,1.2)))+$AZ107</f>
        <v>63</v>
      </c>
      <c r="BK107" s="17" t="n">
        <f aca="false">BI107*IF($G107="wagon",62.5,781.25)</f>
        <v>1375</v>
      </c>
      <c r="BL107" s="17" t="n">
        <f aca="false">BJ107*IF($G107="wagon",2.73,81.25)</f>
        <v>171.99</v>
      </c>
      <c r="BV107" s="0" t="n">
        <v>1</v>
      </c>
      <c r="BW107" s="0" t="n">
        <v>185</v>
      </c>
      <c r="BY107" s="0" t="s">
        <v>416</v>
      </c>
      <c r="BZ107" s="0" t="s">
        <v>220</v>
      </c>
      <c r="CA107" s="0" t="str">
        <f aca="false">VLOOKUP(J107,Eras!$A$2:$C$10, 2, TRUE())</f>
        <v>edw</v>
      </c>
      <c r="CB107" s="0" t="s">
        <v>221</v>
      </c>
      <c r="CC107" s="0" t="str">
        <f aca="false">CONCATENATE(CA107,"_",CB107)</f>
        <v>edw_Mail Carriage</v>
      </c>
      <c r="CD107" s="0" t="str">
        <f aca="false">_xlfn.CONCAT(H107, "_",I107)</f>
        <v>wagon_RAIL</v>
      </c>
      <c r="CE107" s="6" t="str">
        <f aca="false" t="array" ref="CE107:CE107">_xlfn.CONCAT("{BLACK}Length: {GOLD}", TEXT(ROUNDUP(IF(AQ107&lt;&gt;"",SUM(VALUE(_xlfn.TEXTSPLIT(AQ107, ","))), SUM(VALUE(_xlfn.TEXTSPLIT(AN107, ",")))*IF(M107, M107, 1))/16, 1), "#,##0.0"), " tiles{}")</f>
        <v>{BLACK}Length: {GOLD}0.6 tiles{}</v>
      </c>
      <c r="CF107" s="0" t="str">
        <f aca="false">VLOOKUP($CD107, Constants!$M:$N, 2, FALSE())</f>
        <v/>
      </c>
      <c r="CG107" s="0" t="str">
        <f aca="false">IF(M107&gt;1,_xlfn.CONCAT("{BLACK}Cars: {GOLD}", M107),"")</f>
        <v/>
      </c>
      <c r="CH107" s="0" t="s">
        <v>417</v>
      </c>
      <c r="CI107" s="0" t="str">
        <f aca="false">IF($BU107="!param_no_gameplay_units","{GREEN}Included for gameplay purposes","")</f>
        <v/>
      </c>
      <c r="CJ107" s="0" t="str">
        <f aca="false">IF(BX107="buffet","{YELLOW}25% long distance bonus for consist{}",IF(BZ107="BRAKE","{YELLOW}Speed bonus for slow wagons{}",IF(BW107&gt;190,CONCATENATE("{YELLOW}",INT((BW107-185)/1.85),"% bonus for long distance travel{}"),IF(AND(BW107&lt;180,BW107&lt;&gt;0),CONCATENATE("{YELLOW}",INT((185-BW107)/1.85),"% penalty for long distance travel{}"),""))))</f>
        <v/>
      </c>
      <c r="CK107" s="0" t="str">
        <f aca="false">_xlfn.CONCAT(CF107,IF(CF107&lt;&gt;""," ",""),CG107,IF(OR(CG107&lt;&gt;"",CF107&lt;&gt;""),"{}",""),CE107,CJ107,"{SILVER}",CH107,IF(CI107&lt;&gt;"","{}{}",""),CI107)</f>
        <v>{BLACK}Length: {GOLD}0.6 tiles{}{SILVER}GWR's "Siphon" vans were built to carry loads of milk churns at passenger train speeds. They were also used for parcel and newspaper traffic, the basic design being built well into the BR era.</v>
      </c>
    </row>
    <row r="108" customFormat="false" ht="14.25" hidden="false" customHeight="false" outlineLevel="0" collapsed="false">
      <c r="A108" s="0" t="s">
        <v>418</v>
      </c>
      <c r="B108" s="15" t="s">
        <v>419</v>
      </c>
      <c r="C108" s="0" t="n">
        <v>93</v>
      </c>
      <c r="E108" s="0" t="n">
        <v>1084</v>
      </c>
      <c r="F108" s="0" t="s">
        <v>143</v>
      </c>
      <c r="G108" s="0" t="s">
        <v>144</v>
      </c>
      <c r="H108" s="0" t="s">
        <v>144</v>
      </c>
      <c r="I108" s="0" t="s">
        <v>92</v>
      </c>
      <c r="J108" s="0" t="n">
        <v>1950</v>
      </c>
      <c r="L108" s="0" t="n">
        <v>1975</v>
      </c>
      <c r="W108" s="0" t="n">
        <v>18</v>
      </c>
      <c r="Y108" s="0" t="n">
        <v>4</v>
      </c>
      <c r="AA108" s="3" t="str">
        <f aca="false">IF(AND(W108&gt;0,Z108&gt;0),(Z108/((W108+X108)*10)),"")</f>
        <v/>
      </c>
      <c r="AB108" s="0" t="n">
        <v>80</v>
      </c>
      <c r="AC108" s="0" t="n">
        <f aca="false">ROUND(AB108*1.6, 0)</f>
        <v>128</v>
      </c>
      <c r="AF108" s="0" t="n">
        <v>11.2</v>
      </c>
      <c r="AG108" s="0" t="n">
        <v>11.2</v>
      </c>
      <c r="AJ108" s="4" t="n">
        <v>45</v>
      </c>
      <c r="AK108" s="0" t="str">
        <f aca="false">CONCATENATE(VLOOKUP(AL108, 'Voxel Sizes'!$A$2:$B$18,2,FALSE()),"x",INT(AH108*15), "x", INT(AI108*15))</f>
        <v>120x0x0</v>
      </c>
      <c r="AL108" s="0" t="n">
        <f aca="false">ROUND(15*((AG108*10)/256),0)</f>
        <v>7</v>
      </c>
      <c r="AN108" s="0" t="str">
        <f aca="false">CONCATENATE(VLOOKUP(AL108,Constants!$A$2:$C$16,IF(AM108&lt;&gt;"", 3, 2), FALSE()),IF(AM108&lt;&gt;"",CONCATENATE(",",VLOOKUP(AM108,$B:$AN,39,FALSE())),""))</f>
        <v>2,3,2</v>
      </c>
      <c r="AX108" s="0" t="n">
        <v>30</v>
      </c>
      <c r="AY108" s="16" t="n">
        <f aca="false">IF(L108&lt;&gt;"",MAX(16,(L108-J108)+8),"")</f>
        <v>33</v>
      </c>
      <c r="AZ108" s="0" t="n">
        <v>25</v>
      </c>
      <c r="BA108" s="0" t="n">
        <v>9</v>
      </c>
      <c r="BB108" s="0" t="n">
        <f aca="false">MIN(AB108/150, 1)*30</f>
        <v>16</v>
      </c>
      <c r="BC108" s="0" t="n">
        <f aca="false">MIN(N108/4000, 1)*20</f>
        <v>0</v>
      </c>
      <c r="BD108" s="0" t="n">
        <f aca="false">MIN(Z108/400,1)*20</f>
        <v>0</v>
      </c>
      <c r="BE108" s="3" t="n">
        <f aca="false">1-(MAX(J108-1900, 0)/750)</f>
        <v>0.933333333333333</v>
      </c>
      <c r="BF108" s="0" t="n">
        <f aca="false">((MAX($M108,1)*MIN($AJ108/300,1)))*IF(G108="Wagon",50,10)</f>
        <v>7.5</v>
      </c>
      <c r="BG108" s="0" t="n">
        <f aca="false">VLOOKUP($H108,Constants!$I:$K, 2, FALSE())</f>
        <v>1</v>
      </c>
      <c r="BH108" s="0" t="n">
        <f aca="false">VLOOKUP($H108,Constants!$I:$K, 3, FALSE())*IF(AND(G108="multiple_unit",AB108&lt;110),0.75,1)</f>
        <v>0.45</v>
      </c>
      <c r="BI108" s="0" t="n">
        <f aca="false">INT(POWER(((Constants!$G$2+$BB108+$BC108+$BD108+$BF108)*$BE108)*$BH108, 1.05))+$BA108</f>
        <v>22</v>
      </c>
      <c r="BJ108" s="0" t="n">
        <f aca="false">INT(POWER((((Constants!$G$1+$BB108+$BC108+$BD108+$BF108)*($BE108))*$BG108),IF($G108="wagon",1,1.2)))+$AZ108</f>
        <v>60</v>
      </c>
      <c r="BK108" s="17" t="n">
        <f aca="false">BI108*IF($G108="wagon",62.5,781.25)</f>
        <v>1375</v>
      </c>
      <c r="BL108" s="17" t="n">
        <f aca="false">BJ108*IF($G108="wagon",2.73,81.25)</f>
        <v>163.8</v>
      </c>
      <c r="BV108" s="0" t="n">
        <v>1</v>
      </c>
      <c r="BW108" s="0" t="n">
        <v>185</v>
      </c>
      <c r="BY108" s="0" t="s">
        <v>219</v>
      </c>
      <c r="BZ108" s="0" t="s">
        <v>220</v>
      </c>
      <c r="CA108" s="0" t="str">
        <f aca="false">VLOOKUP(J108,Eras!$A$2:$C$10, 2, TRUE())</f>
        <v>ebr</v>
      </c>
      <c r="CB108" s="0" t="s">
        <v>221</v>
      </c>
      <c r="CC108" s="0" t="str">
        <f aca="false">CONCATENATE(CA108,"_",CB108)</f>
        <v>ebr_Mail Carriage</v>
      </c>
      <c r="CD108" s="0" t="str">
        <f aca="false">_xlfn.CONCAT(H108, "_",I108)</f>
        <v>wagon_RAIL</v>
      </c>
      <c r="CE108" s="6" t="str">
        <f aca="false" t="array" ref="CE108:CE108">_xlfn.CONCAT("{BLACK}Length: {GOLD}", TEXT(ROUNDUP(IF(AQ108&lt;&gt;"",SUM(VALUE(_xlfn.TEXTSPLIT(AQ108, ","))), SUM(VALUE(_xlfn.TEXTSPLIT(AN108, ",")))*IF(M108, M108, 1))/16, 1), "#,##0.0"), " tiles{}")</f>
        <v>{BLACK}Length: {GOLD}0.5 tiles{}</v>
      </c>
      <c r="CF108" s="0" t="str">
        <f aca="false">VLOOKUP($CD108, Constants!$M:$N, 2, FALSE())</f>
        <v/>
      </c>
      <c r="CG108" s="0" t="str">
        <f aca="false">IF(M108&gt;1,_xlfn.CONCAT("{BLACK}Cars: {GOLD}", M108),"")</f>
        <v/>
      </c>
      <c r="CH108" s="0" t="s">
        <v>420</v>
      </c>
      <c r="CI108" s="0" t="str">
        <f aca="false">IF($BU108="!param_no_gameplay_units","{GREEN}Included for gameplay purposes","")</f>
        <v/>
      </c>
      <c r="CJ108" s="0" t="str">
        <f aca="false">IF(BX108="buffet","{YELLOW}25% long distance bonus for consist{}",IF(BZ108="BRAKE","{YELLOW}Speed bonus for slow wagons{}",IF(BW108&gt;190,CONCATENATE("{YELLOW}",INT((BW108-185)/1.85),"% bonus for long distance travel{}"),IF(AND(BW108&lt;180,BW108&lt;&gt;0),CONCATENATE("{YELLOW}",INT((185-BW108)/1.85),"% penalty for long distance travel{}"),""))))</f>
        <v/>
      </c>
      <c r="CK108" s="0" t="str">
        <f aca="false">_xlfn.CONCAT(CF108,IF(CF108&lt;&gt;""," ",""),CG108,IF(OR(CG108&lt;&gt;"",CF108&lt;&gt;""),"{}",""),CE108,CJ108,"{SILVER}",CH108,IF(CI108&lt;&gt;"","{}{}",""),CI108)</f>
        <v>{BLACK}Length: {GOLD}0.5 tiles{}{SILVER}BR built several of these six-wheeled parcels vans in the early 1950s.</v>
      </c>
    </row>
    <row r="109" customFormat="false" ht="14.25" hidden="false" customHeight="false" outlineLevel="0" collapsed="false">
      <c r="A109" s="0" t="s">
        <v>421</v>
      </c>
      <c r="B109" s="15" t="s">
        <v>422</v>
      </c>
      <c r="C109" s="0" t="n">
        <v>94</v>
      </c>
      <c r="E109" s="0" t="n">
        <v>1085</v>
      </c>
      <c r="F109" s="0" t="s">
        <v>143</v>
      </c>
      <c r="G109" s="0" t="s">
        <v>144</v>
      </c>
      <c r="H109" s="0" t="s">
        <v>423</v>
      </c>
      <c r="I109" s="0" t="s">
        <v>146</v>
      </c>
      <c r="J109" s="0" t="n">
        <v>1700</v>
      </c>
      <c r="L109" s="0" t="n">
        <v>1860</v>
      </c>
      <c r="W109" s="0" t="n">
        <v>5</v>
      </c>
      <c r="AA109" s="3" t="str">
        <f aca="false">IF(AND(W109&gt;0,Z109&gt;0),(Z109/((W109+X109)*10)),"")</f>
        <v/>
      </c>
      <c r="AB109" s="0" t="n">
        <v>39</v>
      </c>
      <c r="AC109" s="0" t="n">
        <f aca="false">ROUND(AB109*1.6, 0)</f>
        <v>62</v>
      </c>
      <c r="AF109" s="0" t="n">
        <v>6</v>
      </c>
      <c r="AG109" s="0" t="n">
        <v>6</v>
      </c>
      <c r="AJ109" s="4" t="n">
        <v>0</v>
      </c>
      <c r="AK109" s="0" t="str">
        <f aca="false">CONCATENATE(VLOOKUP(AL109, 'Voxel Sizes'!$A$2:$B$18,2,FALSE()),"x",INT(AH109*15), "x", INT(AI109*15))</f>
        <v>60x0x0</v>
      </c>
      <c r="AL109" s="0" t="n">
        <f aca="false">ROUND(15*((AG109*10)/256),0)</f>
        <v>4</v>
      </c>
      <c r="AN109" s="0" t="str">
        <f aca="false">CONCATENATE(VLOOKUP(AL109,Constants!$A$2:$C$16,IF(AM109&lt;&gt;"", 3, 2), FALSE()),IF(AM109&lt;&gt;"",CONCATENATE(",",VLOOKUP(AM109,$B:$AN,39,FALSE())),""))</f>
        <v>1,2,1</v>
      </c>
      <c r="AX109" s="0" t="n">
        <v>30</v>
      </c>
      <c r="AY109" s="16" t="n">
        <f aca="false">IF(L109&lt;&gt;"",MAX(16,(L109-J109)+8),"")</f>
        <v>168</v>
      </c>
      <c r="BB109" s="0" t="n">
        <f aca="false">MIN(AB109/150, 1)*30</f>
        <v>7.8</v>
      </c>
      <c r="BC109" s="0" t="n">
        <f aca="false">MIN(N109/4000, 1)*20</f>
        <v>0</v>
      </c>
      <c r="BD109" s="0" t="n">
        <f aca="false">MIN(Z109/400,1)*20</f>
        <v>0</v>
      </c>
      <c r="BE109" s="3" t="n">
        <f aca="false">1-(MAX(J109-1900, 0)/750)</f>
        <v>1</v>
      </c>
      <c r="BF109" s="0" t="n">
        <f aca="false">((MAX($M109,1)*MIN($AJ109/300,1)))*IF(G109="Wagon",50,10)</f>
        <v>0</v>
      </c>
      <c r="BG109" s="0" t="n">
        <f aca="false">VLOOKUP($H109,Constants!$I:$K, 2, FALSE())</f>
        <v>1</v>
      </c>
      <c r="BH109" s="0" t="n">
        <f aca="false">VLOOKUP($H109,Constants!$I:$K, 3, FALSE())*IF(AND(G109="multiple_unit",AB109&lt;110),0.75,1)</f>
        <v>0.4</v>
      </c>
      <c r="BI109" s="0" t="n">
        <f aca="false">INT(POWER(((Constants!$G$2+$BB109+$BC109+$BD109+$BF109)*$BE109)*$BH109, 1.05))+$BA109</f>
        <v>5</v>
      </c>
      <c r="BJ109" s="0" t="n">
        <f aca="false">INT(POWER((((Constants!$G$1+$BB109+$BC109+$BD109+$BF109)*($BE109))*$BG109),IF($G109="wagon",1,1.2)))+$AZ109</f>
        <v>22</v>
      </c>
      <c r="BK109" s="17" t="n">
        <f aca="false">BI109*IF($G109="wagon",62.5,781.25)</f>
        <v>312.5</v>
      </c>
      <c r="BL109" s="17" t="n">
        <f aca="false">BJ109*IF($G109="wagon",2.73,81.25)</f>
        <v>60.06</v>
      </c>
      <c r="BV109" s="0" t="n">
        <v>7</v>
      </c>
      <c r="BY109" s="0" t="s">
        <v>424</v>
      </c>
      <c r="BZ109" s="0" t="s">
        <v>425</v>
      </c>
      <c r="CA109" s="0" t="str">
        <f aca="false">VLOOKUP(J109,Eras!$A$2:$C$10, 2, TRUE())</f>
        <v>early</v>
      </c>
      <c r="CB109" s="0" t="s">
        <v>303</v>
      </c>
      <c r="CC109" s="0" t="str">
        <f aca="false">CONCATENATE(CA109,"_",CB109)</f>
        <v>early_Extra</v>
      </c>
      <c r="CD109" s="0" t="str">
        <f aca="false">_xlfn.CONCAT(H109, "_",I109)</f>
        <v>brake_PLATEWAY</v>
      </c>
      <c r="CE109" s="6" t="str">
        <f aca="false" t="array" ref="CE109:CE109">_xlfn.CONCAT("{BLACK}Length: {GOLD}", TEXT(ROUNDUP(IF(AQ109&lt;&gt;"",SUM(VALUE(_xlfn.TEXTSPLIT(AQ109, ","))), SUM(VALUE(_xlfn.TEXTSPLIT(AN109, ",")))*IF(M109, M109, 1))/16, 1), "#,##0.0"), " tiles{}")</f>
        <v>{BLACK}Length: {GOLD}0.3 tiles{}</v>
      </c>
      <c r="CF109" s="0" t="str">
        <f aca="false">VLOOKUP($CD109, Constants!$M:$N, 2, FALSE())</f>
        <v/>
      </c>
      <c r="CG109" s="0" t="str">
        <f aca="false">IF(M109&gt;1,_xlfn.CONCAT("{BLACK}Cars: {GOLD}", M109),"")</f>
        <v/>
      </c>
      <c r="CH109" s="0" t="s">
        <v>426</v>
      </c>
      <c r="CI109" s="0" t="str">
        <f aca="false">IF($BU109="!param_no_gameplay_units","{GREEN}Included for gameplay purposes","")</f>
        <v/>
      </c>
      <c r="CJ109" s="0" t="str">
        <f aca="false">IF(BX109="buffet","{YELLOW}25% long distance bonus for consist{}",IF(BZ109="BRAKE","{YELLOW}Speed bonus for slow wagons{}",IF(BW109&gt;190,CONCATENATE("{YELLOW}",INT((BW109-185)/1.85),"% bonus for long distance travel{}"),IF(AND(BW109&lt;180,BW109&lt;&gt;0),CONCATENATE("{YELLOW}",INT((185-BW109)/1.85),"% penalty for long distance travel{}"),""))))</f>
        <v>{YELLOW}Speed bonus for slow wagons{}</v>
      </c>
      <c r="CK109" s="0" t="str">
        <f aca="false">_xlfn.CONCAT(CF109,IF(CF109&lt;&gt;""," ",""),CG109,IF(OR(CG109&lt;&gt;"",CF109&lt;&gt;""),"{}",""),CE109,CJ109,"{SILVER}",CH109,IF(CI109&lt;&gt;"","{}{}",""),CI109)</f>
        <v>{BLACK}Length: {GOLD}0.3 tiles{}{YELLOW}Speed bonus for slow wagons{}{SILVER}Early brake wagons were little more than open wagons with basic friction brakes added.</v>
      </c>
    </row>
    <row r="110" customFormat="false" ht="14.25" hidden="false" customHeight="false" outlineLevel="0" collapsed="false">
      <c r="A110" s="0" t="s">
        <v>427</v>
      </c>
      <c r="B110" s="15" t="s">
        <v>428</v>
      </c>
      <c r="C110" s="0" t="n">
        <v>95</v>
      </c>
      <c r="E110" s="0" t="n">
        <v>1086</v>
      </c>
      <c r="F110" s="0" t="s">
        <v>143</v>
      </c>
      <c r="G110" s="0" t="s">
        <v>144</v>
      </c>
      <c r="H110" s="0" t="s">
        <v>423</v>
      </c>
      <c r="I110" s="0" t="s">
        <v>92</v>
      </c>
      <c r="J110" s="0" t="n">
        <v>1850</v>
      </c>
      <c r="L110" s="0" t="n">
        <v>1910</v>
      </c>
      <c r="W110" s="0" t="n">
        <v>10</v>
      </c>
      <c r="AA110" s="3" t="str">
        <f aca="false">IF(AND(W110&gt;0,Z110&gt;0),(Z110/((W110+X110)*10)),"")</f>
        <v/>
      </c>
      <c r="AB110" s="0" t="n">
        <v>50</v>
      </c>
      <c r="AC110" s="0" t="n">
        <f aca="false">ROUND(AB110*1.6, 0)</f>
        <v>80</v>
      </c>
      <c r="AF110" s="0" t="n">
        <v>6</v>
      </c>
      <c r="AG110" s="0" t="n">
        <v>6</v>
      </c>
      <c r="AJ110" s="4" t="n">
        <v>0</v>
      </c>
      <c r="AK110" s="0" t="str">
        <f aca="false">CONCATENATE(VLOOKUP(AL110, 'Voxel Sizes'!$A$2:$B$18,2,FALSE()),"x",INT(AH110*15), "x", INT(AI110*15))</f>
        <v>60x0x0</v>
      </c>
      <c r="AL110" s="0" t="n">
        <f aca="false">ROUND(15*((AG110*10)/256),0)</f>
        <v>4</v>
      </c>
      <c r="AN110" s="0" t="str">
        <f aca="false">CONCATENATE(VLOOKUP(AL110,Constants!$A$2:$C$16,IF(AM110&lt;&gt;"", 3, 2), FALSE()),IF(AM110&lt;&gt;"",CONCATENATE(",",VLOOKUP(AM110,$B:$AN,39,FALSE())),""))</f>
        <v>1,2,1</v>
      </c>
      <c r="AX110" s="0" t="n">
        <v>30</v>
      </c>
      <c r="AY110" s="16" t="n">
        <f aca="false">IF(L110&lt;&gt;"",MAX(16,(L110-J110)+8),"")</f>
        <v>68</v>
      </c>
      <c r="BB110" s="0" t="n">
        <f aca="false">MIN(AB110/150, 1)*30</f>
        <v>10</v>
      </c>
      <c r="BC110" s="0" t="n">
        <f aca="false">MIN(N110/4000, 1)*20</f>
        <v>0</v>
      </c>
      <c r="BD110" s="0" t="n">
        <f aca="false">MIN(Z110/400,1)*20</f>
        <v>0</v>
      </c>
      <c r="BE110" s="3" t="n">
        <f aca="false">1-(MAX(J110-1900, 0)/750)</f>
        <v>1</v>
      </c>
      <c r="BF110" s="0" t="n">
        <f aca="false">((MAX($M110,1)*MIN($AJ110/300,1)))*IF(G110="Wagon",50,10)</f>
        <v>0</v>
      </c>
      <c r="BG110" s="0" t="n">
        <f aca="false">VLOOKUP($H110,Constants!$I:$K, 2, FALSE())</f>
        <v>1</v>
      </c>
      <c r="BH110" s="0" t="n">
        <f aca="false">VLOOKUP($H110,Constants!$I:$K, 3, FALSE())*IF(AND(G110="multiple_unit",AB110&lt;110),0.75,1)</f>
        <v>0.4</v>
      </c>
      <c r="BI110" s="0" t="n">
        <f aca="false">INT(POWER(((Constants!$G$2+$BB110+$BC110+$BD110+$BF110)*$BE110)*$BH110, 1.05))+$BA110</f>
        <v>6</v>
      </c>
      <c r="BJ110" s="0" t="n">
        <f aca="false">INT(POWER((((Constants!$G$1+$BB110+$BC110+$BD110+$BF110)*($BE110))*$BG110),IF($G110="wagon",1,1.2)))+$AZ110</f>
        <v>25</v>
      </c>
      <c r="BK110" s="17" t="n">
        <f aca="false">BI110*IF($G110="wagon",62.5,781.25)</f>
        <v>375</v>
      </c>
      <c r="BL110" s="17" t="n">
        <f aca="false">BJ110*IF($G110="wagon",2.73,81.25)</f>
        <v>68.25</v>
      </c>
      <c r="BV110" s="0" t="n">
        <v>7</v>
      </c>
      <c r="BY110" s="0" t="s">
        <v>424</v>
      </c>
      <c r="BZ110" s="0" t="s">
        <v>425</v>
      </c>
      <c r="CA110" s="0" t="str">
        <f aca="false">VLOOKUP(J110,Eras!$A$2:$C$10, 2, TRUE())</f>
        <v>vct</v>
      </c>
      <c r="CB110" s="0" t="s">
        <v>303</v>
      </c>
      <c r="CC110" s="0" t="str">
        <f aca="false">CONCATENATE(CA110,"_",CB110)</f>
        <v>vct_Extra</v>
      </c>
      <c r="CD110" s="0" t="str">
        <f aca="false">_xlfn.CONCAT(H110, "_",I110)</f>
        <v>brake_RAIL</v>
      </c>
      <c r="CE110" s="6" t="str">
        <f aca="false" t="array" ref="CE110:CE110">_xlfn.CONCAT("{BLACK}Length: {GOLD}", TEXT(ROUNDUP(IF(AQ110&lt;&gt;"",SUM(VALUE(_xlfn.TEXTSPLIT(AQ110, ","))), SUM(VALUE(_xlfn.TEXTSPLIT(AN110, ",")))*IF(M110, M110, 1))/16, 1), "#,##0.0"), " tiles{}")</f>
        <v>{BLACK}Length: {GOLD}0.3 tiles{}</v>
      </c>
      <c r="CF110" s="0" t="str">
        <f aca="false">VLOOKUP($CD110, Constants!$M:$N, 2, FALSE())</f>
        <v/>
      </c>
      <c r="CG110" s="0" t="str">
        <f aca="false">IF(M110&gt;1,_xlfn.CONCAT("{BLACK}Cars: {GOLD}", M110),"")</f>
        <v/>
      </c>
      <c r="CH110" s="0" t="s">
        <v>429</v>
      </c>
      <c r="CI110" s="0" t="str">
        <f aca="false">IF($BU110="!param_no_gameplay_units","{GREEN}Included for gameplay purposes","")</f>
        <v/>
      </c>
      <c r="CJ110" s="0" t="str">
        <f aca="false">IF(BX110="buffet","{YELLOW}25% long distance bonus for consist{}",IF(BZ110="BRAKE","{YELLOW}Speed bonus for slow wagons{}",IF(BW110&gt;190,CONCATENATE("{YELLOW}",INT((BW110-185)/1.85),"% bonus for long distance travel{}"),IF(AND(BW110&lt;180,BW110&lt;&gt;0),CONCATENATE("{YELLOW}",INT((185-BW110)/1.85),"% penalty for long distance travel{}"),""))))</f>
        <v>{YELLOW}Speed bonus for slow wagons{}</v>
      </c>
      <c r="CK110" s="0" t="str">
        <f aca="false">_xlfn.CONCAT(CF110,IF(CF110&lt;&gt;""," ",""),CG110,IF(OR(CG110&lt;&gt;"",CF110&lt;&gt;""),"{}",""),CE110,CJ110,"{SILVER}",CH110,IF(CI110&lt;&gt;"","{}{}",""),CI110)</f>
        <v>{BLACK}Length: {GOLD}0.3 tiles{}{YELLOW}Speed bonus for slow wagons{}{SILVER}Brake vans gave extra braking power to allow trains to run at higher speed, and also gave a place for a guard to look after the train from the rear.</v>
      </c>
    </row>
    <row r="111" customFormat="false" ht="14.25" hidden="false" customHeight="false" outlineLevel="0" collapsed="false">
      <c r="A111" s="0" t="s">
        <v>430</v>
      </c>
      <c r="B111" s="15" t="s">
        <v>431</v>
      </c>
      <c r="C111" s="0" t="n">
        <v>96</v>
      </c>
      <c r="E111" s="0" t="n">
        <v>1087</v>
      </c>
      <c r="F111" s="0" t="s">
        <v>143</v>
      </c>
      <c r="G111" s="0" t="s">
        <v>144</v>
      </c>
      <c r="H111" s="0" t="s">
        <v>423</v>
      </c>
      <c r="I111" s="0" t="s">
        <v>92</v>
      </c>
      <c r="J111" s="0" t="n">
        <v>1894</v>
      </c>
      <c r="L111" s="0" t="n">
        <v>1970</v>
      </c>
      <c r="W111" s="0" t="n">
        <v>20</v>
      </c>
      <c r="AA111" s="3" t="str">
        <f aca="false">IF(AND(W111&gt;0,Z111&gt;0),(Z111/((W111+X111)*10)),"")</f>
        <v/>
      </c>
      <c r="AB111" s="0" t="n">
        <v>70</v>
      </c>
      <c r="AC111" s="0" t="n">
        <f aca="false">ROUND(AB111*1.6, 0)</f>
        <v>112</v>
      </c>
      <c r="AF111" s="0" t="n">
        <v>7.3</v>
      </c>
      <c r="AG111" s="0" t="n">
        <v>11</v>
      </c>
      <c r="AJ111" s="4" t="n">
        <v>0</v>
      </c>
      <c r="AK111" s="0" t="str">
        <f aca="false">CONCATENATE(VLOOKUP(AL111, 'Voxel Sizes'!$A$2:$B$18,2,FALSE()),"x",INT(AH111*15), "x", INT(AI111*15))</f>
        <v>102x0x0</v>
      </c>
      <c r="AL111" s="0" t="n">
        <f aca="false">ROUND(15*((AG111*10)/256),0)</f>
        <v>6</v>
      </c>
      <c r="AN111" s="0" t="str">
        <f aca="false">CONCATENATE(VLOOKUP(AL111,Constants!$A$2:$C$16,IF(AM111&lt;&gt;"", 3, 2), FALSE()),IF(AM111&lt;&gt;"",CONCATENATE(",",VLOOKUP(AM111,$B:$AN,39,FALSE())),""))</f>
        <v>2,2,2</v>
      </c>
      <c r="AX111" s="0" t="n">
        <v>30</v>
      </c>
      <c r="AY111" s="16" t="n">
        <f aca="false">IF(L111&lt;&gt;"",MAX(16,(L111-J111)+8),"")</f>
        <v>84</v>
      </c>
      <c r="BB111" s="0" t="n">
        <f aca="false">MIN(AB111/150, 1)*30</f>
        <v>14</v>
      </c>
      <c r="BC111" s="0" t="n">
        <f aca="false">MIN(N111/4000, 1)*20</f>
        <v>0</v>
      </c>
      <c r="BD111" s="0" t="n">
        <f aca="false">MIN(Z111/400,1)*20</f>
        <v>0</v>
      </c>
      <c r="BE111" s="3" t="n">
        <f aca="false">1-(MAX(J111-1900, 0)/750)</f>
        <v>1</v>
      </c>
      <c r="BF111" s="0" t="n">
        <f aca="false">((MAX($M111,1)*MIN($AJ111/300,1)))*IF(G111="Wagon",50,10)</f>
        <v>0</v>
      </c>
      <c r="BG111" s="0" t="n">
        <f aca="false">VLOOKUP($H111,Constants!$I:$K, 2, FALSE())</f>
        <v>1</v>
      </c>
      <c r="BH111" s="0" t="n">
        <f aca="false">VLOOKUP($H111,Constants!$I:$K, 3, FALSE())*IF(AND(G111="multiple_unit",AB111&lt;110),0.75,1)</f>
        <v>0.4</v>
      </c>
      <c r="BI111" s="0" t="n">
        <f aca="false">INT(POWER(((Constants!$G$2+$BB111+$BC111+$BD111+$BF111)*$BE111)*$BH111, 1.05))+$BA111</f>
        <v>8</v>
      </c>
      <c r="BJ111" s="0" t="n">
        <f aca="false">INT(POWER((((Constants!$G$1+$BB111+$BC111+$BD111+$BF111)*($BE111))*$BG111),IF($G111="wagon",1,1.2)))+$AZ111</f>
        <v>29</v>
      </c>
      <c r="BK111" s="17" t="n">
        <f aca="false">BI111*IF($G111="wagon",62.5,781.25)</f>
        <v>500</v>
      </c>
      <c r="BL111" s="17" t="n">
        <f aca="false">BJ111*IF($G111="wagon",2.73,81.25)</f>
        <v>79.17</v>
      </c>
      <c r="BV111" s="0" t="n">
        <v>7</v>
      </c>
      <c r="BY111" s="0" t="s">
        <v>424</v>
      </c>
      <c r="BZ111" s="0" t="s">
        <v>425</v>
      </c>
      <c r="CA111" s="0" t="str">
        <f aca="false">VLOOKUP(J111,Eras!$A$2:$C$10, 2, TRUE())</f>
        <v>vct</v>
      </c>
      <c r="CB111" s="0" t="s">
        <v>303</v>
      </c>
      <c r="CC111" s="0" t="str">
        <f aca="false">CONCATENATE(CA111,"_",CB111)</f>
        <v>vct_Extra</v>
      </c>
      <c r="CD111" s="0" t="str">
        <f aca="false">_xlfn.CONCAT(H111, "_",I111)</f>
        <v>brake_RAIL</v>
      </c>
      <c r="CE111" s="6" t="str">
        <f aca="false" t="array" ref="CE111:CE111">_xlfn.CONCAT("{BLACK}Length: {GOLD}", TEXT(ROUNDUP(IF(AQ111&lt;&gt;"",SUM(VALUE(_xlfn.TEXTSPLIT(AQ111, ","))), SUM(VALUE(_xlfn.TEXTSPLIT(AN111, ",")))*IF(M111, M111, 1))/16, 1), "#,##0.0"), " tiles{}")</f>
        <v>{BLACK}Length: {GOLD}0.4 tiles{}</v>
      </c>
      <c r="CF111" s="0" t="str">
        <f aca="false">VLOOKUP($CD111, Constants!$M:$N, 2, FALSE())</f>
        <v/>
      </c>
      <c r="CG111" s="0" t="str">
        <f aca="false">IF(M111&gt;1,_xlfn.CONCAT("{BLACK}Cars: {GOLD}", M111),"")</f>
        <v/>
      </c>
      <c r="CH111" s="0" t="s">
        <v>432</v>
      </c>
      <c r="CI111" s="0" t="str">
        <f aca="false">IF($BU111="!param_no_gameplay_units","{GREEN}Included for gameplay purposes","")</f>
        <v/>
      </c>
      <c r="CJ111" s="0" t="str">
        <f aca="false">IF(BX111="buffet","{YELLOW}25% long distance bonus for consist{}",IF(BZ111="BRAKE","{YELLOW}Speed bonus for slow wagons{}",IF(BW111&gt;190,CONCATENATE("{YELLOW}",INT((BW111-185)/1.85),"% bonus for long distance travel{}"),IF(AND(BW111&lt;180,BW111&lt;&gt;0),CONCATENATE("{YELLOW}",INT((185-BW111)/1.85),"% penalty for long distance travel{}"),""))))</f>
        <v>{YELLOW}Speed bonus for slow wagons{}</v>
      </c>
      <c r="CK111" s="0" t="str">
        <f aca="false">_xlfn.CONCAT(CF111,IF(CF111&lt;&gt;""," ",""),CG111,IF(OR(CG111&lt;&gt;"",CF111&lt;&gt;""),"{}",""),CE111,CJ111,"{SILVER}",CH111,IF(CI111&lt;&gt;"","{}{}",""),CI111)</f>
        <v>{BLACK}Length: {GOLD}0.4 tiles{}{YELLOW}Speed bonus for slow wagons{}{SILVER}The Great Western Railway standardised brake van designs from 1894. The distinctive design includes an open "veranda" at the back of the vehicle.</v>
      </c>
    </row>
    <row r="112" customFormat="false" ht="14.25" hidden="false" customHeight="false" outlineLevel="0" collapsed="false">
      <c r="A112" s="0" t="s">
        <v>433</v>
      </c>
      <c r="B112" s="15" t="s">
        <v>434</v>
      </c>
      <c r="C112" s="0" t="n">
        <v>97</v>
      </c>
      <c r="E112" s="0" t="n">
        <v>1088</v>
      </c>
      <c r="F112" s="0" t="s">
        <v>143</v>
      </c>
      <c r="G112" s="0" t="s">
        <v>144</v>
      </c>
      <c r="H112" s="0" t="s">
        <v>423</v>
      </c>
      <c r="I112" s="0" t="s">
        <v>92</v>
      </c>
      <c r="J112" s="0" t="n">
        <v>1941</v>
      </c>
      <c r="L112" s="0" t="n">
        <v>1970</v>
      </c>
      <c r="W112" s="0" t="n">
        <v>20</v>
      </c>
      <c r="AA112" s="3" t="str">
        <f aca="false">IF(AND(W112&gt;0,Z112&gt;0),(Z112/((W112+X112)*10)),"")</f>
        <v/>
      </c>
      <c r="AB112" s="0" t="n">
        <v>70</v>
      </c>
      <c r="AC112" s="0" t="n">
        <f aca="false">ROUND(AB112*1.6, 0)</f>
        <v>112</v>
      </c>
      <c r="AF112" s="0" t="n">
        <v>7.3</v>
      </c>
      <c r="AG112" s="0" t="n">
        <v>11</v>
      </c>
      <c r="AJ112" s="4" t="n">
        <v>0</v>
      </c>
      <c r="AK112" s="0" t="str">
        <f aca="false">CONCATENATE(VLOOKUP(AL112, 'Voxel Sizes'!$A$2:$B$18,2,FALSE()),"x",INT(AH112*15), "x", INT(AI112*15))</f>
        <v>102x0x0</v>
      </c>
      <c r="AL112" s="0" t="n">
        <f aca="false">ROUND(15*((AG112*10)/256),0)</f>
        <v>6</v>
      </c>
      <c r="AN112" s="0" t="str">
        <f aca="false">CONCATENATE(VLOOKUP(AL112,Constants!$A$2:$C$16,IF(AM112&lt;&gt;"", 3, 2), FALSE()),IF(AM112&lt;&gt;"",CONCATENATE(",",VLOOKUP(AM112,$B:$AN,39,FALSE())),""))</f>
        <v>2,2,2</v>
      </c>
      <c r="AX112" s="0" t="n">
        <v>30</v>
      </c>
      <c r="AY112" s="16" t="n">
        <f aca="false">IF(L112&lt;&gt;"",MAX(16,(L112-J112)+8),"")</f>
        <v>37</v>
      </c>
      <c r="BB112" s="0" t="n">
        <f aca="false">MIN(AB112/150, 1)*30</f>
        <v>14</v>
      </c>
      <c r="BC112" s="0" t="n">
        <f aca="false">MIN(N112/4000, 1)*20</f>
        <v>0</v>
      </c>
      <c r="BD112" s="0" t="n">
        <f aca="false">MIN(Z112/400,1)*20</f>
        <v>0</v>
      </c>
      <c r="BE112" s="3" t="n">
        <f aca="false">1-(MAX(J112-1900, 0)/750)</f>
        <v>0.945333333333333</v>
      </c>
      <c r="BF112" s="0" t="n">
        <f aca="false">((MAX($M112,1)*MIN($AJ112/300,1)))*IF(G112="Wagon",50,10)</f>
        <v>0</v>
      </c>
      <c r="BG112" s="0" t="n">
        <f aca="false">VLOOKUP($H112,Constants!$I:$K, 2, FALSE())</f>
        <v>1</v>
      </c>
      <c r="BH112" s="0" t="n">
        <f aca="false">VLOOKUP($H112,Constants!$I:$K, 3, FALSE())*IF(AND(G112="multiple_unit",AB112&lt;110),0.75,1)</f>
        <v>0.4</v>
      </c>
      <c r="BI112" s="0" t="n">
        <f aca="false">INT(POWER(((Constants!$G$2+$BB112+$BC112+$BD112+$BF112)*$BE112)*$BH112, 1.05))+$BA112</f>
        <v>7</v>
      </c>
      <c r="BJ112" s="0" t="n">
        <f aca="false">INT(POWER((((Constants!$G$1+$BB112+$BC112+$BD112+$BF112)*($BE112))*$BG112),IF($G112="wagon",1,1.2)))+$AZ112</f>
        <v>27</v>
      </c>
      <c r="BK112" s="17" t="n">
        <f aca="false">BI112*IF($G112="wagon",62.5,781.25)</f>
        <v>437.5</v>
      </c>
      <c r="BL112" s="17" t="n">
        <f aca="false">BJ112*IF($G112="wagon",2.73,81.25)</f>
        <v>73.71</v>
      </c>
      <c r="BV112" s="0" t="n">
        <v>8</v>
      </c>
      <c r="BY112" s="0" t="s">
        <v>424</v>
      </c>
      <c r="BZ112" s="0" t="s">
        <v>425</v>
      </c>
      <c r="CA112" s="0" t="str">
        <f aca="false">VLOOKUP(J112,Eras!$A$2:$C$10, 2, TRUE())</f>
        <v>big4</v>
      </c>
      <c r="CB112" s="0" t="s">
        <v>303</v>
      </c>
      <c r="CC112" s="0" t="str">
        <f aca="false">CONCATENATE(CA112,"_",CB112)</f>
        <v>big4_Extra</v>
      </c>
      <c r="CD112" s="0" t="str">
        <f aca="false">_xlfn.CONCAT(H112, "_",I112)</f>
        <v>brake_RAIL</v>
      </c>
      <c r="CE112" s="6" t="str">
        <f aca="false" t="array" ref="CE112:CE112">_xlfn.CONCAT("{BLACK}Length: {GOLD}", TEXT(ROUNDUP(IF(AQ112&lt;&gt;"",SUM(VALUE(_xlfn.TEXTSPLIT(AQ112, ","))), SUM(VALUE(_xlfn.TEXTSPLIT(AN112, ",")))*IF(M112, M112, 1))/16, 1), "#,##0.0"), " tiles{}")</f>
        <v>{BLACK}Length: {GOLD}0.4 tiles{}</v>
      </c>
      <c r="CF112" s="0" t="str">
        <f aca="false">VLOOKUP($CD112, Constants!$M:$N, 2, FALSE())</f>
        <v/>
      </c>
      <c r="CG112" s="0" t="str">
        <f aca="false">IF(M112&gt;1,_xlfn.CONCAT("{BLACK}Cars: {GOLD}", M112),"")</f>
        <v/>
      </c>
      <c r="CH112" s="0" t="s">
        <v>435</v>
      </c>
      <c r="CI112" s="0" t="str">
        <f aca="false">IF($BU112="!param_no_gameplay_units","{GREEN}Included for gameplay purposes","")</f>
        <v/>
      </c>
      <c r="CJ112" s="0" t="str">
        <f aca="false">IF(BX112="buffet","{YELLOW}25% long distance bonus for consist{}",IF(BZ112="BRAKE","{YELLOW}Speed bonus for slow wagons{}",IF(BW112&gt;190,CONCATENATE("{YELLOW}",INT((BW112-185)/1.85),"% bonus for long distance travel{}"),IF(AND(BW112&lt;180,BW112&lt;&gt;0),CONCATENATE("{YELLOW}",INT((185-BW112)/1.85),"% penalty for long distance travel{}"),""))))</f>
        <v>{YELLOW}Speed bonus for slow wagons{}</v>
      </c>
      <c r="CK112" s="0" t="str">
        <f aca="false">_xlfn.CONCAT(CF112,IF(CF112&lt;&gt;""," ",""),CG112,IF(OR(CG112&lt;&gt;"",CF112&lt;&gt;""),"{}",""),CE112,CJ112,"{SILVER}",CH112,IF(CI112&lt;&gt;"","{}{}",""),CI112)</f>
        <v>{BLACK}Length: {GOLD}0.4 tiles{}{YELLOW}Speed bonus for slow wagons{}{SILVER}BR inherited a large number of brake vans from the Big Four, but quickly set about introducing their own standard model based on 1940s LNER practice.</v>
      </c>
    </row>
    <row r="113" customFormat="false" ht="14.25" hidden="false" customHeight="false" outlineLevel="0" collapsed="false">
      <c r="A113" s="0" t="s">
        <v>436</v>
      </c>
      <c r="B113" s="15" t="s">
        <v>437</v>
      </c>
      <c r="C113" s="0" t="n">
        <v>98</v>
      </c>
      <c r="E113" s="0" t="n">
        <v>1</v>
      </c>
      <c r="F113" s="0" t="s">
        <v>143</v>
      </c>
      <c r="G113" s="0" t="s">
        <v>438</v>
      </c>
      <c r="H113" s="0" t="s">
        <v>438</v>
      </c>
      <c r="I113" s="0" t="s">
        <v>146</v>
      </c>
      <c r="J113" s="0" t="n">
        <v>1700</v>
      </c>
      <c r="L113" s="0" t="n">
        <v>1870</v>
      </c>
      <c r="N113" s="0" t="n">
        <v>5</v>
      </c>
      <c r="T113" s="18"/>
      <c r="W113" s="0" t="n">
        <v>1</v>
      </c>
      <c r="Z113" s="0" t="n">
        <v>3</v>
      </c>
      <c r="AA113" s="3" t="n">
        <f aca="false">IF(AND(W113&gt;0,Z113&gt;0),(Z113/((W113+X113)*10)),"")</f>
        <v>0.3</v>
      </c>
      <c r="AB113" s="0" t="n">
        <v>18</v>
      </c>
      <c r="AC113" s="0" t="n">
        <f aca="false">ROUND(AB113*1.6, 0)</f>
        <v>29</v>
      </c>
      <c r="AG113" s="0" t="n">
        <v>6</v>
      </c>
      <c r="AJ113" s="4" t="n">
        <v>0</v>
      </c>
      <c r="AK113" s="0" t="str">
        <f aca="false">CONCATENATE(VLOOKUP(AL113, 'Voxel Sizes'!$A$2:$B$18,2,FALSE()),"x",INT(AH113*15), "x", INT(AI113*15))</f>
        <v>60x0x0</v>
      </c>
      <c r="AL113" s="0" t="n">
        <f aca="false">ROUND(15*((AG113*10)/256),0)</f>
        <v>4</v>
      </c>
      <c r="AN113" s="0" t="str">
        <f aca="false">CONCATENATE(VLOOKUP(AL113,Constants!$A$2:$C$16,IF(AM113&lt;&gt;"", 3, 2), FALSE()),IF(AM113&lt;&gt;"",CONCATENATE(",",VLOOKUP(AM113,$B:$AN,39,FALSE())),""))</f>
        <v>1,2,1</v>
      </c>
      <c r="AV113" s="0" t="n">
        <v>1</v>
      </c>
      <c r="AX113" s="0" t="n">
        <v>12</v>
      </c>
      <c r="AY113" s="16" t="n">
        <f aca="false">IF(L113&lt;&gt;"",MAX(16,(L113-J113)+8),"")</f>
        <v>178</v>
      </c>
      <c r="AZ113" s="0" t="n">
        <v>-13</v>
      </c>
      <c r="BA113" s="0" t="n">
        <v>-3</v>
      </c>
      <c r="BB113" s="0" t="n">
        <f aca="false">MIN(AB113/150, 1)*30</f>
        <v>3.6</v>
      </c>
      <c r="BC113" s="0" t="n">
        <f aca="false">MIN(N113/4000, 1)*20</f>
        <v>0.025</v>
      </c>
      <c r="BD113" s="0" t="n">
        <f aca="false">MIN(Z113/400,1)*20</f>
        <v>0.15</v>
      </c>
      <c r="BE113" s="3" t="n">
        <f aca="false">1-(MAX(J113-1900, 0)/750)</f>
        <v>1</v>
      </c>
      <c r="BF113" s="0" t="n">
        <f aca="false">((MAX($M113,1)*MIN($AJ113/300,1)))*IF(G113="Wagon",50,10)</f>
        <v>0</v>
      </c>
      <c r="BG113" s="0" t="n">
        <f aca="false">VLOOKUP($H113,Constants!$I:$K, 2, FALSE())</f>
        <v>0.5</v>
      </c>
      <c r="BH113" s="0" t="n">
        <f aca="false">VLOOKUP($H113,Constants!$I:$K, 3, FALSE())*IF(AND(G113="multiple_unit",AB113&lt;110),0.75,1)</f>
        <v>0.5</v>
      </c>
      <c r="BI113" s="0" t="n">
        <f aca="false">INT(POWER(((Constants!$G$2+$BB113+$BC113+$BD113+$BF113)*$BE113)*$BH113, 1.05))+$BA113</f>
        <v>1</v>
      </c>
      <c r="BJ113" s="0" t="n">
        <f aca="false">INT(POWER((((Constants!$G$1+$BB113+$BC113+$BD113+$BF113)*($BE113))*$BG113),IF($G113="wagon",1,1.2)))+$AZ113</f>
        <v>1</v>
      </c>
      <c r="BK113" s="17" t="n">
        <f aca="false">BI113*IF($G113="wagon",62.5,781.25)</f>
        <v>781.25</v>
      </c>
      <c r="BL113" s="17" t="n">
        <f aca="false">BJ113*IF($G113="wagon",2.73,81.25)</f>
        <v>81.25</v>
      </c>
      <c r="BV113" s="0" t="n">
        <v>1</v>
      </c>
      <c r="CA113" s="0" t="str">
        <f aca="false">VLOOKUP(J113,Eras!$A$2:$C$10, 2, TRUE())</f>
        <v>early</v>
      </c>
      <c r="CB113" s="0" t="s">
        <v>439</v>
      </c>
      <c r="CC113" s="0" t="str">
        <f aca="false">CONCATENATE(CA113,"_",CB113)</f>
        <v>early_Mixed Traffic</v>
      </c>
      <c r="CD113" s="0" t="str">
        <f aca="false">_xlfn.CONCAT(H113, "_",I113)</f>
        <v>horses_PLATEWAY</v>
      </c>
      <c r="CE113" s="6" t="str">
        <f aca="false" t="array" ref="CE113:CE113">_xlfn.CONCAT("{BLACK}Length: {GOLD}", TEXT(ROUNDUP(IF(AQ113&lt;&gt;"",SUM(VALUE(_xlfn.TEXTSPLIT(AQ113, ","))), SUM(VALUE(_xlfn.TEXTSPLIT(AN113, ",")))*IF(M113, M113, 1))/16, 1), "#,##0.0"), " tiles{}")</f>
        <v>{BLACK}Length: {GOLD}0.3 tiles{}</v>
      </c>
      <c r="CF113" s="0" t="str">
        <f aca="false">VLOOKUP($CD113, Constants!$M:$N, 2, FALSE())</f>
        <v>{BLACK}Powered by: {GOLD}Grass and hay</v>
      </c>
      <c r="CG113" s="0" t="str">
        <f aca="false">IF(M113&gt;1,_xlfn.CONCAT("{BLACK}Cars: {GOLD}", M113),"")</f>
        <v/>
      </c>
      <c r="CH113" s="0" t="s">
        <v>440</v>
      </c>
      <c r="CI113" s="0" t="str">
        <f aca="false">IF($BU113="!param_no_gameplay_units","{GREEN}Included for gameplay purposes","")</f>
        <v/>
      </c>
      <c r="CJ113" s="0" t="str">
        <f aca="false">IF(BX113="buffet","{YELLOW}25% long distance bonus for consist{}",IF(BZ113="BRAKE","{YELLOW}Speed bonus for slow wagons{}",IF(BW113&gt;190,CONCATENATE("{YELLOW}",INT((BW113-185)/1.85),"% bonus for long distance travel{}"),IF(AND(BW113&lt;180,BW113&lt;&gt;0),CONCATENATE("{YELLOW}",INT((185-BW113)/1.85),"% penalty for long distance travel{}"),""))))</f>
        <v/>
      </c>
      <c r="CK113" s="0" t="str">
        <f aca="false">_xlfn.CONCAT(CF113,IF(CF113&lt;&gt;""," ",""),CG113,IF(OR(CG113&lt;&gt;"",CF113&lt;&gt;""),"{}",""),CE113,CJ113,"{SILVER}",CH113,IF(CI113&lt;&gt;"","{}{}",""),CI113)</f>
        <v>{BLACK}Powered by: {GOLD}Grass and hay {}{BLACK}Length: {GOLD}0.3 tiles{}{SILVER}Most early industrial railways used two sources of power: horses and gravity. Often horses would ride downhill in dandy wagons, to save their energy for pulling the train uphill.</v>
      </c>
    </row>
    <row r="114" customFormat="false" ht="14.25" hidden="false" customHeight="false" outlineLevel="0" collapsed="false">
      <c r="A114" s="0" t="s">
        <v>441</v>
      </c>
      <c r="B114" s="15" t="s">
        <v>438</v>
      </c>
      <c r="C114" s="0" t="n">
        <v>99</v>
      </c>
      <c r="E114" s="0" t="n">
        <v>2</v>
      </c>
      <c r="F114" s="0" t="s">
        <v>143</v>
      </c>
      <c r="G114" s="0" t="s">
        <v>438</v>
      </c>
      <c r="H114" s="0" t="s">
        <v>438</v>
      </c>
      <c r="I114" s="0" t="s">
        <v>146</v>
      </c>
      <c r="J114" s="0" t="n">
        <v>1700</v>
      </c>
      <c r="L114" s="0" t="n">
        <v>1870</v>
      </c>
      <c r="N114" s="0" t="n">
        <v>10</v>
      </c>
      <c r="T114" s="18"/>
      <c r="W114" s="0" t="n">
        <v>2</v>
      </c>
      <c r="Z114" s="0" t="n">
        <v>6</v>
      </c>
      <c r="AA114" s="3" t="n">
        <f aca="false">IF(AND(W114&gt;0,Z114&gt;0),(Z114/((W114+X114)*10)),"")</f>
        <v>0.3</v>
      </c>
      <c r="AB114" s="0" t="n">
        <v>18</v>
      </c>
      <c r="AC114" s="0" t="n">
        <f aca="false">ROUND(AB114*1.6, 0)</f>
        <v>29</v>
      </c>
      <c r="AG114" s="0" t="n">
        <v>6</v>
      </c>
      <c r="AJ114" s="4" t="n">
        <v>0</v>
      </c>
      <c r="AK114" s="0" t="str">
        <f aca="false">CONCATENATE(VLOOKUP(AL114, 'Voxel Sizes'!$A$2:$B$18,2,FALSE()),"x",INT(AH114*15), "x", INT(AI114*15))</f>
        <v>60x0x0</v>
      </c>
      <c r="AL114" s="0" t="n">
        <f aca="false">ROUND(15*((AG114*10)/256),0)</f>
        <v>4</v>
      </c>
      <c r="AN114" s="0" t="str">
        <f aca="false">CONCATENATE(VLOOKUP(AL114,Constants!$A$2:$C$16,IF(AM114&lt;&gt;"", 3, 2), FALSE()),IF(AM114&lt;&gt;"",CONCATENATE(",",VLOOKUP(AM114,$B:$AN,39,FALSE())),""))</f>
        <v>1,2,1</v>
      </c>
      <c r="AV114" s="0" t="n">
        <v>1</v>
      </c>
      <c r="AX114" s="0" t="n">
        <v>12</v>
      </c>
      <c r="AY114" s="16" t="n">
        <f aca="false">IF(L114&lt;&gt;"",MAX(16,(L114-J114)+8),"")</f>
        <v>178</v>
      </c>
      <c r="AZ114" s="0" t="n">
        <v>-12</v>
      </c>
      <c r="BA114" s="0" t="n">
        <v>-2</v>
      </c>
      <c r="BB114" s="0" t="n">
        <f aca="false">MIN(AB114/150, 1)*30</f>
        <v>3.6</v>
      </c>
      <c r="BC114" s="0" t="n">
        <f aca="false">MIN(N114/4000, 1)*20</f>
        <v>0.05</v>
      </c>
      <c r="BD114" s="0" t="n">
        <f aca="false">MIN(Z114/400,1)*20</f>
        <v>0.3</v>
      </c>
      <c r="BE114" s="3" t="n">
        <f aca="false">1-(MAX(J114-1900, 0)/750)</f>
        <v>1</v>
      </c>
      <c r="BF114" s="0" t="n">
        <f aca="false">((MAX($M114,1)*MIN($AJ114/300,1)))*IF(G114="Wagon",50,10)</f>
        <v>0</v>
      </c>
      <c r="BG114" s="0" t="n">
        <f aca="false">VLOOKUP($H114,Constants!$I:$K, 2, FALSE())</f>
        <v>0.5</v>
      </c>
      <c r="BH114" s="0" t="n">
        <f aca="false">VLOOKUP($H114,Constants!$I:$K, 3, FALSE())*IF(AND(G114="multiple_unit",AB114&lt;110),0.75,1)</f>
        <v>0.5</v>
      </c>
      <c r="BI114" s="0" t="n">
        <f aca="false">INT(POWER(((Constants!$G$2+$BB114+$BC114+$BD114+$BF114)*$BE114)*$BH114, 1.05))+$BA114</f>
        <v>2</v>
      </c>
      <c r="BJ114" s="0" t="n">
        <f aca="false">INT(POWER((((Constants!$G$1+$BB114+$BC114+$BD114+$BF114)*($BE114))*$BG114),IF($G114="wagon",1,1.2)))+$AZ114</f>
        <v>2</v>
      </c>
      <c r="BK114" s="17" t="n">
        <f aca="false">BI114*IF($G114="wagon",62.5,781.25)</f>
        <v>1562.5</v>
      </c>
      <c r="BL114" s="17" t="n">
        <f aca="false">BJ114*IF($G114="wagon",2.73,81.25)</f>
        <v>162.5</v>
      </c>
      <c r="BV114" s="0" t="n">
        <v>1</v>
      </c>
      <c r="CA114" s="0" t="str">
        <f aca="false">VLOOKUP(J114,Eras!$A$2:$C$10, 2, TRUE())</f>
        <v>early</v>
      </c>
      <c r="CB114" s="0" t="s">
        <v>439</v>
      </c>
      <c r="CC114" s="0" t="str">
        <f aca="false">CONCATENATE(CA114,"_",CB114)</f>
        <v>early_Mixed Traffic</v>
      </c>
      <c r="CD114" s="0" t="str">
        <f aca="false">_xlfn.CONCAT(H114, "_",I114)</f>
        <v>horses_PLATEWAY</v>
      </c>
      <c r="CE114" s="6" t="str">
        <f aca="false" t="array" ref="CE114:CE114">_xlfn.CONCAT("{BLACK}Length: {GOLD}", TEXT(ROUNDUP(IF(AQ114&lt;&gt;"",SUM(VALUE(_xlfn.TEXTSPLIT(AQ114, ","))), SUM(VALUE(_xlfn.TEXTSPLIT(AN114, ",")))*IF(M114, M114, 1))/16, 1), "#,##0.0"), " tiles{}")</f>
        <v>{BLACK}Length: {GOLD}0.3 tiles{}</v>
      </c>
      <c r="CF114" s="0" t="str">
        <f aca="false">VLOOKUP($CD114, Constants!$M:$N, 2, FALSE())</f>
        <v>{BLACK}Powered by: {GOLD}Grass and hay</v>
      </c>
      <c r="CG114" s="0" t="str">
        <f aca="false">IF(M114&gt;1,_xlfn.CONCAT("{BLACK}Cars: {GOLD}", M114),"")</f>
        <v/>
      </c>
      <c r="CH114" s="0" t="s">
        <v>442</v>
      </c>
      <c r="CI114" s="0" t="str">
        <f aca="false">IF($BU114="!param_no_gameplay_units","{GREEN}Included for gameplay purposes","")</f>
        <v/>
      </c>
      <c r="CJ114" s="0" t="str">
        <f aca="false">IF(BX114="buffet","{YELLOW}25% long distance bonus for consist{}",IF(BZ114="BRAKE","{YELLOW}Speed bonus for slow wagons{}",IF(BW114&gt;190,CONCATENATE("{YELLOW}",INT((BW114-185)/1.85),"% bonus for long distance travel{}"),IF(AND(BW114&lt;180,BW114&lt;&gt;0),CONCATENATE("{YELLOW}",INT((185-BW114)/1.85),"% penalty for long distance travel{}"),""))))</f>
        <v/>
      </c>
      <c r="CK114" s="0" t="str">
        <f aca="false">_xlfn.CONCAT(CF114,IF(CF114&lt;&gt;""," ",""),CG114,IF(OR(CG114&lt;&gt;"",CF114&lt;&gt;""),"{}",""),CE114,CJ114,"{SILVER}",CH114,IF(CI114&lt;&gt;"","{}{}",""),CI114)</f>
        <v>{BLACK}Powered by: {GOLD}Grass and hay {}{BLACK}Length: {GOLD}0.3 tiles{}{SILVER}The power of a horse-drawn train can easily be doubled by the expedient addition of a second horse.</v>
      </c>
    </row>
    <row r="115" customFormat="false" ht="14.25" hidden="false" customHeight="false" outlineLevel="0" collapsed="false">
      <c r="A115" s="0" t="s">
        <v>443</v>
      </c>
      <c r="B115" s="15" t="s">
        <v>444</v>
      </c>
      <c r="C115" s="0" t="n">
        <v>100</v>
      </c>
      <c r="E115" s="0" t="n">
        <v>3</v>
      </c>
      <c r="F115" s="0" t="s">
        <v>143</v>
      </c>
      <c r="G115" s="0" t="s">
        <v>445</v>
      </c>
      <c r="H115" s="0" t="s">
        <v>446</v>
      </c>
      <c r="I115" s="0" t="s">
        <v>146</v>
      </c>
      <c r="J115" s="0" t="n">
        <v>1813</v>
      </c>
      <c r="L115" s="0" t="n">
        <v>1862</v>
      </c>
      <c r="N115" s="0" t="n">
        <v>15</v>
      </c>
      <c r="P115" s="2" t="n">
        <v>9</v>
      </c>
      <c r="Q115" s="2" t="n">
        <v>36</v>
      </c>
      <c r="R115" s="2" t="n">
        <v>2</v>
      </c>
      <c r="S115" s="2" t="n">
        <v>50</v>
      </c>
      <c r="T115" s="18" t="n">
        <f aca="false">((($AB115/2)/60)*5280)/($U115*3.2*PI())</f>
        <v>60.7883463198211</v>
      </c>
      <c r="U115" s="2" t="n">
        <v>1.44</v>
      </c>
      <c r="V115" s="2" t="n">
        <f aca="false">((($P115*$P115/4)*PI())*($Q115/12)*$R115*$S115*$T115)/(33000*1.1)</f>
        <v>31.9602272727273</v>
      </c>
      <c r="W115" s="0" t="n">
        <v>4</v>
      </c>
      <c r="X115" s="1" t="n">
        <v>3</v>
      </c>
      <c r="Z115" s="0" t="n">
        <v>7</v>
      </c>
      <c r="AA115" s="3" t="n">
        <f aca="false">IF(AND(W115&gt;0,Z115&gt;0),(Z115/((W115+X115)*10)),"")</f>
        <v>0.1</v>
      </c>
      <c r="AB115" s="0" t="n">
        <v>20</v>
      </c>
      <c r="AC115" s="0" t="n">
        <f aca="false">ROUND(AB115*1.6, 0)</f>
        <v>32</v>
      </c>
      <c r="AG115" s="0" t="n">
        <v>6</v>
      </c>
      <c r="AJ115" s="4" t="n">
        <v>0</v>
      </c>
      <c r="AK115" s="0" t="str">
        <f aca="false">CONCATENATE(VLOOKUP(AL115, 'Voxel Sizes'!$A$2:$B$18,2,FALSE()),"x",INT(AH115*15), "x", INT(AI115*15))</f>
        <v>60x0x0</v>
      </c>
      <c r="AL115" s="0" t="n">
        <f aca="false">ROUND(15*((AG115*10)/256),0)</f>
        <v>4</v>
      </c>
      <c r="AM115" s="0" t="s">
        <v>94</v>
      </c>
      <c r="AN115" s="0" t="str">
        <f aca="false">CONCATENATE(VLOOKUP(AL115,Constants!$A$2:$C$16,IF(AM115&lt;&gt;"", 3, 2), FALSE()),IF(AM115&lt;&gt;"",CONCATENATE(",",VLOOKUP(AM115,$B:$AN,39,FALSE())),""))</f>
        <v>1,2,1,1,2,1</v>
      </c>
      <c r="AX115" s="0" t="n">
        <v>28</v>
      </c>
      <c r="AY115" s="16" t="n">
        <f aca="false">IF(L115&lt;&gt;"",MAX(16,(L115-J115)+8),"")</f>
        <v>57</v>
      </c>
      <c r="AZ115" s="0" t="n">
        <v>-35</v>
      </c>
      <c r="BA115" s="0" t="n">
        <v>-12</v>
      </c>
      <c r="BB115" s="0" t="n">
        <f aca="false">MIN(AB115/150, 1)*30</f>
        <v>4</v>
      </c>
      <c r="BC115" s="0" t="n">
        <f aca="false">MIN(N115/4000, 1)*20</f>
        <v>0.075</v>
      </c>
      <c r="BD115" s="0" t="n">
        <f aca="false">MIN(Z115/400,1)*20</f>
        <v>0.35</v>
      </c>
      <c r="BE115" s="3" t="n">
        <f aca="false">1-(MAX(J115-1900, 0)/750)</f>
        <v>1</v>
      </c>
      <c r="BF115" s="0" t="n">
        <f aca="false">((MAX($M115,1)*MIN($AJ115/300,1)))*IF(G115="Wagon",50,10)</f>
        <v>0</v>
      </c>
      <c r="BG115" s="0" t="n">
        <f aca="false">VLOOKUP($H115,Constants!$I:$K, 2, FALSE())</f>
        <v>1.15</v>
      </c>
      <c r="BH115" s="0" t="n">
        <f aca="false">VLOOKUP($H115,Constants!$I:$K, 3, FALSE())*IF(AND(G115="multiple_unit",AB115&lt;110),0.75,1)</f>
        <v>1.7</v>
      </c>
      <c r="BI115" s="0" t="n">
        <f aca="false">INT(POWER(((Constants!$G$2+$BB115+$BC115+$BD115+$BF115)*$BE115)*$BH115, 1.05))+$BA115</f>
        <v>6</v>
      </c>
      <c r="BJ115" s="0" t="n">
        <f aca="false">INT(POWER((((Constants!$G$1+$BB115+$BC115+$BD115+$BF115)*($BE115))*$BG115),IF($G115="wagon",1,1.2)))+$AZ115</f>
        <v>6</v>
      </c>
      <c r="BK115" s="17" t="n">
        <f aca="false">BI115*IF($G115="wagon",62.5,781.25)</f>
        <v>4687.5</v>
      </c>
      <c r="BL115" s="17" t="n">
        <f aca="false">BJ115*IF($G115="wagon",2.73,81.25)</f>
        <v>487.5</v>
      </c>
      <c r="BV115" s="0" t="n">
        <v>3</v>
      </c>
      <c r="CA115" s="0" t="str">
        <f aca="false">VLOOKUP(J115,Eras!$A$2:$C$10, 2, TRUE())</f>
        <v>early</v>
      </c>
      <c r="CB115" s="0" t="s">
        <v>439</v>
      </c>
      <c r="CC115" s="0" t="str">
        <f aca="false">CONCATENATE(CA115,"_",CB115)</f>
        <v>early_Mixed Traffic</v>
      </c>
      <c r="CD115" s="0" t="str">
        <f aca="false">_xlfn.CONCAT(H115, "_",I115)</f>
        <v>steam_PLATEWAY</v>
      </c>
      <c r="CE115" s="6" t="str">
        <f aca="false" t="array" ref="CE115:CE115">_xlfn.CONCAT("{BLACK}Length: {GOLD}", TEXT(ROUNDUP(IF(AQ115&lt;&gt;"",SUM(VALUE(_xlfn.TEXTSPLIT(AQ115, ","))), SUM(VALUE(_xlfn.TEXTSPLIT(AN115, ",")))*IF(M115, M115, 1))/16, 1), "#,##0.0"), " tiles{}")</f>
        <v>{BLACK}Length: {GOLD}0.5 tiles{}</v>
      </c>
      <c r="CF115" s="0" t="str">
        <f aca="false">VLOOKUP($CD115, Constants!$M:$N, 2, FALSE())</f>
        <v>{BLACK}Powered by: {GOLD}Steam</v>
      </c>
      <c r="CG115" s="0" t="str">
        <f aca="false">IF(M115&gt;1,_xlfn.CONCAT("{BLACK}Cars: {GOLD}", M115),"")</f>
        <v/>
      </c>
      <c r="CH115" s="0" t="s">
        <v>447</v>
      </c>
      <c r="CI115" s="0" t="str">
        <f aca="false">IF($BU115="!param_no_gameplay_units","{GREEN}Included for gameplay purposes","")</f>
        <v/>
      </c>
      <c r="CJ115" s="0" t="str">
        <f aca="false">IF(BX115="buffet","{YELLOW}25% long distance bonus for consist{}",IF(BZ115="BRAKE","{YELLOW}Speed bonus for slow wagons{}",IF(BW115&gt;190,CONCATENATE("{YELLOW}",INT((BW115-185)/1.85),"% bonus for long distance travel{}"),IF(AND(BW115&lt;180,BW115&lt;&gt;0),CONCATENATE("{YELLOW}",INT((185-BW115)/1.85),"% penalty for long distance travel{}"),""))))</f>
        <v/>
      </c>
      <c r="CK115" s="0" t="str">
        <f aca="false">_xlfn.CONCAT(CF115,IF(CF115&lt;&gt;""," ",""),CG115,IF(OR(CG115&lt;&gt;"",CF115&lt;&gt;""),"{}",""),CE115,CJ115,"{SILVER}",CH115,IF(CI115&lt;&gt;"","{}{}",""),CI115)</f>
        <v>{BLACK}Powered by: {GOLD}Steam {}{BLACK}Length: {GOLD}0.5 tiles{}{SILVER}Puffing Billy was the first steam locomotive to operate by the adhesion of the wheels alone, all previous locomotives using a rack by the railside. The real version was very slow, capable only of walking speeds.</v>
      </c>
    </row>
    <row r="116" customFormat="false" ht="14.25" hidden="false" customHeight="false" outlineLevel="0" collapsed="false">
      <c r="A116" s="0" t="s">
        <v>448</v>
      </c>
      <c r="B116" s="15" t="s">
        <v>449</v>
      </c>
      <c r="C116" s="0" t="n">
        <v>101</v>
      </c>
      <c r="E116" s="0" t="n">
        <v>4</v>
      </c>
      <c r="F116" s="0" t="s">
        <v>143</v>
      </c>
      <c r="G116" s="0" t="s">
        <v>445</v>
      </c>
      <c r="H116" s="0" t="s">
        <v>446</v>
      </c>
      <c r="I116" s="0" t="s">
        <v>146</v>
      </c>
      <c r="J116" s="0" t="n">
        <v>1825</v>
      </c>
      <c r="L116" s="0" t="n">
        <v>1857</v>
      </c>
      <c r="N116" s="0" t="n">
        <v>25</v>
      </c>
      <c r="P116" s="2" t="n">
        <v>9</v>
      </c>
      <c r="Q116" s="2" t="n">
        <v>24</v>
      </c>
      <c r="R116" s="2" t="n">
        <v>2</v>
      </c>
      <c r="S116" s="2" t="n">
        <v>50</v>
      </c>
      <c r="T116" s="18" t="n">
        <f aca="false">((($AB116/2)/60)*5280)/($U116*3.2*PI())</f>
        <v>53.8126344470548</v>
      </c>
      <c r="U116" s="2" t="n">
        <v>1.22</v>
      </c>
      <c r="V116" s="2" t="n">
        <f aca="false">((($P116*$P116/4)*PI())*($Q116/12)*$R116*$S116*$T116)/(33000*1.1)</f>
        <v>18.8617734724292</v>
      </c>
      <c r="W116" s="0" t="n">
        <v>4</v>
      </c>
      <c r="X116" s="1" t="n">
        <v>3</v>
      </c>
      <c r="Z116" s="0" t="n">
        <v>10</v>
      </c>
      <c r="AA116" s="3" t="n">
        <f aca="false">IF(AND(W116&gt;0,Z116&gt;0),(Z116/((W116+X116)*10)),"")</f>
        <v>0.142857142857143</v>
      </c>
      <c r="AB116" s="0" t="n">
        <v>15</v>
      </c>
      <c r="AC116" s="0" t="n">
        <f aca="false">ROUND(AB116*1.6, 0)</f>
        <v>24</v>
      </c>
      <c r="AG116" s="0" t="n">
        <v>6</v>
      </c>
      <c r="AJ116" s="4" t="n">
        <v>0</v>
      </c>
      <c r="AK116" s="0" t="str">
        <f aca="false">CONCATENATE(VLOOKUP(AL116, 'Voxel Sizes'!$A$2:$B$18,2,FALSE()),"x",INT(AH116*15), "x", INT(AI116*15))</f>
        <v>60x0x0</v>
      </c>
      <c r="AL116" s="0" t="n">
        <f aca="false">ROUND(15*((AG116*10)/256),0)</f>
        <v>4</v>
      </c>
      <c r="AM116" s="0" t="s">
        <v>96</v>
      </c>
      <c r="AN116" s="0" t="str">
        <f aca="false">CONCATENATE(VLOOKUP(AL116,Constants!$A$2:$C$16,IF(AM116&lt;&gt;"", 3, 2), FALSE()),IF(AM116&lt;&gt;"",CONCATENATE(",",VLOOKUP(AM116,$B:$AN,39,FALSE())),""))</f>
        <v>1,2,1,1,2,1</v>
      </c>
      <c r="AV116" s="0" t="n">
        <v>1</v>
      </c>
      <c r="AX116" s="0" t="n">
        <v>24</v>
      </c>
      <c r="AY116" s="16" t="n">
        <f aca="false">IF(L116&lt;&gt;"",MAX(16,(L116-J116)+8),"")</f>
        <v>40</v>
      </c>
      <c r="AZ116" s="0" t="n">
        <v>-29</v>
      </c>
      <c r="BA116" s="0" t="n">
        <v>-8</v>
      </c>
      <c r="BB116" s="0" t="n">
        <f aca="false">MIN(AB116/150, 1)*30</f>
        <v>3</v>
      </c>
      <c r="BC116" s="0" t="n">
        <f aca="false">MIN(N116/4000, 1)*20</f>
        <v>0.125</v>
      </c>
      <c r="BD116" s="0" t="n">
        <f aca="false">MIN(Z116/400,1)*20</f>
        <v>0.5</v>
      </c>
      <c r="BE116" s="3" t="n">
        <f aca="false">1-(MAX(J116-1900, 0)/750)</f>
        <v>1</v>
      </c>
      <c r="BF116" s="0" t="n">
        <f aca="false">((MAX($M116,1)*MIN($AJ116/300,1)))*IF(G116="Wagon",50,10)</f>
        <v>0</v>
      </c>
      <c r="BG116" s="0" t="n">
        <f aca="false">VLOOKUP($H116,Constants!$I:$K, 2, FALSE())</f>
        <v>1.15</v>
      </c>
      <c r="BH116" s="0" t="n">
        <f aca="false">VLOOKUP($H116,Constants!$I:$K, 3, FALSE())*IF(AND(G116="multiple_unit",AB116&lt;110),0.75,1)</f>
        <v>1.7</v>
      </c>
      <c r="BI116" s="0" t="n">
        <f aca="false">INT(POWER(((Constants!$G$2+$BB116+$BC116+$BD116+$BF116)*$BE116)*$BH116, 1.05))+$BA116</f>
        <v>8</v>
      </c>
      <c r="BJ116" s="0" t="n">
        <f aca="false">INT(POWER((((Constants!$G$1+$BB116+$BC116+$BD116+$BF116)*($BE116))*$BG116),IF($G116="wagon",1,1.2)))+$AZ116</f>
        <v>10</v>
      </c>
      <c r="BK116" s="17" t="n">
        <f aca="false">BI116*IF($G116="wagon",62.5,781.25)</f>
        <v>6250</v>
      </c>
      <c r="BL116" s="17" t="n">
        <f aca="false">BJ116*IF($G116="wagon",2.73,81.25)</f>
        <v>812.5</v>
      </c>
      <c r="BV116" s="0" t="n">
        <v>1</v>
      </c>
      <c r="CA116" s="0" t="str">
        <f aca="false">VLOOKUP(J116,Eras!$A$2:$C$10, 2, TRUE())</f>
        <v>early</v>
      </c>
      <c r="CB116" s="0" t="s">
        <v>439</v>
      </c>
      <c r="CC116" s="0" t="str">
        <f aca="false">CONCATENATE(CA116,"_",CB116)</f>
        <v>early_Mixed Traffic</v>
      </c>
      <c r="CD116" s="0" t="str">
        <f aca="false">_xlfn.CONCAT(H116, "_",I116)</f>
        <v>steam_PLATEWAY</v>
      </c>
      <c r="CE116" s="6" t="str">
        <f aca="false" t="array" ref="CE116:CE116">_xlfn.CONCAT("{BLACK}Length: {GOLD}", TEXT(ROUNDUP(IF(AQ116&lt;&gt;"",SUM(VALUE(_xlfn.TEXTSPLIT(AQ116, ","))), SUM(VALUE(_xlfn.TEXTSPLIT(AN116, ",")))*IF(M116, M116, 1))/16, 1), "#,##0.0"), " tiles{}")</f>
        <v>{BLACK}Length: {GOLD}0.5 tiles{}</v>
      </c>
      <c r="CF116" s="0" t="str">
        <f aca="false">VLOOKUP($CD116, Constants!$M:$N, 2, FALSE())</f>
        <v>{BLACK}Powered by: {GOLD}Steam</v>
      </c>
      <c r="CG116" s="0" t="str">
        <f aca="false">IF(M116&gt;1,_xlfn.CONCAT("{BLACK}Cars: {GOLD}", M116),"")</f>
        <v/>
      </c>
      <c r="CH116" s="0" t="s">
        <v>450</v>
      </c>
      <c r="CI116" s="0" t="str">
        <f aca="false">IF($BU116="!param_no_gameplay_units","{GREEN}Included for gameplay purposes","")</f>
        <v/>
      </c>
      <c r="CJ116" s="0" t="str">
        <f aca="false">IF(BX116="buffet","{YELLOW}25% long distance bonus for consist{}",IF(BZ116="BRAKE","{YELLOW}Speed bonus for slow wagons{}",IF(BW116&gt;190,CONCATENATE("{YELLOW}",INT((BW116-185)/1.85),"% bonus for long distance travel{}"),IF(AND(BW116&lt;180,BW116&lt;&gt;0),CONCATENATE("{YELLOW}",INT((185-BW116)/1.85),"% penalty for long distance travel{}"),""))))</f>
        <v/>
      </c>
      <c r="CK116" s="0" t="str">
        <f aca="false">_xlfn.CONCAT(CF116,IF(CF116&lt;&gt;""," ",""),CG116,IF(OR(CG116&lt;&gt;"",CF116&lt;&gt;""),"{}",""),CE116,CJ116,"{SILVER}",CH116,IF(CI116&lt;&gt;"","{}{}",""),CI116)</f>
        <v>{BLACK}Powered by: {GOLD}Steam {}{BLACK}Length: {GOLD}0.5 tiles{}{SILVER}Originally named "Active", the Stockton and Darlington's Locomotion No. 1 was the first steam locomotive to operate on a public railway. Unfortunately the early design was flawed and it soon became obsolete.</v>
      </c>
    </row>
    <row r="117" customFormat="false" ht="14.25" hidden="false" customHeight="false" outlineLevel="0" collapsed="false">
      <c r="A117" s="0" t="s">
        <v>451</v>
      </c>
      <c r="B117" s="15" t="s">
        <v>452</v>
      </c>
      <c r="C117" s="0" t="n">
        <v>102</v>
      </c>
      <c r="E117" s="0" t="n">
        <v>5</v>
      </c>
      <c r="F117" s="0" t="s">
        <v>143</v>
      </c>
      <c r="G117" s="0" t="s">
        <v>445</v>
      </c>
      <c r="H117" s="0" t="s">
        <v>446</v>
      </c>
      <c r="I117" s="0" t="s">
        <v>146</v>
      </c>
      <c r="J117" s="0" t="n">
        <v>1827</v>
      </c>
      <c r="L117" s="0" t="n">
        <v>1858</v>
      </c>
      <c r="N117" s="0" t="n">
        <v>30</v>
      </c>
      <c r="P117" s="2" t="n">
        <v>9</v>
      </c>
      <c r="Q117" s="2" t="n">
        <v>36</v>
      </c>
      <c r="R117" s="2" t="n">
        <v>2</v>
      </c>
      <c r="S117" s="2" t="n">
        <v>50</v>
      </c>
      <c r="T117" s="18" t="n">
        <f aca="false">((($AB117/2)/60)*5280)/($U117*3.2*PI())</f>
        <v>54.709511687839</v>
      </c>
      <c r="U117" s="2" t="n">
        <v>1.44</v>
      </c>
      <c r="V117" s="2" t="n">
        <f aca="false">((($P117*$P117/4)*PI())*($Q117/12)*$R117*$S117*$T117)/(33000*1.1)</f>
        <v>28.7642045454546</v>
      </c>
      <c r="W117" s="0" t="n">
        <v>5</v>
      </c>
      <c r="X117" s="1" t="n">
        <v>3</v>
      </c>
      <c r="Z117" s="0" t="n">
        <v>11</v>
      </c>
      <c r="AA117" s="3" t="n">
        <f aca="false">IF(AND(W117&gt;0,Z117&gt;0),(Z117/((W117+X117)*10)),"")</f>
        <v>0.1375</v>
      </c>
      <c r="AB117" s="0" t="n">
        <v>18</v>
      </c>
      <c r="AC117" s="0" t="n">
        <f aca="false">ROUND(AB117*1.6, 0)</f>
        <v>29</v>
      </c>
      <c r="AG117" s="0" t="n">
        <v>8</v>
      </c>
      <c r="AJ117" s="4" t="n">
        <v>0</v>
      </c>
      <c r="AK117" s="0" t="str">
        <f aca="false">CONCATENATE(VLOOKUP(AL117, 'Voxel Sizes'!$A$2:$B$18,2,FALSE()),"x",INT(AH117*15), "x", INT(AI117*15))</f>
        <v>82x0x0</v>
      </c>
      <c r="AL117" s="0" t="n">
        <f aca="false">ROUND(15*((AG117*10)/256),0)</f>
        <v>5</v>
      </c>
      <c r="AM117" s="0" t="s">
        <v>96</v>
      </c>
      <c r="AN117" s="0" t="str">
        <f aca="false">CONCATENATE(VLOOKUP(AL117,Constants!$A$2:$C$16,IF(AM117&lt;&gt;"", 3, 2), FALSE()),IF(AM117&lt;&gt;"",CONCATENATE(",",VLOOKUP(AM117,$B:$AN,39,FALSE())),""))</f>
        <v>2,1,2,1,2,1</v>
      </c>
      <c r="AV117" s="0" t="n">
        <v>1</v>
      </c>
      <c r="AX117" s="0" t="n">
        <v>26</v>
      </c>
      <c r="AY117" s="16" t="n">
        <f aca="false">IF(L117&lt;&gt;"",MAX(16,(L117-J117)+8),"")</f>
        <v>39</v>
      </c>
      <c r="AZ117" s="0" t="n">
        <v>-26</v>
      </c>
      <c r="BA117" s="0" t="n">
        <v>-8</v>
      </c>
      <c r="BB117" s="0" t="n">
        <f aca="false">MIN(AB117/150, 1)*30</f>
        <v>3.6</v>
      </c>
      <c r="BC117" s="0" t="n">
        <f aca="false">MIN(N117/4000, 1)*20</f>
        <v>0.15</v>
      </c>
      <c r="BD117" s="0" t="n">
        <f aca="false">MIN(Z117/400,1)*20</f>
        <v>0.55</v>
      </c>
      <c r="BE117" s="3" t="n">
        <f aca="false">1-(MAX(J117-1900, 0)/750)</f>
        <v>1</v>
      </c>
      <c r="BF117" s="0" t="n">
        <f aca="false">((MAX($M117,1)*MIN($AJ117/300,1)))*IF(G117="Wagon",50,10)</f>
        <v>0</v>
      </c>
      <c r="BG117" s="0" t="n">
        <f aca="false">VLOOKUP($H117,Constants!$I:$K, 2, FALSE())</f>
        <v>1.15</v>
      </c>
      <c r="BH117" s="0" t="n">
        <f aca="false">VLOOKUP($H117,Constants!$I:$K, 3, FALSE())*IF(AND(G117="multiple_unit",AB117&lt;110),0.75,1)</f>
        <v>1.7</v>
      </c>
      <c r="BI117" s="0" t="n">
        <f aca="false">INT(POWER(((Constants!$G$2+$BB117+$BC117+$BD117+$BF117)*$BE117)*$BH117, 1.05))+$BA117</f>
        <v>10</v>
      </c>
      <c r="BJ117" s="0" t="n">
        <f aca="false">INT(POWER((((Constants!$G$1+$BB117+$BC117+$BD117+$BF117)*($BE117))*$BG117),IF($G117="wagon",1,1.2)))+$AZ117</f>
        <v>15</v>
      </c>
      <c r="BK117" s="17" t="n">
        <f aca="false">BI117*IF($G117="wagon",62.5,781.25)</f>
        <v>7812.5</v>
      </c>
      <c r="BL117" s="17" t="n">
        <f aca="false">BJ117*IF($G117="wagon",2.73,81.25)</f>
        <v>1218.75</v>
      </c>
      <c r="BV117" s="0" t="n">
        <v>11</v>
      </c>
      <c r="CA117" s="0" t="str">
        <f aca="false">VLOOKUP(J117,Eras!$A$2:$C$10, 2, TRUE())</f>
        <v>early</v>
      </c>
      <c r="CB117" s="0" t="s">
        <v>439</v>
      </c>
      <c r="CC117" s="0" t="str">
        <f aca="false">CONCATENATE(CA117,"_",CB117)</f>
        <v>early_Mixed Traffic</v>
      </c>
      <c r="CD117" s="0" t="str">
        <f aca="false">_xlfn.CONCAT(H117, "_",I117)</f>
        <v>steam_PLATEWAY</v>
      </c>
      <c r="CE117" s="6" t="str">
        <f aca="false" t="array" ref="CE117:CE117">_xlfn.CONCAT("{BLACK}Length: {GOLD}", TEXT(ROUNDUP(IF(AQ117&lt;&gt;"",SUM(VALUE(_xlfn.TEXTSPLIT(AQ117, ","))), SUM(VALUE(_xlfn.TEXTSPLIT(AN117, ",")))*IF(M117, M117, 1))/16, 1), "#,##0.0"), " tiles{}")</f>
        <v>{BLACK}Length: {GOLD}0.6 tiles{}</v>
      </c>
      <c r="CF117" s="0" t="str">
        <f aca="false">VLOOKUP($CD117, Constants!$M:$N, 2, FALSE())</f>
        <v>{BLACK}Powered by: {GOLD}Steam</v>
      </c>
      <c r="CG117" s="0" t="str">
        <f aca="false">IF(M117&gt;1,_xlfn.CONCAT("{BLACK}Cars: {GOLD}", M117),"")</f>
        <v/>
      </c>
      <c r="CH117" s="0" t="s">
        <v>453</v>
      </c>
      <c r="CI117" s="0" t="str">
        <f aca="false">IF($BU117="!param_no_gameplay_units","{GREEN}Included for gameplay purposes","")</f>
        <v/>
      </c>
      <c r="CJ117" s="0" t="str">
        <f aca="false">IF(BX117="buffet","{YELLOW}25% long distance bonus for consist{}",IF(BZ117="BRAKE","{YELLOW}Speed bonus for slow wagons{}",IF(BW117&gt;190,CONCATENATE("{YELLOW}",INT((BW117-185)/1.85),"% bonus for long distance travel{}"),IF(AND(BW117&lt;180,BW117&lt;&gt;0),CONCATENATE("{YELLOW}",INT((185-BW117)/1.85),"% penalty for long distance travel{}"),""))))</f>
        <v/>
      </c>
      <c r="CK117" s="0" t="str">
        <f aca="false">_xlfn.CONCAT(CF117,IF(CF117&lt;&gt;""," ",""),CG117,IF(OR(CG117&lt;&gt;"",CF117&lt;&gt;""),"{}",""),CE117,CJ117,"{SILVER}",CH117,IF(CI117&lt;&gt;"","{}{}",""),CI117)</f>
        <v>{BLACK}Powered by: {GOLD}Steam {}{BLACK}Length: {GOLD}0.6 tiles{}{SILVER}Timothy Hackworth was an influential early locomotive engineer. The Royal George locomotive was built around the boiler from an earlier locomotive Chittaprat, and was capable of hauling heavy coal trains.</v>
      </c>
    </row>
    <row r="118" customFormat="false" ht="14.25" hidden="false" customHeight="false" outlineLevel="0" collapsed="false">
      <c r="A118" s="0" t="s">
        <v>454</v>
      </c>
      <c r="B118" s="15" t="s">
        <v>455</v>
      </c>
      <c r="C118" s="0" t="n">
        <v>103</v>
      </c>
      <c r="E118" s="0" t="n">
        <v>6</v>
      </c>
      <c r="F118" s="0" t="s">
        <v>143</v>
      </c>
      <c r="G118" s="0" t="s">
        <v>455</v>
      </c>
      <c r="H118" s="0" t="s">
        <v>438</v>
      </c>
      <c r="I118" s="0" t="s">
        <v>146</v>
      </c>
      <c r="J118" s="0" t="n">
        <v>1829</v>
      </c>
      <c r="L118" s="0" t="n">
        <v>1842</v>
      </c>
      <c r="N118" s="0" t="n">
        <v>10</v>
      </c>
      <c r="T118" s="18"/>
      <c r="W118" s="0" t="n">
        <v>3</v>
      </c>
      <c r="Z118" s="0" t="n">
        <v>8</v>
      </c>
      <c r="AA118" s="3" t="n">
        <f aca="false">IF(AND(W118&gt;0,Z118&gt;0),(Z118/((W118+X118)*10)),"")</f>
        <v>0.266666666666667</v>
      </c>
      <c r="AB118" s="0" t="n">
        <v>22</v>
      </c>
      <c r="AC118" s="0" t="n">
        <f aca="false">ROUND(AB118*1.6, 0)</f>
        <v>35</v>
      </c>
      <c r="AG118" s="0" t="n">
        <v>8</v>
      </c>
      <c r="AJ118" s="4" t="n">
        <v>0</v>
      </c>
      <c r="AK118" s="0" t="str">
        <f aca="false">CONCATENATE(VLOOKUP(AL118, 'Voxel Sizes'!$A$2:$B$18,2,FALSE()),"x",INT(AH118*15), "x", INT(AI118*15))</f>
        <v>82x0x0</v>
      </c>
      <c r="AL118" s="0" t="n">
        <f aca="false">ROUND(15*((AG118*10)/256),0)</f>
        <v>5</v>
      </c>
      <c r="AN118" s="0" t="str">
        <f aca="false">CONCATENATE(VLOOKUP(AL118,Constants!$A$2:$C$16,IF(AM118&lt;&gt;"", 3, 2), FALSE()),IF(AM118&lt;&gt;"",CONCATENATE(",",VLOOKUP(AM118,$B:$AN,39,FALSE())),""))</f>
        <v>2,1,2</v>
      </c>
      <c r="AV118" s="0" t="n">
        <v>1</v>
      </c>
      <c r="AX118" s="0" t="n">
        <v>12</v>
      </c>
      <c r="AY118" s="16" t="n">
        <f aca="false">IF(L118&lt;&gt;"",MAX(16,(L118-J118)+8),"")</f>
        <v>21</v>
      </c>
      <c r="AZ118" s="0" t="n">
        <v>-13</v>
      </c>
      <c r="BA118" s="0" t="n">
        <v>-1</v>
      </c>
      <c r="BB118" s="0" t="n">
        <f aca="false">MIN(AB118/150, 1)*30</f>
        <v>4.4</v>
      </c>
      <c r="BC118" s="0" t="n">
        <f aca="false">MIN(N118/4000, 1)*20</f>
        <v>0.05</v>
      </c>
      <c r="BD118" s="0" t="n">
        <f aca="false">MIN(Z118/400,1)*20</f>
        <v>0.4</v>
      </c>
      <c r="BE118" s="3" t="n">
        <f aca="false">1-(MAX(J118-1900, 0)/750)</f>
        <v>1</v>
      </c>
      <c r="BF118" s="0" t="n">
        <f aca="false">((MAX($M118,1)*MIN($AJ118/300,1)))*IF(G118="Wagon",50,10)</f>
        <v>0</v>
      </c>
      <c r="BG118" s="0" t="n">
        <f aca="false">VLOOKUP($H118,Constants!$I:$K, 2, FALSE())</f>
        <v>0.5</v>
      </c>
      <c r="BH118" s="0" t="n">
        <f aca="false">VLOOKUP($H118,Constants!$I:$K, 3, FALSE())*IF(AND(G118="multiple_unit",AB118&lt;110),0.75,1)</f>
        <v>0.5</v>
      </c>
      <c r="BI118" s="0" t="n">
        <f aca="false">INT(POWER(((Constants!$G$2+$BB118+$BC118+$BD118+$BF118)*$BE118)*$BH118, 1.05))+$BA118</f>
        <v>4</v>
      </c>
      <c r="BJ118" s="0" t="n">
        <f aca="false">INT(POWER((((Constants!$G$1+$BB118+$BC118+$BD118+$BF118)*($BE118))*$BG118),IF($G118="wagon",1,1.2)))+$AZ118</f>
        <v>2</v>
      </c>
      <c r="BK118" s="17" t="n">
        <f aca="false">BI118*IF($G118="wagon",62.5,781.25)</f>
        <v>3125</v>
      </c>
      <c r="BL118" s="17" t="n">
        <f aca="false">BJ118*IF($G118="wagon",2.73,81.25)</f>
        <v>162.5</v>
      </c>
      <c r="BV118" s="0" t="n">
        <v>3</v>
      </c>
      <c r="CA118" s="0" t="str">
        <f aca="false">VLOOKUP(J118,Eras!$A$2:$C$10, 2, TRUE())</f>
        <v>early</v>
      </c>
      <c r="CB118" s="0" t="s">
        <v>439</v>
      </c>
      <c r="CC118" s="0" t="str">
        <f aca="false">CONCATENATE(CA118,"_",CB118)</f>
        <v>early_Mixed Traffic</v>
      </c>
      <c r="CD118" s="0" t="str">
        <f aca="false">_xlfn.CONCAT(H118, "_",I118)</f>
        <v>horses_PLATEWAY</v>
      </c>
      <c r="CE118" s="6" t="str">
        <f aca="false" t="array" ref="CE118:CE118">_xlfn.CONCAT("{BLACK}Length: {GOLD}", TEXT(ROUNDUP(IF(AQ118&lt;&gt;"",SUM(VALUE(_xlfn.TEXTSPLIT(AQ118, ","))), SUM(VALUE(_xlfn.TEXTSPLIT(AN118, ",")))*IF(M118, M118, 1))/16, 1), "#,##0.0"), " tiles{}")</f>
        <v>{BLACK}Length: {GOLD}0.4 tiles{}</v>
      </c>
      <c r="CF118" s="0" t="str">
        <f aca="false">VLOOKUP($CD118, Constants!$M:$N, 2, FALSE())</f>
        <v>{BLACK}Powered by: {GOLD}Grass and hay</v>
      </c>
      <c r="CG118" s="0" t="str">
        <f aca="false">IF(M118&gt;1,_xlfn.CONCAT("{BLACK}Cars: {GOLD}", M118),"")</f>
        <v/>
      </c>
      <c r="CH118" s="0" t="s">
        <v>456</v>
      </c>
      <c r="CI118" s="0" t="str">
        <f aca="false">IF($BU118="!param_no_gameplay_units","{GREEN}Included for gameplay purposes","")</f>
        <v/>
      </c>
      <c r="CJ118" s="0" t="str">
        <f aca="false">IF(BX118="buffet","{YELLOW}25% long distance bonus for consist{}",IF(BZ118="BRAKE","{YELLOW}Speed bonus for slow wagons{}",IF(BW118&gt;190,CONCATENATE("{YELLOW}",INT((BW118-185)/1.85),"% bonus for long distance travel{}"),IF(AND(BW118&lt;180,BW118&lt;&gt;0),CONCATENATE("{YELLOW}",INT((185-BW118)/1.85),"% penalty for long distance travel{}"),""))))</f>
        <v/>
      </c>
      <c r="CK118" s="0" t="str">
        <f aca="false">_xlfn.CONCAT(CF118,IF(CF118&lt;&gt;""," ",""),CG118,IF(OR(CG118&lt;&gt;"",CF118&lt;&gt;""),"{}",""),CE118,CJ118,"{SILVER}",CH118,IF(CI118&lt;&gt;"","{}{}",""),CI118)</f>
        <v>{BLACK}Powered by: {GOLD}Grass and hay {}{BLACK}Length: {GOLD}0.4 tiles{}{SILVER}Brandreth's "Cycloped" was the only entry in the Rainhill Trials not powered by steam. Unfortunately during the trials the horse burst through the floor, withdrawing it from the competition.</v>
      </c>
    </row>
    <row r="119" customFormat="false" ht="14.25" hidden="false" customHeight="false" outlineLevel="0" collapsed="false">
      <c r="A119" s="0" t="s">
        <v>457</v>
      </c>
      <c r="B119" s="15" t="s">
        <v>458</v>
      </c>
      <c r="C119" s="0" t="n">
        <v>104</v>
      </c>
      <c r="E119" s="0" t="n">
        <v>7</v>
      </c>
      <c r="F119" s="0" t="s">
        <v>143</v>
      </c>
      <c r="G119" s="0" t="s">
        <v>445</v>
      </c>
      <c r="H119" s="0" t="s">
        <v>446</v>
      </c>
      <c r="I119" s="0" t="s">
        <v>146</v>
      </c>
      <c r="J119" s="0" t="n">
        <v>1829</v>
      </c>
      <c r="L119" s="0" t="n">
        <v>1846</v>
      </c>
      <c r="N119" s="0" t="n">
        <v>30</v>
      </c>
      <c r="P119" s="2" t="n">
        <v>8</v>
      </c>
      <c r="Q119" s="2" t="n">
        <v>17</v>
      </c>
      <c r="R119" s="2" t="n">
        <v>2</v>
      </c>
      <c r="S119" s="2" t="n">
        <v>50</v>
      </c>
      <c r="T119" s="18" t="n">
        <f aca="false">((($AB119/2)/60)*5280)/($U119*3.2*PI())</f>
        <v>91.1825194797317</v>
      </c>
      <c r="U119" s="2" t="n">
        <v>1.44</v>
      </c>
      <c r="V119" s="2" t="n">
        <f aca="false">((($P119*$P119/4)*PI())*($Q119/12)*$R119*$S119*$T119)/(33000*1.1)</f>
        <v>17.8872053872054</v>
      </c>
      <c r="W119" s="0" t="n">
        <v>4</v>
      </c>
      <c r="X119" s="1" t="n">
        <v>3</v>
      </c>
      <c r="Z119" s="0" t="n">
        <v>8.5</v>
      </c>
      <c r="AA119" s="3" t="n">
        <f aca="false">IF(AND(W119&gt;0,Z119&gt;0),(Z119/((W119+X119)*10)),"")</f>
        <v>0.121428571428571</v>
      </c>
      <c r="AB119" s="0" t="n">
        <v>30</v>
      </c>
      <c r="AC119" s="0" t="n">
        <f aca="false">ROUND(AB119*1.6, 0)</f>
        <v>48</v>
      </c>
      <c r="AG119" s="0" t="n">
        <v>6</v>
      </c>
      <c r="AJ119" s="4" t="n">
        <v>0</v>
      </c>
      <c r="AK119" s="0" t="str">
        <f aca="false">CONCATENATE(VLOOKUP(AL119, 'Voxel Sizes'!$A$2:$B$18,2,FALSE()),"x",INT(AH119*15), "x", INT(AI119*15))</f>
        <v>60x0x0</v>
      </c>
      <c r="AL119" s="0" t="n">
        <f aca="false">ROUND(15*((AG119*10)/256),0)</f>
        <v>4</v>
      </c>
      <c r="AM119" s="0" t="s">
        <v>98</v>
      </c>
      <c r="AN119" s="0" t="str">
        <f aca="false">CONCATENATE(VLOOKUP(AL119,Constants!$A$2:$C$16,IF(AM119&lt;&gt;"", 3, 2), FALSE()),IF(AM119&lt;&gt;"",CONCATENATE(",",VLOOKUP(AM119,$B:$AN,39,FALSE())),""))</f>
        <v>1,2,1,1,2,1</v>
      </c>
      <c r="AV119" s="0" t="n">
        <v>1</v>
      </c>
      <c r="AX119" s="0" t="n">
        <v>22</v>
      </c>
      <c r="AY119" s="16" t="n">
        <f aca="false">IF(L119&lt;&gt;"",MAX(16,(L119-J119)+8),"")</f>
        <v>25</v>
      </c>
      <c r="AZ119" s="0" t="n">
        <v>-28</v>
      </c>
      <c r="BA119" s="0" t="n">
        <v>-12</v>
      </c>
      <c r="BB119" s="0" t="n">
        <f aca="false">MIN(AB119/150, 1)*30</f>
        <v>6</v>
      </c>
      <c r="BC119" s="0" t="n">
        <f aca="false">MIN(N119/4000, 1)*20</f>
        <v>0.15</v>
      </c>
      <c r="BD119" s="0" t="n">
        <f aca="false">MIN(Z119/400,1)*20</f>
        <v>0.425</v>
      </c>
      <c r="BE119" s="3" t="n">
        <f aca="false">1-(MAX(J119-1900, 0)/750)</f>
        <v>1</v>
      </c>
      <c r="BF119" s="0" t="n">
        <f aca="false">((MAX($M119,1)*MIN($AJ119/300,1)))*IF(G119="Wagon",50,10)</f>
        <v>0</v>
      </c>
      <c r="BG119" s="0" t="n">
        <f aca="false">VLOOKUP($H119,Constants!$I:$K, 2, FALSE())</f>
        <v>1.15</v>
      </c>
      <c r="BH119" s="0" t="n">
        <f aca="false">VLOOKUP($H119,Constants!$I:$K, 3, FALSE())*IF(AND(G119="multiple_unit",AB119&lt;110),0.75,1)</f>
        <v>1.7</v>
      </c>
      <c r="BI119" s="0" t="n">
        <f aca="false">INT(POWER(((Constants!$G$2+$BB119+$BC119+$BD119+$BF119)*$BE119)*$BH119, 1.05))+$BA119</f>
        <v>10</v>
      </c>
      <c r="BJ119" s="0" t="n">
        <f aca="false">INT(POWER((((Constants!$G$1+$BB119+$BC119+$BD119+$BF119)*($BE119))*$BG119),IF($G119="wagon",1,1.2)))+$AZ119</f>
        <v>19</v>
      </c>
      <c r="BK119" s="17" t="n">
        <f aca="false">BI119*IF($G119="wagon",62.5,781.25)</f>
        <v>7812.5</v>
      </c>
      <c r="BL119" s="17" t="n">
        <f aca="false">BJ119*IF($G119="wagon",2.73,81.25)</f>
        <v>1543.75</v>
      </c>
      <c r="BV119" s="0" t="n">
        <v>3</v>
      </c>
      <c r="CA119" s="0" t="str">
        <f aca="false">VLOOKUP(J119,Eras!$A$2:$C$10, 2, TRUE())</f>
        <v>early</v>
      </c>
      <c r="CB119" s="0" t="s">
        <v>439</v>
      </c>
      <c r="CC119" s="0" t="str">
        <f aca="false">CONCATENATE(CA119,"_",CB119)</f>
        <v>early_Mixed Traffic</v>
      </c>
      <c r="CD119" s="0" t="str">
        <f aca="false">_xlfn.CONCAT(H119, "_",I119)</f>
        <v>steam_PLATEWAY</v>
      </c>
      <c r="CE119" s="6" t="str">
        <f aca="false" t="array" ref="CE119:CE119">_xlfn.CONCAT("{BLACK}Length: {GOLD}", TEXT(ROUNDUP(IF(AQ119&lt;&gt;"",SUM(VALUE(_xlfn.TEXTSPLIT(AQ119, ","))), SUM(VALUE(_xlfn.TEXTSPLIT(AN119, ",")))*IF(M119, M119, 1))/16, 1), "#,##0.0"), " tiles{}")</f>
        <v>{BLACK}Length: {GOLD}0.5 tiles{}</v>
      </c>
      <c r="CF119" s="0" t="str">
        <f aca="false">VLOOKUP($CD119, Constants!$M:$N, 2, FALSE())</f>
        <v>{BLACK}Powered by: {GOLD}Steam</v>
      </c>
      <c r="CG119" s="0" t="str">
        <f aca="false">IF(M119&gt;1,_xlfn.CONCAT("{BLACK}Cars: {GOLD}", M119),"")</f>
        <v/>
      </c>
      <c r="CH119" s="0" t="s">
        <v>459</v>
      </c>
      <c r="CI119" s="0" t="str">
        <f aca="false">IF($BU119="!param_no_gameplay_units","{GREEN}Included for gameplay purposes","")</f>
        <v/>
      </c>
      <c r="CJ119" s="0" t="str">
        <f aca="false">IF(BX119="buffet","{YELLOW}25% long distance bonus for consist{}",IF(BZ119="BRAKE","{YELLOW}Speed bonus for slow wagons{}",IF(BW119&gt;190,CONCATENATE("{YELLOW}",INT((BW119-185)/1.85),"% bonus for long distance travel{}"),IF(AND(BW119&lt;180,BW119&lt;&gt;0),CONCATENATE("{YELLOW}",INT((185-BW119)/1.85),"% penalty for long distance travel{}"),""))))</f>
        <v/>
      </c>
      <c r="CK119" s="0" t="str">
        <f aca="false">_xlfn.CONCAT(CF119,IF(CF119&lt;&gt;""," ",""),CG119,IF(OR(CG119&lt;&gt;"",CF119&lt;&gt;""),"{}",""),CE119,CJ119,"{SILVER}",CH119,IF(CI119&lt;&gt;"","{}{}",""),CI119)</f>
        <v>{BLACK}Powered by: {GOLD}Steam {}{BLACK}Length: {GOLD}0.5 tiles{}{SILVER}Although not the first steam locomotive, Rocket's advanced design and success in the Rainhill trials made it the pivotal design for steam engines to replace horses on the railway.</v>
      </c>
    </row>
    <row r="120" customFormat="false" ht="14.25" hidden="false" customHeight="false" outlineLevel="0" collapsed="false">
      <c r="A120" s="0" t="s">
        <v>460</v>
      </c>
      <c r="B120" s="15" t="s">
        <v>461</v>
      </c>
      <c r="C120" s="0" t="n">
        <v>105</v>
      </c>
      <c r="E120" s="0" t="n">
        <v>8</v>
      </c>
      <c r="F120" s="0" t="s">
        <v>143</v>
      </c>
      <c r="G120" s="0" t="s">
        <v>445</v>
      </c>
      <c r="H120" s="0" t="s">
        <v>446</v>
      </c>
      <c r="I120" s="0" t="s">
        <v>146</v>
      </c>
      <c r="J120" s="0" t="n">
        <v>1830</v>
      </c>
      <c r="L120" s="0" t="n">
        <v>1850</v>
      </c>
      <c r="N120" s="0" t="n">
        <v>50</v>
      </c>
      <c r="P120" s="2" t="n">
        <v>11</v>
      </c>
      <c r="Q120" s="2" t="n">
        <v>16</v>
      </c>
      <c r="R120" s="2" t="n">
        <v>2</v>
      </c>
      <c r="S120" s="2" t="n">
        <v>50</v>
      </c>
      <c r="T120" s="18" t="n">
        <f aca="false">((($AB120/2)/60)*5280)/($U120*3.2*PI())</f>
        <v>100.780679424967</v>
      </c>
      <c r="U120" s="2" t="n">
        <v>1.52</v>
      </c>
      <c r="V120" s="2" t="n">
        <f aca="false">((($P120*$P120/4)*PI())*($Q120/12)*$R120*$S120*$T120)/(33000*1.1)</f>
        <v>35.1790935672515</v>
      </c>
      <c r="W120" s="0" t="n">
        <v>4.3</v>
      </c>
      <c r="X120" s="1" t="n">
        <v>3</v>
      </c>
      <c r="Z120" s="0" t="n">
        <v>8.5</v>
      </c>
      <c r="AA120" s="3" t="n">
        <f aca="false">IF(AND(W120&gt;0,Z120&gt;0),(Z120/((W120+X120)*10)),"")</f>
        <v>0.116438356164384</v>
      </c>
      <c r="AB120" s="0" t="n">
        <v>35</v>
      </c>
      <c r="AC120" s="0" t="n">
        <f aca="false">ROUND(AB120*1.6, 0)</f>
        <v>56</v>
      </c>
      <c r="AG120" s="0" t="n">
        <v>6</v>
      </c>
      <c r="AJ120" s="4" t="n">
        <v>0</v>
      </c>
      <c r="AK120" s="0" t="str">
        <f aca="false">CONCATENATE(VLOOKUP(AL120, 'Voxel Sizes'!$A$2:$B$18,2,FALSE()),"x",INT(AH120*15), "x", INT(AI120*15))</f>
        <v>60x0x0</v>
      </c>
      <c r="AL120" s="0" t="n">
        <f aca="false">ROUND(15*((AG120*10)/256),0)</f>
        <v>4</v>
      </c>
      <c r="AM120" s="0" t="s">
        <v>100</v>
      </c>
      <c r="AN120" s="0" t="str">
        <f aca="false">CONCATENATE(VLOOKUP(AL120,Constants!$A$2:$C$16,IF(AM120&lt;&gt;"", 3, 2), FALSE()),IF(AM120&lt;&gt;"",CONCATENATE(",",VLOOKUP(AM120,$B:$AN,39,FALSE())),""))</f>
        <v>1,2,1,1,2,1</v>
      </c>
      <c r="AX120" s="0" t="n">
        <v>26</v>
      </c>
      <c r="AY120" s="16" t="n">
        <f aca="false">IF(L120&lt;&gt;"",MAX(16,(L120-J120)+8),"")</f>
        <v>28</v>
      </c>
      <c r="AZ120" s="0" t="n">
        <v>-24</v>
      </c>
      <c r="BA120" s="0" t="n">
        <v>-12</v>
      </c>
      <c r="BB120" s="0" t="n">
        <f aca="false">MIN(AB120/150, 1)*30</f>
        <v>7</v>
      </c>
      <c r="BC120" s="0" t="n">
        <f aca="false">MIN(N120/4000, 1)*20</f>
        <v>0.25</v>
      </c>
      <c r="BD120" s="0" t="n">
        <f aca="false">MIN(Z120/400,1)*20</f>
        <v>0.425</v>
      </c>
      <c r="BE120" s="3" t="n">
        <f aca="false">1-(MAX(J120-1900, 0)/750)</f>
        <v>1</v>
      </c>
      <c r="BF120" s="0" t="n">
        <f aca="false">((MAX($M120,1)*MIN($AJ120/300,1)))*IF(G120="Wagon",50,10)</f>
        <v>0</v>
      </c>
      <c r="BG120" s="0" t="n">
        <f aca="false">VLOOKUP($H120,Constants!$I:$K, 2, FALSE())</f>
        <v>1.15</v>
      </c>
      <c r="BH120" s="0" t="n">
        <f aca="false">VLOOKUP($H120,Constants!$I:$K, 3, FALSE())*IF(AND(G120="multiple_unit",AB120&lt;110),0.75,1)</f>
        <v>1.7</v>
      </c>
      <c r="BI120" s="0" t="n">
        <f aca="false">INT(POWER(((Constants!$G$2+$BB120+$BC120+$BD120+$BF120)*$BE120)*$BH120, 1.05))+$BA120</f>
        <v>13</v>
      </c>
      <c r="BJ120" s="0" t="n">
        <f aca="false">INT(POWER((((Constants!$G$1+$BB120+$BC120+$BD120+$BF120)*($BE120))*$BG120),IF($G120="wagon",1,1.2)))+$AZ120</f>
        <v>26</v>
      </c>
      <c r="BK120" s="17" t="n">
        <f aca="false">BI120*IF($G120="wagon",62.5,781.25)</f>
        <v>10156.25</v>
      </c>
      <c r="BL120" s="17" t="n">
        <f aca="false">BJ120*IF($G120="wagon",2.73,81.25)</f>
        <v>2112.5</v>
      </c>
      <c r="BV120" s="0" t="n">
        <v>9</v>
      </c>
      <c r="CA120" s="0" t="str">
        <f aca="false">VLOOKUP(J120,Eras!$A$2:$C$10, 2, TRUE())</f>
        <v>early</v>
      </c>
      <c r="CB120" s="0" t="s">
        <v>439</v>
      </c>
      <c r="CC120" s="0" t="str">
        <f aca="false">CONCATENATE(CA120,"_",CB120)</f>
        <v>early_Mixed Traffic</v>
      </c>
      <c r="CD120" s="0" t="str">
        <f aca="false">_xlfn.CONCAT(H120, "_",I120)</f>
        <v>steam_PLATEWAY</v>
      </c>
      <c r="CE120" s="6" t="str">
        <f aca="false" t="array" ref="CE120:CE120">_xlfn.CONCAT("{BLACK}Length: {GOLD}", TEXT(ROUNDUP(IF(AQ120&lt;&gt;"",SUM(VALUE(_xlfn.TEXTSPLIT(AQ120, ","))), SUM(VALUE(_xlfn.TEXTSPLIT(AN120, ",")))*IF(M120, M120, 1))/16, 1), "#,##0.0"), " tiles{}")</f>
        <v>{BLACK}Length: {GOLD}0.5 tiles{}</v>
      </c>
      <c r="CF120" s="0" t="str">
        <f aca="false">VLOOKUP($CD120, Constants!$M:$N, 2, FALSE())</f>
        <v>{BLACK}Powered by: {GOLD}Steam</v>
      </c>
      <c r="CG120" s="0" t="str">
        <f aca="false">IF(M120&gt;1,_xlfn.CONCAT("{BLACK}Cars: {GOLD}", M120),"")</f>
        <v/>
      </c>
      <c r="CH120" s="0" t="s">
        <v>462</v>
      </c>
      <c r="CI120" s="0" t="str">
        <f aca="false">IF($BU120="!param_no_gameplay_units","{GREEN}Included for gameplay purposes","")</f>
        <v/>
      </c>
      <c r="CJ120" s="0" t="str">
        <f aca="false">IF(BX120="buffet","{YELLOW}25% long distance bonus for consist{}",IF(BZ120="BRAKE","{YELLOW}Speed bonus for slow wagons{}",IF(BW120&gt;190,CONCATENATE("{YELLOW}",INT((BW120-185)/1.85),"% bonus for long distance travel{}"),IF(AND(BW120&lt;180,BW120&lt;&gt;0),CONCATENATE("{YELLOW}",INT((185-BW120)/1.85),"% penalty for long distance travel{}"),""))))</f>
        <v/>
      </c>
      <c r="CK120" s="0" t="str">
        <f aca="false">_xlfn.CONCAT(CF120,IF(CF120&lt;&gt;""," ",""),CG120,IF(OR(CG120&lt;&gt;"",CF120&lt;&gt;""),"{}",""),CE120,CJ120,"{SILVER}",CH120,IF(CI120&lt;&gt;"","{}{}",""),CI120)</f>
        <v>{BLACK}Powered by: {GOLD}Steam {}{BLACK}Length: {GOLD}0.5 tiles{}{SILVER}Stephenson's "Planet" locomotives made several improvements to the Rocket design, including being the first locomotive to feature cylinders inside the frame.</v>
      </c>
    </row>
    <row r="121" customFormat="false" ht="14.25" hidden="false" customHeight="false" outlineLevel="0" collapsed="false">
      <c r="A121" s="0" t="s">
        <v>463</v>
      </c>
      <c r="B121" s="15" t="s">
        <v>464</v>
      </c>
      <c r="C121" s="0" t="n">
        <v>106</v>
      </c>
      <c r="E121" s="0" t="n">
        <v>9</v>
      </c>
      <c r="F121" s="0" t="s">
        <v>143</v>
      </c>
      <c r="G121" s="0" t="s">
        <v>445</v>
      </c>
      <c r="H121" s="0" t="s">
        <v>446</v>
      </c>
      <c r="I121" s="0" t="s">
        <v>92</v>
      </c>
      <c r="J121" s="0" t="n">
        <v>1833</v>
      </c>
      <c r="L121" s="0" t="n">
        <v>1865</v>
      </c>
      <c r="N121" s="0" t="n">
        <v>75</v>
      </c>
      <c r="P121" s="2" t="n">
        <v>11</v>
      </c>
      <c r="Q121" s="2" t="n">
        <v>16</v>
      </c>
      <c r="R121" s="2" t="n">
        <v>2</v>
      </c>
      <c r="S121" s="2" t="n">
        <v>50</v>
      </c>
      <c r="T121" s="18" t="n">
        <f aca="false">((($AB121/2)/60)*5280)/($U121*3.2*PI())</f>
        <v>109.419023375678</v>
      </c>
      <c r="U121" s="2" t="n">
        <v>1.52</v>
      </c>
      <c r="V121" s="2" t="n">
        <f aca="false">((($P121*$P121/4)*PI())*($Q121/12)*$R121*$S121*$T121)/(33000*1.1)</f>
        <v>38.1944444444444</v>
      </c>
      <c r="W121" s="0" t="n">
        <v>5</v>
      </c>
      <c r="X121" s="1" t="n">
        <v>3</v>
      </c>
      <c r="Z121" s="0" t="n">
        <v>11</v>
      </c>
      <c r="AA121" s="3" t="n">
        <f aca="false">IF(AND(W121&gt;0,Z121&gt;0),(Z121/((W121+X121)*10)),"")</f>
        <v>0.1375</v>
      </c>
      <c r="AB121" s="0" t="n">
        <v>38</v>
      </c>
      <c r="AC121" s="0" t="n">
        <f aca="false">ROUND(AB121*1.6, 0)</f>
        <v>61</v>
      </c>
      <c r="AG121" s="0" t="n">
        <v>8</v>
      </c>
      <c r="AJ121" s="4" t="n">
        <v>0</v>
      </c>
      <c r="AK121" s="0" t="str">
        <f aca="false">CONCATENATE(VLOOKUP(AL121, 'Voxel Sizes'!$A$2:$B$18,2,FALSE()),"x",INT(AH121*15), "x", INT(AI121*15))</f>
        <v>82x0x0</v>
      </c>
      <c r="AL121" s="0" t="n">
        <f aca="false">ROUND(15*((AG121*10)/256),0)</f>
        <v>5</v>
      </c>
      <c r="AM121" s="0" t="s">
        <v>100</v>
      </c>
      <c r="AN121" s="0" t="str">
        <f aca="false">CONCATENATE(VLOOKUP(AL121,Constants!$A$2:$C$16,IF(AM121&lt;&gt;"", 3, 2), FALSE()),IF(AM121&lt;&gt;"",CONCATENATE(",",VLOOKUP(AM121,$B:$AN,39,FALSE())),""))</f>
        <v>2,1,2,1,2,1</v>
      </c>
      <c r="AX121" s="0" t="n">
        <v>28</v>
      </c>
      <c r="AY121" s="16" t="n">
        <f aca="false">IF(L121&lt;&gt;"",MAX(16,(L121-J121)+8),"")</f>
        <v>40</v>
      </c>
      <c r="AZ121" s="0" t="n">
        <v>-16</v>
      </c>
      <c r="BA121" s="0" t="n">
        <v>-10</v>
      </c>
      <c r="BB121" s="0" t="n">
        <f aca="false">MIN(AB121/150, 1)*30</f>
        <v>7.6</v>
      </c>
      <c r="BC121" s="0" t="n">
        <f aca="false">MIN(N121/4000, 1)*20</f>
        <v>0.375</v>
      </c>
      <c r="BD121" s="0" t="n">
        <f aca="false">MIN(Z121/400,1)*20</f>
        <v>0.55</v>
      </c>
      <c r="BE121" s="3" t="n">
        <f aca="false">1-(MAX(J121-1900, 0)/750)</f>
        <v>1</v>
      </c>
      <c r="BF121" s="0" t="n">
        <f aca="false">((MAX($M121,1)*MIN($AJ121/300,1)))*IF(G121="Wagon",50,10)</f>
        <v>0</v>
      </c>
      <c r="BG121" s="0" t="n">
        <f aca="false">VLOOKUP($H121,Constants!$I:$K, 2, FALSE())</f>
        <v>1.15</v>
      </c>
      <c r="BH121" s="0" t="n">
        <f aca="false">VLOOKUP($H121,Constants!$I:$K, 3, FALSE())*IF(AND(G121="multiple_unit",AB121&lt;110),0.75,1)</f>
        <v>1.7</v>
      </c>
      <c r="BI121" s="0" t="n">
        <f aca="false">INT(POWER(((Constants!$G$2+$BB121+$BC121+$BD121+$BF121)*$BE121)*$BH121, 1.05))+$BA121</f>
        <v>16</v>
      </c>
      <c r="BJ121" s="0" t="n">
        <f aca="false">INT(POWER((((Constants!$G$1+$BB121+$BC121+$BD121+$BF121)*($BE121))*$BG121),IF($G121="wagon",1,1.2)))+$AZ121</f>
        <v>36</v>
      </c>
      <c r="BK121" s="17" t="n">
        <f aca="false">BI121*IF($G121="wagon",62.5,781.25)</f>
        <v>12500</v>
      </c>
      <c r="BL121" s="17" t="n">
        <f aca="false">BJ121*IF($G121="wagon",2.73,81.25)</f>
        <v>2925</v>
      </c>
      <c r="BV121" s="0" t="n">
        <v>9</v>
      </c>
      <c r="CA121" s="0" t="str">
        <f aca="false">VLOOKUP(J121,Eras!$A$2:$C$10, 2, TRUE())</f>
        <v>early</v>
      </c>
      <c r="CB121" s="0" t="s">
        <v>439</v>
      </c>
      <c r="CC121" s="0" t="str">
        <f aca="false">CONCATENATE(CA121,"_",CB121)</f>
        <v>early_Mixed Traffic</v>
      </c>
      <c r="CD121" s="0" t="str">
        <f aca="false">_xlfn.CONCAT(H121, "_",I121)</f>
        <v>steam_RAIL</v>
      </c>
      <c r="CE121" s="6" t="str">
        <f aca="false" t="array" ref="CE121:CE121">_xlfn.CONCAT("{BLACK}Length: {GOLD}", TEXT(ROUNDUP(IF(AQ121&lt;&gt;"",SUM(VALUE(_xlfn.TEXTSPLIT(AQ121, ","))), SUM(VALUE(_xlfn.TEXTSPLIT(AN121, ",")))*IF(M121, M121, 1))/16, 1), "#,##0.0"), " tiles{}")</f>
        <v>{BLACK}Length: {GOLD}0.6 tiles{}</v>
      </c>
      <c r="CF121" s="0" t="str">
        <f aca="false">VLOOKUP($CD121, Constants!$M:$N, 2, FALSE())</f>
        <v>{BLACK}Powered by: {GOLD}Steam</v>
      </c>
      <c r="CG121" s="0" t="str">
        <f aca="false">IF(M121&gt;1,_xlfn.CONCAT("{BLACK}Cars: {GOLD}", M121),"")</f>
        <v/>
      </c>
      <c r="CH121" s="0" t="s">
        <v>465</v>
      </c>
      <c r="CI121" s="0" t="str">
        <f aca="false">IF($BU121="!param_no_gameplay_units","{GREEN}Included for gameplay purposes","")</f>
        <v/>
      </c>
      <c r="CJ121" s="0" t="str">
        <f aca="false">IF(BX121="buffet","{YELLOW}25% long distance bonus for consist{}",IF(BZ121="BRAKE","{YELLOW}Speed bonus for slow wagons{}",IF(BW121&gt;190,CONCATENATE("{YELLOW}",INT((BW121-185)/1.85),"% bonus for long distance travel{}"),IF(AND(BW121&lt;180,BW121&lt;&gt;0),CONCATENATE("{YELLOW}",INT((185-BW121)/1.85),"% penalty for long distance travel{}"),""))))</f>
        <v/>
      </c>
      <c r="CK121" s="0" t="str">
        <f aca="false">_xlfn.CONCAT(CF121,IF(CF121&lt;&gt;""," ",""),CG121,IF(OR(CG121&lt;&gt;"",CF121&lt;&gt;""),"{}",""),CE121,CJ121,"{SILVER}",CH121,IF(CI121&lt;&gt;"","{}{}",""),CI121)</f>
        <v>{BLACK}Powered by: {GOLD}Steam {}{BLACK}Length: {GOLD}0.6 tiles{}{SILVER}The Patentee was an enlarged version of the Planet type with an additional trailing rear axle, making it more stable and allowing a larger firebox.</v>
      </c>
    </row>
    <row r="122" customFormat="false" ht="14.25" hidden="false" customHeight="false" outlineLevel="0" collapsed="false">
      <c r="A122" s="0" t="s">
        <v>466</v>
      </c>
      <c r="B122" s="15" t="s">
        <v>467</v>
      </c>
      <c r="C122" s="0" t="n">
        <v>107</v>
      </c>
      <c r="E122" s="0" t="n">
        <v>10</v>
      </c>
      <c r="F122" s="0" t="s">
        <v>143</v>
      </c>
      <c r="G122" s="0" t="s">
        <v>445</v>
      </c>
      <c r="H122" s="0" t="s">
        <v>446</v>
      </c>
      <c r="I122" s="0" t="s">
        <v>92</v>
      </c>
      <c r="J122" s="0" t="n">
        <v>1838</v>
      </c>
      <c r="L122" s="0" t="n">
        <v>1870</v>
      </c>
      <c r="N122" s="0" t="n">
        <v>100</v>
      </c>
      <c r="P122" s="2" t="n">
        <v>14</v>
      </c>
      <c r="Q122" s="2" t="n">
        <v>18</v>
      </c>
      <c r="R122" s="2" t="n">
        <v>2</v>
      </c>
      <c r="S122" s="2" t="n">
        <v>50</v>
      </c>
      <c r="T122" s="18" t="n">
        <f aca="false">((($AB122/2)/60)*5280)/($U122*3.2*PI())</f>
        <v>116.713624934057</v>
      </c>
      <c r="U122" s="2" t="n">
        <v>1.5</v>
      </c>
      <c r="V122" s="2" t="n">
        <f aca="false">((($P122*$P122/4)*PI())*($Q122/12)*$R122*$S122*$T122)/(33000*1.1)</f>
        <v>74.2424242424242</v>
      </c>
      <c r="W122" s="0" t="n">
        <v>8</v>
      </c>
      <c r="X122" s="1" t="n">
        <v>4</v>
      </c>
      <c r="Z122" s="0" t="n">
        <v>18</v>
      </c>
      <c r="AA122" s="3" t="n">
        <f aca="false">IF(AND(W122&gt;0,Z122&gt;0),(Z122/((W122+X122)*10)),"")</f>
        <v>0.15</v>
      </c>
      <c r="AB122" s="0" t="n">
        <v>40</v>
      </c>
      <c r="AC122" s="0" t="n">
        <f aca="false">ROUND(AB122*1.6, 0)</f>
        <v>64</v>
      </c>
      <c r="AG122" s="0" t="n">
        <v>8</v>
      </c>
      <c r="AJ122" s="4" t="n">
        <v>0</v>
      </c>
      <c r="AK122" s="0" t="str">
        <f aca="false">CONCATENATE(VLOOKUP(AL122, 'Voxel Sizes'!$A$2:$B$18,2,FALSE()),"x",INT(AH122*15), "x", INT(AI122*15))</f>
        <v>82x0x0</v>
      </c>
      <c r="AL122" s="0" t="n">
        <f aca="false">ROUND(15*((AG122*10)/256),0)</f>
        <v>5</v>
      </c>
      <c r="AM122" s="0" t="s">
        <v>102</v>
      </c>
      <c r="AN122" s="0" t="str">
        <f aca="false">CONCATENATE(VLOOKUP(AL122,Constants!$A$2:$C$16,IF(AM122&lt;&gt;"", 3, 2), FALSE()),IF(AM122&lt;&gt;"",CONCATENATE(",",VLOOKUP(AM122,$B:$AN,39,FALSE())),""))</f>
        <v>2,1,2,1,2,1</v>
      </c>
      <c r="AV122" s="0" t="n">
        <v>1</v>
      </c>
      <c r="AX122" s="0" t="n">
        <v>32</v>
      </c>
      <c r="AY122" s="16" t="n">
        <f aca="false">IF(L122&lt;&gt;"",MAX(16,(L122-J122)+8),"")</f>
        <v>40</v>
      </c>
      <c r="AZ122" s="0" t="n">
        <v>-5</v>
      </c>
      <c r="BA122" s="0" t="n">
        <v>-8</v>
      </c>
      <c r="BB122" s="0" t="n">
        <f aca="false">MIN(AB122/150, 1)*30</f>
        <v>8</v>
      </c>
      <c r="BC122" s="0" t="n">
        <f aca="false">MIN(N122/4000, 1)*20</f>
        <v>0.5</v>
      </c>
      <c r="BD122" s="0" t="n">
        <f aca="false">MIN(Z122/400,1)*20</f>
        <v>0.9</v>
      </c>
      <c r="BE122" s="3" t="n">
        <f aca="false">1-(MAX(J122-1900, 0)/750)</f>
        <v>1</v>
      </c>
      <c r="BF122" s="0" t="n">
        <f aca="false">((MAX($M122,1)*MIN($AJ122/300,1)))*IF(G122="Wagon",50,10)</f>
        <v>0</v>
      </c>
      <c r="BG122" s="0" t="n">
        <f aca="false">VLOOKUP($H122,Constants!$I:$K, 2, FALSE())</f>
        <v>1.15</v>
      </c>
      <c r="BH122" s="0" t="n">
        <f aca="false">VLOOKUP($H122,Constants!$I:$K, 3, FALSE())*IF(AND(G122="multiple_unit",AB122&lt;110),0.75,1)</f>
        <v>1.7</v>
      </c>
      <c r="BI122" s="0" t="n">
        <f aca="false">INT(POWER(((Constants!$G$2+$BB122+$BC122+$BD122+$BF122)*$BE122)*$BH122, 1.05))+$BA122</f>
        <v>20</v>
      </c>
      <c r="BJ122" s="0" t="n">
        <f aca="false">INT(POWER((((Constants!$G$1+$BB122+$BC122+$BD122+$BF122)*($BE122))*$BG122),IF($G122="wagon",1,1.2)))+$AZ122</f>
        <v>49</v>
      </c>
      <c r="BK122" s="17" t="n">
        <f aca="false">BI122*IF($G122="wagon",62.5,781.25)</f>
        <v>15625</v>
      </c>
      <c r="BL122" s="17" t="n">
        <f aca="false">BJ122*IF($G122="wagon",2.73,81.25)</f>
        <v>3981.25</v>
      </c>
      <c r="BV122" s="0" t="n">
        <v>5</v>
      </c>
      <c r="CA122" s="0" t="str">
        <f aca="false">VLOOKUP(J122,Eras!$A$2:$C$10, 2, TRUE())</f>
        <v>early</v>
      </c>
      <c r="CB122" s="0" t="s">
        <v>439</v>
      </c>
      <c r="CC122" s="0" t="str">
        <f aca="false">CONCATENATE(CA122,"_",CB122)</f>
        <v>early_Mixed Traffic</v>
      </c>
      <c r="CD122" s="0" t="str">
        <f aca="false">_xlfn.CONCAT(H122, "_",I122)</f>
        <v>steam_RAIL</v>
      </c>
      <c r="CE122" s="6" t="str">
        <f aca="false" t="array" ref="CE122:CE122">_xlfn.CONCAT("{BLACK}Length: {GOLD}", TEXT(ROUNDUP(IF(AQ122&lt;&gt;"",SUM(VALUE(_xlfn.TEXTSPLIT(AQ122, ","))), SUM(VALUE(_xlfn.TEXTSPLIT(AN122, ",")))*IF(M122, M122, 1))/16, 1), "#,##0.0"), " tiles{}")</f>
        <v>{BLACK}Length: {GOLD}0.6 tiles{}</v>
      </c>
      <c r="CF122" s="0" t="str">
        <f aca="false">VLOOKUP($CD122, Constants!$M:$N, 2, FALSE())</f>
        <v>{BLACK}Powered by: {GOLD}Steam</v>
      </c>
      <c r="CG122" s="0" t="str">
        <f aca="false">IF(M122&gt;1,_xlfn.CONCAT("{BLACK}Cars: {GOLD}", M122),"")</f>
        <v/>
      </c>
      <c r="CH122" s="0" t="s">
        <v>468</v>
      </c>
      <c r="CI122" s="0" t="str">
        <f aca="false">IF($BU122="!param_no_gameplay_units","{GREEN}Included for gameplay purposes","")</f>
        <v/>
      </c>
      <c r="CJ122" s="0" t="str">
        <f aca="false">IF(BX122="buffet","{YELLOW}25% long distance bonus for consist{}",IF(BZ122="BRAKE","{YELLOW}Speed bonus for slow wagons{}",IF(BW122&gt;190,CONCATENATE("{YELLOW}",INT((BW122-185)/1.85),"% bonus for long distance travel{}"),IF(AND(BW122&lt;180,BW122&lt;&gt;0),CONCATENATE("{YELLOW}",INT((185-BW122)/1.85),"% penalty for long distance travel{}"),""))))</f>
        <v/>
      </c>
      <c r="CK122" s="0" t="str">
        <f aca="false">_xlfn.CONCAT(CF122,IF(CF122&lt;&gt;""," ",""),CG122,IF(OR(CG122&lt;&gt;"",CF122&lt;&gt;""),"{}",""),CE122,CJ122,"{SILVER}",CH122,IF(CI122&lt;&gt;"","{}{}",""),CI122)</f>
        <v>{BLACK}Powered by: {GOLD}Steam {}{BLACK}Length: {GOLD}0.6 tiles{}{SILVER}The Liverpool and Manchester Railway's "Lion" is most famous for its appearance in the 1953 film "The Titfield Thunderbolt", in which it sustained a dent which can still be seen today.</v>
      </c>
    </row>
    <row r="123" customFormat="false" ht="14.25" hidden="false" customHeight="false" outlineLevel="0" collapsed="false">
      <c r="A123" s="0" t="s">
        <v>469</v>
      </c>
      <c r="B123" s="15" t="s">
        <v>470</v>
      </c>
      <c r="C123" s="0" t="n">
        <v>108</v>
      </c>
      <c r="E123" s="0" t="n">
        <v>11</v>
      </c>
      <c r="F123" s="0" t="s">
        <v>143</v>
      </c>
      <c r="G123" s="0" t="s">
        <v>445</v>
      </c>
      <c r="H123" s="0" t="s">
        <v>446</v>
      </c>
      <c r="I123" s="0" t="s">
        <v>92</v>
      </c>
      <c r="J123" s="0" t="n">
        <v>1846</v>
      </c>
      <c r="L123" s="0" t="n">
        <v>1900</v>
      </c>
      <c r="N123" s="0" t="n">
        <v>250</v>
      </c>
      <c r="P123" s="2" t="n">
        <v>14</v>
      </c>
      <c r="Q123" s="2" t="n">
        <v>24</v>
      </c>
      <c r="R123" s="2" t="n">
        <v>2</v>
      </c>
      <c r="S123" s="2" t="n">
        <v>110</v>
      </c>
      <c r="T123" s="18" t="n">
        <f aca="false">((($AB123/2)/60)*5280)/($U123*3.2*PI())</f>
        <v>121.576692639642</v>
      </c>
      <c r="U123" s="2" t="n">
        <v>1.44</v>
      </c>
      <c r="V123" s="2" t="n">
        <f aca="false">((($P123*$P123/4)*PI())*($Q123/12)*$R123*$S123*$T123)/(33000*1.1)</f>
        <v>226.851851851852</v>
      </c>
      <c r="W123" s="0" t="n">
        <v>19</v>
      </c>
      <c r="X123" s="1" t="n">
        <v>11</v>
      </c>
      <c r="Z123" s="0" t="n">
        <v>34</v>
      </c>
      <c r="AA123" s="3" t="n">
        <f aca="false">IF(AND(W123&gt;0,Z123&gt;0),(Z123/((W123+X123)*10)),"")</f>
        <v>0.113333333333333</v>
      </c>
      <c r="AB123" s="0" t="n">
        <v>40</v>
      </c>
      <c r="AC123" s="0" t="n">
        <f aca="false">ROUND(AB123*1.6, 0)</f>
        <v>64</v>
      </c>
      <c r="AG123" s="0" t="n">
        <v>8</v>
      </c>
      <c r="AJ123" s="4" t="n">
        <v>0</v>
      </c>
      <c r="AK123" s="0" t="str">
        <f aca="false">CONCATENATE(VLOOKUP(AL123, 'Voxel Sizes'!$A$2:$B$18,2,FALSE()),"x",INT(AH123*15), "x", INT(AI123*15))</f>
        <v>82x0x0</v>
      </c>
      <c r="AL123" s="0" t="n">
        <f aca="false">ROUND(15*((AG123*10)/256),0)</f>
        <v>5</v>
      </c>
      <c r="AM123" s="0" t="s">
        <v>104</v>
      </c>
      <c r="AN123" s="0" t="str">
        <f aca="false">CONCATENATE(VLOOKUP(AL123,Constants!$A$2:$C$16,IF(AM123&lt;&gt;"", 3, 2), FALSE()),IF(AM123&lt;&gt;"",CONCATENATE(",",VLOOKUP(AM123,$B:$AN,39,FALSE())),""))</f>
        <v>2,1,2,1,2,1</v>
      </c>
      <c r="AV123" s="0" t="n">
        <v>1</v>
      </c>
      <c r="AX123" s="0" t="n">
        <v>30</v>
      </c>
      <c r="AY123" s="16" t="n">
        <f aca="false">IF(L123&lt;&gt;"",MAX(16,(L123-J123)+8),"")</f>
        <v>62</v>
      </c>
      <c r="BA123" s="0" t="n">
        <v>-5</v>
      </c>
      <c r="BB123" s="0" t="n">
        <f aca="false">MIN(AB123/150, 1)*30</f>
        <v>8</v>
      </c>
      <c r="BC123" s="0" t="n">
        <f aca="false">MIN(N123/4000, 1)*20</f>
        <v>1.25</v>
      </c>
      <c r="BD123" s="0" t="n">
        <f aca="false">MIN(Z123/400,1)*20</f>
        <v>1.7</v>
      </c>
      <c r="BE123" s="3" t="n">
        <f aca="false">1-(MAX(J123-1900, 0)/750)</f>
        <v>1</v>
      </c>
      <c r="BF123" s="0" t="n">
        <f aca="false">((MAX($M123,1)*MIN($AJ123/300,1)))*IF(G123="Wagon",50,10)</f>
        <v>0</v>
      </c>
      <c r="BG123" s="0" t="n">
        <f aca="false">VLOOKUP($H123,Constants!$I:$K, 2, FALSE())</f>
        <v>1.15</v>
      </c>
      <c r="BH123" s="0" t="n">
        <f aca="false">VLOOKUP($H123,Constants!$I:$K, 3, FALSE())*IF(AND(G123="multiple_unit",AB123&lt;110),0.75,1)</f>
        <v>1.7</v>
      </c>
      <c r="BI123" s="0" t="n">
        <f aca="false">INT(POWER(((Constants!$G$2+$BB123+$BC123+$BD123+$BF123)*$BE123)*$BH123, 1.05))+$BA123</f>
        <v>26</v>
      </c>
      <c r="BJ123" s="0" t="n">
        <f aca="false">INT(POWER((((Constants!$G$1+$BB123+$BC123+$BD123+$BF123)*($BE123))*$BG123),IF($G123="wagon",1,1.2)))+$AZ123</f>
        <v>58</v>
      </c>
      <c r="BK123" s="17" t="n">
        <f aca="false">BI123*IF($G123="wagon",62.5,781.25)</f>
        <v>20312.5</v>
      </c>
      <c r="BL123" s="17" t="n">
        <f aca="false">BJ123*IF($G123="wagon",2.73,81.25)</f>
        <v>4712.5</v>
      </c>
      <c r="BV123" s="0" t="n">
        <v>7</v>
      </c>
      <c r="CA123" s="0" t="str">
        <f aca="false">VLOOKUP(J123,Eras!$A$2:$C$10, 2, TRUE())</f>
        <v>early</v>
      </c>
      <c r="CB123" s="0" t="s">
        <v>439</v>
      </c>
      <c r="CC123" s="0" t="str">
        <f aca="false">CONCATENATE(CA123,"_",CB123)</f>
        <v>early_Mixed Traffic</v>
      </c>
      <c r="CD123" s="0" t="str">
        <f aca="false">_xlfn.CONCAT(H123, "_",I123)</f>
        <v>steam_RAIL</v>
      </c>
      <c r="CE123" s="6" t="str">
        <f aca="false" t="array" ref="CE123:CE123">_xlfn.CONCAT("{BLACK}Length: {GOLD}", TEXT(ROUNDUP(IF(AQ123&lt;&gt;"",SUM(VALUE(_xlfn.TEXTSPLIT(AQ123, ","))), SUM(VALUE(_xlfn.TEXTSPLIT(AN123, ",")))*IF(M123, M123, 1))/16, 1), "#,##0.0"), " tiles{}")</f>
        <v>{BLACK}Length: {GOLD}0.6 tiles{}</v>
      </c>
      <c r="CF123" s="0" t="str">
        <f aca="false">VLOOKUP($CD123, Constants!$M:$N, 2, FALSE())</f>
        <v>{BLACK}Powered by: {GOLD}Steam</v>
      </c>
      <c r="CG123" s="0" t="str">
        <f aca="false">IF(M123&gt;1,_xlfn.CONCAT("{BLACK}Cars: {GOLD}", M123),"")</f>
        <v/>
      </c>
      <c r="CH123" s="0" t="s">
        <v>471</v>
      </c>
      <c r="CI123" s="0" t="str">
        <f aca="false">IF($BU123="!param_no_gameplay_units","{GREEN}Included for gameplay purposes","")</f>
        <v/>
      </c>
      <c r="CJ123" s="0" t="str">
        <f aca="false">IF(BX123="buffet","{YELLOW}25% long distance bonus for consist{}",IF(BZ123="BRAKE","{YELLOW}Speed bonus for slow wagons{}",IF(BW123&gt;190,CONCATENATE("{YELLOW}",INT((BW123-185)/1.85),"% bonus for long distance travel{}"),IF(AND(BW123&lt;180,BW123&lt;&gt;0),CONCATENATE("{YELLOW}",INT((185-BW123)/1.85),"% penalty for long distance travel{}"),""))))</f>
        <v/>
      </c>
      <c r="CK123" s="0" t="str">
        <f aca="false">_xlfn.CONCAT(CF123,IF(CF123&lt;&gt;""," ",""),CG123,IF(OR(CG123&lt;&gt;"",CF123&lt;&gt;""),"{}",""),CE123,CJ123,"{SILVER}",CH123,IF(CI123&lt;&gt;"","{}{}",""),CI123)</f>
        <v>{BLACK}Powered by: {GOLD}Steam {}{BLACK}Length: {GOLD}0.6 tiles{}{SILVER}Bury's bar frame locomotives used iron frames between the wheels to reduce weight. The "Coppernob" was named for its copper-plated firebox.</v>
      </c>
    </row>
    <row r="124" customFormat="false" ht="14.25" hidden="false" customHeight="false" outlineLevel="0" collapsed="false">
      <c r="A124" s="0" t="s">
        <v>472</v>
      </c>
      <c r="B124" s="15" t="s">
        <v>473</v>
      </c>
      <c r="C124" s="0" t="n">
        <v>109</v>
      </c>
      <c r="E124" s="0" t="n">
        <v>12</v>
      </c>
      <c r="F124" s="0" t="s">
        <v>143</v>
      </c>
      <c r="G124" s="0" t="s">
        <v>445</v>
      </c>
      <c r="H124" s="0" t="s">
        <v>446</v>
      </c>
      <c r="I124" s="0" t="s">
        <v>92</v>
      </c>
      <c r="J124" s="0" t="n">
        <v>1847</v>
      </c>
      <c r="L124" s="0" t="n">
        <v>1885</v>
      </c>
      <c r="N124" s="0" t="n">
        <v>300</v>
      </c>
      <c r="P124" s="2" t="n">
        <v>14</v>
      </c>
      <c r="Q124" s="2" t="n">
        <v>24</v>
      </c>
      <c r="R124" s="2" t="n">
        <v>2</v>
      </c>
      <c r="S124" s="2" t="n">
        <v>130</v>
      </c>
      <c r="T124" s="18" t="n">
        <f aca="false">((($AB124/2)/60)*5280)/($U124*3.2*PI())</f>
        <v>131.302828050814</v>
      </c>
      <c r="U124" s="2" t="n">
        <v>2</v>
      </c>
      <c r="V124" s="2" t="n">
        <f aca="false">((($P124*$P124/4)*PI())*($Q124/12)*$R124*$S124*$T124)/(33000*1.1)</f>
        <v>289.545454545455</v>
      </c>
      <c r="W124" s="0" t="n">
        <v>21</v>
      </c>
      <c r="X124" s="1" t="n">
        <v>11</v>
      </c>
      <c r="Z124" s="0" t="n">
        <v>28</v>
      </c>
      <c r="AA124" s="3" t="n">
        <f aca="false">IF(AND(W124&gt;0,Z124&gt;0),(Z124/((W124+X124)*10)),"")</f>
        <v>0.0875</v>
      </c>
      <c r="AB124" s="0" t="n">
        <v>60</v>
      </c>
      <c r="AC124" s="0" t="n">
        <f aca="false">ROUND(AB124*1.6, 0)</f>
        <v>96</v>
      </c>
      <c r="AF124" s="0" t="n">
        <v>8</v>
      </c>
      <c r="AG124" s="0" t="n">
        <v>8</v>
      </c>
      <c r="AJ124" s="4" t="n">
        <v>0</v>
      </c>
      <c r="AK124" s="0" t="str">
        <f aca="false">CONCATENATE(VLOOKUP(AL124, 'Voxel Sizes'!$A$2:$B$18,2,FALSE()),"x",INT(AH124*15), "x", INT(AI124*15))</f>
        <v>82x0x0</v>
      </c>
      <c r="AL124" s="0" t="n">
        <f aca="false">ROUND(15*((AG124*10)/256),0)</f>
        <v>5</v>
      </c>
      <c r="AM124" s="0" t="s">
        <v>102</v>
      </c>
      <c r="AN124" s="0" t="str">
        <f aca="false">CONCATENATE(VLOOKUP(AL124,Constants!$A$2:$C$16,IF(AM124&lt;&gt;"", 3, 2), FALSE()),IF(AM124&lt;&gt;"",CONCATENATE(",",VLOOKUP(AM124,$B:$AN,39,FALSE())),""))</f>
        <v>2,1,2,1,2,1</v>
      </c>
      <c r="AV124" s="0" t="n">
        <v>1</v>
      </c>
      <c r="AX124" s="0" t="n">
        <v>28</v>
      </c>
      <c r="AY124" s="16" t="n">
        <f aca="false">IF(L124&lt;&gt;"",MAX(16,(L124-J124)+8),"")</f>
        <v>46</v>
      </c>
      <c r="BA124" s="0" t="n">
        <v>-5</v>
      </c>
      <c r="BB124" s="0" t="n">
        <f aca="false">MIN(AB124/150, 1)*30</f>
        <v>12</v>
      </c>
      <c r="BC124" s="0" t="n">
        <f aca="false">MIN(N124/4000, 1)*20</f>
        <v>1.5</v>
      </c>
      <c r="BD124" s="0" t="n">
        <f aca="false">MIN(Z124/400,1)*20</f>
        <v>1.4</v>
      </c>
      <c r="BE124" s="3" t="n">
        <f aca="false">1-(MAX(J124-1900, 0)/750)</f>
        <v>1</v>
      </c>
      <c r="BF124" s="0" t="n">
        <f aca="false">((MAX($M124,1)*MIN($AJ124/300,1)))*IF(G124="Wagon",50,10)</f>
        <v>0</v>
      </c>
      <c r="BG124" s="0" t="n">
        <f aca="false">VLOOKUP($H124,Constants!$I:$K, 2, FALSE())</f>
        <v>1.15</v>
      </c>
      <c r="BH124" s="0" t="n">
        <f aca="false">VLOOKUP($H124,Constants!$I:$K, 3, FALSE())*IF(AND(G124="multiple_unit",AB124&lt;110),0.75,1)</f>
        <v>1.7</v>
      </c>
      <c r="BI124" s="0" t="n">
        <f aca="false">INT(POWER(((Constants!$G$2+$BB124+$BC124+$BD124+$BF124)*$BE124)*$BH124, 1.05))+$BA124</f>
        <v>35</v>
      </c>
      <c r="BJ124" s="0" t="n">
        <f aca="false">INT(POWER((((Constants!$G$1+$BB124+$BC124+$BD124+$BF124)*($BE124))*$BG124),IF($G124="wagon",1,1.2)))+$AZ124</f>
        <v>69</v>
      </c>
      <c r="BK124" s="17" t="n">
        <f aca="false">BI124*IF($G124="wagon",62.5,781.25)</f>
        <v>27343.75</v>
      </c>
      <c r="BL124" s="17" t="n">
        <f aca="false">BJ124*IF($G124="wagon",2.73,81.25)</f>
        <v>5606.25</v>
      </c>
      <c r="BV124" s="0" t="n">
        <v>9</v>
      </c>
      <c r="CA124" s="0" t="str">
        <f aca="false">VLOOKUP(J124,Eras!$A$2:$C$10, 2, TRUE())</f>
        <v>early</v>
      </c>
      <c r="CB124" s="0" t="s">
        <v>474</v>
      </c>
      <c r="CC124" s="0" t="str">
        <f aca="false">CONCATENATE(CA124,"_",CB124)</f>
        <v>early_Express</v>
      </c>
      <c r="CD124" s="0" t="str">
        <f aca="false">_xlfn.CONCAT(H124, "_",I124)</f>
        <v>steam_RAIL</v>
      </c>
      <c r="CE124" s="6" t="str">
        <f aca="false" t="array" ref="CE124:CE124">_xlfn.CONCAT("{BLACK}Length: {GOLD}", TEXT(ROUNDUP(IF(AQ124&lt;&gt;"",SUM(VALUE(_xlfn.TEXTSPLIT(AQ124, ","))), SUM(VALUE(_xlfn.TEXTSPLIT(AN124, ",")))*IF(M124, M124, 1))/16, 1), "#,##0.0"), " tiles{}")</f>
        <v>{BLACK}Length: {GOLD}0.6 tiles{}</v>
      </c>
      <c r="CF124" s="0" t="str">
        <f aca="false">VLOOKUP($CD124, Constants!$M:$N, 2, FALSE())</f>
        <v>{BLACK}Powered by: {GOLD}Steam</v>
      </c>
      <c r="CG124" s="0" t="str">
        <f aca="false">IF(M124&gt;1,_xlfn.CONCAT("{BLACK}Cars: {GOLD}", M124),"")</f>
        <v/>
      </c>
      <c r="CH124" s="0" t="s">
        <v>475</v>
      </c>
      <c r="CI124" s="0" t="str">
        <f aca="false">IF($BU124="!param_no_gameplay_units","{GREEN}Included for gameplay purposes","")</f>
        <v/>
      </c>
      <c r="CJ124" s="0" t="str">
        <f aca="false">IF(BX124="buffet","{YELLOW}25% long distance bonus for consist{}",IF(BZ124="BRAKE","{YELLOW}Speed bonus for slow wagons{}",IF(BW124&gt;190,CONCATENATE("{YELLOW}",INT((BW124-185)/1.85),"% bonus for long distance travel{}"),IF(AND(BW124&lt;180,BW124&lt;&gt;0),CONCATENATE("{YELLOW}",INT((185-BW124)/1.85),"% penalty for long distance travel{}"),""))))</f>
        <v/>
      </c>
      <c r="CK124" s="0" t="str">
        <f aca="false">_xlfn.CONCAT(CF124,IF(CF124&lt;&gt;""," ",""),CG124,IF(OR(CG124&lt;&gt;"",CF124&lt;&gt;""),"{}",""),CE124,CJ124,"{SILVER}",CH124,IF(CI124&lt;&gt;"","{}{}",""),CI124)</f>
        <v>{BLACK}Powered by: {GOLD}Steam {}{BLACK}Length: {GOLD}0.6 tiles{}{SILVER}Crampton locomotives were designed for a low centre of gravity, to run at higher speeds on standard gauge track. Features included large driving wheels and an oval boiler.</v>
      </c>
    </row>
    <row r="125" customFormat="false" ht="14.25" hidden="false" customHeight="false" outlineLevel="0" collapsed="false">
      <c r="A125" s="0" t="s">
        <v>476</v>
      </c>
      <c r="B125" s="15" t="s">
        <v>477</v>
      </c>
      <c r="C125" s="0" t="n">
        <v>110</v>
      </c>
      <c r="E125" s="0" t="n">
        <v>13</v>
      </c>
      <c r="F125" s="0" t="s">
        <v>143</v>
      </c>
      <c r="G125" s="0" t="s">
        <v>445</v>
      </c>
      <c r="H125" s="0" t="s">
        <v>446</v>
      </c>
      <c r="I125" s="0" t="s">
        <v>92</v>
      </c>
      <c r="J125" s="0" t="n">
        <v>1852</v>
      </c>
      <c r="L125" s="0" t="n">
        <v>1923</v>
      </c>
      <c r="N125" s="0" t="n">
        <v>500</v>
      </c>
      <c r="P125" s="2" t="n">
        <v>17</v>
      </c>
      <c r="Q125" s="2" t="n">
        <v>26</v>
      </c>
      <c r="R125" s="2" t="n">
        <v>2</v>
      </c>
      <c r="S125" s="2" t="n">
        <v>140</v>
      </c>
      <c r="T125" s="18" t="n">
        <f aca="false">((($AB125/2)/60)*5280)/($U125*3.2*PI())</f>
        <v>145.892031167571</v>
      </c>
      <c r="U125" s="2" t="n">
        <v>1.5</v>
      </c>
      <c r="V125" s="2" t="n">
        <f aca="false">((($P125*$P125/4)*PI())*($Q125/12)*$R125*$S125*$T125)/(33000*1.1)</f>
        <v>553.430134680135</v>
      </c>
      <c r="W125" s="0" t="n">
        <v>36</v>
      </c>
      <c r="X125" s="1" t="n">
        <v>22.5</v>
      </c>
      <c r="Z125" s="0" t="n">
        <v>65</v>
      </c>
      <c r="AA125" s="3" t="n">
        <f aca="false">IF(AND(W125&gt;0,Z125&gt;0),(Z125/((W125+X125)*10)),"")</f>
        <v>0.111111111111111</v>
      </c>
      <c r="AB125" s="0" t="n">
        <v>50</v>
      </c>
      <c r="AC125" s="0" t="n">
        <f aca="false">ROUND(AB125*1.6, 0)</f>
        <v>80</v>
      </c>
      <c r="AG125" s="0" t="n">
        <v>10</v>
      </c>
      <c r="AJ125" s="4" t="n">
        <v>0</v>
      </c>
      <c r="AK125" s="0" t="str">
        <f aca="false">CONCATENATE(VLOOKUP(AL125, 'Voxel Sizes'!$A$2:$B$18,2,FALSE()),"x",INT(AH125*15), "x", INT(AI125*15))</f>
        <v>102x0x0</v>
      </c>
      <c r="AL125" s="0" t="n">
        <f aca="false">ROUND(15*((AG125*10)/256),0)</f>
        <v>6</v>
      </c>
      <c r="AM125" s="0" t="s">
        <v>106</v>
      </c>
      <c r="AN125" s="0" t="str">
        <f aca="false">CONCATENATE(VLOOKUP(AL125,Constants!$A$2:$C$16,IF(AM125&lt;&gt;"", 3, 2), FALSE()),IF(AM125&lt;&gt;"",CONCATENATE(",",VLOOKUP(AM125,$B:$AN,39,FALSE())),""))</f>
        <v>2,2,2,1,2,1</v>
      </c>
      <c r="AV125" s="0" t="n">
        <v>1</v>
      </c>
      <c r="AX125" s="0" t="n">
        <v>30</v>
      </c>
      <c r="AY125" s="16" t="n">
        <f aca="false">IF(L125&lt;&gt;"",MAX(16,(L125-J125)+8),"")</f>
        <v>79</v>
      </c>
      <c r="BB125" s="0" t="n">
        <f aca="false">MIN(AB125/150, 1)*30</f>
        <v>10</v>
      </c>
      <c r="BC125" s="0" t="n">
        <f aca="false">MIN(N125/4000, 1)*20</f>
        <v>2.5</v>
      </c>
      <c r="BD125" s="0" t="n">
        <f aca="false">MIN(Z125/400,1)*20</f>
        <v>3.25</v>
      </c>
      <c r="BE125" s="3" t="n">
        <f aca="false">1-(MAX(J125-1900, 0)/750)</f>
        <v>1</v>
      </c>
      <c r="BF125" s="0" t="n">
        <f aca="false">((MAX($M125,1)*MIN($AJ125/300,1)))*IF(G125="Wagon",50,10)</f>
        <v>0</v>
      </c>
      <c r="BG125" s="0" t="n">
        <f aca="false">VLOOKUP($H125,Constants!$I:$K, 2, FALSE())</f>
        <v>1.15</v>
      </c>
      <c r="BH125" s="0" t="n">
        <f aca="false">VLOOKUP($H125,Constants!$I:$K, 3, FALSE())*IF(AND(G125="multiple_unit",AB125&lt;110),0.75,1)</f>
        <v>1.7</v>
      </c>
      <c r="BI125" s="0" t="n">
        <f aca="false">INT(POWER(((Constants!$G$2+$BB125+$BC125+$BD125+$BF125)*$BE125)*$BH125, 1.05))+$BA125</f>
        <v>42</v>
      </c>
      <c r="BJ125" s="0" t="n">
        <f aca="false">INT(POWER((((Constants!$G$1+$BB125+$BC125+$BD125+$BF125)*($BE125))*$BG125),IF($G125="wagon",1,1.2)))+$AZ125</f>
        <v>72</v>
      </c>
      <c r="BK125" s="17" t="n">
        <f aca="false">BI125*IF($G125="wagon",62.5,781.25)</f>
        <v>32812.5</v>
      </c>
      <c r="BL125" s="17" t="n">
        <f aca="false">BJ125*IF($G125="wagon",2.73,81.25)</f>
        <v>5850</v>
      </c>
      <c r="BV125" s="0" t="n">
        <v>10</v>
      </c>
      <c r="CA125" s="0" t="str">
        <f aca="false">VLOOKUP(J125,Eras!$A$2:$C$10, 2, TRUE())</f>
        <v>vct</v>
      </c>
      <c r="CB125" s="0" t="s">
        <v>478</v>
      </c>
      <c r="CC125" s="0" t="str">
        <f aca="false">CONCATENATE(CA125,"_",CB125)</f>
        <v>vct_Freight</v>
      </c>
      <c r="CD125" s="0" t="str">
        <f aca="false">_xlfn.CONCAT(H125, "_",I125)</f>
        <v>steam_RAIL</v>
      </c>
      <c r="CE125" s="6" t="str">
        <f aca="false" t="array" ref="CE125:CE125">_xlfn.CONCAT("{BLACK}Length: {GOLD}", TEXT(ROUNDUP(IF(AQ125&lt;&gt;"",SUM(VALUE(_xlfn.TEXTSPLIT(AQ125, ","))), SUM(VALUE(_xlfn.TEXTSPLIT(AN125, ",")))*IF(M125, M125, 1))/16, 1), "#,##0.0"), " tiles{}")</f>
        <v>{BLACK}Length: {GOLD}0.7 tiles{}</v>
      </c>
      <c r="CF125" s="0" t="str">
        <f aca="false">VLOOKUP($CD125, Constants!$M:$N, 2, FALSE())</f>
        <v>{BLACK}Powered by: {GOLD}Steam</v>
      </c>
      <c r="CG125" s="0" t="str">
        <f aca="false">IF(M125&gt;1,_xlfn.CONCAT("{BLACK}Cars: {GOLD}", M125),"")</f>
        <v/>
      </c>
      <c r="CH125" s="0" t="s">
        <v>479</v>
      </c>
      <c r="CI125" s="0" t="str">
        <f aca="false">IF($BU125="!param_no_gameplay_units","{GREEN}Included for gameplay purposes","")</f>
        <v/>
      </c>
      <c r="CJ125" s="0" t="str">
        <f aca="false">IF(BX125="buffet","{YELLOW}25% long distance bonus for consist{}",IF(BZ125="BRAKE","{YELLOW}Speed bonus for slow wagons{}",IF(BW125&gt;190,CONCATENATE("{YELLOW}",INT((BW125-185)/1.85),"% bonus for long distance travel{}"),IF(AND(BW125&lt;180,BW125&lt;&gt;0),CONCATENATE("{YELLOW}",INT((185-BW125)/1.85),"% penalty for long distance travel{}"),""))))</f>
        <v/>
      </c>
      <c r="CK125" s="0" t="str">
        <f aca="false">_xlfn.CONCAT(CF125,IF(CF125&lt;&gt;""," ",""),CG125,IF(OR(CG125&lt;&gt;"",CF125&lt;&gt;""),"{}",""),CE125,CJ125,"{SILVER}",CH125,IF(CI125&lt;&gt;"","{}{}",""),CI125)</f>
        <v>{BLACK}Powered by: {GOLD}Steam {}{BLACK}Length: {GOLD}0.7 tiles{}{SILVER}The NER 1001 Class is typical of a "long boiler" freight engine, with a small firebox mounted behind the rear axle.</v>
      </c>
    </row>
    <row r="126" customFormat="false" ht="14.25" hidden="false" customHeight="false" outlineLevel="0" collapsed="false">
      <c r="A126" s="0" t="s">
        <v>480</v>
      </c>
      <c r="B126" s="15" t="s">
        <v>481</v>
      </c>
      <c r="C126" s="0" t="n">
        <v>111</v>
      </c>
      <c r="E126" s="0" t="n">
        <v>14</v>
      </c>
      <c r="F126" s="0" t="s">
        <v>143</v>
      </c>
      <c r="G126" s="0" t="s">
        <v>445</v>
      </c>
      <c r="H126" s="0" t="s">
        <v>446</v>
      </c>
      <c r="I126" s="0" t="s">
        <v>92</v>
      </c>
      <c r="J126" s="0" t="n">
        <v>1858</v>
      </c>
      <c r="L126" s="0" t="n">
        <v>1930</v>
      </c>
      <c r="N126" s="0" t="n">
        <v>450</v>
      </c>
      <c r="P126" s="2" t="n">
        <v>17</v>
      </c>
      <c r="Q126" s="2" t="n">
        <v>24</v>
      </c>
      <c r="R126" s="2" t="n">
        <v>2</v>
      </c>
      <c r="S126" s="2" t="n">
        <v>120</v>
      </c>
      <c r="T126" s="18" t="n">
        <f aca="false">((($AB126/2)/60)*5280)/($U126*3.2*PI())</f>
        <v>111.15583327053</v>
      </c>
      <c r="U126" s="2" t="n">
        <v>1.575</v>
      </c>
      <c r="V126" s="2" t="n">
        <f aca="false">((($P126*$P126/4)*PI())*($Q126/12)*$R126*$S126*$T126)/(33000*1.1)</f>
        <v>333.621933621934</v>
      </c>
      <c r="W126" s="0" t="n">
        <v>19</v>
      </c>
      <c r="X126" s="1" t="n">
        <v>10</v>
      </c>
      <c r="Z126" s="0" t="n">
        <v>51</v>
      </c>
      <c r="AA126" s="3" t="n">
        <f aca="false">IF(AND(W126&gt;0,Z126&gt;0),(Z126/((W126+X126)*10)),"")</f>
        <v>0.175862068965517</v>
      </c>
      <c r="AB126" s="0" t="n">
        <v>40</v>
      </c>
      <c r="AC126" s="0" t="n">
        <f aca="false">ROUND(AB126*1.6, 0)</f>
        <v>64</v>
      </c>
      <c r="AG126" s="0" t="n">
        <v>10</v>
      </c>
      <c r="AJ126" s="4" t="n">
        <v>0</v>
      </c>
      <c r="AK126" s="0" t="str">
        <f aca="false">CONCATENATE(VLOOKUP(AL126, 'Voxel Sizes'!$A$2:$B$18,2,FALSE()),"x",INT(AH126*15), "x", INT(AI126*15))</f>
        <v>102x0x0</v>
      </c>
      <c r="AL126" s="0" t="n">
        <f aca="false">ROUND(15*((AG126*10)/256),0)</f>
        <v>6</v>
      </c>
      <c r="AM126" s="0" t="s">
        <v>108</v>
      </c>
      <c r="AN126" s="0" t="str">
        <f aca="false">CONCATENATE(VLOOKUP(AL126,Constants!$A$2:$C$16,IF(AM126&lt;&gt;"", 3, 2), FALSE()),IF(AM126&lt;&gt;"",CONCATENATE(",",VLOOKUP(AM126,$B:$AN,39,FALSE())),""))</f>
        <v>2,2,2,1,2,1</v>
      </c>
      <c r="AV126" s="0" t="n">
        <v>1</v>
      </c>
      <c r="AX126" s="0" t="n">
        <v>31</v>
      </c>
      <c r="AY126" s="16" t="n">
        <f aca="false">IF(L126&lt;&gt;"",MAX(16,(L126-J126)+8),"")</f>
        <v>80</v>
      </c>
      <c r="BB126" s="0" t="n">
        <f aca="false">MIN(AB126/150, 1)*30</f>
        <v>8</v>
      </c>
      <c r="BC126" s="0" t="n">
        <f aca="false">MIN(N126/4000, 1)*20</f>
        <v>2.25</v>
      </c>
      <c r="BD126" s="0" t="n">
        <f aca="false">MIN(Z126/400,1)*20</f>
        <v>2.55</v>
      </c>
      <c r="BE126" s="3" t="n">
        <f aca="false">1-(MAX(J126-1900, 0)/750)</f>
        <v>1</v>
      </c>
      <c r="BF126" s="0" t="n">
        <f aca="false">((MAX($M126,1)*MIN($AJ126/300,1)))*IF(G126="Wagon",50,10)</f>
        <v>0</v>
      </c>
      <c r="BG126" s="0" t="n">
        <f aca="false">VLOOKUP($H126,Constants!$I:$K, 2, FALSE())</f>
        <v>1.15</v>
      </c>
      <c r="BH126" s="0" t="n">
        <f aca="false">VLOOKUP($H126,Constants!$I:$K, 3, FALSE())*IF(AND(G126="multiple_unit",AB126&lt;110),0.75,1)</f>
        <v>1.7</v>
      </c>
      <c r="BI126" s="0" t="n">
        <f aca="false">INT(POWER(((Constants!$G$2+$BB126+$BC126+$BD126+$BF126)*$BE126)*$BH126, 1.05))+$BA126</f>
        <v>35</v>
      </c>
      <c r="BJ126" s="0" t="n">
        <f aca="false">INT(POWER((((Constants!$G$1+$BB126+$BC126+$BD126+$BF126)*($BE126))*$BG126),IF($G126="wagon",1,1.2)))+$AZ126</f>
        <v>63</v>
      </c>
      <c r="BK126" s="17" t="n">
        <f aca="false">BI126*IF($G126="wagon",62.5,781.25)</f>
        <v>27343.75</v>
      </c>
      <c r="BL126" s="17" t="n">
        <f aca="false">BJ126*IF($G126="wagon",2.73,81.25)</f>
        <v>5118.75</v>
      </c>
      <c r="BV126" s="0" t="n">
        <v>9</v>
      </c>
      <c r="CA126" s="0" t="str">
        <f aca="false">VLOOKUP(J126,Eras!$A$2:$C$10, 2, TRUE())</f>
        <v>vct</v>
      </c>
      <c r="CB126" s="0" t="s">
        <v>474</v>
      </c>
      <c r="CC126" s="0" t="str">
        <f aca="false">CONCATENATE(CA126,"_",CB126)</f>
        <v>vct_Express</v>
      </c>
      <c r="CD126" s="0" t="str">
        <f aca="false">_xlfn.CONCAT(H126, "_",I126)</f>
        <v>steam_RAIL</v>
      </c>
      <c r="CE126" s="6" t="str">
        <f aca="false" t="array" ref="CE126:CE126">_xlfn.CONCAT("{BLACK}Length: {GOLD}", TEXT(ROUNDUP(IF(AQ126&lt;&gt;"",SUM(VALUE(_xlfn.TEXTSPLIT(AQ126, ","))), SUM(VALUE(_xlfn.TEXTSPLIT(AN126, ",")))*IF(M126, M126, 1))/16, 1), "#,##0.0"), " tiles{}")</f>
        <v>{BLACK}Length: {GOLD}0.7 tiles{}</v>
      </c>
      <c r="CF126" s="0" t="str">
        <f aca="false">VLOOKUP($CD126, Constants!$M:$N, 2, FALSE())</f>
        <v>{BLACK}Powered by: {GOLD}Steam</v>
      </c>
      <c r="CG126" s="0" t="str">
        <f aca="false">IF(M126&gt;1,_xlfn.CONCAT("{BLACK}Cars: {GOLD}", M126),"")</f>
        <v/>
      </c>
      <c r="CH126" s="0" t="s">
        <v>482</v>
      </c>
      <c r="CI126" s="0" t="str">
        <f aca="false">IF($BU126="!param_no_gameplay_units","{GREEN}Included for gameplay purposes","")</f>
        <v/>
      </c>
      <c r="CJ126" s="0" t="str">
        <f aca="false">IF(BX126="buffet","{YELLOW}25% long distance bonus for consist{}",IF(BZ126="BRAKE","{YELLOW}Speed bonus for slow wagons{}",IF(BW126&gt;190,CONCATENATE("{YELLOW}",INT((BW126-185)/1.85),"% bonus for long distance travel{}"),IF(AND(BW126&lt;180,BW126&lt;&gt;0),CONCATENATE("{YELLOW}",INT((185-BW126)/1.85),"% penalty for long distance travel{}"),""))))</f>
        <v/>
      </c>
      <c r="CK126" s="0" t="str">
        <f aca="false">_xlfn.CONCAT(CF126,IF(CF126&lt;&gt;""," ",""),CG126,IF(OR(CG126&lt;&gt;"",CF126&lt;&gt;""),"{}",""),CE126,CJ126,"{SILVER}",CH126,IF(CI126&lt;&gt;"","{}{}",""),CI126)</f>
        <v>{BLACK}Powered by: {GOLD}Steam {}{BLACK}Length: {GOLD}0.7 tiles{}{SILVER}More LNWR DX Goods locomotives were produced than any other steam locomotive class: 943 in total.</v>
      </c>
    </row>
    <row r="127" customFormat="false" ht="14.25" hidden="false" customHeight="false" outlineLevel="0" collapsed="false">
      <c r="A127" s="0" t="s">
        <v>483</v>
      </c>
      <c r="B127" s="15" t="s">
        <v>484</v>
      </c>
      <c r="C127" s="0" t="n">
        <v>112</v>
      </c>
      <c r="E127" s="0" t="n">
        <v>15</v>
      </c>
      <c r="F127" s="0" t="s">
        <v>143</v>
      </c>
      <c r="G127" s="0" t="s">
        <v>445</v>
      </c>
      <c r="H127" s="0" t="s">
        <v>446</v>
      </c>
      <c r="I127" s="0" t="s">
        <v>92</v>
      </c>
      <c r="J127" s="0" t="n">
        <v>1859</v>
      </c>
      <c r="L127" s="0" t="n">
        <v>1907</v>
      </c>
      <c r="N127" s="0" t="n">
        <v>400</v>
      </c>
      <c r="P127" s="2" t="n">
        <v>16</v>
      </c>
      <c r="Q127" s="2" t="n">
        <v>24</v>
      </c>
      <c r="R127" s="2" t="n">
        <v>2</v>
      </c>
      <c r="S127" s="2" t="n">
        <v>120</v>
      </c>
      <c r="T127" s="18" t="n">
        <f aca="false">((($AB127/2)/60)*5280)/($U127*3.2*PI())</f>
        <v>134.374239233289</v>
      </c>
      <c r="U127" s="2" t="n">
        <v>2.28</v>
      </c>
      <c r="V127" s="2" t="n">
        <f aca="false">((($P127*$P127/4)*PI())*($Q127/12)*$R127*$S127*$T127)/(33000*1.1)</f>
        <v>357.25677830941</v>
      </c>
      <c r="W127" s="0" t="n">
        <v>27.4</v>
      </c>
      <c r="X127" s="1" t="n">
        <v>15</v>
      </c>
      <c r="Z127" s="0" t="n">
        <v>31</v>
      </c>
      <c r="AA127" s="3" t="n">
        <f aca="false">IF(AND(W127&gt;0,Z127&gt;0),(Z127/((W127+X127)*10)),"")</f>
        <v>0.0731132075471698</v>
      </c>
      <c r="AB127" s="0" t="n">
        <v>70</v>
      </c>
      <c r="AC127" s="0" t="n">
        <f aca="false">ROUND(AB127*1.6, 0)</f>
        <v>112</v>
      </c>
      <c r="AG127" s="0" t="n">
        <v>8</v>
      </c>
      <c r="AJ127" s="4" t="n">
        <v>0</v>
      </c>
      <c r="AK127" s="0" t="str">
        <f aca="false">CONCATENATE(VLOOKUP(AL127, 'Voxel Sizes'!$A$2:$B$18,2,FALSE()),"x",INT(AH127*15), "x", INT(AI127*15))</f>
        <v>82x0x0</v>
      </c>
      <c r="AL127" s="0" t="n">
        <f aca="false">ROUND(15*((AG127*10)/256),0)</f>
        <v>5</v>
      </c>
      <c r="AM127" s="0" t="s">
        <v>102</v>
      </c>
      <c r="AN127" s="0" t="str">
        <f aca="false">CONCATENATE(VLOOKUP(AL127,Constants!$A$2:$C$16,IF(AM127&lt;&gt;"", 3, 2), FALSE()),IF(AM127&lt;&gt;"",CONCATENATE(",",VLOOKUP(AM127,$B:$AN,39,FALSE())),""))</f>
        <v>2,1,2,1,2,1</v>
      </c>
      <c r="AV127" s="0" t="n">
        <v>1</v>
      </c>
      <c r="AX127" s="0" t="n">
        <v>30</v>
      </c>
      <c r="AY127" s="16" t="n">
        <f aca="false">IF(L127&lt;&gt;"",MAX(16,(L127-J127)+8),"")</f>
        <v>56</v>
      </c>
      <c r="AZ127" s="0" t="n">
        <v>5</v>
      </c>
      <c r="BA127" s="0" t="n">
        <v>6</v>
      </c>
      <c r="BB127" s="0" t="n">
        <f aca="false">MIN(AB127/150, 1)*30</f>
        <v>14</v>
      </c>
      <c r="BC127" s="0" t="n">
        <f aca="false">MIN(N127/4000, 1)*20</f>
        <v>2</v>
      </c>
      <c r="BD127" s="0" t="n">
        <f aca="false">MIN(Z127/400,1)*20</f>
        <v>1.55</v>
      </c>
      <c r="BE127" s="3" t="n">
        <f aca="false">1-(MAX(J127-1900, 0)/750)</f>
        <v>1</v>
      </c>
      <c r="BF127" s="0" t="n">
        <f aca="false">((MAX($M127,1)*MIN($AJ127/300,1)))*IF(G127="Wagon",50,10)</f>
        <v>0</v>
      </c>
      <c r="BG127" s="0" t="n">
        <f aca="false">VLOOKUP($H127,Constants!$I:$K, 2, FALSE())</f>
        <v>1.15</v>
      </c>
      <c r="BH127" s="0" t="n">
        <f aca="false">VLOOKUP($H127,Constants!$I:$K, 3, FALSE())*IF(AND(G127="multiple_unit",AB127&lt;110),0.75,1)</f>
        <v>1.7</v>
      </c>
      <c r="BI127" s="0" t="n">
        <f aca="false">INT(POWER(((Constants!$G$2+$BB127+$BC127+$BD127+$BF127)*$BE127)*$BH127, 1.05))+$BA127</f>
        <v>52</v>
      </c>
      <c r="BJ127" s="0" t="n">
        <f aca="false">INT(POWER((((Constants!$G$1+$BB127+$BC127+$BD127+$BF127)*($BE127))*$BG127),IF($G127="wagon",1,1.2)))+$AZ127</f>
        <v>82</v>
      </c>
      <c r="BK127" s="17" t="n">
        <f aca="false">BI127*IF($G127="wagon",62.5,781.25)</f>
        <v>40625</v>
      </c>
      <c r="BL127" s="17" t="n">
        <f aca="false">BJ127*IF($G127="wagon",2.73,81.25)</f>
        <v>6662.5</v>
      </c>
      <c r="BV127" s="0" t="n">
        <v>11</v>
      </c>
      <c r="CA127" s="0" t="str">
        <f aca="false">VLOOKUP(J127,Eras!$A$2:$C$10, 2, TRUE())</f>
        <v>vct</v>
      </c>
      <c r="CB127" s="0" t="s">
        <v>474</v>
      </c>
      <c r="CC127" s="0" t="str">
        <f aca="false">CONCATENATE(CA127,"_",CB127)</f>
        <v>vct_Express</v>
      </c>
      <c r="CD127" s="0" t="str">
        <f aca="false">_xlfn.CONCAT(H127, "_",I127)</f>
        <v>steam_RAIL</v>
      </c>
      <c r="CE127" s="6" t="str">
        <f aca="false" t="array" ref="CE127:CE127">_xlfn.CONCAT("{BLACK}Length: {GOLD}", TEXT(ROUNDUP(IF(AQ127&lt;&gt;"",SUM(VALUE(_xlfn.TEXTSPLIT(AQ127, ","))), SUM(VALUE(_xlfn.TEXTSPLIT(AN127, ",")))*IF(M127, M127, 1))/16, 1), "#,##0.0"), " tiles{}")</f>
        <v>{BLACK}Length: {GOLD}0.6 tiles{}</v>
      </c>
      <c r="CF127" s="0" t="str">
        <f aca="false">VLOOKUP($CD127, Constants!$M:$N, 2, FALSE())</f>
        <v>{BLACK}Powered by: {GOLD}Steam</v>
      </c>
      <c r="CG127" s="0" t="str">
        <f aca="false">IF(M127&gt;1,_xlfn.CONCAT("{BLACK}Cars: {GOLD}", M127),"")</f>
        <v/>
      </c>
      <c r="CH127" s="0" t="s">
        <v>485</v>
      </c>
      <c r="CI127" s="0" t="str">
        <f aca="false">IF($BU127="!param_no_gameplay_units","{GREEN}Included for gameplay purposes","")</f>
        <v/>
      </c>
      <c r="CJ127" s="0" t="str">
        <f aca="false">IF(BX127="buffet","{YELLOW}25% long distance bonus for consist{}",IF(BZ127="BRAKE","{YELLOW}Speed bonus for slow wagons{}",IF(BW127&gt;190,CONCATENATE("{YELLOW}",INT((BW127-185)/1.85),"% bonus for long distance travel{}"),IF(AND(BW127&lt;180,BW127&lt;&gt;0),CONCATENATE("{YELLOW}",INT((185-BW127)/1.85),"% penalty for long distance travel{}"),""))))</f>
        <v/>
      </c>
      <c r="CK127" s="0" t="str">
        <f aca="false">_xlfn.CONCAT(CF127,IF(CF127&lt;&gt;""," ",""),CG127,IF(OR(CG127&lt;&gt;"",CF127&lt;&gt;""),"{}",""),CE127,CJ127,"{SILVER}",CH127,IF(CI127&lt;&gt;"","{}{}",""),CI127)</f>
        <v>{BLACK}Powered by: {GOLD}Steam {}{BLACK}Length: {GOLD}0.6 tiles{}{SILVER}Cast iron coupling rods could not withstand high speeds, so early express locomotives used a large single driving wheel to reduce valve gear speeds.</v>
      </c>
    </row>
    <row r="128" customFormat="false" ht="14.25" hidden="false" customHeight="false" outlineLevel="0" collapsed="false">
      <c r="A128" s="0" t="s">
        <v>486</v>
      </c>
      <c r="B128" s="15" t="s">
        <v>487</v>
      </c>
      <c r="C128" s="0" t="n">
        <v>113</v>
      </c>
      <c r="E128" s="0" t="n">
        <v>16</v>
      </c>
      <c r="F128" s="0" t="s">
        <v>143</v>
      </c>
      <c r="G128" s="0" t="s">
        <v>445</v>
      </c>
      <c r="H128" s="0" t="s">
        <v>446</v>
      </c>
      <c r="I128" s="0" t="s">
        <v>92</v>
      </c>
      <c r="J128" s="0" t="n">
        <v>1868</v>
      </c>
      <c r="L128" s="0" t="n">
        <v>1945</v>
      </c>
      <c r="N128" s="0" t="n">
        <v>350</v>
      </c>
      <c r="P128" s="2" t="n">
        <v>15</v>
      </c>
      <c r="Q128" s="2" t="n">
        <v>24</v>
      </c>
      <c r="R128" s="2" t="n">
        <v>2</v>
      </c>
      <c r="S128" s="2" t="n">
        <v>150</v>
      </c>
      <c r="T128" s="18" t="n">
        <f aca="false">((($AB128/2)/60)*5280)/($U128*3.2*PI())</f>
        <v>116.713624934057</v>
      </c>
      <c r="U128" s="2" t="n">
        <v>1.5</v>
      </c>
      <c r="V128" s="2" t="n">
        <f aca="false">((($P128*$P128/4)*PI())*($Q128/12)*$R128*$S128*$T128)/(33000*1.1)</f>
        <v>340.909090909091</v>
      </c>
      <c r="W128" s="0" t="n">
        <v>35.8</v>
      </c>
      <c r="Z128" s="0" t="n">
        <v>65</v>
      </c>
      <c r="AA128" s="3" t="n">
        <f aca="false">IF(AND(W128&gt;0,Z128&gt;0),(Z128/((W128+X128)*10)),"")</f>
        <v>0.181564245810056</v>
      </c>
      <c r="AB128" s="0" t="n">
        <v>40</v>
      </c>
      <c r="AC128" s="0" t="n">
        <f aca="false">ROUND(AB128*1.6, 0)</f>
        <v>64</v>
      </c>
      <c r="AF128" s="0" t="n">
        <v>8.65</v>
      </c>
      <c r="AG128" s="0" t="n">
        <v>8.65</v>
      </c>
      <c r="AI128" s="0" t="n">
        <v>3.7</v>
      </c>
      <c r="AJ128" s="4" t="n">
        <v>0</v>
      </c>
      <c r="AK128" s="0" t="str">
        <f aca="false">CONCATENATE(VLOOKUP(AL128, 'Voxel Sizes'!$A$2:$B$18,2,FALSE()),"x",INT(AH128*15), "x", INT(AI128*15))</f>
        <v>82x0x55</v>
      </c>
      <c r="AL128" s="0" t="n">
        <f aca="false">ROUND(15*((AG128*10)/256),0)</f>
        <v>5</v>
      </c>
      <c r="AN128" s="0" t="str">
        <f aca="false">CONCATENATE(VLOOKUP(AL128,Constants!$A$2:$C$16,IF(AM128&lt;&gt;"", 3, 2), FALSE()),IF(AM128&lt;&gt;"",CONCATENATE(",",VLOOKUP(AM128,$B:$AN,39,FALSE())),""))</f>
        <v>2,1,2</v>
      </c>
      <c r="AV128" s="0" t="n">
        <v>1</v>
      </c>
      <c r="AX128" s="0" t="n">
        <v>30</v>
      </c>
      <c r="AY128" s="16" t="n">
        <f aca="false">IF(L128&lt;&gt;"",MAX(16,(L128-J128)+8),"")</f>
        <v>85</v>
      </c>
      <c r="BB128" s="0" t="n">
        <f aca="false">MIN(AB128/150, 1)*30</f>
        <v>8</v>
      </c>
      <c r="BC128" s="0" t="n">
        <f aca="false">MIN(N128/4000, 1)*20</f>
        <v>1.75</v>
      </c>
      <c r="BD128" s="0" t="n">
        <f aca="false">MIN(Z128/400,1)*20</f>
        <v>3.25</v>
      </c>
      <c r="BE128" s="3" t="n">
        <f aca="false">1-(MAX(J128-1900, 0)/750)</f>
        <v>1</v>
      </c>
      <c r="BF128" s="0" t="n">
        <f aca="false">((MAX($M128,1)*MIN($AJ128/300,1)))*IF(G128="Wagon",50,10)</f>
        <v>0</v>
      </c>
      <c r="BG128" s="0" t="n">
        <f aca="false">VLOOKUP($H128,Constants!$I:$K, 2, FALSE())</f>
        <v>1.15</v>
      </c>
      <c r="BH128" s="0" t="n">
        <f aca="false">VLOOKUP($H128,Constants!$I:$K, 3, FALSE())*IF(AND(G128="multiple_unit",AB128&lt;110),0.75,1)</f>
        <v>1.7</v>
      </c>
      <c r="BI128" s="0" t="n">
        <f aca="false">INT(POWER(((Constants!$G$2+$BB128+$BC128+$BD128+$BF128)*$BE128)*$BH128, 1.05))+$BA128</f>
        <v>36</v>
      </c>
      <c r="BJ128" s="0" t="n">
        <f aca="false">INT(POWER((((Constants!$G$1+$BB128+$BC128+$BD128+$BF128)*($BE128))*$BG128),IF($G128="wagon",1,1.2)))+$AZ128</f>
        <v>64</v>
      </c>
      <c r="BK128" s="17" t="n">
        <f aca="false">BI128*IF($G128="wagon",62.5,781.25)</f>
        <v>28125</v>
      </c>
      <c r="BL128" s="17" t="n">
        <f aca="false">BJ128*IF($G128="wagon",2.73,81.25)</f>
        <v>5200</v>
      </c>
      <c r="BV128" s="0" t="n">
        <v>12</v>
      </c>
      <c r="CA128" s="0" t="str">
        <f aca="false">VLOOKUP(J128,Eras!$A$2:$C$10, 2, TRUE())</f>
        <v>vct</v>
      </c>
      <c r="CB128" s="0" t="s">
        <v>439</v>
      </c>
      <c r="CC128" s="0" t="str">
        <f aca="false">CONCATENATE(CA128,"_",CB128)</f>
        <v>vct_Mixed Traffic</v>
      </c>
      <c r="CD128" s="0" t="str">
        <f aca="false">_xlfn.CONCAT(H128, "_",I128)</f>
        <v>steam_RAIL</v>
      </c>
      <c r="CE128" s="6" t="str">
        <f aca="false" t="array" ref="CE128:CE128">_xlfn.CONCAT("{BLACK}Length: {GOLD}", TEXT(ROUNDUP(IF(AQ128&lt;&gt;"",SUM(VALUE(_xlfn.TEXTSPLIT(AQ128, ","))), SUM(VALUE(_xlfn.TEXTSPLIT(AN128, ",")))*IF(M128, M128, 1))/16, 1), "#,##0.0"), " tiles{}")</f>
        <v>{BLACK}Length: {GOLD}0.4 tiles{}</v>
      </c>
      <c r="CF128" s="0" t="str">
        <f aca="false">VLOOKUP($CD128, Constants!$M:$N, 2, FALSE())</f>
        <v>{BLACK}Powered by: {GOLD}Steam</v>
      </c>
      <c r="CG128" s="0" t="str">
        <f aca="false">IF(M128&gt;1,_xlfn.CONCAT("{BLACK}Cars: {GOLD}", M128),"")</f>
        <v/>
      </c>
      <c r="CH128" s="0" t="s">
        <v>488</v>
      </c>
      <c r="CI128" s="0" t="str">
        <f aca="false">IF($BU128="!param_no_gameplay_units","{GREEN}Included for gameplay purposes","")</f>
        <v/>
      </c>
      <c r="CJ128" s="0" t="str">
        <f aca="false">IF(BX128="buffet","{YELLOW}25% long distance bonus for consist{}",IF(BZ128="BRAKE","{YELLOW}Speed bonus for slow wagons{}",IF(BW128&gt;190,CONCATENATE("{YELLOW}",INT((BW128-185)/1.85),"% bonus for long distance travel{}"),IF(AND(BW128&lt;180,BW128&lt;&gt;0),CONCATENATE("{YELLOW}",INT((185-BW128)/1.85),"% penalty for long distance travel{}"),""))))</f>
        <v/>
      </c>
      <c r="CK128" s="0" t="str">
        <f aca="false">_xlfn.CONCAT(CF128,IF(CF128&lt;&gt;""," ",""),CG128,IF(OR(CG128&lt;&gt;"",CF128&lt;&gt;""),"{}",""),CE128,CJ128,"{SILVER}",CH128,IF(CI128&lt;&gt;"","{}{}",""),CI128)</f>
        <v>{BLACK}Powered by: {GOLD}Steam {}{BLACK}Length: {GOLD}0.4 tiles{}{SILVER}The GWR 517 class encompassed a variety of 0-4-2 side tank engines, some having been rebuilt from existing saddle tanks.</v>
      </c>
    </row>
    <row r="129" customFormat="false" ht="14.25" hidden="false" customHeight="false" outlineLevel="0" collapsed="false">
      <c r="A129" s="0" t="s">
        <v>489</v>
      </c>
      <c r="B129" s="15" t="s">
        <v>490</v>
      </c>
      <c r="C129" s="0" t="n">
        <v>114</v>
      </c>
      <c r="E129" s="0" t="n">
        <v>17</v>
      </c>
      <c r="F129" s="0" t="s">
        <v>143</v>
      </c>
      <c r="G129" s="0" t="s">
        <v>445</v>
      </c>
      <c r="H129" s="0" t="s">
        <v>446</v>
      </c>
      <c r="I129" s="0" t="s">
        <v>92</v>
      </c>
      <c r="J129" s="0" t="n">
        <v>1869</v>
      </c>
      <c r="L129" s="0" t="n">
        <v>1951</v>
      </c>
      <c r="N129" s="0" t="n">
        <v>480</v>
      </c>
      <c r="P129" s="2" t="n">
        <v>17</v>
      </c>
      <c r="Q129" s="2" t="n">
        <v>24</v>
      </c>
      <c r="R129" s="2" t="n">
        <v>2</v>
      </c>
      <c r="S129" s="2" t="n">
        <v>140</v>
      </c>
      <c r="T129" s="18" t="n">
        <f aca="false">((($AB129/2)/60)*5280)/($U129*3.2*PI())</f>
        <v>138.505092880605</v>
      </c>
      <c r="U129" s="2" t="n">
        <v>1.58</v>
      </c>
      <c r="V129" s="2" t="n">
        <f aca="false">((($P129*$P129/4)*PI())*($Q129/12)*$R129*$S129*$T129)/(33000*1.1)</f>
        <v>484.992328346759</v>
      </c>
      <c r="W129" s="0" t="n">
        <v>36.6</v>
      </c>
      <c r="X129" s="1" t="n">
        <v>16</v>
      </c>
      <c r="Z129" s="0" t="n">
        <v>72</v>
      </c>
      <c r="AA129" s="3" t="n">
        <f aca="false">IF(AND(W129&gt;0,Z129&gt;0),(Z129/((W129+X129)*10)),"")</f>
        <v>0.136882129277567</v>
      </c>
      <c r="AB129" s="0" t="n">
        <v>50</v>
      </c>
      <c r="AC129" s="0" t="n">
        <f aca="false">ROUND(AB129*1.6, 0)</f>
        <v>80</v>
      </c>
      <c r="AG129" s="0" t="n">
        <v>10</v>
      </c>
      <c r="AJ129" s="4" t="n">
        <v>0</v>
      </c>
      <c r="AK129" s="0" t="str">
        <f aca="false">CONCATENATE(VLOOKUP(AL129, 'Voxel Sizes'!$A$2:$B$18,2,FALSE()),"x",INT(AH129*15), "x", INT(AI129*15))</f>
        <v>102x0x0</v>
      </c>
      <c r="AL129" s="0" t="n">
        <f aca="false">ROUND(15*((AG129*10)/256),0)</f>
        <v>6</v>
      </c>
      <c r="AM129" s="0" t="s">
        <v>106</v>
      </c>
      <c r="AN129" s="0" t="str">
        <f aca="false">CONCATENATE(VLOOKUP(AL129,Constants!$A$2:$C$16,IF(AM129&lt;&gt;"", 3, 2), FALSE()),IF(AM129&lt;&gt;"",CONCATENATE(",",VLOOKUP(AM129,$B:$AN,39,FALSE())),""))</f>
        <v>2,2,2,1,2,1</v>
      </c>
      <c r="AV129" s="0" t="n">
        <v>1</v>
      </c>
      <c r="AX129" s="0" t="n">
        <v>33</v>
      </c>
      <c r="AY129" s="16" t="n">
        <f aca="false">IF(L129&lt;&gt;"",MAX(16,(L129-J129)+8),"")</f>
        <v>90</v>
      </c>
      <c r="AZ129" s="0" t="n">
        <v>2</v>
      </c>
      <c r="BA129" s="0" t="n">
        <v>-2</v>
      </c>
      <c r="BB129" s="0" t="n">
        <f aca="false">MIN(AB129/150, 1)*30</f>
        <v>10</v>
      </c>
      <c r="BC129" s="0" t="n">
        <f aca="false">MIN(N129/4000, 1)*20</f>
        <v>2.4</v>
      </c>
      <c r="BD129" s="0" t="n">
        <f aca="false">MIN(Z129/400,1)*20</f>
        <v>3.6</v>
      </c>
      <c r="BE129" s="3" t="n">
        <f aca="false">1-(MAX(J129-1900, 0)/750)</f>
        <v>1</v>
      </c>
      <c r="BF129" s="0" t="n">
        <f aca="false">((MAX($M129,1)*MIN($AJ129/300,1)))*IF(G129="Wagon",50,10)</f>
        <v>0</v>
      </c>
      <c r="BG129" s="0" t="n">
        <f aca="false">VLOOKUP($H129,Constants!$I:$K, 2, FALSE())</f>
        <v>1.15</v>
      </c>
      <c r="BH129" s="0" t="n">
        <f aca="false">VLOOKUP($H129,Constants!$I:$K, 3, FALSE())*IF(AND(G129="multiple_unit",AB129&lt;110),0.75,1)</f>
        <v>1.7</v>
      </c>
      <c r="BI129" s="0" t="n">
        <f aca="false">INT(POWER(((Constants!$G$2+$BB129+$BC129+$BD129+$BF129)*$BE129)*$BH129, 1.05))+$BA129</f>
        <v>40</v>
      </c>
      <c r="BJ129" s="0" t="n">
        <f aca="false">INT(POWER((((Constants!$G$1+$BB129+$BC129+$BD129+$BF129)*($BE129))*$BG129),IF($G129="wagon",1,1.2)))+$AZ129</f>
        <v>74</v>
      </c>
      <c r="BK129" s="17" t="n">
        <f aca="false">BI129*IF($G129="wagon",62.5,781.25)</f>
        <v>31250</v>
      </c>
      <c r="BL129" s="17" t="n">
        <f aca="false">BJ129*IF($G129="wagon",2.73,81.25)</f>
        <v>6012.5</v>
      </c>
      <c r="BV129" s="0" t="n">
        <v>5</v>
      </c>
      <c r="CA129" s="0" t="s">
        <v>491</v>
      </c>
      <c r="CB129" s="0" t="s">
        <v>478</v>
      </c>
      <c r="CC129" s="0" t="str">
        <f aca="false">CONCATENATE(CA129,"_",CB129)</f>
        <v>vct_Freight</v>
      </c>
      <c r="CD129" s="0" t="str">
        <f aca="false">_xlfn.CONCAT(H129, "_",I129)</f>
        <v>steam_RAIL</v>
      </c>
      <c r="CE129" s="6" t="str">
        <f aca="false" t="array" ref="CE129:CE129">_xlfn.CONCAT("{BLACK}Length: {GOLD}", TEXT(ROUNDUP(IF(AQ129&lt;&gt;"",SUM(VALUE(_xlfn.TEXTSPLIT(AQ129, ","))), SUM(VALUE(_xlfn.TEXTSPLIT(AN129, ",")))*IF(M129, M129, 1))/16, 1), "#,##0.0"), " tiles{}")</f>
        <v>{BLACK}Length: {GOLD}0.7 tiles{}</v>
      </c>
      <c r="CF129" s="0" t="str">
        <f aca="false">VLOOKUP($CD129, Constants!$M:$N, 2, FALSE())</f>
        <v>{BLACK}Powered by: {GOLD}Steam</v>
      </c>
      <c r="CH129" s="0" t="s">
        <v>492</v>
      </c>
      <c r="CI129" s="0" t="str">
        <f aca="false">IF($BU129="!param_no_gameplay_units","{GREEN}Included for gameplay purposes","")</f>
        <v/>
      </c>
      <c r="CJ129" s="0" t="str">
        <f aca="false">IF(BX129="buffet","{YELLOW}25% long distance bonus for consist{}",IF(BZ129="BRAKE","{YELLOW}Speed bonus for slow wagons{}",IF(BW129&gt;190,CONCATENATE("{YELLOW}",INT((BW129-185)/1.85),"% bonus for long distance travel{}"),IF(AND(BW129&lt;180,BW129&lt;&gt;0),CONCATENATE("{YELLOW}",INT((185-BW129)/1.85),"% penalty for long distance travel{}"),""))))</f>
        <v/>
      </c>
      <c r="CK129" s="0" t="str">
        <f aca="false">_xlfn.CONCAT(CF129,IF(CF129&lt;&gt;""," ",""),CG129,IF(OR(CG129&lt;&gt;"",CF129&lt;&gt;""),"{}",""),CE129,CJ129,"{SILVER}",CH129,IF(CI129&lt;&gt;"","{}{}",""),CI129)</f>
        <v>{BLACK}Powered by: {GOLD}Steam {}{BLACK}Length: {GOLD}0.7 tiles{}{SILVER}The 700 class was a widely-produced freight engine. In its later years a sixth of the originally produced locomotives were sold to the Italian State Railway.</v>
      </c>
    </row>
    <row r="130" customFormat="false" ht="14.25" hidden="false" customHeight="false" outlineLevel="0" collapsed="false">
      <c r="A130" s="0" t="s">
        <v>493</v>
      </c>
      <c r="B130" s="15" t="s">
        <v>494</v>
      </c>
      <c r="C130" s="0" t="n">
        <v>115</v>
      </c>
      <c r="E130" s="0" t="n">
        <v>18</v>
      </c>
      <c r="F130" s="0" t="s">
        <v>143</v>
      </c>
      <c r="G130" s="0" t="s">
        <v>445</v>
      </c>
      <c r="H130" s="0" t="s">
        <v>446</v>
      </c>
      <c r="I130" s="0" t="s">
        <v>92</v>
      </c>
      <c r="J130" s="0" t="n">
        <v>1872</v>
      </c>
      <c r="K130" s="0" t="n">
        <v>1880</v>
      </c>
      <c r="L130" s="0" t="n">
        <v>1963</v>
      </c>
      <c r="N130" s="0" t="n">
        <v>300</v>
      </c>
      <c r="P130" s="2" t="n">
        <v>12</v>
      </c>
      <c r="Q130" s="2" t="n">
        <v>20</v>
      </c>
      <c r="R130" s="2" t="n">
        <v>2</v>
      </c>
      <c r="S130" s="2" t="n">
        <v>150</v>
      </c>
      <c r="T130" s="18" t="n">
        <f aca="false">((($AB130/2)/60)*5280)/($U130*3.2*PI())</f>
        <v>164.128535063517</v>
      </c>
      <c r="U130" s="2" t="n">
        <v>1.2</v>
      </c>
      <c r="V130" s="2" t="n">
        <f aca="false">((($P130*$P130/4)*PI())*($Q130/12)*$R130*$S130*$T130)/(33000*1.1)</f>
        <v>255.681818181818</v>
      </c>
      <c r="W130" s="0" t="n">
        <v>28</v>
      </c>
      <c r="Z130" s="0" t="n">
        <v>34</v>
      </c>
      <c r="AA130" s="3" t="n">
        <f aca="false">IF(AND(W130&gt;0,Z130&gt;0),(Z130/((W130+X130)*10)),"")</f>
        <v>0.121428571428571</v>
      </c>
      <c r="AB130" s="0" t="n">
        <v>45</v>
      </c>
      <c r="AC130" s="0" t="n">
        <f aca="false">ROUND(AB130*1.6, 0)</f>
        <v>72</v>
      </c>
      <c r="AF130" s="0" t="n">
        <v>7.94</v>
      </c>
      <c r="AG130" s="0" t="n">
        <v>8</v>
      </c>
      <c r="AJ130" s="4" t="n">
        <v>0</v>
      </c>
      <c r="AK130" s="0" t="str">
        <f aca="false">CONCATENATE(VLOOKUP(AL130, 'Voxel Sizes'!$A$2:$B$18,2,FALSE()),"x",INT(AH130*15), "x", INT(AI130*15))</f>
        <v>82x0x0</v>
      </c>
      <c r="AL130" s="0" t="n">
        <f aca="false">ROUND(15*((AG130*10)/256),0)</f>
        <v>5</v>
      </c>
      <c r="AN130" s="0" t="str">
        <f aca="false">CONCATENATE(VLOOKUP(AL130,Constants!$A$2:$C$16,IF(AM130&lt;&gt;"", 3, 2), FALSE()),IF(AM130&lt;&gt;"",CONCATENATE(",",VLOOKUP(AM130,$B:$AN,39,FALSE())),""))</f>
        <v>2,1,2</v>
      </c>
      <c r="AV130" s="0" t="n">
        <v>1</v>
      </c>
      <c r="AX130" s="0" t="n">
        <v>35</v>
      </c>
      <c r="AY130" s="16" t="n">
        <f aca="false">IF(L130&lt;&gt;"",MAX(16,(L130-J130)+8),"")</f>
        <v>99</v>
      </c>
      <c r="BB130" s="0" t="n">
        <f aca="false">MIN(AB130/150, 1)*30</f>
        <v>9</v>
      </c>
      <c r="BC130" s="0" t="n">
        <f aca="false">MIN(N130/4000, 1)*20</f>
        <v>1.5</v>
      </c>
      <c r="BD130" s="0" t="n">
        <f aca="false">MIN(Z130/400,1)*20</f>
        <v>1.7</v>
      </c>
      <c r="BE130" s="3" t="n">
        <f aca="false">1-(MAX(J130-1900, 0)/750)</f>
        <v>1</v>
      </c>
      <c r="BF130" s="0" t="n">
        <f aca="false">((MAX($M130,1)*MIN($AJ130/300,1)))*IF(G130="Wagon",50,10)</f>
        <v>0</v>
      </c>
      <c r="BG130" s="0" t="n">
        <f aca="false">VLOOKUP($H130,Constants!$I:$K, 2, FALSE())</f>
        <v>1.15</v>
      </c>
      <c r="BH130" s="0" t="n">
        <f aca="false">VLOOKUP($H130,Constants!$I:$K, 3, FALSE())*IF(AND(G130="multiple_unit",AB130&lt;110),0.75,1)</f>
        <v>1.7</v>
      </c>
      <c r="BI130" s="0" t="n">
        <f aca="false">INT(POWER(((Constants!$G$2+$BB130+$BC130+$BD130+$BF130)*$BE130)*$BH130, 1.05))+$BA130</f>
        <v>34</v>
      </c>
      <c r="BJ130" s="0" t="n">
        <f aca="false">INT(POWER((((Constants!$G$1+$BB130+$BC130+$BD130+$BF130)*($BE130))*$BG130),IF($G130="wagon",1,1.2)))+$AZ130</f>
        <v>62</v>
      </c>
      <c r="BK130" s="17" t="n">
        <f aca="false">BI130*IF($G130="wagon",62.5,781.25)</f>
        <v>26562.5</v>
      </c>
      <c r="BL130" s="17" t="n">
        <f aca="false">BJ130*IF($G130="wagon",2.73,81.25)</f>
        <v>5037.5</v>
      </c>
      <c r="BV130" s="0" t="n">
        <v>1</v>
      </c>
      <c r="CA130" s="0" t="str">
        <f aca="false">VLOOKUP(J130,Eras!$A$2:$C$10, 2, TRUE())</f>
        <v>vct</v>
      </c>
      <c r="CC130" s="0" t="str">
        <f aca="false">CONCATENATE(CA130,"_",CB130)</f>
        <v>vct_</v>
      </c>
      <c r="CD130" s="0" t="str">
        <f aca="false">_xlfn.CONCAT(H130, "_",I130)</f>
        <v>steam_RAIL</v>
      </c>
      <c r="CE130" s="6" t="str">
        <f aca="false" t="array" ref="CE130:CE130">_xlfn.CONCAT("{BLACK}Length: {GOLD}", TEXT(ROUNDUP(IF(AQ130&lt;&gt;"",SUM(VALUE(_xlfn.TEXTSPLIT(AQ130, ","))), SUM(VALUE(_xlfn.TEXTSPLIT(AN130, ",")))*IF(M130, M130, 1))/16, 1), "#,##0.0"), " tiles{}")</f>
        <v>{BLACK}Length: {GOLD}0.4 tiles{}</v>
      </c>
      <c r="CF130" s="0" t="str">
        <f aca="false">VLOOKUP($CD130, Constants!$M:$N, 2, FALSE())</f>
        <v>{BLACK}Powered by: {GOLD}Steam</v>
      </c>
      <c r="CG130" s="0" t="str">
        <f aca="false">IF(M130&gt;1,_xlfn.CONCAT("{BLACK}Cars: {GOLD}", M130),"")</f>
        <v/>
      </c>
      <c r="CH130" s="0" t="s">
        <v>495</v>
      </c>
      <c r="CI130" s="0" t="str">
        <f aca="false">IF($BU130="!param_no_gameplay_units","{GREEN}Included for gameplay purposes","")</f>
        <v/>
      </c>
      <c r="CJ130" s="0" t="str">
        <f aca="false">IF(BX130="buffet","{YELLOW}25% long distance bonus for consist{}",IF(BZ130="BRAKE","{YELLOW}Speed bonus for slow wagons{}",IF(BW130&gt;190,CONCATENATE("{YELLOW}",INT((BW130-185)/1.85),"% bonus for long distance travel{}"),IF(AND(BW130&lt;180,BW130&lt;&gt;0),CONCATENATE("{YELLOW}",INT((185-BW130)/1.85),"% penalty for long distance travel{}"),""))))</f>
        <v/>
      </c>
      <c r="CK130" s="0" t="str">
        <f aca="false">_xlfn.CONCAT(CF130,IF(CF130&lt;&gt;""," ",""),CG130,IF(OR(CG130&lt;&gt;"",CF130&lt;&gt;""),"{}",""),CE130,CJ130,"{SILVER}",CH130,IF(CI130&lt;&gt;"","{}{}",""),CI130)</f>
        <v>{BLACK}Powered by: {GOLD}Steam {}{BLACK}Length: {GOLD}0.4 tiles{}{SILVER}Originally designed to operate commuter services, the small A1 tank locomotives were still used into the 1960s on the Hayling Island branch line.</v>
      </c>
    </row>
    <row r="131" customFormat="false" ht="14.25" hidden="false" customHeight="false" outlineLevel="0" collapsed="false">
      <c r="A131" s="0" t="s">
        <v>496</v>
      </c>
      <c r="B131" s="15" t="s">
        <v>497</v>
      </c>
      <c r="C131" s="0" t="n">
        <v>116</v>
      </c>
      <c r="E131" s="0" t="n">
        <v>19</v>
      </c>
      <c r="F131" s="0" t="s">
        <v>143</v>
      </c>
      <c r="G131" s="0" t="s">
        <v>445</v>
      </c>
      <c r="H131" s="0" t="s">
        <v>446</v>
      </c>
      <c r="I131" s="0" t="s">
        <v>92</v>
      </c>
      <c r="J131" s="0" t="n">
        <v>1876</v>
      </c>
      <c r="L131" s="0" t="n">
        <v>1925</v>
      </c>
      <c r="N131" s="0" t="n">
        <v>750</v>
      </c>
      <c r="P131" s="2" t="n">
        <v>18</v>
      </c>
      <c r="Q131" s="2" t="n">
        <v>26</v>
      </c>
      <c r="R131" s="2" t="n">
        <v>2</v>
      </c>
      <c r="S131" s="2" t="n">
        <v>165</v>
      </c>
      <c r="T131" s="18" t="n">
        <f aca="false">((($AB131/2)/60)*5280)/($U131*3.2*PI())</f>
        <v>163.399074907679</v>
      </c>
      <c r="U131" s="2" t="n">
        <v>1.5</v>
      </c>
      <c r="V131" s="2" t="n">
        <f aca="false">((($P131*$P131/4)*PI())*($Q131/12)*$R131*$S131*$T131)/(33000*1.1)</f>
        <v>819</v>
      </c>
      <c r="W131" s="0" t="n">
        <v>41</v>
      </c>
      <c r="X131" s="1" t="n">
        <v>40</v>
      </c>
      <c r="Z131" s="0" t="n">
        <v>86</v>
      </c>
      <c r="AA131" s="3" t="n">
        <f aca="false">IF(AND(W131&gt;0,Z131&gt;0),(Z131/((W131+X131)*10)),"")</f>
        <v>0.106172839506173</v>
      </c>
      <c r="AB131" s="0" t="n">
        <v>56</v>
      </c>
      <c r="AC131" s="0" t="n">
        <f aca="false">ROUND(AB131*1.6, 0)</f>
        <v>90</v>
      </c>
      <c r="AF131" s="0" t="n">
        <v>14.99</v>
      </c>
      <c r="AG131" s="0" t="n">
        <v>10</v>
      </c>
      <c r="AJ131" s="4" t="n">
        <v>0</v>
      </c>
      <c r="AK131" s="0" t="str">
        <f aca="false">CONCATENATE(VLOOKUP(AL131, 'Voxel Sizes'!$A$2:$B$18,2,FALSE()),"x",INT(AH131*15), "x", INT(AI131*15))</f>
        <v>102x0x0</v>
      </c>
      <c r="AL131" s="0" t="n">
        <f aca="false">ROUND(15*((AG131*10)/256),0)</f>
        <v>6</v>
      </c>
      <c r="AM131" s="0" t="s">
        <v>110</v>
      </c>
      <c r="AN131" s="0" t="str">
        <f aca="false">CONCATENATE(VLOOKUP(AL131,Constants!$A$2:$C$16,IF(AM131&lt;&gt;"", 3, 2), FALSE()),IF(AM131&lt;&gt;"",CONCATENATE(",",VLOOKUP(AM131,$B:$AN,39,FALSE())),""))</f>
        <v>2,2,2,2,1,2</v>
      </c>
      <c r="AV131" s="0" t="n">
        <v>1</v>
      </c>
      <c r="AX131" s="0" t="n">
        <v>32</v>
      </c>
      <c r="AY131" s="16" t="n">
        <f aca="false">IF(L131&lt;&gt;"",MAX(16,(L131-J131)+8),"")</f>
        <v>57</v>
      </c>
      <c r="BB131" s="0" t="n">
        <f aca="false">MIN(AB131/150, 1)*30</f>
        <v>11.2</v>
      </c>
      <c r="BC131" s="0" t="n">
        <f aca="false">MIN(N131/4000, 1)*20</f>
        <v>3.75</v>
      </c>
      <c r="BD131" s="0" t="n">
        <f aca="false">MIN(Z131/400,1)*20</f>
        <v>4.3</v>
      </c>
      <c r="BE131" s="3" t="n">
        <f aca="false">1-(MAX(J131-1900, 0)/750)</f>
        <v>1</v>
      </c>
      <c r="BF131" s="0" t="n">
        <f aca="false">((MAX($M131,1)*MIN($AJ131/300,1)))*IF(G131="Wagon",50,10)</f>
        <v>0</v>
      </c>
      <c r="BG131" s="0" t="n">
        <f aca="false">VLOOKUP($H131,Constants!$I:$K, 2, FALSE())</f>
        <v>1.15</v>
      </c>
      <c r="BH131" s="0" t="n">
        <f aca="false">VLOOKUP($H131,Constants!$I:$K, 3, FALSE())*IF(AND(G131="multiple_unit",AB131&lt;110),0.75,1)</f>
        <v>1.7</v>
      </c>
      <c r="BI131" s="0" t="n">
        <f aca="false">INT(POWER(((Constants!$G$2+$BB131+$BC131+$BD131+$BF131)*$BE131)*$BH131, 1.05))+$BA131</f>
        <v>49</v>
      </c>
      <c r="BJ131" s="0" t="n">
        <f aca="false">INT(POWER((((Constants!$G$1+$BB131+$BC131+$BD131+$BF131)*($BE131))*$BG131),IF($G131="wagon",1,1.2)))+$AZ131</f>
        <v>82</v>
      </c>
      <c r="BK131" s="17" t="n">
        <f aca="false">BI131*IF($G131="wagon",62.5,781.25)</f>
        <v>38281.25</v>
      </c>
      <c r="BL131" s="17" t="n">
        <f aca="false">BJ131*IF($G131="wagon",2.73,81.25)</f>
        <v>6662.5</v>
      </c>
      <c r="BV131" s="0" t="n">
        <v>4</v>
      </c>
      <c r="CA131" s="0" t="str">
        <f aca="false">VLOOKUP(J131,Eras!$A$2:$C$10, 2, TRUE())</f>
        <v>vct</v>
      </c>
      <c r="CB131" s="0" t="s">
        <v>439</v>
      </c>
      <c r="CC131" s="0" t="str">
        <f aca="false">CONCATENATE(CA131,"_",CB131)</f>
        <v>vct_Mixed Traffic</v>
      </c>
      <c r="CD131" s="0" t="str">
        <f aca="false">_xlfn.CONCAT(H131, "_",I131)</f>
        <v>steam_RAIL</v>
      </c>
      <c r="CE131" s="6" t="str">
        <f aca="false" t="array" ref="CE131:CE131">_xlfn.CONCAT("{BLACK}Length: {GOLD}", TEXT(ROUNDUP(IF(AQ131&lt;&gt;"",SUM(VALUE(_xlfn.TEXTSPLIT(AQ131, ","))), SUM(VALUE(_xlfn.TEXTSPLIT(AN131, ",")))*IF(M131, M131, 1))/16, 1), "#,##0.0"), " tiles{}")</f>
        <v>{BLACK}Length: {GOLD}0.7 tiles{}</v>
      </c>
      <c r="CF131" s="0" t="str">
        <f aca="false">VLOOKUP($CD131, Constants!$M:$N, 2, FALSE())</f>
        <v>{BLACK}Powered by: {GOLD}Steam</v>
      </c>
      <c r="CG131" s="0" t="str">
        <f aca="false">IF(M131&gt;1,_xlfn.CONCAT("{BLACK}Cars: {GOLD}", M131),"")</f>
        <v/>
      </c>
      <c r="CH131" s="0" t="s">
        <v>498</v>
      </c>
      <c r="CI131" s="0" t="str">
        <f aca="false">IF($BU131="!param_no_gameplay_units","{GREEN}Included for gameplay purposes","")</f>
        <v/>
      </c>
      <c r="CJ131" s="0" t="str">
        <f aca="false">IF(BX131="buffet","{YELLOW}25% long distance bonus for consist{}",IF(BZ131="BRAKE","{YELLOW}Speed bonus for slow wagons{}",IF(BW131&gt;190,CONCATENATE("{YELLOW}",INT((BW131-185)/1.85),"% bonus for long distance travel{}"),IF(AND(BW131&lt;180,BW131&lt;&gt;0),CONCATENATE("{YELLOW}",INT((185-BW131)/1.85),"% penalty for long distance travel{}"),""))))</f>
        <v/>
      </c>
      <c r="CK131" s="0" t="str">
        <f aca="false">_xlfn.CONCAT(CF131,IF(CF131&lt;&gt;""," ",""),CG131,IF(OR(CG131&lt;&gt;"",CF131&lt;&gt;""),"{}",""),CE131,CJ131,"{SILVER}",CH131,IF(CI131&lt;&gt;"","{}{}",""),CI131)</f>
        <v>{BLACK}Powered by: {GOLD}Steam {}{BLACK}Length: {GOLD}0.7 tiles{}{SILVER}Dugald Drummond's C Class used large (for the time) 18 inch cylinders. They survived into LNER ownership as class J32, although rebuilt to Holmes' later design by that point.</v>
      </c>
    </row>
    <row r="132" customFormat="false" ht="14.25" hidden="false" customHeight="false" outlineLevel="0" collapsed="false">
      <c r="A132" s="0" t="s">
        <v>499</v>
      </c>
      <c r="B132" s="15" t="s">
        <v>500</v>
      </c>
      <c r="C132" s="0" t="n">
        <v>117</v>
      </c>
      <c r="E132" s="0" t="n">
        <v>20</v>
      </c>
      <c r="F132" s="0" t="s">
        <v>143</v>
      </c>
      <c r="G132" s="0" t="s">
        <v>445</v>
      </c>
      <c r="H132" s="0" t="s">
        <v>446</v>
      </c>
      <c r="I132" s="0" t="s">
        <v>92</v>
      </c>
      <c r="J132" s="0" t="n">
        <v>1883</v>
      </c>
      <c r="L132" s="0" t="n">
        <v>1957</v>
      </c>
      <c r="N132" s="0" t="n">
        <v>800</v>
      </c>
      <c r="P132" s="2" t="n">
        <v>17.5</v>
      </c>
      <c r="Q132" s="2" t="n">
        <v>24</v>
      </c>
      <c r="R132" s="2" t="n">
        <v>2</v>
      </c>
      <c r="S132" s="2" t="n">
        <v>160</v>
      </c>
      <c r="T132" s="18" t="n">
        <f aca="false">((($AB132/2)/60)*5280)/($U132*3.2*PI())</f>
        <v>189.659640517842</v>
      </c>
      <c r="U132" s="2" t="n">
        <v>1.5</v>
      </c>
      <c r="V132" s="2" t="n">
        <f aca="false">((($P132*$P132/4)*PI())*($Q132/12)*$R132*$S132*$T132)/(33000*1.1)</f>
        <v>804.292929292929</v>
      </c>
      <c r="W132" s="0" t="n">
        <f aca="false">41.6+34.3</f>
        <v>75.9</v>
      </c>
      <c r="X132" s="1" t="n">
        <v>30</v>
      </c>
      <c r="Z132" s="0" t="n">
        <v>75.4</v>
      </c>
      <c r="AA132" s="3" t="n">
        <f aca="false">IF(AND(W132&gt;0,Z132&gt;0),(Z132/((W132+X132)*10)),"")</f>
        <v>0.0711992445703494</v>
      </c>
      <c r="AB132" s="0" t="n">
        <v>65</v>
      </c>
      <c r="AC132" s="0" t="n">
        <f aca="false">ROUND(AB132*1.6, 0)</f>
        <v>104</v>
      </c>
      <c r="AF132" s="0" t="n">
        <v>14.4</v>
      </c>
      <c r="AG132" s="0" t="n">
        <v>10</v>
      </c>
      <c r="AJ132" s="4" t="n">
        <v>0</v>
      </c>
      <c r="AK132" s="0" t="str">
        <f aca="false">CONCATENATE(VLOOKUP(AL132, 'Voxel Sizes'!$A$2:$B$18,2,FALSE()),"x",INT(AH132*15), "x", INT(AI132*15))</f>
        <v>102x0x0</v>
      </c>
      <c r="AL132" s="0" t="n">
        <f aca="false">ROUND(15*((AG132*10)/256),0)</f>
        <v>6</v>
      </c>
      <c r="AM132" s="0" t="s">
        <v>110</v>
      </c>
      <c r="AN132" s="0" t="str">
        <f aca="false">CONCATENATE(VLOOKUP(AL132,Constants!$A$2:$C$16,IF(AM132&lt;&gt;"", 3, 2), FALSE()),IF(AM132&lt;&gt;"",CONCATENATE(",",VLOOKUP(AM132,$B:$AN,39,FALSE())),""))</f>
        <v>2,2,2,2,1,2</v>
      </c>
      <c r="AV132" s="0" t="n">
        <v>1</v>
      </c>
      <c r="AX132" s="0" t="n">
        <v>38</v>
      </c>
      <c r="AY132" s="16" t="n">
        <f aca="false">IF(L132&lt;&gt;"",MAX(16,(L132-J132)+8),"")</f>
        <v>82</v>
      </c>
      <c r="BB132" s="0" t="n">
        <f aca="false">MIN(AB132/150, 1)*30</f>
        <v>13</v>
      </c>
      <c r="BC132" s="0" t="n">
        <f aca="false">MIN(N132/4000, 1)*20</f>
        <v>4</v>
      </c>
      <c r="BD132" s="0" t="n">
        <f aca="false">MIN(Z132/400,1)*20</f>
        <v>3.77</v>
      </c>
      <c r="BE132" s="3" t="n">
        <f aca="false">1-(MAX(J132-1900, 0)/750)</f>
        <v>1</v>
      </c>
      <c r="BF132" s="0" t="n">
        <f aca="false">((MAX($M132,1)*MIN($AJ132/300,1)))*IF(G132="Wagon",50,10)</f>
        <v>0</v>
      </c>
      <c r="BG132" s="0" t="n">
        <f aca="false">VLOOKUP($H132,Constants!$I:$K, 2, FALSE())</f>
        <v>1.15</v>
      </c>
      <c r="BH132" s="0" t="n">
        <f aca="false">VLOOKUP($H132,Constants!$I:$K, 3, FALSE())*IF(AND(G132="multiple_unit",AB132&lt;110),0.75,1)</f>
        <v>1.7</v>
      </c>
      <c r="BI132" s="0" t="n">
        <f aca="false">INT(POWER(((Constants!$G$2+$BB132+$BC132+$BD132+$BF132)*$BE132)*$BH132, 1.05))+$BA132</f>
        <v>52</v>
      </c>
      <c r="BJ132" s="0" t="n">
        <f aca="false">INT(POWER((((Constants!$G$1+$BB132+$BC132+$BD132+$BF132)*($BE132))*$BG132),IF($G132="wagon",1,1.2)))+$AZ132</f>
        <v>86</v>
      </c>
      <c r="BK132" s="17" t="n">
        <f aca="false">BI132*IF($G132="wagon",62.5,781.25)</f>
        <v>40625</v>
      </c>
      <c r="BL132" s="17" t="n">
        <f aca="false">BJ132*IF($G132="wagon",2.73,81.25)</f>
        <v>6987.5</v>
      </c>
      <c r="BV132" s="0" t="n">
        <v>2</v>
      </c>
      <c r="CA132" s="0" t="str">
        <f aca="false">VLOOKUP(J132,Eras!$A$2:$C$10, 2, TRUE())</f>
        <v>vct</v>
      </c>
      <c r="CB132" s="0" t="s">
        <v>439</v>
      </c>
      <c r="CC132" s="0" t="str">
        <f aca="false">CONCATENATE(CA132,"_",CB132)</f>
        <v>vct_Mixed Traffic</v>
      </c>
      <c r="CD132" s="0" t="str">
        <f aca="false">_xlfn.CONCAT(H132, "_",I132)</f>
        <v>steam_RAIL</v>
      </c>
      <c r="CE132" s="6" t="str">
        <f aca="false" t="array" ref="CE132:CE132">_xlfn.CONCAT("{BLACK}Length: {GOLD}", TEXT(ROUNDUP(IF(AQ132&lt;&gt;"",SUM(VALUE(_xlfn.TEXTSPLIT(AQ132, ","))), SUM(VALUE(_xlfn.TEXTSPLIT(AN132, ",")))*IF(M132, M132, 1))/16, 1), "#,##0.0"), " tiles{}")</f>
        <v>{BLACK}Length: {GOLD}0.7 tiles{}</v>
      </c>
      <c r="CF132" s="0" t="str">
        <f aca="false">VLOOKUP($CD132, Constants!$M:$N, 2, FALSE())</f>
        <v>{BLACK}Powered by: {GOLD}Steam</v>
      </c>
      <c r="CG132" s="0" t="str">
        <f aca="false">IF(M132&gt;1,_xlfn.CONCAT("{BLACK}Cars: {GOLD}", M132),"")</f>
        <v/>
      </c>
      <c r="CH132" s="0" t="s">
        <v>501</v>
      </c>
      <c r="CI132" s="0" t="str">
        <f aca="false">IF($BU132="!param_no_gameplay_units","{GREEN}Included for gameplay purposes","")</f>
        <v/>
      </c>
      <c r="CJ132" s="0" t="str">
        <f aca="false">IF(BX132="buffet","{YELLOW}25% long distance bonus for consist{}",IF(BZ132="BRAKE","{YELLOW}Speed bonus for slow wagons{}",IF(BW132&gt;190,CONCATENATE("{YELLOW}",INT((BW132-185)/1.85),"% bonus for long distance travel{}"),IF(AND(BW132&lt;180,BW132&lt;&gt;0),CONCATENATE("{YELLOW}",INT((185-BW132)/1.85),"% penalty for long distance travel{}"),""))))</f>
        <v/>
      </c>
      <c r="CK132" s="0" t="str">
        <f aca="false">_xlfn.CONCAT(CF132,IF(CF132&lt;&gt;""," ",""),CG132,IF(OR(CG132&lt;&gt;"",CF132&lt;&gt;""),"{}",""),CE132,CJ132,"{SILVER}",CH132,IF(CI132&lt;&gt;"","{}{}",""),CI132)</f>
        <v>{BLACK}Powered by: {GOLD}Steam {}{BLACK}Length: {GOLD}0.7 tiles{}{SILVER}GER's Y14 was a highly successful design, being built in much the same form through to 1913. One was built by the Stratford works in under 10 hours.</v>
      </c>
    </row>
    <row r="133" customFormat="false" ht="14.25" hidden="false" customHeight="false" outlineLevel="0" collapsed="false">
      <c r="A133" s="0" t="s">
        <v>502</v>
      </c>
      <c r="B133" s="15" t="s">
        <v>503</v>
      </c>
      <c r="C133" s="0" t="n">
        <v>118</v>
      </c>
      <c r="E133" s="0" t="n">
        <v>21</v>
      </c>
      <c r="F133" s="0" t="s">
        <v>143</v>
      </c>
      <c r="G133" s="0" t="s">
        <v>445</v>
      </c>
      <c r="H133" s="0" t="s">
        <v>446</v>
      </c>
      <c r="I133" s="0" t="s">
        <v>92</v>
      </c>
      <c r="J133" s="0" t="n">
        <v>1883</v>
      </c>
      <c r="L133" s="0" t="n">
        <v>1957</v>
      </c>
      <c r="N133" s="0" t="n">
        <v>825</v>
      </c>
      <c r="P133" s="2" t="n">
        <v>17</v>
      </c>
      <c r="Q133" s="2" t="n">
        <v>24</v>
      </c>
      <c r="R133" s="2" t="n">
        <v>2</v>
      </c>
      <c r="S133" s="2" t="n">
        <v>180</v>
      </c>
      <c r="T133" s="18" t="n">
        <f aca="false">((($AB133/2)/60)*5280)/($U133*3.2*PI())</f>
        <v>183.640318952187</v>
      </c>
      <c r="U133" s="2" t="n">
        <v>1.43</v>
      </c>
      <c r="V133" s="2" t="n">
        <f aca="false">((($P133*$P133/4)*PI())*($Q133/12)*$R133*$S133*$T133)/(33000*1.1)</f>
        <v>826.764144945963</v>
      </c>
      <c r="W133" s="0" t="n">
        <v>41.2</v>
      </c>
      <c r="X133" s="1" t="n">
        <v>34</v>
      </c>
      <c r="Z133" s="0" t="n">
        <v>80</v>
      </c>
      <c r="AA133" s="3" t="n">
        <f aca="false">IF(AND(W133&gt;0,Z133&gt;0),(Z133/((W133+X133)*10)),"")</f>
        <v>0.106382978723404</v>
      </c>
      <c r="AB133" s="0" t="n">
        <v>60</v>
      </c>
      <c r="AC133" s="0" t="n">
        <f aca="false">ROUND(AB133*1.6, 0)</f>
        <v>96</v>
      </c>
      <c r="AF133" s="0" t="n">
        <v>14.4</v>
      </c>
      <c r="AG133" s="0" t="n">
        <v>10</v>
      </c>
      <c r="AJ133" s="4" t="n">
        <v>0</v>
      </c>
      <c r="AK133" s="0" t="str">
        <f aca="false">CONCATENATE(VLOOKUP(AL133, 'Voxel Sizes'!$A$2:$B$18,2,FALSE()),"x",INT(AH133*15), "x", INT(AI133*15))</f>
        <v>102x0x0</v>
      </c>
      <c r="AL133" s="0" t="n">
        <f aca="false">ROUND(15*((AG133*10)/256),0)</f>
        <v>6</v>
      </c>
      <c r="AM133" s="0" t="s">
        <v>114</v>
      </c>
      <c r="AN133" s="0" t="str">
        <f aca="false">CONCATENATE(VLOOKUP(AL133,Constants!$A$2:$C$16,IF(AM133&lt;&gt;"", 3, 2), FALSE()),IF(AM133&lt;&gt;"",CONCATENATE(",",VLOOKUP(AM133,$B:$AN,39,FALSE())),""))</f>
        <v>2,2,2,2,1,2</v>
      </c>
      <c r="AV133" s="0" t="n">
        <v>1</v>
      </c>
      <c r="AX133" s="0" t="n">
        <v>34</v>
      </c>
      <c r="AY133" s="16" t="n">
        <f aca="false">IF(L133&lt;&gt;"",MAX(16,(L133-J133)+8),"")</f>
        <v>82</v>
      </c>
      <c r="BA133" s="0" t="n">
        <v>-2</v>
      </c>
      <c r="BB133" s="0" t="n">
        <f aca="false">MIN(AB133/150, 1)*30</f>
        <v>12</v>
      </c>
      <c r="BC133" s="0" t="n">
        <f aca="false">MIN(N133/4000, 1)*20</f>
        <v>4.125</v>
      </c>
      <c r="BD133" s="0" t="n">
        <f aca="false">MIN(Z133/400,1)*20</f>
        <v>4</v>
      </c>
      <c r="BE133" s="3" t="n">
        <f aca="false">1-(MAX(J133-1900, 0)/750)</f>
        <v>1</v>
      </c>
      <c r="BF133" s="0" t="n">
        <f aca="false">((MAX($M133,1)*MIN($AJ133/300,1)))*IF(G133="Wagon",50,10)</f>
        <v>0</v>
      </c>
      <c r="BG133" s="0" t="n">
        <f aca="false">VLOOKUP($H133,Constants!$I:$K, 2, FALSE())</f>
        <v>1.15</v>
      </c>
      <c r="BH133" s="0" t="n">
        <f aca="false">VLOOKUP($H133,Constants!$I:$K, 3, FALSE())*IF(AND(G133="multiple_unit",AB133&lt;110),0.75,1)</f>
        <v>1.7</v>
      </c>
      <c r="BI133" s="0" t="n">
        <f aca="false">INT(POWER(((Constants!$G$2+$BB133+$BC133+$BD133+$BF133)*$BE133)*$BH133, 1.05))+$BA133</f>
        <v>49</v>
      </c>
      <c r="BJ133" s="0" t="n">
        <f aca="false">INT(POWER((((Constants!$G$1+$BB133+$BC133+$BD133+$BF133)*($BE133))*$BG133),IF($G133="wagon",1,1.2)))+$AZ133</f>
        <v>84</v>
      </c>
      <c r="BK133" s="17" t="n">
        <f aca="false">BI133*IF($G133="wagon",62.5,781.25)</f>
        <v>38281.25</v>
      </c>
      <c r="BL133" s="17" t="n">
        <f aca="false">BJ133*IF($G133="wagon",2.73,81.25)</f>
        <v>6825</v>
      </c>
      <c r="BV133" s="0" t="n">
        <v>3</v>
      </c>
      <c r="CA133" s="0" t="str">
        <f aca="false">VLOOKUP(J133,Eras!$A$2:$C$10, 2, TRUE())</f>
        <v>vct</v>
      </c>
      <c r="CB133" s="0" t="s">
        <v>478</v>
      </c>
      <c r="CC133" s="0" t="str">
        <f aca="false">CONCATENATE(CA133,"_",CB133)</f>
        <v>vct_Freight</v>
      </c>
      <c r="CD133" s="0" t="str">
        <f aca="false">_xlfn.CONCAT(H133, "_",I133)</f>
        <v>steam_RAIL</v>
      </c>
      <c r="CE133" s="6" t="str">
        <f aca="false" t="array" ref="CE133:CE133">_xlfn.CONCAT("{BLACK}Length: {GOLD}", TEXT(ROUNDUP(IF(AQ133&lt;&gt;"",SUM(VALUE(_xlfn.TEXTSPLIT(AQ133, ","))), SUM(VALUE(_xlfn.TEXTSPLIT(AN133, ",")))*IF(M133, M133, 1))/16, 1), "#,##0.0"), " tiles{}")</f>
        <v>{BLACK}Length: {GOLD}0.7 tiles{}</v>
      </c>
      <c r="CF133" s="0" t="str">
        <f aca="false">VLOOKUP($CD133, Constants!$M:$N, 2, FALSE())</f>
        <v>{BLACK}Powered by: {GOLD}Steam</v>
      </c>
      <c r="CG133" s="0" t="str">
        <f aca="false">IF(M133&gt;1,_xlfn.CONCAT("{BLACK}Cars: {GOLD}", M133),"")</f>
        <v/>
      </c>
      <c r="CH133" s="0" t="s">
        <v>504</v>
      </c>
      <c r="CI133" s="0" t="str">
        <f aca="false">IF($BU133="!param_no_gameplay_units","{GREEN}Included for gameplay purposes","")</f>
        <v/>
      </c>
      <c r="CJ133" s="0" t="str">
        <f aca="false">IF(BX133="buffet","{YELLOW}25% long distance bonus for consist{}",IF(BZ133="BRAKE","{YELLOW}Speed bonus for slow wagons{}",IF(BW133&gt;190,CONCATENATE("{YELLOW}",INT((BW133-185)/1.85),"% bonus for long distance travel{}"),IF(AND(BW133&lt;180,BW133&lt;&gt;0),CONCATENATE("{YELLOW}",INT((185-BW133)/1.85),"% penalty for long distance travel{}"),""))))</f>
        <v/>
      </c>
      <c r="CK133" s="0" t="str">
        <f aca="false">_xlfn.CONCAT(CF133,IF(CF133&lt;&gt;""," ",""),CG133,IF(OR(CG133&lt;&gt;"",CF133&lt;&gt;""),"{}",""),CE133,CJ133,"{SILVER}",CH133,IF(CI133&lt;&gt;"","{}{}",""),CI133)</f>
        <v>{BLACK}Powered by: {GOLD}Steam {}{BLACK}Length: {GOLD}0.7 tiles{}{SILVER}William Dean's 2301 class was the first GWR locomotive to have no outside frame. The light weight made them suited to branch lines.</v>
      </c>
    </row>
    <row r="134" customFormat="false" ht="14.25" hidden="false" customHeight="false" outlineLevel="0" collapsed="false">
      <c r="A134" s="0" t="s">
        <v>505</v>
      </c>
      <c r="B134" s="15" t="s">
        <v>506</v>
      </c>
      <c r="C134" s="0" t="n">
        <v>119</v>
      </c>
      <c r="E134" s="0" t="n">
        <v>22</v>
      </c>
      <c r="F134" s="0" t="s">
        <v>143</v>
      </c>
      <c r="G134" s="0" t="s">
        <v>445</v>
      </c>
      <c r="H134" s="0" t="s">
        <v>446</v>
      </c>
      <c r="I134" s="0" t="s">
        <v>92</v>
      </c>
      <c r="J134" s="0" t="n">
        <v>1888</v>
      </c>
      <c r="L134" s="0" t="n">
        <v>1967</v>
      </c>
      <c r="N134" s="0" t="n">
        <v>850</v>
      </c>
      <c r="P134" s="2" t="n">
        <v>18</v>
      </c>
      <c r="Q134" s="2" t="n">
        <v>26</v>
      </c>
      <c r="R134" s="2" t="n">
        <v>2</v>
      </c>
      <c r="S134" s="2" t="n">
        <v>165</v>
      </c>
      <c r="T134" s="18" t="n">
        <f aca="false">((($AB134/2)/60)*5280)/($U134*3.2*PI())</f>
        <v>175.070437401085</v>
      </c>
      <c r="U134" s="2" t="n">
        <v>1.5</v>
      </c>
      <c r="V134" s="2" t="n">
        <f aca="false">((($P134*$P134/4)*PI())*($Q134/12)*$R134*$S134*$T134)/(33000*1.1)</f>
        <v>877.5</v>
      </c>
      <c r="W134" s="0" t="n">
        <v>42.6</v>
      </c>
      <c r="X134" s="1" t="n">
        <v>40</v>
      </c>
      <c r="Z134" s="0" t="n">
        <v>88</v>
      </c>
      <c r="AA134" s="3" t="n">
        <f aca="false">IF(AND(W134&gt;0,Z134&gt;0),(Z134/((W134+X134)*10)),"")</f>
        <v>0.106537530266344</v>
      </c>
      <c r="AB134" s="0" t="n">
        <v>60</v>
      </c>
      <c r="AC134" s="0" t="n">
        <f aca="false">ROUND(AB134*1.6, 0)</f>
        <v>96</v>
      </c>
      <c r="AF134" s="0" t="n">
        <v>14.99</v>
      </c>
      <c r="AG134" s="0" t="n">
        <v>10</v>
      </c>
      <c r="AJ134" s="4" t="n">
        <v>0</v>
      </c>
      <c r="AK134" s="0" t="str">
        <f aca="false">CONCATENATE(VLOOKUP(AL134, 'Voxel Sizes'!$A$2:$B$18,2,FALSE()),"x",INT(AH134*15), "x", INT(AI134*15))</f>
        <v>102x0x0</v>
      </c>
      <c r="AL134" s="0" t="n">
        <f aca="false">ROUND(15*((AG134*10)/256),0)</f>
        <v>6</v>
      </c>
      <c r="AM134" s="0" t="s">
        <v>110</v>
      </c>
      <c r="AN134" s="0" t="str">
        <f aca="false">CONCATENATE(VLOOKUP(AL134,Constants!$A$2:$C$16,IF(AM134&lt;&gt;"", 3, 2), FALSE()),IF(AM134&lt;&gt;"",CONCATENATE(",",VLOOKUP(AM134,$B:$AN,39,FALSE())),""))</f>
        <v>2,2,2,2,1,2</v>
      </c>
      <c r="AV134" s="0" t="n">
        <v>1</v>
      </c>
      <c r="AX134" s="0" t="n">
        <v>36</v>
      </c>
      <c r="AY134" s="16" t="n">
        <f aca="false">IF(L134&lt;&gt;"",MAX(16,(L134-J134)+8),"")</f>
        <v>87</v>
      </c>
      <c r="BB134" s="0" t="n">
        <f aca="false">MIN(AB134/150, 1)*30</f>
        <v>12</v>
      </c>
      <c r="BC134" s="0" t="n">
        <f aca="false">MIN(N134/4000, 1)*20</f>
        <v>4.25</v>
      </c>
      <c r="BD134" s="0" t="n">
        <f aca="false">MIN(Z134/400,1)*20</f>
        <v>4.4</v>
      </c>
      <c r="BE134" s="3" t="n">
        <f aca="false">1-(MAX(J134-1900, 0)/750)</f>
        <v>1</v>
      </c>
      <c r="BF134" s="0" t="n">
        <f aca="false">((MAX($M134,1)*MIN($AJ134/300,1)))*IF(G134="Wagon",50,10)</f>
        <v>0</v>
      </c>
      <c r="BG134" s="0" t="n">
        <f aca="false">VLOOKUP($H134,Constants!$I:$K, 2, FALSE())</f>
        <v>1.15</v>
      </c>
      <c r="BH134" s="0" t="n">
        <f aca="false">VLOOKUP($H134,Constants!$I:$K, 3, FALSE())*IF(AND(G134="multiple_unit",AB134&lt;110),0.75,1)</f>
        <v>1.7</v>
      </c>
      <c r="BI134" s="0" t="n">
        <f aca="false">INT(POWER(((Constants!$G$2+$BB134+$BC134+$BD134+$BF134)*$BE134)*$BH134, 1.05))+$BA134</f>
        <v>52</v>
      </c>
      <c r="BJ134" s="0" t="n">
        <f aca="false">INT(POWER((((Constants!$G$1+$BB134+$BC134+$BD134+$BF134)*($BE134))*$BG134),IF($G134="wagon",1,1.2)))+$AZ134</f>
        <v>86</v>
      </c>
      <c r="BK134" s="17" t="n">
        <f aca="false">BI134*IF($G134="wagon",62.5,781.25)</f>
        <v>40625</v>
      </c>
      <c r="BL134" s="17" t="n">
        <f aca="false">BJ134*IF($G134="wagon",2.73,81.25)</f>
        <v>6987.5</v>
      </c>
      <c r="BV134" s="0" t="n">
        <v>4</v>
      </c>
      <c r="CA134" s="0" t="str">
        <f aca="false">VLOOKUP(J134,Eras!$A$2:$C$10, 2, TRUE())</f>
        <v>vct</v>
      </c>
      <c r="CB134" s="0" t="s">
        <v>439</v>
      </c>
      <c r="CC134" s="0" t="str">
        <f aca="false">CONCATENATE(CA134,"_",CB134)</f>
        <v>vct_Mixed Traffic</v>
      </c>
      <c r="CD134" s="0" t="str">
        <f aca="false">_xlfn.CONCAT(H134, "_",I134)</f>
        <v>steam_RAIL</v>
      </c>
      <c r="CE134" s="6" t="str">
        <f aca="false" t="array" ref="CE134:CE134">_xlfn.CONCAT("{BLACK}Length: {GOLD}", TEXT(ROUNDUP(IF(AQ134&lt;&gt;"",SUM(VALUE(_xlfn.TEXTSPLIT(AQ134, ","))), SUM(VALUE(_xlfn.TEXTSPLIT(AN134, ",")))*IF(M134, M134, 1))/16, 1), "#,##0.0"), " tiles{}")</f>
        <v>{BLACK}Length: {GOLD}0.7 tiles{}</v>
      </c>
      <c r="CF134" s="0" t="str">
        <f aca="false">VLOOKUP($CD134, Constants!$M:$N, 2, FALSE())</f>
        <v>{BLACK}Powered by: {GOLD}Steam</v>
      </c>
      <c r="CG134" s="0" t="str">
        <f aca="false">IF(M134&gt;1,_xlfn.CONCAT("{BLACK}Cars: {GOLD}", M134),"")</f>
        <v/>
      </c>
      <c r="CH134" s="0" t="s">
        <v>507</v>
      </c>
      <c r="CI134" s="0" t="str">
        <f aca="false">IF($BU134="!param_no_gameplay_units","{GREEN}Included for gameplay purposes","")</f>
        <v/>
      </c>
      <c r="CJ134" s="0" t="str">
        <f aca="false">IF(BX134="buffet","{YELLOW}25% long distance bonus for consist{}",IF(BZ134="BRAKE","{YELLOW}Speed bonus for slow wagons{}",IF(BW134&gt;190,CONCATENATE("{YELLOW}",INT((BW134-185)/1.85),"% bonus for long distance travel{}"),IF(AND(BW134&lt;180,BW134&lt;&gt;0),CONCATENATE("{YELLOW}",INT((185-BW134)/1.85),"% penalty for long distance travel{}"),""))))</f>
        <v/>
      </c>
      <c r="CK134" s="0" t="str">
        <f aca="false">_xlfn.CONCAT(CF134,IF(CF134&lt;&gt;""," ",""),CG134,IF(OR(CG134&lt;&gt;"",CF134&lt;&gt;""),"{}",""),CE134,CJ134,"{SILVER}",CH134,IF(CI134&lt;&gt;"","{}{}",""),CI134)</f>
        <v>{BLACK}Powered by: {GOLD}Steam {}{BLACK}Length: {GOLD}0.7 tiles{}{SILVER}Matthew Holmes' Class C was an evolution of Drummond's design. They had a long career, becoming LNER class J36 and surviving to the last days of steam on British railways.</v>
      </c>
    </row>
    <row r="135" customFormat="false" ht="14.25" hidden="false" customHeight="false" outlineLevel="0" collapsed="false">
      <c r="A135" s="0" t="s">
        <v>508</v>
      </c>
      <c r="B135" s="15" t="s">
        <v>509</v>
      </c>
      <c r="C135" s="0" t="n">
        <v>120</v>
      </c>
      <c r="E135" s="0" t="n">
        <v>23</v>
      </c>
      <c r="F135" s="0" t="s">
        <v>143</v>
      </c>
      <c r="G135" s="0" t="s">
        <v>445</v>
      </c>
      <c r="H135" s="0" t="s">
        <v>446</v>
      </c>
      <c r="I135" s="0" t="s">
        <v>92</v>
      </c>
      <c r="J135" s="0" t="n">
        <v>1896</v>
      </c>
      <c r="L135" s="0" t="n">
        <v>1928</v>
      </c>
      <c r="N135" s="0" t="n">
        <v>850</v>
      </c>
      <c r="P135" s="2" t="n">
        <v>19.5</v>
      </c>
      <c r="Q135" s="2" t="n">
        <v>26</v>
      </c>
      <c r="R135" s="2" t="n">
        <v>2</v>
      </c>
      <c r="S135" s="2" t="n">
        <v>170</v>
      </c>
      <c r="T135" s="18" t="n">
        <f aca="false">((($AB135/2)/60)*5280)/($U135*3.2*PI())</f>
        <v>166.206111456726</v>
      </c>
      <c r="U135" s="2" t="n">
        <v>2.37</v>
      </c>
      <c r="V135" s="2" t="n">
        <f aca="false">((($P135*$P135/4)*PI())*($Q135/12)*$R135*$S135*$T135)/(33000*1.1)</f>
        <v>1007.32702819333</v>
      </c>
      <c r="W135" s="0" t="n">
        <v>48</v>
      </c>
      <c r="X135" s="1" t="n">
        <v>42</v>
      </c>
      <c r="Z135" s="0" t="n">
        <v>68</v>
      </c>
      <c r="AA135" s="3" t="n">
        <f aca="false">IF(AND(W135&gt;0,Z135&gt;0),(Z135/((W135+X135)*10)),"")</f>
        <v>0.0755555555555556</v>
      </c>
      <c r="AB135" s="0" t="n">
        <v>90</v>
      </c>
      <c r="AC135" s="0" t="n">
        <f aca="false">ROUND(AB135*1.6, 0)</f>
        <v>144</v>
      </c>
      <c r="AF135" s="0" t="n">
        <v>11</v>
      </c>
      <c r="AG135" s="0" t="n">
        <v>11</v>
      </c>
      <c r="AJ135" s="4" t="n">
        <v>0</v>
      </c>
      <c r="AK135" s="0" t="str">
        <f aca="false">CONCATENATE(VLOOKUP(AL135, 'Voxel Sizes'!$A$2:$B$18,2,FALSE()),"x",INT(AH135*15), "x", INT(AI135*15))</f>
        <v>102x0x0</v>
      </c>
      <c r="AL135" s="0" t="n">
        <f aca="false">ROUND(15*((AG135*10)/256),0)</f>
        <v>6</v>
      </c>
      <c r="AM135" s="0" t="s">
        <v>112</v>
      </c>
      <c r="AN135" s="0" t="str">
        <f aca="false">CONCATENATE(VLOOKUP(AL135,Constants!$A$2:$C$16,IF(AM135&lt;&gt;"", 3, 2), FALSE()),IF(AM135&lt;&gt;"",CONCATENATE(",",VLOOKUP(AM135,$B:$AN,39,FALSE())),""))</f>
        <v>2,2,2,2,1,2</v>
      </c>
      <c r="AX135" s="0" t="n">
        <v>30</v>
      </c>
      <c r="AY135" s="16" t="n">
        <f aca="false">IF(L135&lt;&gt;"",MAX(16,(L135-J135)+8),"")</f>
        <v>40</v>
      </c>
      <c r="BB135" s="0" t="n">
        <f aca="false">MIN(AB135/150, 1)*30</f>
        <v>18</v>
      </c>
      <c r="BC135" s="0" t="n">
        <f aca="false">MIN(N135/4000, 1)*20</f>
        <v>4.25</v>
      </c>
      <c r="BD135" s="0" t="n">
        <f aca="false">MIN(Z135/400,1)*20</f>
        <v>3.4</v>
      </c>
      <c r="BE135" s="3" t="n">
        <f aca="false">1-(MAX(J135-1900, 0)/750)</f>
        <v>1</v>
      </c>
      <c r="BF135" s="0" t="n">
        <f aca="false">((MAX($M135,1)*MIN($AJ135/300,1)))*IF(G135="Wagon",50,10)</f>
        <v>0</v>
      </c>
      <c r="BG135" s="0" t="n">
        <f aca="false">VLOOKUP($H135,Constants!$I:$K, 2, FALSE())</f>
        <v>1.15</v>
      </c>
      <c r="BH135" s="0" t="n">
        <f aca="false">VLOOKUP($H135,Constants!$I:$K, 3, FALSE())*IF(AND(G135="multiple_unit",AB135&lt;110),0.75,1)</f>
        <v>1.7</v>
      </c>
      <c r="BI135" s="0" t="n">
        <f aca="false">INT(POWER(((Constants!$G$2+$BB135+$BC135+$BD135+$BF135)*$BE135)*$BH135, 1.05))+$BA135</f>
        <v>63</v>
      </c>
      <c r="BJ135" s="0" t="n">
        <f aca="false">INT(POWER((((Constants!$G$1+$BB135+$BC135+$BD135+$BF135)*($BE135))*$BG135),IF($G135="wagon",1,1.2)))+$AZ135</f>
        <v>100</v>
      </c>
      <c r="BK135" s="17" t="n">
        <f aca="false">BI135*IF($G135="wagon",62.5,781.25)</f>
        <v>49218.75</v>
      </c>
      <c r="BL135" s="17" t="n">
        <f aca="false">BJ135*IF($G135="wagon",2.73,81.25)</f>
        <v>8125</v>
      </c>
      <c r="BV135" s="0" t="n">
        <v>6</v>
      </c>
      <c r="CA135" s="0" t="str">
        <f aca="false">VLOOKUP(J135,Eras!$A$2:$C$10, 2, TRUE())</f>
        <v>vct</v>
      </c>
      <c r="CB135" s="0" t="s">
        <v>474</v>
      </c>
      <c r="CC135" s="0" t="str">
        <f aca="false">CONCATENATE(CA135,"_",CB135)</f>
        <v>vct_Express</v>
      </c>
      <c r="CD135" s="0" t="str">
        <f aca="false">_xlfn.CONCAT(H135, "_",I135)</f>
        <v>steam_RAIL</v>
      </c>
      <c r="CE135" s="6" t="str">
        <f aca="false" t="array" ref="CE135:CE135">_xlfn.CONCAT("{BLACK}Length: {GOLD}", TEXT(ROUNDUP(IF(AQ135&lt;&gt;"",SUM(VALUE(_xlfn.TEXTSPLIT(AQ135, ","))), SUM(VALUE(_xlfn.TEXTSPLIT(AN135, ",")))*IF(M135, M135, 1))/16, 1), "#,##0.0"), " tiles{}")</f>
        <v>{BLACK}Length: {GOLD}0.7 tiles{}</v>
      </c>
      <c r="CF135" s="0" t="str">
        <f aca="false">VLOOKUP($CD135, Constants!$M:$N, 2, FALSE())</f>
        <v>{BLACK}Powered by: {GOLD}Steam</v>
      </c>
      <c r="CG135" s="0" t="str">
        <f aca="false">IF(M135&gt;1,_xlfn.CONCAT("{BLACK}Cars: {GOLD}", M135),"")</f>
        <v/>
      </c>
      <c r="CH135" s="0" t="s">
        <v>510</v>
      </c>
      <c r="CI135" s="0" t="str">
        <f aca="false">IF($BU135="!param_no_gameplay_units","{GREEN}Included for gameplay purposes","")</f>
        <v/>
      </c>
      <c r="CJ135" s="0" t="str">
        <f aca="false">IF(BX135="buffet","{YELLOW}25% long distance bonus for consist{}",IF(BZ135="BRAKE","{YELLOW}Speed bonus for slow wagons{}",IF(BW135&gt;190,CONCATENATE("{YELLOW}",INT((BW135-185)/1.85),"% bonus for long distance travel{}"),IF(AND(BW135&lt;180,BW135&lt;&gt;0),CONCATENATE("{YELLOW}",INT((185-BW135)/1.85),"% penalty for long distance travel{}"),""))))</f>
        <v/>
      </c>
      <c r="CK135" s="0" t="str">
        <f aca="false">_xlfn.CONCAT(CF135,IF(CF135&lt;&gt;""," ",""),CG135,IF(OR(CG135&lt;&gt;"",CF135&lt;&gt;""),"{}",""),CE135,CJ135,"{SILVER}",CH135,IF(CI135&lt;&gt;"","{}{}",""),CI135)</f>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36" customFormat="false" ht="14.25" hidden="false" customHeight="false" outlineLevel="0" collapsed="false">
      <c r="A136" s="0" t="s">
        <v>511</v>
      </c>
      <c r="B136" s="15" t="s">
        <v>512</v>
      </c>
      <c r="C136" s="0" t="n">
        <v>121</v>
      </c>
      <c r="E136" s="0" t="n">
        <v>24</v>
      </c>
      <c r="F136" s="0" t="s">
        <v>143</v>
      </c>
      <c r="G136" s="0" t="s">
        <v>445</v>
      </c>
      <c r="H136" s="0" t="s">
        <v>446</v>
      </c>
      <c r="I136" s="0" t="s">
        <v>92</v>
      </c>
      <c r="J136" s="0" t="n">
        <v>1897</v>
      </c>
      <c r="K136" s="0" t="n">
        <v>1911</v>
      </c>
      <c r="L136" s="0" t="n">
        <v>1957</v>
      </c>
      <c r="N136" s="0" t="n">
        <v>500</v>
      </c>
      <c r="P136" s="2" t="n">
        <v>18.5</v>
      </c>
      <c r="Q136" s="2" t="n">
        <v>26</v>
      </c>
      <c r="R136" s="2" t="n">
        <v>2</v>
      </c>
      <c r="S136" s="2" t="n">
        <v>175</v>
      </c>
      <c r="T136" s="18" t="n">
        <f aca="false">((($AB136/2)/60)*5280)/($U136*3.2*PI())</f>
        <v>90.1097839564407</v>
      </c>
      <c r="U136" s="2" t="n">
        <v>1.7</v>
      </c>
      <c r="V136" s="2" t="n">
        <f aca="false">((($P136*$P136/4)*PI())*($Q136/12)*$R136*$S136*$T136)/(33000*1.1)</f>
        <v>506.009660019311</v>
      </c>
      <c r="W136" s="0" t="n">
        <v>61.2</v>
      </c>
      <c r="Z136" s="0" t="n">
        <v>87</v>
      </c>
      <c r="AA136" s="3" t="n">
        <f aca="false">IF(AND(W136&gt;0,Z136&gt;0),(Z136/((W136+X136)*10)),"")</f>
        <v>0.142156862745098</v>
      </c>
      <c r="AB136" s="0" t="n">
        <v>35</v>
      </c>
      <c r="AC136" s="0" t="n">
        <f aca="false">ROUND(AB136*1.6, 0)</f>
        <v>56</v>
      </c>
      <c r="AF136" s="0" t="n">
        <v>10.5</v>
      </c>
      <c r="AG136" s="0" t="n">
        <v>10.5</v>
      </c>
      <c r="AJ136" s="4" t="n">
        <v>0</v>
      </c>
      <c r="AK136" s="0" t="str">
        <f aca="false">CONCATENATE(VLOOKUP(AL136, 'Voxel Sizes'!$A$2:$B$18,2,FALSE()),"x",INT(AH136*15), "x", INT(AI136*15))</f>
        <v>102x0x0</v>
      </c>
      <c r="AL136" s="0" t="n">
        <f aca="false">ROUND(15*((AG136*10)/256),0)</f>
        <v>6</v>
      </c>
      <c r="AN136" s="0" t="str">
        <f aca="false">CONCATENATE(VLOOKUP(AL136,Constants!$A$2:$C$16,IF(AM136&lt;&gt;"", 3, 2), FALSE()),IF(AM136&lt;&gt;"",CONCATENATE(",",VLOOKUP(AM136,$B:$AN,39,FALSE())),""))</f>
        <v>2,2,2</v>
      </c>
      <c r="AV136" s="0" t="n">
        <v>1</v>
      </c>
      <c r="AX136" s="0" t="n">
        <v>34</v>
      </c>
      <c r="AY136" s="16" t="n">
        <f aca="false">IF(L136&lt;&gt;"",MAX(16,(L136-J136)+8),"")</f>
        <v>68</v>
      </c>
      <c r="BB136" s="0" t="n">
        <f aca="false">MIN(AB136/150, 1)*30</f>
        <v>7</v>
      </c>
      <c r="BC136" s="0" t="n">
        <f aca="false">MIN(N136/4000, 1)*20</f>
        <v>2.5</v>
      </c>
      <c r="BD136" s="0" t="n">
        <f aca="false">MIN(Z136/400,1)*20</f>
        <v>4.35</v>
      </c>
      <c r="BE136" s="3" t="n">
        <f aca="false">1-(MAX(J136-1900, 0)/750)</f>
        <v>1</v>
      </c>
      <c r="BF136" s="0" t="n">
        <f aca="false">((MAX($M136,1)*MIN($AJ136/300,1)))*IF(G136="Wagon",50,10)</f>
        <v>0</v>
      </c>
      <c r="BG136" s="0" t="n">
        <f aca="false">VLOOKUP($H136,Constants!$I:$K, 2, FALSE())</f>
        <v>1.15</v>
      </c>
      <c r="BH136" s="0" t="n">
        <f aca="false">VLOOKUP($H136,Constants!$I:$K, 3, FALSE())*IF(AND(G136="multiple_unit",AB136&lt;110),0.75,1)</f>
        <v>1.7</v>
      </c>
      <c r="BI136" s="0" t="n">
        <f aca="false">INT(POWER(((Constants!$G$2+$BB136+$BC136+$BD136+$BF136)*$BE136)*$BH136, 1.05))+$BA136</f>
        <v>38</v>
      </c>
      <c r="BJ136" s="0" t="n">
        <f aca="false">INT(POWER((((Constants!$G$1+$BB136+$BC136+$BD136+$BF136)*($BE136))*$BG136),IF($G136="wagon",1,1.2)))+$AZ136</f>
        <v>66</v>
      </c>
      <c r="BK136" s="17" t="n">
        <f aca="false">BI136*IF($G136="wagon",62.5,781.25)</f>
        <v>29687.5</v>
      </c>
      <c r="BL136" s="17" t="n">
        <f aca="false">BJ136*IF($G136="wagon",2.73,81.25)</f>
        <v>5362.5</v>
      </c>
      <c r="BV136" s="0" t="n">
        <v>7</v>
      </c>
      <c r="CA136" s="0" t="str">
        <f aca="false">VLOOKUP(J136,Eras!$A$2:$C$10, 2, TRUE())</f>
        <v>vct</v>
      </c>
      <c r="CB136" s="0" t="s">
        <v>513</v>
      </c>
      <c r="CC136" s="0" t="str">
        <f aca="false">CONCATENATE(CA136,"_",CB136)</f>
        <v>vct_Cheap</v>
      </c>
      <c r="CD136" s="0" t="str">
        <f aca="false">_xlfn.CONCAT(H136, "_",I136)</f>
        <v>steam_RAIL</v>
      </c>
      <c r="CE136" s="6" t="str">
        <f aca="false" t="array" ref="CE136:CE136">_xlfn.CONCAT("{BLACK}Length: {GOLD}", TEXT(ROUNDUP(IF(AQ136&lt;&gt;"",SUM(VALUE(_xlfn.TEXTSPLIT(AQ136, ","))), SUM(VALUE(_xlfn.TEXTSPLIT(AN136, ",")))*IF(M136, M136, 1))/16, 1), "#,##0.0"), " tiles{}")</f>
        <v>{BLACK}Length: {GOLD}0.4 tiles{}</v>
      </c>
      <c r="CF136" s="0" t="str">
        <f aca="false">VLOOKUP($CD136, Constants!$M:$N, 2, FALSE())</f>
        <v>{BLACK}Powered by: {GOLD}Steam</v>
      </c>
      <c r="CG136" s="0" t="str">
        <f aca="false">IF(M136&gt;1,_xlfn.CONCAT("{BLACK}Cars: {GOLD}", M136),"")</f>
        <v/>
      </c>
      <c r="CH136" s="0" t="s">
        <v>514</v>
      </c>
      <c r="CI136" s="0" t="str">
        <f aca="false">IF($BU136="!param_no_gameplay_units","{GREEN}Included for gameplay purposes","")</f>
        <v/>
      </c>
      <c r="CJ136" s="0" t="str">
        <f aca="false">IF(BX136="buffet","{YELLOW}25% long distance bonus for consist{}",IF(BZ136="BRAKE","{YELLOW}Speed bonus for slow wagons{}",IF(BW136&gt;190,CONCATENATE("{YELLOW}",INT((BW136-185)/1.85),"% bonus for long distance travel{}"),IF(AND(BW136&lt;180,BW136&lt;&gt;0),CONCATENATE("{YELLOW}",INT((185-BW136)/1.85),"% penalty for long distance travel{}"),""))))</f>
        <v/>
      </c>
      <c r="CK136" s="0" t="str">
        <f aca="false">_xlfn.CONCAT(CF136,IF(CF136&lt;&gt;""," ",""),CG136,IF(OR(CG136&lt;&gt;"",CF136&lt;&gt;""),"{}",""),CE136,CJ136,"{SILVER}",CH136,IF(CI136&lt;&gt;"","{}{}",""),CI136)</f>
        <v>{BLACK}Powered by: {GOLD}Steam {}{BLACK}Length: {GOLD}0.4 tiles{}{SILVER}The Drummond M7 was built for the London &amp; South Western railway. Its usefulness saw it survive in operation until well into the BR era.</v>
      </c>
    </row>
    <row r="137" customFormat="false" ht="14.25" hidden="false" customHeight="false" outlineLevel="0" collapsed="false">
      <c r="A137" s="0" t="s">
        <v>515</v>
      </c>
      <c r="B137" s="15" t="s">
        <v>516</v>
      </c>
      <c r="C137" s="0" t="n">
        <v>122</v>
      </c>
      <c r="E137" s="0" t="n">
        <v>25</v>
      </c>
      <c r="F137" s="0" t="s">
        <v>143</v>
      </c>
      <c r="G137" s="0" t="s">
        <v>445</v>
      </c>
      <c r="H137" s="0" t="s">
        <v>446</v>
      </c>
      <c r="I137" s="0" t="s">
        <v>92</v>
      </c>
      <c r="J137" s="0" t="n">
        <v>1899</v>
      </c>
      <c r="K137" s="0" t="n">
        <v>1902</v>
      </c>
      <c r="L137" s="0" t="n">
        <v>1954</v>
      </c>
      <c r="N137" s="0" t="n">
        <v>600</v>
      </c>
      <c r="P137" s="2" t="n">
        <v>18</v>
      </c>
      <c r="Q137" s="2" t="n">
        <v>26</v>
      </c>
      <c r="R137" s="2" t="n">
        <v>2</v>
      </c>
      <c r="S137" s="2" t="n">
        <v>160</v>
      </c>
      <c r="T137" s="18" t="n">
        <f aca="false">((($AB137/2)/60)*5280)/($U137*3.2*PI())</f>
        <v>125.050312429346</v>
      </c>
      <c r="U137" s="2" t="n">
        <v>1.4</v>
      </c>
      <c r="V137" s="2" t="n">
        <f aca="false">((($P137*$P137/4)*PI())*($Q137/12)*$R137*$S137*$T137)/(33000*1.1)</f>
        <v>607.792207792208</v>
      </c>
      <c r="W137" s="0" t="n">
        <v>49.5</v>
      </c>
      <c r="Z137" s="0" t="n">
        <v>92</v>
      </c>
      <c r="AA137" s="3" t="n">
        <f aca="false">IF(AND(W137&gt;0,Z137&gt;0),(Z137/((W137+X137)*10)),"")</f>
        <v>0.185858585858586</v>
      </c>
      <c r="AB137" s="0" t="n">
        <v>40</v>
      </c>
      <c r="AC137" s="0" t="n">
        <f aca="false">ROUND(AB137*1.6, 0)</f>
        <v>64</v>
      </c>
      <c r="AF137" s="0" t="n">
        <v>9.57</v>
      </c>
      <c r="AG137" s="0" t="n">
        <v>9.57</v>
      </c>
      <c r="AJ137" s="4" t="n">
        <v>0</v>
      </c>
      <c r="AK137" s="0" t="str">
        <f aca="false">CONCATENATE(VLOOKUP(AL137, 'Voxel Sizes'!$A$2:$B$18,2,FALSE()),"x",INT(AH137*15), "x", INT(AI137*15))</f>
        <v>102x0x0</v>
      </c>
      <c r="AL137" s="0" t="n">
        <f aca="false">ROUND(15*((AG137*10)/256),0)</f>
        <v>6</v>
      </c>
      <c r="AN137" s="0" t="str">
        <f aca="false">CONCATENATE(VLOOKUP(AL137,Constants!$A$2:$C$16,IF(AM137&lt;&gt;"", 3, 2), FALSE()),IF(AM137&lt;&gt;"",CONCATENATE(",",VLOOKUP(AM137,$B:$AN,39,FALSE())),""))</f>
        <v>2,2,2</v>
      </c>
      <c r="AV137" s="0" t="n">
        <v>1</v>
      </c>
      <c r="AX137" s="0" t="n">
        <v>30</v>
      </c>
      <c r="AY137" s="16" t="n">
        <f aca="false">IF(L137&lt;&gt;"",MAX(16,(L137-J137)+8),"")</f>
        <v>63</v>
      </c>
      <c r="BB137" s="0" t="n">
        <f aca="false">MIN(AB137/150, 1)*30</f>
        <v>8</v>
      </c>
      <c r="BC137" s="0" t="n">
        <f aca="false">MIN(N137/4000, 1)*20</f>
        <v>3</v>
      </c>
      <c r="BD137" s="0" t="n">
        <f aca="false">MIN(Z137/400,1)*20</f>
        <v>4.6</v>
      </c>
      <c r="BE137" s="3" t="n">
        <f aca="false">1-(MAX(J137-1900, 0)/750)</f>
        <v>1</v>
      </c>
      <c r="BF137" s="0" t="n">
        <f aca="false">((MAX($M137,1)*MIN($AJ137/300,1)))*IF(G137="Wagon",50,10)</f>
        <v>0</v>
      </c>
      <c r="BG137" s="0" t="n">
        <f aca="false">VLOOKUP($H137,Constants!$I:$K, 2, FALSE())</f>
        <v>1.15</v>
      </c>
      <c r="BH137" s="0" t="n">
        <f aca="false">VLOOKUP($H137,Constants!$I:$K, 3, FALSE())*IF(AND(G137="multiple_unit",AB137&lt;110),0.75,1)</f>
        <v>1.7</v>
      </c>
      <c r="BI137" s="0" t="n">
        <f aca="false">INT(POWER(((Constants!$G$2+$BB137+$BC137+$BD137+$BF137)*$BE137)*$BH137, 1.05))+$BA137</f>
        <v>41</v>
      </c>
      <c r="BJ137" s="0" t="n">
        <f aca="false">INT(POWER((((Constants!$G$1+$BB137+$BC137+$BD137+$BF137)*($BE137))*$BG137),IF($G137="wagon",1,1.2)))+$AZ137</f>
        <v>71</v>
      </c>
      <c r="BK137" s="17" t="n">
        <f aca="false">BI137*IF($G137="wagon",62.5,781.25)</f>
        <v>32031.25</v>
      </c>
      <c r="BL137" s="17" t="n">
        <f aca="false">BJ137*IF($G137="wagon",2.73,81.25)</f>
        <v>5768.75</v>
      </c>
      <c r="BV137" s="0" t="n">
        <v>9</v>
      </c>
      <c r="CA137" s="0" t="str">
        <f aca="false">VLOOKUP(J137,Eras!$A$2:$C$10, 2, TRUE())</f>
        <v>vct</v>
      </c>
      <c r="CB137" s="0" t="s">
        <v>513</v>
      </c>
      <c r="CC137" s="0" t="str">
        <f aca="false">CONCATENATE(CA137,"_",CB137)</f>
        <v>vct_Cheap</v>
      </c>
      <c r="CD137" s="0" t="str">
        <f aca="false">_xlfn.CONCAT(H137, "_",I137)</f>
        <v>steam_RAIL</v>
      </c>
      <c r="CE137" s="6" t="str">
        <f aca="false" t="array" ref="CE137:CE137">_xlfn.CONCAT("{BLACK}Length: {GOLD}", TEXT(ROUNDUP(IF(AQ137&lt;&gt;"",SUM(VALUE(_xlfn.TEXTSPLIT(AQ137, ","))), SUM(VALUE(_xlfn.TEXTSPLIT(AN137, ",")))*IF(M137, M137, 1))/16, 1), "#,##0.0"), " tiles{}")</f>
        <v>{BLACK}Length: {GOLD}0.4 tiles{}</v>
      </c>
      <c r="CF137" s="0" t="str">
        <f aca="false">VLOOKUP($CD137, Constants!$M:$N, 2, FALSE())</f>
        <v>{BLACK}Powered by: {GOLD}Steam</v>
      </c>
      <c r="CG137" s="0" t="str">
        <f aca="false">IF(M137&gt;1,_xlfn.CONCAT("{BLACK}Cars: {GOLD}", M137),"")</f>
        <v/>
      </c>
      <c r="CH137" s="0" t="s">
        <v>517</v>
      </c>
      <c r="CI137" s="0" t="str">
        <f aca="false">IF($BU137="!param_no_gameplay_units","{GREEN}Included for gameplay purposes","")</f>
        <v/>
      </c>
      <c r="CJ137" s="0" t="str">
        <f aca="false">IF(BX137="buffet","{YELLOW}25% long distance bonus for consist{}",IF(BZ137="BRAKE","{YELLOW}Speed bonus for slow wagons{}",IF(BW137&gt;190,CONCATENATE("{YELLOW}",INT((BW137-185)/1.85),"% bonus for long distance travel{}"),IF(AND(BW137&lt;180,BW137&lt;&gt;0),CONCATENATE("{YELLOW}",INT((185-BW137)/1.85),"% penalty for long distance travel{}"),""))))</f>
        <v/>
      </c>
      <c r="CK137" s="0" t="str">
        <f aca="false">_xlfn.CONCAT(CF137,IF(CF137&lt;&gt;""," ",""),CG137,IF(OR(CG137&lt;&gt;"",CF137&lt;&gt;""),"{}",""),CE137,CJ137,"{SILVER}",CH137,IF(CI137&lt;&gt;"","{}{}",""),CI137)</f>
        <v>{BLACK}Powered by: {GOLD}Steam {}{BLACK}Length: {GOLD}0.4 tiles{}{SILVER}Samuel Johnson's tank engine design were rebuilt later in life by Henry Fowler, providing the inspiration for Fowler's own 3F "Jinty" design.</v>
      </c>
    </row>
    <row r="138" customFormat="false" ht="14.25" hidden="false" customHeight="false" outlineLevel="0" collapsed="false">
      <c r="A138" s="0" t="s">
        <v>518</v>
      </c>
      <c r="B138" s="15" t="s">
        <v>519</v>
      </c>
      <c r="C138" s="0" t="n">
        <v>123</v>
      </c>
      <c r="E138" s="0" t="n">
        <v>26</v>
      </c>
      <c r="F138" s="0" t="s">
        <v>143</v>
      </c>
      <c r="G138" s="0" t="s">
        <v>445</v>
      </c>
      <c r="H138" s="0" t="s">
        <v>446</v>
      </c>
      <c r="I138" s="0" t="s">
        <v>92</v>
      </c>
      <c r="J138" s="0" t="n">
        <v>1900</v>
      </c>
      <c r="L138" s="0" t="n">
        <v>1954</v>
      </c>
      <c r="N138" s="0" t="n">
        <v>1100</v>
      </c>
      <c r="P138" s="2" t="n">
        <v>19</v>
      </c>
      <c r="Q138" s="2" t="n">
        <v>26</v>
      </c>
      <c r="R138" s="2" t="n">
        <v>2</v>
      </c>
      <c r="S138" s="2" t="n">
        <v>180</v>
      </c>
      <c r="T138" s="18" t="n">
        <f aca="false">((($AB138/2)/60)*5280)/($U138*3.2*PI())</f>
        <v>175.070437401085</v>
      </c>
      <c r="U138" s="2" t="n">
        <v>1.5</v>
      </c>
      <c r="V138" s="2" t="n">
        <f aca="false">((($P138*$P138/4)*PI())*($Q138/12)*$R138*$S138*$T138)/(33000*1.1)</f>
        <v>1066.59090909091</v>
      </c>
      <c r="W138" s="0" t="n">
        <v>45.3</v>
      </c>
      <c r="X138" s="1" t="n">
        <v>38.9</v>
      </c>
      <c r="Z138" s="0" t="n">
        <v>109</v>
      </c>
      <c r="AA138" s="3" t="n">
        <f aca="false">IF(AND(W138&gt;0,Z138&gt;0),(Z138/((W138+X138)*10)),"")</f>
        <v>0.129453681710214</v>
      </c>
      <c r="AB138" s="0" t="n">
        <v>60</v>
      </c>
      <c r="AC138" s="0" t="n">
        <f aca="false">ROUND(AB138*1.6, 0)</f>
        <v>96</v>
      </c>
      <c r="AF138" s="0" t="n">
        <v>14.4</v>
      </c>
      <c r="AG138" s="0" t="n">
        <v>10</v>
      </c>
      <c r="AJ138" s="4" t="n">
        <v>0</v>
      </c>
      <c r="AK138" s="0" t="str">
        <f aca="false">CONCATENATE(VLOOKUP(AL138, 'Voxel Sizes'!$A$2:$B$18,2,FALSE()),"x",INT(AH138*15), "x", INT(AI138*15))</f>
        <v>102x0x0</v>
      </c>
      <c r="AL138" s="0" t="n">
        <f aca="false">ROUND(15*((AG138*10)/256),0)</f>
        <v>6</v>
      </c>
      <c r="AM138" s="0" t="s">
        <v>110</v>
      </c>
      <c r="AN138" s="0" t="str">
        <f aca="false">CONCATENATE(VLOOKUP(AL138,Constants!$A$2:$C$16,IF(AM138&lt;&gt;"", 3, 2), FALSE()),IF(AM138&lt;&gt;"",CONCATENATE(",",VLOOKUP(AM138,$B:$AN,39,FALSE())),""))</f>
        <v>2,2,2,2,1,2</v>
      </c>
      <c r="AV138" s="0" t="n">
        <v>1</v>
      </c>
      <c r="AX138" s="0" t="n">
        <v>32</v>
      </c>
      <c r="AY138" s="16" t="n">
        <f aca="false">IF(L138&lt;&gt;"",MAX(16,(L138-J138)+8),"")</f>
        <v>62</v>
      </c>
      <c r="AZ138" s="0" t="n">
        <v>2</v>
      </c>
      <c r="BA138" s="0" t="n">
        <v>2</v>
      </c>
      <c r="BB138" s="0" t="n">
        <f aca="false">MIN(AB138/150, 1)*30</f>
        <v>12</v>
      </c>
      <c r="BC138" s="0" t="n">
        <f aca="false">MIN(N138/4000, 1)*20</f>
        <v>5.5</v>
      </c>
      <c r="BD138" s="0" t="n">
        <f aca="false">MIN(Z138/400,1)*20</f>
        <v>5.45</v>
      </c>
      <c r="BE138" s="3" t="n">
        <f aca="false">1-(MAX(J138-1900, 0)/750)</f>
        <v>1</v>
      </c>
      <c r="BF138" s="0" t="n">
        <f aca="false">((MAX($M138,1)*MIN($AJ138/300,1)))*IF(G138="Wagon",50,10)</f>
        <v>0</v>
      </c>
      <c r="BG138" s="0" t="n">
        <f aca="false">VLOOKUP($H138,Constants!$I:$K, 2, FALSE())</f>
        <v>1.15</v>
      </c>
      <c r="BH138" s="0" t="n">
        <f aca="false">VLOOKUP($H138,Constants!$I:$K, 3, FALSE())*IF(AND(G138="multiple_unit",AB138&lt;110),0.75,1)</f>
        <v>1.7</v>
      </c>
      <c r="BI138" s="0" t="n">
        <f aca="false">INT(POWER(((Constants!$G$2+$BB138+$BC138+$BD138+$BF138)*$BE138)*$BH138, 1.05))+$BA138</f>
        <v>59</v>
      </c>
      <c r="BJ138" s="0" t="n">
        <f aca="false">INT(POWER((((Constants!$G$1+$BB138+$BC138+$BD138+$BF138)*($BE138))*$BG138),IF($G138="wagon",1,1.2)))+$AZ138</f>
        <v>94</v>
      </c>
      <c r="BK138" s="17" t="n">
        <f aca="false">BI138*IF($G138="wagon",62.5,781.25)</f>
        <v>46093.75</v>
      </c>
      <c r="BL138" s="17" t="n">
        <f aca="false">BJ138*IF($G138="wagon",2.73,81.25)</f>
        <v>7637.5</v>
      </c>
      <c r="BV138" s="0" t="n">
        <v>2</v>
      </c>
      <c r="CA138" s="0" t="str">
        <f aca="false">VLOOKUP(J138,Eras!$A$2:$C$10, 2, TRUE())</f>
        <v>edw</v>
      </c>
      <c r="CB138" s="0" t="s">
        <v>439</v>
      </c>
      <c r="CC138" s="0" t="str">
        <f aca="false">CONCATENATE(CA138,"_",CB138)</f>
        <v>edw_Mixed Traffic</v>
      </c>
      <c r="CD138" s="0" t="str">
        <f aca="false">_xlfn.CONCAT(H138, "_",I138)</f>
        <v>steam_RAIL</v>
      </c>
      <c r="CE138" s="6" t="str">
        <f aca="false" t="array" ref="CE138:CE138">_xlfn.CONCAT("{BLACK}Length: {GOLD}", TEXT(ROUNDUP(IF(AQ138&lt;&gt;"",SUM(VALUE(_xlfn.TEXTSPLIT(AQ138, ","))), SUM(VALUE(_xlfn.TEXTSPLIT(AN138, ",")))*IF(M138, M138, 1))/16, 1), "#,##0.0"), " tiles{}")</f>
        <v>{BLACK}Length: {GOLD}0.7 tiles{}</v>
      </c>
      <c r="CF138" s="0" t="str">
        <f aca="false">VLOOKUP($CD138, Constants!$M:$N, 2, FALSE())</f>
        <v>{BLACK}Powered by: {GOLD}Steam</v>
      </c>
      <c r="CG138" s="0" t="str">
        <f aca="false">IF(M138&gt;1,_xlfn.CONCAT("{BLACK}Cars: {GOLD}", M138),"")</f>
        <v/>
      </c>
      <c r="CH138" s="0" t="s">
        <v>520</v>
      </c>
      <c r="CI138" s="0" t="str">
        <f aca="false">IF($BU138="!param_no_gameplay_units","{GREEN}Included for gameplay purposes","")</f>
        <v/>
      </c>
      <c r="CJ138" s="0" t="str">
        <f aca="false">IF(BX138="buffet","{YELLOW}25% long distance bonus for consist{}",IF(BZ138="BRAKE","{YELLOW}Speed bonus for slow wagons{}",IF(BW138&gt;190,CONCATENATE("{YELLOW}",INT((BW138-185)/1.85),"% bonus for long distance travel{}"),IF(AND(BW138&lt;180,BW138&lt;&gt;0),CONCATENATE("{YELLOW}",INT((185-BW138)/1.85),"% penalty for long distance travel{}"),""))))</f>
        <v/>
      </c>
      <c r="CK138" s="0" t="str">
        <f aca="false">_xlfn.CONCAT(CF138,IF(CF138&lt;&gt;""," ",""),CG138,IF(OR(CG138&lt;&gt;"",CF138&lt;&gt;""),"{}",""),CE138,CJ138,"{SILVER}",CH138,IF(CI138&lt;&gt;"","{}{}",""),CI138)</f>
        <v>{BLACK}Powered by: {GOLD}Steam {}{BLACK}Length: {GOLD}0.7 tiles{}{SILVER}On introduction the GER F48 was nominally the most powerful 0-6-0 tender locomotive in Britain. Numerous variations of firebox were tried over the production run.</v>
      </c>
    </row>
    <row r="139" customFormat="false" ht="14.25" hidden="false" customHeight="false" outlineLevel="0" collapsed="false">
      <c r="A139" s="0" t="s">
        <v>521</v>
      </c>
      <c r="B139" s="15" t="s">
        <v>522</v>
      </c>
      <c r="C139" s="0" t="n">
        <v>124</v>
      </c>
      <c r="E139" s="0" t="n">
        <v>27</v>
      </c>
      <c r="F139" s="0" t="s">
        <v>143</v>
      </c>
      <c r="G139" s="0" t="s">
        <v>445</v>
      </c>
      <c r="H139" s="0" t="s">
        <v>446</v>
      </c>
      <c r="I139" s="0" t="s">
        <v>92</v>
      </c>
      <c r="J139" s="0" t="n">
        <v>1901</v>
      </c>
      <c r="K139" s="0" t="n">
        <v>1914</v>
      </c>
      <c r="L139" s="0" t="n">
        <v>1955</v>
      </c>
      <c r="N139" s="0" t="n">
        <v>350</v>
      </c>
      <c r="P139" s="2" t="n">
        <v>14</v>
      </c>
      <c r="Q139" s="2" t="n">
        <v>20</v>
      </c>
      <c r="R139" s="2" t="n">
        <v>2</v>
      </c>
      <c r="S139" s="2" t="n">
        <v>160</v>
      </c>
      <c r="T139" s="18" t="n">
        <f aca="false">((($AB139/2)/60)*5280)/($U139*3.2*PI())</f>
        <v>145.892031167571</v>
      </c>
      <c r="U139" s="2" t="n">
        <v>0.9</v>
      </c>
      <c r="V139" s="2" t="n">
        <f aca="false">((($P139*$P139/4)*PI())*($Q139/12)*$R139*$S139*$T139)/(33000*1.1)</f>
        <v>329.96632996633</v>
      </c>
      <c r="W139" s="0" t="n">
        <v>23</v>
      </c>
      <c r="Z139" s="0" t="n">
        <v>49</v>
      </c>
      <c r="AA139" s="3" t="n">
        <f aca="false">IF(AND(W139&gt;0,Z139&gt;0),(Z139/((W139+X139)*10)),"")</f>
        <v>0.21304347826087</v>
      </c>
      <c r="AB139" s="0" t="n">
        <v>30</v>
      </c>
      <c r="AC139" s="0" t="n">
        <f aca="false">ROUND(AB139*1.6, 0)</f>
        <v>48</v>
      </c>
      <c r="AF139" s="0" t="n">
        <v>6.12</v>
      </c>
      <c r="AG139" s="0" t="n">
        <v>6.12</v>
      </c>
      <c r="AJ139" s="4" t="n">
        <v>0</v>
      </c>
      <c r="AK139" s="0" t="str">
        <f aca="false">CONCATENATE(VLOOKUP(AL139, 'Voxel Sizes'!$A$2:$B$18,2,FALSE()),"x",INT(AH139*15), "x", INT(AI139*15))</f>
        <v>60x0x0</v>
      </c>
      <c r="AL139" s="0" t="n">
        <f aca="false">ROUND(15*((AG139*10)/256),0)</f>
        <v>4</v>
      </c>
      <c r="AN139" s="0" t="str">
        <f aca="false">CONCATENATE(VLOOKUP(AL139,Constants!$A$2:$C$16,IF(AM139&lt;&gt;"", 3, 2), FALSE()),IF(AM139&lt;&gt;"",CONCATENATE(",",VLOOKUP(AM139,$B:$AN,39,FALSE())),""))</f>
        <v>1,2,1</v>
      </c>
      <c r="AV139" s="0" t="n">
        <v>1</v>
      </c>
      <c r="AX139" s="0" t="n">
        <v>30</v>
      </c>
      <c r="AY139" s="16" t="n">
        <f aca="false">IF(L139&lt;&gt;"",MAX(16,(L139-J139)+8),"")</f>
        <v>62</v>
      </c>
      <c r="BB139" s="0" t="n">
        <f aca="false">MIN(AB139/150, 1)*30</f>
        <v>6</v>
      </c>
      <c r="BC139" s="0" t="n">
        <f aca="false">MIN(N139/4000, 1)*20</f>
        <v>1.75</v>
      </c>
      <c r="BD139" s="0" t="n">
        <f aca="false">MIN(Z139/400,1)*20</f>
        <v>2.45</v>
      </c>
      <c r="BE139" s="3" t="n">
        <f aca="false">1-(MAX(J139-1900, 0)/750)</f>
        <v>0.998666666666667</v>
      </c>
      <c r="BF139" s="0" t="n">
        <f aca="false">((MAX($M139,1)*MIN($AJ139/300,1)))*IF(G139="Wagon",50,10)</f>
        <v>0</v>
      </c>
      <c r="BG139" s="0" t="n">
        <f aca="false">VLOOKUP($H139,Constants!$I:$K, 2, FALSE())</f>
        <v>1.15</v>
      </c>
      <c r="BH139" s="0" t="n">
        <f aca="false">VLOOKUP($H139,Constants!$I:$K, 3, FALSE())*IF(AND(G139="multiple_unit",AB139&lt;110),0.75,1)</f>
        <v>1.7</v>
      </c>
      <c r="BI139" s="0" t="n">
        <f aca="false">INT(POWER(((Constants!$G$2+$BB139+$BC139+$BD139+$BF139)*$BE139)*$BH139, 1.05))+$BA139</f>
        <v>30</v>
      </c>
      <c r="BJ139" s="0" t="n">
        <f aca="false">INT(POWER((((Constants!$G$1+$BB139+$BC139+$BD139+$BF139)*($BE139))*$BG139),IF($G139="wagon",1,1.2)))+$AZ139</f>
        <v>56</v>
      </c>
      <c r="BK139" s="17" t="n">
        <f aca="false">BI139*IF($G139="wagon",62.5,781.25)</f>
        <v>23437.5</v>
      </c>
      <c r="BL139" s="17" t="n">
        <f aca="false">BJ139*IF($G139="wagon",2.73,81.25)</f>
        <v>4550</v>
      </c>
      <c r="BV139" s="0" t="n">
        <v>10</v>
      </c>
      <c r="CA139" s="0" t="str">
        <f aca="false">VLOOKUP(J139,Eras!$A$2:$C$10, 2, TRUE())</f>
        <v>edw</v>
      </c>
      <c r="CB139" s="0" t="s">
        <v>513</v>
      </c>
      <c r="CC139" s="0" t="str">
        <f aca="false">CONCATENATE(CA139,"_",CB139)</f>
        <v>edw_Cheap</v>
      </c>
      <c r="CD139" s="0" t="str">
        <f aca="false">_xlfn.CONCAT(H139, "_",I139)</f>
        <v>steam_RAIL</v>
      </c>
      <c r="CE139" s="6" t="str">
        <f aca="false" t="array" ref="CE139:CE139">_xlfn.CONCAT("{BLACK}Length: {GOLD}", TEXT(ROUNDUP(IF(AQ139&lt;&gt;"",SUM(VALUE(_xlfn.TEXTSPLIT(AQ139, ","))), SUM(VALUE(_xlfn.TEXTSPLIT(AN139, ",")))*IF(M139, M139, 1))/16, 1), "#,##0.0"), " tiles{}")</f>
        <v>{BLACK}Length: {GOLD}0.3 tiles{}</v>
      </c>
      <c r="CF139" s="0" t="str">
        <f aca="false">VLOOKUP($CD139, Constants!$M:$N, 2, FALSE())</f>
        <v>{BLACK}Powered by: {GOLD}Steam</v>
      </c>
      <c r="CG139" s="0" t="str">
        <f aca="false">IF(M139&gt;1,_xlfn.CONCAT("{BLACK}Cars: {GOLD}", M139),"")</f>
        <v/>
      </c>
      <c r="CH139" s="0" t="s">
        <v>523</v>
      </c>
      <c r="CI139" s="0" t="str">
        <f aca="false">IF($BU139="!param_no_gameplay_units","{GREEN}Included for gameplay purposes","")</f>
        <v/>
      </c>
      <c r="CJ139" s="0" t="str">
        <f aca="false">IF(BX139="buffet","{YELLOW}25% long distance bonus for consist{}",IF(BZ139="BRAKE","{YELLOW}Speed bonus for slow wagons{}",IF(BW139&gt;190,CONCATENATE("{YELLOW}",INT((BW139-185)/1.85),"% bonus for long distance travel{}"),IF(AND(BW139&lt;180,BW139&lt;&gt;0),CONCATENATE("{YELLOW}",INT((185-BW139)/1.85),"% penalty for long distance travel{}"),""))))</f>
        <v/>
      </c>
      <c r="CK139" s="0" t="str">
        <f aca="false">_xlfn.CONCAT(CF139,IF(CF139&lt;&gt;""," ",""),CG139,IF(OR(CG139&lt;&gt;"",CF139&lt;&gt;""),"{}",""),CE139,CJ139,"{SILVER}",CH139,IF(CI139&lt;&gt;"","{}{}",""),CI139)</f>
        <v>{BLACK}Powered by: {GOLD}Steam {}{BLACK}Length: {GOLD}0.3 tiles{}{SILVER}This 0-4-0 saddle tank engine is typical of the many acquired by the GWR from smaller railways during the 1923 grouping of railway companies into the Big Four.</v>
      </c>
    </row>
    <row r="140" customFormat="false" ht="14.25" hidden="false" customHeight="false" outlineLevel="0" collapsed="false">
      <c r="A140" s="0" t="s">
        <v>524</v>
      </c>
      <c r="B140" s="15" t="s">
        <v>525</v>
      </c>
      <c r="C140" s="0" t="n">
        <v>125</v>
      </c>
      <c r="E140" s="0" t="n">
        <v>28</v>
      </c>
      <c r="F140" s="0" t="s">
        <v>143</v>
      </c>
      <c r="G140" s="0" t="s">
        <v>445</v>
      </c>
      <c r="H140" s="0" t="s">
        <v>446</v>
      </c>
      <c r="I140" s="0" t="s">
        <v>92</v>
      </c>
      <c r="J140" s="0" t="n">
        <v>1902</v>
      </c>
      <c r="L140" s="0" t="n">
        <v>1935</v>
      </c>
      <c r="N140" s="0" t="n">
        <v>950</v>
      </c>
      <c r="P140" s="2" t="n">
        <v>20.3</v>
      </c>
      <c r="Q140" s="2" t="n">
        <v>26</v>
      </c>
      <c r="R140" s="2" t="n">
        <v>3</v>
      </c>
      <c r="S140" s="2" t="n">
        <f aca="false">220*0.5</f>
        <v>110</v>
      </c>
      <c r="T140" s="18" t="n">
        <f aca="false">((($AB140/2)/60)*5280)/($U140*3.2*PI())</f>
        <v>166.733749905795</v>
      </c>
      <c r="U140" s="2" t="n">
        <v>2.1</v>
      </c>
      <c r="V140" s="2" t="n">
        <f aca="false">((($P140*$P140/4)*PI())*($Q140/12)*$R140*$S140*$T140)/(33000*1.1)</f>
        <v>1062.93055555556</v>
      </c>
      <c r="W140" s="0" t="n">
        <v>62</v>
      </c>
      <c r="X140" s="1" t="n">
        <v>42</v>
      </c>
      <c r="Z140" s="0" t="n">
        <v>97</v>
      </c>
      <c r="AA140" s="3" t="n">
        <f aca="false">IF(AND(W140&gt;0,Z140&gt;0),(Z140/((W140+X140)*10)),"")</f>
        <v>0.0932692307692308</v>
      </c>
      <c r="AB140" s="0" t="n">
        <v>80</v>
      </c>
      <c r="AC140" s="0" t="n">
        <f aca="false">ROUND(AB140*1.6, 0)</f>
        <v>128</v>
      </c>
      <c r="AF140" s="0" t="n">
        <v>17.269</v>
      </c>
      <c r="AG140" s="0" t="n">
        <f aca="false">AF140-7.5</f>
        <v>9.769</v>
      </c>
      <c r="AJ140" s="4" t="n">
        <v>0</v>
      </c>
      <c r="AK140" s="0" t="str">
        <f aca="false">CONCATENATE(VLOOKUP(AL140, 'Voxel Sizes'!$A$2:$B$18,2,FALSE()),"x",INT(AH140*15), "x", INT(AI140*15))</f>
        <v>102x0x0</v>
      </c>
      <c r="AL140" s="0" t="n">
        <f aca="false">ROUND(15*((AG140*10)/256),0)</f>
        <v>6</v>
      </c>
      <c r="AM140" s="0" t="s">
        <v>112</v>
      </c>
      <c r="AN140" s="0" t="str">
        <f aca="false">CONCATENATE(VLOOKUP(AL140,Constants!$A$2:$C$16,IF(AM140&lt;&gt;"", 3, 2), FALSE()),IF(AM140&lt;&gt;"",CONCATENATE(",",VLOOKUP(AM140,$B:$AN,39,FALSE())),""))</f>
        <v>2,2,2,2,1,2</v>
      </c>
      <c r="AV140" s="0" t="n">
        <v>1</v>
      </c>
      <c r="AX140" s="0" t="n">
        <v>30</v>
      </c>
      <c r="AY140" s="16" t="n">
        <f aca="false">IF(L140&lt;&gt;"",MAX(16,(L140-J140)+8),"")</f>
        <v>41</v>
      </c>
      <c r="BB140" s="0" t="n">
        <f aca="false">MIN(AB140/150, 1)*30</f>
        <v>16</v>
      </c>
      <c r="BC140" s="0" t="n">
        <f aca="false">MIN(N140/4000, 1)*20</f>
        <v>4.75</v>
      </c>
      <c r="BD140" s="0" t="n">
        <f aca="false">MIN(Z140/400,1)*20</f>
        <v>4.85</v>
      </c>
      <c r="BE140" s="3" t="n">
        <f aca="false">1-(MAX(J140-1900, 0)/750)</f>
        <v>0.997333333333333</v>
      </c>
      <c r="BF140" s="0" t="n">
        <f aca="false">((MAX($M140,1)*MIN($AJ140/300,1)))*IF(G140="Wagon",50,10)</f>
        <v>0</v>
      </c>
      <c r="BG140" s="0" t="n">
        <f aca="false">VLOOKUP($H140,Constants!$I:$K, 2, FALSE())</f>
        <v>1.15</v>
      </c>
      <c r="BH140" s="0" t="n">
        <f aca="false">VLOOKUP($H140,Constants!$I:$K, 3, FALSE())*IF(AND(G140="multiple_unit",AB140&lt;110),0.75,1)</f>
        <v>1.7</v>
      </c>
      <c r="BI140" s="0" t="n">
        <f aca="false">INT(POWER(((Constants!$G$2+$BB140+$BC140+$BD140+$BF140)*$BE140)*$BH140, 1.05))+$BA140</f>
        <v>63</v>
      </c>
      <c r="BJ140" s="0" t="n">
        <f aca="false">INT(POWER((((Constants!$G$1+$BB140+$BC140+$BD140+$BF140)*($BE140))*$BG140),IF($G140="wagon",1,1.2)))+$AZ140</f>
        <v>100</v>
      </c>
      <c r="BK140" s="17" t="n">
        <f aca="false">BI140*IF($G140="wagon",62.5,781.25)</f>
        <v>49218.75</v>
      </c>
      <c r="BL140" s="17" t="n">
        <f aca="false">BJ140*IF($G140="wagon",2.73,81.25)</f>
        <v>8125</v>
      </c>
      <c r="BV140" s="0" t="n">
        <v>11</v>
      </c>
      <c r="CA140" s="0" t="str">
        <f aca="false">VLOOKUP(J140,Eras!$A$2:$C$10, 2, TRUE())</f>
        <v>edw</v>
      </c>
      <c r="CB140" s="0" t="s">
        <v>474</v>
      </c>
      <c r="CC140" s="0" t="str">
        <f aca="false">CONCATENATE(CA140,"_",CB140)</f>
        <v>edw_Express</v>
      </c>
      <c r="CD140" s="0" t="str">
        <f aca="false">_xlfn.CONCAT(H140, "_",I140)</f>
        <v>steam_RAIL</v>
      </c>
      <c r="CE140" s="6" t="str">
        <f aca="false" t="array" ref="CE140:CE140">_xlfn.CONCAT("{BLACK}Length: {GOLD}", TEXT(ROUNDUP(IF(AQ140&lt;&gt;"",SUM(VALUE(_xlfn.TEXTSPLIT(AQ140, ","))), SUM(VALUE(_xlfn.TEXTSPLIT(AN140, ",")))*IF(M140, M140, 1))/16, 1), "#,##0.0"), " tiles{}")</f>
        <v>{BLACK}Length: {GOLD}0.7 tiles{}</v>
      </c>
      <c r="CF140" s="0" t="str">
        <f aca="false">VLOOKUP($CD140, Constants!$M:$N, 2, FALSE())</f>
        <v>{BLACK}Powered by: {GOLD}Steam</v>
      </c>
      <c r="CG140" s="0" t="str">
        <f aca="false">IF(M140&gt;1,_xlfn.CONCAT("{BLACK}Cars: {GOLD}", M140),"")</f>
        <v/>
      </c>
      <c r="CH140" s="0" t="s">
        <v>526</v>
      </c>
      <c r="CI140" s="0" t="str">
        <f aca="false">IF($BU140="!param_no_gameplay_units","{GREEN}Included for gameplay purposes","")</f>
        <v/>
      </c>
      <c r="CJ140" s="0" t="str">
        <f aca="false">IF(BX140="buffet","{YELLOW}25% long distance bonus for consist{}",IF(BZ140="BRAKE","{YELLOW}Speed bonus for slow wagons{}",IF(BW140&gt;190,CONCATENATE("{YELLOW}",INT((BW140-185)/1.85),"% bonus for long distance travel{}"),IF(AND(BW140&lt;180,BW140&lt;&gt;0),CONCATENATE("{YELLOW}",INT((185-BW140)/1.85),"% penalty for long distance travel{}"),""))))</f>
        <v/>
      </c>
      <c r="CK140" s="0" t="str">
        <f aca="false">_xlfn.CONCAT(CF140,IF(CF140&lt;&gt;""," ",""),CG140,IF(OR(CG140&lt;&gt;"",CF140&lt;&gt;""),"{}",""),CE140,CJ140,"{SILVER}",CH140,IF(CI140&lt;&gt;"","{}{}",""),CI140)</f>
        <v>{BLACK}Powered by: {GOLD}Steam {}{BLACK}Length: {GOLD}0.7 tiles{}{SILVER}The 1000 class is an express locomotive with a three-cylinder arrangement, using a high pressure cylinder inside the frame and two low pressure cylinders on the outside.</v>
      </c>
    </row>
    <row r="141" customFormat="false" ht="14.25" hidden="false" customHeight="false" outlineLevel="0" collapsed="false">
      <c r="A141" s="0" t="s">
        <v>527</v>
      </c>
      <c r="B141" s="15" t="s">
        <v>528</v>
      </c>
      <c r="C141" s="0" t="n">
        <v>126</v>
      </c>
      <c r="E141" s="0" t="n">
        <v>29</v>
      </c>
      <c r="F141" s="0" t="s">
        <v>143</v>
      </c>
      <c r="G141" s="0" t="s">
        <v>445</v>
      </c>
      <c r="H141" s="0" t="s">
        <v>529</v>
      </c>
      <c r="I141" s="0" t="s">
        <v>530</v>
      </c>
      <c r="J141" s="0" t="n">
        <v>1903</v>
      </c>
      <c r="K141" s="0" t="n">
        <v>1904</v>
      </c>
      <c r="L141" s="0" t="n">
        <v>1927</v>
      </c>
      <c r="N141" s="0" t="n">
        <v>640</v>
      </c>
      <c r="W141" s="0" t="n">
        <v>57</v>
      </c>
      <c r="Z141" s="0" t="n">
        <v>111</v>
      </c>
      <c r="AA141" s="3" t="n">
        <f aca="false">IF(AND(W141&gt;0,Z141&gt;0),(Z141/((W141+X141)*10)),"")</f>
        <v>0.194736842105263</v>
      </c>
      <c r="AB141" s="0" t="n">
        <v>27</v>
      </c>
      <c r="AC141" s="0" t="n">
        <f aca="false">ROUND(AB141*1.6, 0)</f>
        <v>43</v>
      </c>
      <c r="AF141" s="0" t="n">
        <v>11.56</v>
      </c>
      <c r="AG141" s="0" t="n">
        <v>11.56</v>
      </c>
      <c r="AI141" s="0" t="n">
        <v>3.93</v>
      </c>
      <c r="AJ141" s="4" t="n">
        <v>0</v>
      </c>
      <c r="AK141" s="0" t="str">
        <f aca="false">CONCATENATE(VLOOKUP(AL141, 'Voxel Sizes'!$A$2:$B$18,2,FALSE()),"x",INT(AH141*15), "x", INT(AI141*15))</f>
        <v>120x0x58</v>
      </c>
      <c r="AL141" s="0" t="n">
        <f aca="false">ROUND(15*((AG141*10)/256),0)</f>
        <v>7</v>
      </c>
      <c r="AN141" s="0" t="str">
        <f aca="false">CONCATENATE(VLOOKUP(AL141,Constants!$A$2:$C$16,IF(AM141&lt;&gt;"", 3, 2), FALSE()),IF(AM141&lt;&gt;"",CONCATENATE(",",VLOOKUP(AM141,$B:$AN,39,FALSE())),""))</f>
        <v>2,3,2</v>
      </c>
      <c r="AX141" s="0" t="n">
        <v>30</v>
      </c>
      <c r="AY141" s="16" t="n">
        <f aca="false">IF(L141&lt;&gt;"",MAX(16,(L141-J141)+8),"")</f>
        <v>32</v>
      </c>
      <c r="BB141" s="0" t="n">
        <f aca="false">MIN(AB141/150, 1)*30</f>
        <v>5.4</v>
      </c>
      <c r="BC141" s="0" t="n">
        <f aca="false">MIN(N141/4000, 1)*20</f>
        <v>3.2</v>
      </c>
      <c r="BD141" s="0" t="n">
        <f aca="false">MIN(Z141/400,1)*20</f>
        <v>5.55</v>
      </c>
      <c r="BE141" s="3" t="n">
        <f aca="false">1-(MAX(J141-1900, 0)/750)</f>
        <v>0.996</v>
      </c>
      <c r="BF141" s="0" t="n">
        <f aca="false">((MAX($M141,1)*MIN($AJ141/300,1)))*IF(G141="Wagon",50,10)</f>
        <v>0</v>
      </c>
      <c r="BG141" s="0" t="n">
        <f aca="false">VLOOKUP($H141,Constants!$I:$K, 2, FALSE())</f>
        <v>0.85</v>
      </c>
      <c r="BH141" s="0" t="n">
        <f aca="false">VLOOKUP($H141,Constants!$I:$K, 3, FALSE())*IF(AND(G141="multiple_unit",AB141&lt;110),0.75,1)</f>
        <v>2.3</v>
      </c>
      <c r="BI141" s="0" t="n">
        <f aca="false">INT(POWER(((Constants!$G$2+$BB141+$BC141+$BD141+$BF141)*$BE141)*$BH141, 1.05))+$BA141</f>
        <v>52</v>
      </c>
      <c r="BJ141" s="0" t="n">
        <f aca="false">INT(POWER((((Constants!$G$1+$BB141+$BC141+$BD141+$BF141)*($BE141))*$BG141),IF($G141="wagon",1,1.2)))+$AZ141</f>
        <v>46</v>
      </c>
      <c r="BK141" s="17" t="n">
        <f aca="false">BI141*IF($G141="wagon",62.5,781.25)</f>
        <v>40625</v>
      </c>
      <c r="BL141" s="17" t="n">
        <f aca="false">BJ141*IF($G141="wagon",2.73,81.25)</f>
        <v>3737.5</v>
      </c>
      <c r="BV141" s="0" t="n">
        <v>12</v>
      </c>
      <c r="CA141" s="0" t="str">
        <f aca="false">VLOOKUP(J141,Eras!$A$2:$C$10, 2, TRUE())</f>
        <v>edw</v>
      </c>
      <c r="CB141" s="0" t="s">
        <v>531</v>
      </c>
      <c r="CC141" s="0" t="str">
        <f aca="false">CONCATENATE(CA141,"_",CB141)</f>
        <v>edw_Freight (Electric)</v>
      </c>
      <c r="CD141" s="0" t="str">
        <f aca="false">_xlfn.CONCAT(H141, "_",I141)</f>
        <v>electric_ELRL</v>
      </c>
      <c r="CE141" s="6" t="str">
        <f aca="false" t="array" ref="CE141:CE141">_xlfn.CONCAT("{BLACK}Length: {GOLD}", TEXT(ROUNDUP(IF(AQ141&lt;&gt;"",SUM(VALUE(_xlfn.TEXTSPLIT(AQ141, ","))), SUM(VALUE(_xlfn.TEXTSPLIT(AN141, ",")))*IF(M141, M141, 1))/16, 1), "#,##0.0"), " tiles{}")</f>
        <v>{BLACK}Length: {GOLD}0.5 tiles{}</v>
      </c>
      <c r="CF141" s="0" t="str">
        <f aca="false">VLOOKUP($CD141, Constants!$M:$N, 2, FALSE())</f>
        <v>{BLACK}Powered by: {GOLD}25kV AC</v>
      </c>
      <c r="CG141" s="0" t="str">
        <f aca="false">IF(M141&gt;1,_xlfn.CONCAT("{BLACK}Cars: {GOLD}", M141),"")</f>
        <v/>
      </c>
      <c r="CH141" s="0" t="s">
        <v>532</v>
      </c>
      <c r="CI141" s="0" t="str">
        <f aca="false">IF($BU141="!param_no_gameplay_units","{GREEN}Included for gameplay purposes","")</f>
        <v/>
      </c>
      <c r="CJ141" s="0" t="str">
        <f aca="false">IF(BX141="buffet","{YELLOW}25% long distance bonus for consist{}",IF(BZ141="BRAKE","{YELLOW}Speed bonus for slow wagons{}",IF(BW141&gt;190,CONCATENATE("{YELLOW}",INT((BW141-185)/1.85),"% bonus for long distance travel{}"),IF(AND(BW141&lt;180,BW141&lt;&gt;0),CONCATENATE("{YELLOW}",INT((185-BW141)/1.85),"% penalty for long distance travel{}"),""))))</f>
        <v/>
      </c>
      <c r="CK141" s="0" t="str">
        <f aca="false">_xlfn.CONCAT(CF141,IF(CF141&lt;&gt;""," ",""),CG141,IF(OR(CG141&lt;&gt;"",CF141&lt;&gt;""),"{}",""),CE141,CJ141,"{SILVER}",CH141,IF(CI141&lt;&gt;"","{}{}",""),CI141)</f>
        <v>{BLACK}Powered by: {GOLD}25kV AC {}{BLACK}Length: {GOLD}0.5 tiles{}{SILVER}The LNER ES1 (ES for Electric Shunter) is designed for hauling heavy freight trains on steep inclines.</v>
      </c>
    </row>
    <row r="142" customFormat="false" ht="14.25" hidden="false" customHeight="true" outlineLevel="0" collapsed="false">
      <c r="A142" s="0" t="s">
        <v>533</v>
      </c>
      <c r="B142" s="15" t="s">
        <v>534</v>
      </c>
      <c r="C142" s="0" t="n">
        <v>127</v>
      </c>
      <c r="E142" s="0" t="n">
        <v>30</v>
      </c>
      <c r="F142" s="0" t="s">
        <v>143</v>
      </c>
      <c r="G142" s="0" t="s">
        <v>445</v>
      </c>
      <c r="H142" s="0" t="s">
        <v>446</v>
      </c>
      <c r="I142" s="0" t="s">
        <v>92</v>
      </c>
      <c r="J142" s="0" t="n">
        <v>1904</v>
      </c>
      <c r="L142" s="0" t="n">
        <v>1962</v>
      </c>
      <c r="N142" s="0" t="n">
        <v>730</v>
      </c>
      <c r="P142" s="2" t="n">
        <v>18</v>
      </c>
      <c r="Q142" s="2" t="n">
        <v>26</v>
      </c>
      <c r="R142" s="2" t="n">
        <v>2</v>
      </c>
      <c r="S142" s="2" t="n">
        <v>160</v>
      </c>
      <c r="T142" s="18" t="n">
        <f aca="false">((($AB142/2)/60)*5280)/($U142*3.2*PI())</f>
        <v>150.451157141557</v>
      </c>
      <c r="U142" s="2" t="n">
        <v>1.6</v>
      </c>
      <c r="V142" s="2" t="n">
        <f aca="false">((($P142*$P142/4)*PI())*($Q142/12)*$R142*$S142*$T142)/(33000*1.1)</f>
        <v>731.25</v>
      </c>
      <c r="W142" s="0" t="n">
        <v>55</v>
      </c>
      <c r="Z142" s="0" t="n">
        <v>77</v>
      </c>
      <c r="AA142" s="3" t="n">
        <f aca="false">IF(AND(W142&gt;0,Z142&gt;0),(Z142/((W142+X142)*10)),"")</f>
        <v>0.14</v>
      </c>
      <c r="AB142" s="0" t="n">
        <v>55</v>
      </c>
      <c r="AC142" s="0" t="n">
        <f aca="false">ROUND(AB142*1.6, 0)</f>
        <v>88</v>
      </c>
      <c r="AF142" s="0" t="n">
        <v>10.02</v>
      </c>
      <c r="AG142" s="0" t="n">
        <v>10.02</v>
      </c>
      <c r="AJ142" s="4" t="n">
        <v>0</v>
      </c>
      <c r="AK142" s="0" t="str">
        <f aca="false">CONCATENATE(VLOOKUP(AL142, 'Voxel Sizes'!$A$2:$B$18,2,FALSE()),"x",INT(AH142*15), "x", INT(AI142*15))</f>
        <v>102x0x0</v>
      </c>
      <c r="AL142" s="0" t="n">
        <f aca="false">ROUND(15*((AG142*10)/256),0)</f>
        <v>6</v>
      </c>
      <c r="AN142" s="0" t="str">
        <f aca="false">CONCATENATE(VLOOKUP(AL142,Constants!$A$2:$C$16,IF(AM142&lt;&gt;"", 3, 2), FALSE()),IF(AM142&lt;&gt;"",CONCATENATE(",",VLOOKUP(AM142,$B:$AN,39,FALSE())),""))</f>
        <v>2,2,2</v>
      </c>
      <c r="AV142" s="0" t="n">
        <v>1</v>
      </c>
      <c r="AX142" s="0" t="n">
        <v>30</v>
      </c>
      <c r="AY142" s="16" t="n">
        <f aca="false">IF(L142&lt;&gt;"",MAX(16,(L142-J142)+8),"")</f>
        <v>66</v>
      </c>
      <c r="BB142" s="0" t="n">
        <f aca="false">MIN(AB142/150, 1)*30</f>
        <v>11</v>
      </c>
      <c r="BC142" s="0" t="n">
        <f aca="false">MIN(N142/4000, 1)*20</f>
        <v>3.65</v>
      </c>
      <c r="BD142" s="0" t="n">
        <f aca="false">MIN(Z142/400,1)*20</f>
        <v>3.85</v>
      </c>
      <c r="BE142" s="3" t="n">
        <f aca="false">1-(MAX(J142-1900, 0)/750)</f>
        <v>0.994666666666667</v>
      </c>
      <c r="BF142" s="0" t="n">
        <f aca="false">((MAX($M142,1)*MIN($AJ142/300,1)))*IF(G142="Wagon",50,10)</f>
        <v>0</v>
      </c>
      <c r="BG142" s="0" t="n">
        <f aca="false">VLOOKUP($H142,Constants!$I:$K, 2, FALSE())</f>
        <v>1.15</v>
      </c>
      <c r="BH142" s="0" t="n">
        <f aca="false">VLOOKUP($H142,Constants!$I:$K, 3, FALSE())*IF(AND(G142="multiple_unit",AB142&lt;110),0.75,1)</f>
        <v>1.7</v>
      </c>
      <c r="BI142" s="0" t="n">
        <f aca="false">INT(POWER(((Constants!$G$2+$BB142+$BC142+$BD142+$BF142)*$BE142)*$BH142, 1.05))+$BA142</f>
        <v>47</v>
      </c>
      <c r="BJ142" s="0" t="n">
        <f aca="false">INT(POWER((((Constants!$G$1+$BB142+$BC142+$BD142+$BF142)*($BE142))*$BG142),IF($G142="wagon",1,1.2)))+$AZ142</f>
        <v>79</v>
      </c>
      <c r="BK142" s="17" t="n">
        <f aca="false">BI142*IF($G142="wagon",62.5,781.25)</f>
        <v>36718.75</v>
      </c>
      <c r="BL142" s="17" t="n">
        <f aca="false">BJ142*IF($G142="wagon",2.73,81.25)</f>
        <v>6418.75</v>
      </c>
      <c r="BV142" s="0" t="n">
        <v>1</v>
      </c>
      <c r="CA142" s="0" t="str">
        <f aca="false">VLOOKUP(J142,Eras!$A$2:$C$10, 2, TRUE())</f>
        <v>edw</v>
      </c>
      <c r="CB142" s="0" t="s">
        <v>535</v>
      </c>
      <c r="CC142" s="0" t="str">
        <f aca="false">CONCATENATE(CA142,"_",CB142)</f>
        <v>edw_Passenger</v>
      </c>
      <c r="CD142" s="0" t="str">
        <f aca="false">_xlfn.CONCAT(H142, "_",I142)</f>
        <v>steam_RAIL</v>
      </c>
      <c r="CE142" s="6" t="str">
        <f aca="false" t="array" ref="CE142:CE142">_xlfn.CONCAT("{BLACK}Length: {GOLD}", TEXT(ROUNDUP(IF(AQ142&lt;&gt;"",SUM(VALUE(_xlfn.TEXTSPLIT(AQ142, ","))), SUM(VALUE(_xlfn.TEXTSPLIT(AN142, ",")))*IF(M142, M142, 1))/16, 1), "#,##0.0"), " tiles{}")</f>
        <v>{BLACK}Length: {GOLD}0.4 tiles{}</v>
      </c>
      <c r="CF142" s="0" t="str">
        <f aca="false">VLOOKUP($CD142, Constants!$M:$N, 2, FALSE())</f>
        <v>{BLACK}Powered by: {GOLD}Steam</v>
      </c>
      <c r="CG142" s="0" t="str">
        <f aca="false">IF(M142&gt;1,_xlfn.CONCAT("{BLACK}Cars: {GOLD}", M142),"")</f>
        <v/>
      </c>
      <c r="CH142" s="0" t="s">
        <v>536</v>
      </c>
      <c r="CI142" s="0" t="str">
        <f aca="false">IF($BU142="!param_no_gameplay_units","{GREEN}Included for gameplay purposes","")</f>
        <v/>
      </c>
      <c r="CJ142" s="0" t="str">
        <f aca="false">IF(BX142="buffet","{YELLOW}25% long distance bonus for consist{}",IF(BZ142="BRAKE","{YELLOW}Speed bonus for slow wagons{}",IF(BW142&gt;190,CONCATENATE("{YELLOW}",INT((BW142-185)/1.85),"% bonus for long distance travel{}"),IF(AND(BW142&lt;180,BW142&lt;&gt;0),CONCATENATE("{YELLOW}",INT((185-BW142)/1.85),"% penalty for long distance travel{}"),""))))</f>
        <v/>
      </c>
      <c r="CK142" s="0" t="str">
        <f aca="false">_xlfn.CONCAT(CF142,IF(CF142&lt;&gt;""," ",""),CG142,IF(OR(CG142&lt;&gt;"",CF142&lt;&gt;""),"{}",""),CE142,CJ142,"{SILVER}",CH142,IF(CI142&lt;&gt;"","{}{}",""),CI142)</f>
        <v>{BLACK}Powered by: {GOLD}Steam {}{BLACK}Length: {GOLD}0.4 tiles{}{SILVER}The South Eastern and Chatham Railway H Class is an 0-4-4T tank engine designed for suburban passenger routes. It was in use until the 1960s.</v>
      </c>
    </row>
    <row r="143" customFormat="false" ht="14.25" hidden="false" customHeight="true" outlineLevel="0" collapsed="false">
      <c r="A143" s="0" t="s">
        <v>537</v>
      </c>
      <c r="B143" s="15" t="s">
        <v>538</v>
      </c>
      <c r="C143" s="0" t="n">
        <v>128</v>
      </c>
      <c r="E143" s="0" t="n">
        <v>31</v>
      </c>
      <c r="F143" s="0" t="s">
        <v>143</v>
      </c>
      <c r="G143" s="0" t="s">
        <v>445</v>
      </c>
      <c r="H143" s="0" t="s">
        <v>446</v>
      </c>
      <c r="I143" s="0" t="s">
        <v>92</v>
      </c>
      <c r="J143" s="0" t="n">
        <v>1904</v>
      </c>
      <c r="K143" s="0" t="n">
        <v>1914</v>
      </c>
      <c r="L143" s="0" t="n">
        <v>1955</v>
      </c>
      <c r="N143" s="0" t="n">
        <v>850</v>
      </c>
      <c r="P143" s="2" t="n">
        <v>17</v>
      </c>
      <c r="Q143" s="2" t="n">
        <v>24</v>
      </c>
      <c r="R143" s="2" t="n">
        <v>2</v>
      </c>
      <c r="S143" s="2" t="n">
        <v>180</v>
      </c>
      <c r="T143" s="18" t="n">
        <f aca="false">((($AB143/2)/60)*5280)/($U143*3.2*PI())</f>
        <v>192.577481141193</v>
      </c>
      <c r="U143" s="2" t="n">
        <v>1.25</v>
      </c>
      <c r="V143" s="2" t="n">
        <f aca="false">((($P143*$P143/4)*PI())*($Q143/12)*$R143*$S143*$T143)/(33000*1.1)</f>
        <v>867</v>
      </c>
      <c r="W143" s="0" t="n">
        <v>63.4</v>
      </c>
      <c r="Z143" s="0" t="n">
        <v>95</v>
      </c>
      <c r="AA143" s="3" t="n">
        <f aca="false">IF(AND(W143&gt;0,Z143&gt;0),(Z143/((W143+X143)*10)),"")</f>
        <v>0.149842271293375</v>
      </c>
      <c r="AB143" s="0" t="n">
        <v>55</v>
      </c>
      <c r="AC143" s="0" t="n">
        <f aca="false">ROUND(AB143*1.6, 0)</f>
        <v>88</v>
      </c>
      <c r="AF143" s="0" t="n">
        <v>11.5</v>
      </c>
      <c r="AG143" s="0" t="n">
        <v>11.5</v>
      </c>
      <c r="AJ143" s="4" t="n">
        <v>0</v>
      </c>
      <c r="AK143" s="0" t="str">
        <f aca="false">CONCATENATE(VLOOKUP(AL143, 'Voxel Sizes'!$A$2:$B$18,2,FALSE()),"x",INT(AH143*15), "x", INT(AI143*15))</f>
        <v>120x0x0</v>
      </c>
      <c r="AL143" s="0" t="n">
        <f aca="false">ROUND(15*((AG143*10)/256),0)</f>
        <v>7</v>
      </c>
      <c r="AN143" s="0" t="str">
        <f aca="false">CONCATENATE(VLOOKUP(AL143,Constants!$A$2:$C$16,IF(AM143&lt;&gt;"", 3, 2), FALSE()),IF(AM143&lt;&gt;"",CONCATENATE(",",VLOOKUP(AM143,$B:$AN,39,FALSE())),""))</f>
        <v>2,3,2</v>
      </c>
      <c r="AV143" s="0" t="n">
        <v>1</v>
      </c>
      <c r="AX143" s="0" t="n">
        <v>38</v>
      </c>
      <c r="AY143" s="16" t="n">
        <f aca="false">IF(L143&lt;&gt;"",MAX(16,(L143-J143)+8),"")</f>
        <v>59</v>
      </c>
      <c r="BB143" s="0" t="n">
        <f aca="false">MIN(AB143/150, 1)*30</f>
        <v>11</v>
      </c>
      <c r="BC143" s="0" t="n">
        <f aca="false">MIN(N143/4000, 1)*20</f>
        <v>4.25</v>
      </c>
      <c r="BD143" s="0" t="n">
        <f aca="false">MIN(Z143/400,1)*20</f>
        <v>4.75</v>
      </c>
      <c r="BE143" s="3" t="n">
        <f aca="false">1-(MAX(J143-1900, 0)/750)</f>
        <v>0.994666666666667</v>
      </c>
      <c r="BF143" s="0" t="n">
        <f aca="false">((MAX($M143,1)*MIN($AJ143/300,1)))*IF(G143="Wagon",50,10)</f>
        <v>0</v>
      </c>
      <c r="BG143" s="0" t="n">
        <f aca="false">VLOOKUP($H143,Constants!$I:$K, 2, FALSE())</f>
        <v>1.15</v>
      </c>
      <c r="BH143" s="0" t="n">
        <f aca="false">VLOOKUP($H143,Constants!$I:$K, 3, FALSE())*IF(AND(G143="multiple_unit",AB143&lt;110),0.75,1)</f>
        <v>1.7</v>
      </c>
      <c r="BI143" s="0" t="n">
        <f aca="false">INT(POWER(((Constants!$G$2+$BB143+$BC143+$BD143+$BF143)*$BE143)*$BH143, 1.05))+$BA143</f>
        <v>50</v>
      </c>
      <c r="BJ143" s="0" t="n">
        <f aca="false">INT(POWER((((Constants!$G$1+$BB143+$BC143+$BD143+$BF143)*($BE143))*$BG143),IF($G143="wagon",1,1.2)))+$AZ143</f>
        <v>83</v>
      </c>
      <c r="BK143" s="17" t="n">
        <f aca="false">BI143*IF($G143="wagon",62.5,781.25)</f>
        <v>39062.5</v>
      </c>
      <c r="BL143" s="17" t="n">
        <f aca="false">BJ143*IF($G143="wagon",2.73,81.25)</f>
        <v>6743.75</v>
      </c>
      <c r="BV143" s="0" t="n">
        <v>2</v>
      </c>
      <c r="CA143" s="0" t="str">
        <f aca="false">VLOOKUP(J143,Eras!$A$2:$C$10, 2, TRUE())</f>
        <v>edw</v>
      </c>
      <c r="CB143" s="0" t="s">
        <v>439</v>
      </c>
      <c r="CC143" s="0" t="str">
        <f aca="false">CONCATENATE(CA143,"_",CB143)</f>
        <v>edw_Mixed Traffic</v>
      </c>
      <c r="CD143" s="0" t="str">
        <f aca="false">_xlfn.CONCAT(H143, "_",I143)</f>
        <v>steam_RAIL</v>
      </c>
      <c r="CE143" s="6" t="str">
        <f aca="false" t="array" ref="CE143:CE143">_xlfn.CONCAT("{BLACK}Length: {GOLD}", TEXT(ROUNDUP(IF(AQ143&lt;&gt;"",SUM(VALUE(_xlfn.TEXTSPLIT(AQ143, ","))), SUM(VALUE(_xlfn.TEXTSPLIT(AN143, ",")))*IF(M143, M143, 1))/16, 1), "#,##0.0"), " tiles{}")</f>
        <v>{BLACK}Length: {GOLD}0.5 tiles{}</v>
      </c>
      <c r="CF143" s="0" t="str">
        <f aca="false">VLOOKUP($CD143, Constants!$M:$N, 2, FALSE())</f>
        <v>{BLACK}Powered by: {GOLD}Steam</v>
      </c>
      <c r="CG143" s="0" t="str">
        <f aca="false">IF(M143&gt;1,_xlfn.CONCAT("{BLACK}Cars: {GOLD}", M143),"")</f>
        <v/>
      </c>
      <c r="CH143" s="0" t="s">
        <v>539</v>
      </c>
      <c r="CI143" s="0" t="str">
        <f aca="false">IF($BU143="!param_no_gameplay_units","{GREEN}Included for gameplay purposes","")</f>
        <v/>
      </c>
      <c r="CJ143" s="0" t="str">
        <f aca="false">IF(BX143="buffet","{YELLOW}25% long distance bonus for consist{}",IF(BZ143="BRAKE","{YELLOW}Speed bonus for slow wagons{}",IF(BW143&gt;190,CONCATENATE("{YELLOW}",INT((BW143-185)/1.85),"% bonus for long distance travel{}"),IF(AND(BW143&lt;180,BW143&lt;&gt;0),CONCATENATE("{YELLOW}",INT((185-BW143)/1.85),"% penalty for long distance travel{}"),""))))</f>
        <v/>
      </c>
      <c r="CK143" s="0" t="str">
        <f aca="false">_xlfn.CONCAT(CF143,IF(CF143&lt;&gt;""," ",""),CG143,IF(OR(CG143&lt;&gt;"",CF143&lt;&gt;""),"{}",""),CE143,CJ143,"{SILVER}",CH143,IF(CI143&lt;&gt;"","{}{}",""),CI143)</f>
        <v>{BLACK}Powered by: {GOLD}Steam {}{BLACK}Length: {GOLD}0.5 tiles{}{SILVER}The GWR "Small Prairie" tank engines were designed for operating branch lines.</v>
      </c>
    </row>
    <row r="144" customFormat="false" ht="14.25" hidden="false" customHeight="false" outlineLevel="0" collapsed="false">
      <c r="A144" s="0" t="s">
        <v>540</v>
      </c>
      <c r="B144" s="15" t="s">
        <v>541</v>
      </c>
      <c r="C144" s="0" t="n">
        <v>129</v>
      </c>
      <c r="E144" s="0" t="n">
        <v>32</v>
      </c>
      <c r="F144" s="0" t="s">
        <v>143</v>
      </c>
      <c r="G144" s="0" t="s">
        <v>445</v>
      </c>
      <c r="H144" s="0" t="s">
        <v>446</v>
      </c>
      <c r="I144" s="0" t="s">
        <v>92</v>
      </c>
      <c r="J144" s="0" t="n">
        <v>1906</v>
      </c>
      <c r="K144" s="0" t="n">
        <v>1923</v>
      </c>
      <c r="L144" s="0" t="n">
        <v>1957</v>
      </c>
      <c r="N144" s="0" t="n">
        <v>1200</v>
      </c>
      <c r="P144" s="2" t="n">
        <v>14.25</v>
      </c>
      <c r="Q144" s="2" t="n">
        <v>26</v>
      </c>
      <c r="R144" s="2" t="n">
        <v>4</v>
      </c>
      <c r="S144" s="2" t="n">
        <v>225</v>
      </c>
      <c r="T144" s="18" t="n">
        <f aca="false">((($AB144/2)/60)*5280)/($U144*3.2*PI())</f>
        <v>181.475453403564</v>
      </c>
      <c r="U144" s="2" t="n">
        <v>2.05</v>
      </c>
      <c r="V144" s="2" t="n">
        <f aca="false">((($P144*$P144/4)*PI())*($Q144/12)*$R144*$S144*$T144)/(33000*1.1)</f>
        <v>1554.76761710089</v>
      </c>
      <c r="W144" s="0" t="n">
        <v>77</v>
      </c>
      <c r="X144" s="1" t="n">
        <v>40</v>
      </c>
      <c r="Z144" s="0" t="n">
        <v>111</v>
      </c>
      <c r="AA144" s="3" t="n">
        <f aca="false">IF(AND(W144&gt;0,Z144&gt;0),(Z144/((W144+X144)*10)),"")</f>
        <v>0.0948717948717949</v>
      </c>
      <c r="AB144" s="0" t="n">
        <v>85</v>
      </c>
      <c r="AC144" s="0" t="n">
        <f aca="false">ROUND(AB144*1.6, 0)</f>
        <v>136</v>
      </c>
      <c r="AG144" s="0" t="n">
        <v>12</v>
      </c>
      <c r="AJ144" s="4" t="n">
        <v>0</v>
      </c>
      <c r="AK144" s="0" t="str">
        <f aca="false">CONCATENATE(VLOOKUP(AL144, 'Voxel Sizes'!$A$2:$B$18,2,FALSE()),"x",INT(AH144*15), "x", INT(AI144*15))</f>
        <v>120x0x0</v>
      </c>
      <c r="AL144" s="0" t="n">
        <f aca="false">ROUND(15*((AG144*10)/256),0)</f>
        <v>7</v>
      </c>
      <c r="AM144" s="0" t="s">
        <v>114</v>
      </c>
      <c r="AN144" s="0" t="str">
        <f aca="false">CONCATENATE(VLOOKUP(AL144,Constants!$A$2:$C$16,IF(AM144&lt;&gt;"", 3, 2), FALSE()),IF(AM144&lt;&gt;"",CONCATENATE(",",VLOOKUP(AM144,$B:$AN,39,FALSE())),""))</f>
        <v>2,3,2,2,1,2</v>
      </c>
      <c r="AV144" s="0" t="n">
        <v>1</v>
      </c>
      <c r="AX144" s="0" t="n">
        <v>29</v>
      </c>
      <c r="AY144" s="16" t="n">
        <f aca="false">IF(L144&lt;&gt;"",MAX(16,(L144-J144)+8),"")</f>
        <v>59</v>
      </c>
      <c r="AZ144" s="0" t="n">
        <v>12</v>
      </c>
      <c r="BA144" s="0" t="n">
        <v>10</v>
      </c>
      <c r="BB144" s="0" t="n">
        <f aca="false">MIN(AB144/150, 1)*30</f>
        <v>17</v>
      </c>
      <c r="BC144" s="0" t="n">
        <f aca="false">MIN(N144/4000, 1)*20</f>
        <v>6</v>
      </c>
      <c r="BD144" s="0" t="n">
        <f aca="false">MIN(Z144/400,1)*20</f>
        <v>5.55</v>
      </c>
      <c r="BE144" s="3" t="n">
        <f aca="false">1-(MAX(J144-1900, 0)/750)</f>
        <v>0.992</v>
      </c>
      <c r="BF144" s="0" t="n">
        <f aca="false">((MAX($M144,1)*MIN($AJ144/300,1)))*IF(G144="Wagon",50,10)</f>
        <v>0</v>
      </c>
      <c r="BG144" s="0" t="n">
        <f aca="false">VLOOKUP($H144,Constants!$I:$K, 2, FALSE())</f>
        <v>1.15</v>
      </c>
      <c r="BH144" s="0" t="n">
        <f aca="false">VLOOKUP($H144,Constants!$I:$K, 3, FALSE())*IF(AND(G144="multiple_unit",AB144&lt;110),0.75,1)</f>
        <v>1.7</v>
      </c>
      <c r="BI144" s="0" t="n">
        <f aca="false">INT(POWER(((Constants!$G$2+$BB144+$BC144+$BD144+$BF144)*$BE144)*$BH144, 1.05))+$BA144</f>
        <v>79</v>
      </c>
      <c r="BJ144" s="0" t="n">
        <f aca="false">INT(POWER((((Constants!$G$1+$BB144+$BC144+$BD144+$BF144)*($BE144))*$BG144),IF($G144="wagon",1,1.2)))+$AZ144</f>
        <v>120</v>
      </c>
      <c r="BK144" s="17" t="n">
        <f aca="false">BI144*IF($G144="wagon",62.5,781.25)</f>
        <v>61718.75</v>
      </c>
      <c r="BL144" s="17" t="n">
        <f aca="false">BJ144*IF($G144="wagon",2.73,81.25)</f>
        <v>9750</v>
      </c>
      <c r="BV144" s="0" t="n">
        <v>1</v>
      </c>
      <c r="CA144" s="0" t="str">
        <f aca="false">VLOOKUP(J144,Eras!$A$2:$C$10, 2, TRUE())</f>
        <v>edw</v>
      </c>
      <c r="CB144" s="0" t="s">
        <v>474</v>
      </c>
      <c r="CC144" s="0" t="str">
        <f aca="false">CONCATENATE(CA144,"_",CB144)</f>
        <v>edw_Express</v>
      </c>
      <c r="CD144" s="0" t="str">
        <f aca="false">_xlfn.CONCAT(H144, "_",I144)</f>
        <v>steam_RAIL</v>
      </c>
      <c r="CE144" s="6" t="str">
        <f aca="false" t="array" ref="CE144:CE144">_xlfn.CONCAT("{BLACK}Length: {GOLD}", TEXT(ROUNDUP(IF(AQ144&lt;&gt;"",SUM(VALUE(_xlfn.TEXTSPLIT(AQ144, ","))), SUM(VALUE(_xlfn.TEXTSPLIT(AN144, ",")))*IF(M144, M144, 1))/16, 1), "#,##0.0"), " tiles{}")</f>
        <v>{BLACK}Length: {GOLD}0.8 tiles{}</v>
      </c>
      <c r="CF144" s="0" t="str">
        <f aca="false">VLOOKUP($CD144, Constants!$M:$N, 2, FALSE())</f>
        <v>{BLACK}Powered by: {GOLD}Steam</v>
      </c>
      <c r="CG144" s="0" t="str">
        <f aca="false">IF(M144&gt;1,_xlfn.CONCAT("{BLACK}Cars: {GOLD}", M144),"")</f>
        <v/>
      </c>
      <c r="CH144" s="0" t="s">
        <v>542</v>
      </c>
      <c r="CI144" s="0" t="str">
        <f aca="false">IF($BU144="!param_no_gameplay_units","{GREEN}Included for gameplay purposes","")</f>
        <v/>
      </c>
      <c r="CJ144" s="0" t="str">
        <f aca="false">IF(BX144="buffet","{YELLOW}25% long distance bonus for consist{}",IF(BZ144="BRAKE","{YELLOW}Speed bonus for slow wagons{}",IF(BW144&gt;190,CONCATENATE("{YELLOW}",INT((BW144-185)/1.85),"% bonus for long distance travel{}"),IF(AND(BW144&lt;180,BW144&lt;&gt;0),CONCATENATE("{YELLOW}",INT((185-BW144)/1.85),"% penalty for long distance travel{}"),""))))</f>
        <v/>
      </c>
      <c r="CK144" s="0" t="str">
        <f aca="false">_xlfn.CONCAT(CF144,IF(CF144&lt;&gt;""," ",""),CG144,IF(OR(CG144&lt;&gt;"",CF144&lt;&gt;""),"{}",""),CE144,CJ144,"{SILVER}",CH144,IF(CI144&lt;&gt;"","{}{}",""),CI144)</f>
        <v>{BLACK}Powered by: {GOLD}Steam {}{BLACK}Length: {GOLD}0.8 tiles{}{SILVER}The Star class was the first in a string of successful four cylinder express locomotives built by the GWR.</v>
      </c>
    </row>
    <row r="145" customFormat="false" ht="14.25" hidden="false" customHeight="false" outlineLevel="0" collapsed="false">
      <c r="A145" s="0" t="s">
        <v>543</v>
      </c>
      <c r="B145" s="15" t="s">
        <v>544</v>
      </c>
      <c r="C145" s="0" t="n">
        <v>130</v>
      </c>
      <c r="E145" s="0" t="n">
        <v>33</v>
      </c>
      <c r="F145" s="0" t="s">
        <v>143</v>
      </c>
      <c r="G145" s="0" t="s">
        <v>445</v>
      </c>
      <c r="H145" s="0" t="s">
        <v>446</v>
      </c>
      <c r="I145" s="0" t="s">
        <v>92</v>
      </c>
      <c r="J145" s="0" t="n">
        <v>1911</v>
      </c>
      <c r="K145" s="0" t="n">
        <v>1926</v>
      </c>
      <c r="L145" s="0" t="n">
        <v>1960</v>
      </c>
      <c r="N145" s="0" t="n">
        <v>850</v>
      </c>
      <c r="P145" s="2" t="n">
        <v>20</v>
      </c>
      <c r="Q145" s="2" t="n">
        <v>26</v>
      </c>
      <c r="R145" s="2" t="n">
        <v>2</v>
      </c>
      <c r="S145" s="2" t="n">
        <v>180</v>
      </c>
      <c r="T145" s="18" t="n">
        <f aca="false">((($AB145/2)/60)*5280)/($U145*3.2*PI())</f>
        <v>128.728262794915</v>
      </c>
      <c r="U145" s="2" t="n">
        <v>1.7</v>
      </c>
      <c r="V145" s="2" t="n">
        <f aca="false">((($P145*$P145/4)*PI())*($Q145/12)*$R145*$S145*$T145)/(33000*1.1)</f>
        <v>868.983957219251</v>
      </c>
      <c r="W145" s="0" t="n">
        <v>87</v>
      </c>
      <c r="Z145" s="0" t="n">
        <v>106</v>
      </c>
      <c r="AA145" s="3" t="n">
        <f aca="false">IF(AND(W145&gt;0,Z145&gt;0),(Z145/((W145+X145)*10)),"")</f>
        <v>0.12183908045977</v>
      </c>
      <c r="AB145" s="0" t="n">
        <v>50</v>
      </c>
      <c r="AC145" s="0" t="n">
        <f aca="false">ROUND(AB145*1.6, 0)</f>
        <v>80</v>
      </c>
      <c r="AF145" s="0" t="n">
        <v>13.1</v>
      </c>
      <c r="AG145" s="0" t="n">
        <v>13.1</v>
      </c>
      <c r="AJ145" s="4" t="n">
        <v>0</v>
      </c>
      <c r="AK145" s="0" t="str">
        <f aca="false">CONCATENATE(VLOOKUP(AL145, 'Voxel Sizes'!$A$2:$B$18,2,FALSE()),"x",INT(AH145*15), "x", INT(AI145*15))</f>
        <v>136x0x0</v>
      </c>
      <c r="AL145" s="0" t="n">
        <f aca="false">ROUND(15*((AG145*10)/256),0)</f>
        <v>8</v>
      </c>
      <c r="AN145" s="0" t="str">
        <f aca="false">CONCATENATE(VLOOKUP(AL145,Constants!$A$2:$C$16,IF(AM145&lt;&gt;"", 3, 2), FALSE()),IF(AM145&lt;&gt;"",CONCATENATE(",",VLOOKUP(AM145,$B:$AN,39,FALSE())),""))</f>
        <v>2,4,2</v>
      </c>
      <c r="AV145" s="0" t="n">
        <v>1</v>
      </c>
      <c r="AX145" s="0" t="n">
        <v>32</v>
      </c>
      <c r="AY145" s="16" t="n">
        <f aca="false">IF(L145&lt;&gt;"",MAX(16,(L145-J145)+8),"")</f>
        <v>57</v>
      </c>
      <c r="BB145" s="0" t="n">
        <f aca="false">MIN(AB145/150, 1)*30</f>
        <v>10</v>
      </c>
      <c r="BC145" s="0" t="n">
        <f aca="false">MIN(N145/4000, 1)*20</f>
        <v>4.25</v>
      </c>
      <c r="BD145" s="0" t="n">
        <f aca="false">MIN(Z145/400,1)*20</f>
        <v>5.3</v>
      </c>
      <c r="BE145" s="3" t="n">
        <f aca="false">1-(MAX(J145-1900, 0)/750)</f>
        <v>0.985333333333333</v>
      </c>
      <c r="BF145" s="0" t="n">
        <f aca="false">((MAX($M145,1)*MIN($AJ145/300,1)))*IF(G145="Wagon",50,10)</f>
        <v>0</v>
      </c>
      <c r="BG145" s="0" t="n">
        <f aca="false">VLOOKUP($H145,Constants!$I:$K, 2, FALSE())</f>
        <v>1.15</v>
      </c>
      <c r="BH145" s="0" t="n">
        <f aca="false">VLOOKUP($H145,Constants!$I:$K, 3, FALSE())*IF(AND(G145="multiple_unit",AB145&lt;110),0.75,1)</f>
        <v>1.7</v>
      </c>
      <c r="BI145" s="0" t="n">
        <f aca="false">INT(POWER(((Constants!$G$2+$BB145+$BC145+$BD145+$BF145)*$BE145)*$BH145, 1.05))+$BA145</f>
        <v>49</v>
      </c>
      <c r="BJ145" s="0" t="n">
        <f aca="false">INT(POWER((((Constants!$G$1+$BB145+$BC145+$BD145+$BF145)*($BE145))*$BG145),IF($G145="wagon",1,1.2)))+$AZ145</f>
        <v>81</v>
      </c>
      <c r="BK145" s="17" t="n">
        <f aca="false">BI145*IF($G145="wagon",62.5,781.25)</f>
        <v>38281.25</v>
      </c>
      <c r="BL145" s="17" t="n">
        <f aca="false">BJ145*IF($G145="wagon",2.73,81.25)</f>
        <v>6581.25</v>
      </c>
      <c r="BV145" s="0" t="n">
        <v>3</v>
      </c>
      <c r="CA145" s="0" t="str">
        <f aca="false">VLOOKUP(J145,Eras!$A$2:$C$10, 2, TRUE())</f>
        <v>edw</v>
      </c>
      <c r="CB145" s="0" t="s">
        <v>535</v>
      </c>
      <c r="CC145" s="0" t="str">
        <f aca="false">CONCATENATE(CA145,"_",CB145)</f>
        <v>edw_Passenger</v>
      </c>
      <c r="CD145" s="0" t="str">
        <f aca="false">_xlfn.CONCAT(H145, "_",I145)</f>
        <v>steam_RAIL</v>
      </c>
      <c r="CE145" s="6" t="str">
        <f aca="false" t="array" ref="CE145:CE145">_xlfn.CONCAT("{BLACK}Length: {GOLD}", TEXT(ROUNDUP(IF(AQ145&lt;&gt;"",SUM(VALUE(_xlfn.TEXTSPLIT(AQ145, ","))), SUM(VALUE(_xlfn.TEXTSPLIT(AN145, ",")))*IF(M145, M145, 1))/16, 1), "#,##0.0"), " tiles{}")</f>
        <v>{BLACK}Length: {GOLD}0.5 tiles{}</v>
      </c>
      <c r="CF145" s="0" t="str">
        <f aca="false">VLOOKUP($CD145, Constants!$M:$N, 2, FALSE())</f>
        <v>{BLACK}Powered by: {GOLD}Steam</v>
      </c>
      <c r="CG145" s="0" t="str">
        <f aca="false">IF(M145&gt;1,_xlfn.CONCAT("{BLACK}Cars: {GOLD}", M145),"")</f>
        <v/>
      </c>
      <c r="CH145" s="0" t="s">
        <v>545</v>
      </c>
      <c r="CI145" s="0" t="str">
        <f aca="false">IF($BU145="!param_no_gameplay_units","{GREEN}Included for gameplay purposes","")</f>
        <v/>
      </c>
      <c r="CJ145" s="0" t="str">
        <f aca="false">IF(BX145="buffet","{YELLOW}25% long distance bonus for consist{}",IF(BZ145="BRAKE","{YELLOW}Speed bonus for slow wagons{}",IF(BW145&gt;190,CONCATENATE("{YELLOW}",INT((BW145-185)/1.85),"% bonus for long distance travel{}"),IF(AND(BW145&lt;180,BW145&lt;&gt;0),CONCATENATE("{YELLOW}",INT((185-BW145)/1.85),"% penalty for long distance travel{}"),""))))</f>
        <v/>
      </c>
      <c r="CK145" s="0" t="str">
        <f aca="false">_xlfn.CONCAT(CF145,IF(CF145&lt;&gt;""," ",""),CG145,IF(OR(CG145&lt;&gt;"",CF145&lt;&gt;""),"{}",""),CE145,CJ145,"{SILVER}",CH145,IF(CI145&lt;&gt;"","{}{}",""),CI145)</f>
        <v>{BLACK}Powered by: {GOLD}Steam {}{BLACK}Length: {GOLD}0.5 tiles{}{SILVER}The GCR 9N (later LNER A5) is a 4-6-2 tank locomotive designed for suburban passenger services.</v>
      </c>
    </row>
    <row r="146" customFormat="false" ht="14.25" hidden="false" customHeight="false" outlineLevel="0" collapsed="false">
      <c r="A146" s="0" t="s">
        <v>546</v>
      </c>
      <c r="B146" s="15" t="s">
        <v>547</v>
      </c>
      <c r="C146" s="0" t="n">
        <v>131</v>
      </c>
      <c r="E146" s="0" t="n">
        <v>34</v>
      </c>
      <c r="F146" s="0" t="s">
        <v>143</v>
      </c>
      <c r="G146" s="0" t="s">
        <v>445</v>
      </c>
      <c r="H146" s="0" t="s">
        <v>446</v>
      </c>
      <c r="I146" s="0" t="s">
        <v>92</v>
      </c>
      <c r="J146" s="0" t="n">
        <v>1911</v>
      </c>
      <c r="K146" s="0" t="n">
        <v>1914</v>
      </c>
      <c r="L146" s="0" t="n">
        <v>1966</v>
      </c>
      <c r="N146" s="0" t="n">
        <v>1250</v>
      </c>
      <c r="P146" s="2" t="n">
        <v>21</v>
      </c>
      <c r="Q146" s="2" t="n">
        <v>26</v>
      </c>
      <c r="R146" s="2" t="n">
        <v>2</v>
      </c>
      <c r="S146" s="2" t="n">
        <v>180</v>
      </c>
      <c r="T146" s="18" t="n">
        <f aca="false">((($AB146/2)/60)*5280)/($U146*3.2*PI())</f>
        <v>123.289040423299</v>
      </c>
      <c r="U146" s="2" t="n">
        <v>1.42</v>
      </c>
      <c r="V146" s="2" t="n">
        <f aca="false">((($P146*$P146/4)*PI())*($Q146/12)*$R146*$S146*$T146)/(33000*1.1)</f>
        <v>917.573623559539</v>
      </c>
      <c r="W146" s="0" t="n">
        <v>75</v>
      </c>
      <c r="X146" s="1" t="n">
        <v>42</v>
      </c>
      <c r="Z146" s="0" t="n">
        <v>139</v>
      </c>
      <c r="AA146" s="3" t="n">
        <f aca="false">IF(AND(W146&gt;0,Z146&gt;0),(Z146/((W146+X146)*10)),"")</f>
        <v>0.118803418803419</v>
      </c>
      <c r="AB146" s="0" t="n">
        <v>40</v>
      </c>
      <c r="AC146" s="0" t="n">
        <f aca="false">ROUND(AB146*1.6, 0)</f>
        <v>64</v>
      </c>
      <c r="AF146" s="0" t="n">
        <v>18.81</v>
      </c>
      <c r="AG146" s="0" t="n">
        <v>11.31</v>
      </c>
      <c r="AJ146" s="4" t="n">
        <v>0</v>
      </c>
      <c r="AK146" s="0" t="str">
        <f aca="false">CONCATENATE(VLOOKUP(AL146, 'Voxel Sizes'!$A$2:$B$18,2,FALSE()),"x",INT(AH146*15), "x", INT(AI146*15))</f>
        <v>120x0x0</v>
      </c>
      <c r="AL146" s="0" t="n">
        <f aca="false">ROUND(15*((AG146*10)/256),0)</f>
        <v>7</v>
      </c>
      <c r="AM146" s="0" t="s">
        <v>112</v>
      </c>
      <c r="AN146" s="0" t="str">
        <f aca="false">CONCATENATE(VLOOKUP(AL146,Constants!$A$2:$C$16,IF(AM146&lt;&gt;"", 3, 2), FALSE()),IF(AM146&lt;&gt;"",CONCATENATE(",",VLOOKUP(AM146,$B:$AN,39,FALSE())),""))</f>
        <v>2,3,2,2,1,2</v>
      </c>
      <c r="AV146" s="0" t="n">
        <v>1</v>
      </c>
      <c r="AX146" s="0" t="n">
        <v>34</v>
      </c>
      <c r="AY146" s="16" t="n">
        <f aca="false">IF(L146&lt;&gt;"",MAX(16,(L146-J146)+8),"")</f>
        <v>63</v>
      </c>
      <c r="BB146" s="0" t="n">
        <f aca="false">MIN(AB146/150, 1)*30</f>
        <v>8</v>
      </c>
      <c r="BC146" s="0" t="n">
        <f aca="false">MIN(N146/4000, 1)*20</f>
        <v>6.25</v>
      </c>
      <c r="BD146" s="0" t="n">
        <f aca="false">MIN(Z146/400,1)*20</f>
        <v>6.95</v>
      </c>
      <c r="BE146" s="3" t="n">
        <f aca="false">1-(MAX(J146-1900, 0)/750)</f>
        <v>0.985333333333333</v>
      </c>
      <c r="BF146" s="0" t="n">
        <f aca="false">((MAX($M146,1)*MIN($AJ146/300,1)))*IF(G146="Wagon",50,10)</f>
        <v>0</v>
      </c>
      <c r="BG146" s="0" t="n">
        <f aca="false">VLOOKUP($H146,Constants!$I:$K, 2, FALSE())</f>
        <v>1.15</v>
      </c>
      <c r="BH146" s="0" t="n">
        <f aca="false">VLOOKUP($H146,Constants!$I:$K, 3, FALSE())*IF(AND(G146="multiple_unit",AB146&lt;110),0.75,1)</f>
        <v>1.7</v>
      </c>
      <c r="BI146" s="0" t="n">
        <f aca="false">INT(POWER(((Constants!$G$2+$BB146+$BC146+$BD146+$BF146)*$BE146)*$BH146, 1.05))+$BA146</f>
        <v>53</v>
      </c>
      <c r="BJ146" s="0" t="n">
        <f aca="false">INT(POWER((((Constants!$G$1+$BB146+$BC146+$BD146+$BF146)*($BE146))*$BG146),IF($G146="wagon",1,1.2)))+$AZ146</f>
        <v>86</v>
      </c>
      <c r="BK146" s="17" t="n">
        <f aca="false">BI146*IF($G146="wagon",62.5,781.25)</f>
        <v>41406.25</v>
      </c>
      <c r="BL146" s="17" t="n">
        <f aca="false">BJ146*IF($G146="wagon",2.73,81.25)</f>
        <v>6987.5</v>
      </c>
      <c r="BV146" s="0" t="n">
        <v>4</v>
      </c>
      <c r="CA146" s="0" t="str">
        <f aca="false">VLOOKUP(J146,Eras!$A$2:$C$10, 2, TRUE())</f>
        <v>edw</v>
      </c>
      <c r="CB146" s="0" t="s">
        <v>478</v>
      </c>
      <c r="CC146" s="0" t="str">
        <f aca="false">CONCATENATE(CA146,"_",CB146)</f>
        <v>edw_Freight</v>
      </c>
      <c r="CD146" s="0" t="str">
        <f aca="false">_xlfn.CONCAT(H146, "_",I146)</f>
        <v>steam_RAIL</v>
      </c>
      <c r="CE146" s="6" t="str">
        <f aca="false" t="array" ref="CE146:CE146">_xlfn.CONCAT("{BLACK}Length: {GOLD}", TEXT(ROUNDUP(IF(AQ146&lt;&gt;"",SUM(VALUE(_xlfn.TEXTSPLIT(AQ146, ","))), SUM(VALUE(_xlfn.TEXTSPLIT(AN146, ",")))*IF(M146, M146, 1))/16, 1), "#,##0.0"), " tiles{}")</f>
        <v>{BLACK}Length: {GOLD}0.8 tiles{}</v>
      </c>
      <c r="CF146" s="0" t="str">
        <f aca="false">VLOOKUP($CD146, Constants!$M:$N, 2, FALSE())</f>
        <v>{BLACK}Powered by: {GOLD}Steam</v>
      </c>
      <c r="CG146" s="0" t="str">
        <f aca="false">IF(M146&gt;1,_xlfn.CONCAT("{BLACK}Cars: {GOLD}", M146),"")</f>
        <v/>
      </c>
      <c r="CH146" s="0" t="s">
        <v>548</v>
      </c>
      <c r="CI146" s="0" t="str">
        <f aca="false">IF($BU146="!param_no_gameplay_units","{GREEN}Included for gameplay purposes","")</f>
        <v/>
      </c>
      <c r="CJ146" s="0" t="str">
        <f aca="false">IF(BX146="buffet","{YELLOW}25% long distance bonus for consist{}",IF(BZ146="BRAKE","{YELLOW}Speed bonus for slow wagons{}",IF(BW146&gt;190,CONCATENATE("{YELLOW}",INT((BW146-185)/1.85),"% bonus for long distance travel{}"),IF(AND(BW146&lt;180,BW146&lt;&gt;0),CONCATENATE("{YELLOW}",INT((185-BW146)/1.85),"% penalty for long distance travel{}"),""))))</f>
        <v/>
      </c>
      <c r="CK146" s="0" t="str">
        <f aca="false">_xlfn.CONCAT(CF146,IF(CF146&lt;&gt;""," ",""),CG146,IF(OR(CG146&lt;&gt;"",CF146&lt;&gt;""),"{}",""),CE146,CJ146,"{SILVER}",CH146,IF(CI146&lt;&gt;"","{}{}",""),CI146)</f>
        <v>{BLACK}Powered by: {GOLD}Steam {}{BLACK}Length: {GOLD}0.8 tiles{}{SILVER}The Robinson 8K is a heavy freight engine based on earlier 0-8-0 designs, with a front pony truck to improve the ride and axle loads at the front of the locomotive.</v>
      </c>
    </row>
    <row r="147" customFormat="false" ht="14.25" hidden="false" customHeight="false" outlineLevel="0" collapsed="false">
      <c r="A147" s="0" t="s">
        <v>549</v>
      </c>
      <c r="B147" s="15" t="s">
        <v>550</v>
      </c>
      <c r="C147" s="0" t="n">
        <v>132</v>
      </c>
      <c r="E147" s="0" t="n">
        <v>35</v>
      </c>
      <c r="F147" s="0" t="s">
        <v>143</v>
      </c>
      <c r="G147" s="0" t="s">
        <v>445</v>
      </c>
      <c r="H147" s="0" t="s">
        <v>446</v>
      </c>
      <c r="I147" s="0" t="s">
        <v>92</v>
      </c>
      <c r="J147" s="0" t="n">
        <v>1919</v>
      </c>
      <c r="L147" s="0" t="n">
        <v>1956</v>
      </c>
      <c r="N147" s="0" t="n">
        <v>1400</v>
      </c>
      <c r="P147" s="2" t="n">
        <v>16.75</v>
      </c>
      <c r="Q147" s="2" t="n">
        <v>28</v>
      </c>
      <c r="R147" s="2" t="n">
        <v>4</v>
      </c>
      <c r="S147" s="2" t="n">
        <v>180</v>
      </c>
      <c r="T147" s="18" t="n">
        <f aca="false">((($AB147/2)/60)*5280)/($U147*3.2*PI())</f>
        <v>125.050312429346</v>
      </c>
      <c r="U147" s="2" t="n">
        <v>1.4</v>
      </c>
      <c r="V147" s="2" t="n">
        <f aca="false">((($P147*$P147/4)*PI())*($Q147/12)*$R147*$S147*$T147)/(33000*1.1)</f>
        <v>1275.28409090909</v>
      </c>
      <c r="W147" s="0" t="n">
        <v>74.8</v>
      </c>
      <c r="X147" s="1" t="n">
        <f aca="false">106.7-74.8</f>
        <v>31.9</v>
      </c>
      <c r="Z147" s="0" t="n">
        <v>193</v>
      </c>
      <c r="AA147" s="3" t="n">
        <f aca="false">IF(AND(W147&gt;0,Z147&gt;0),(Z147/((W147+X147)*10)),"")</f>
        <v>0.180880974695408</v>
      </c>
      <c r="AB147" s="0" t="n">
        <v>40</v>
      </c>
      <c r="AC147" s="0" t="n">
        <f aca="false">ROUND(AB147*1.6, 0)</f>
        <v>64</v>
      </c>
      <c r="AG147" s="0" t="n">
        <v>13</v>
      </c>
      <c r="AJ147" s="4" t="n">
        <v>0</v>
      </c>
      <c r="AK147" s="0" t="str">
        <f aca="false">CONCATENATE(VLOOKUP(AL147, 'Voxel Sizes'!$A$2:$B$18,2,FALSE()),"x",INT(AH147*15), "x", INT(AI147*15))</f>
        <v>136x0x0</v>
      </c>
      <c r="AL147" s="0" t="n">
        <f aca="false">ROUND(15*((AG147*10)/256),0)</f>
        <v>8</v>
      </c>
      <c r="AM147" s="0" t="s">
        <v>116</v>
      </c>
      <c r="AN147" s="0" t="str">
        <f aca="false">CONCATENATE(VLOOKUP(AL147,Constants!$A$2:$C$16,IF(AM147&lt;&gt;"", 3, 2), FALSE()),IF(AM147&lt;&gt;"",CONCATENATE(",",VLOOKUP(AM147,$B:$AN,39,FALSE())),""))</f>
        <v>2,4,2,2,1,2</v>
      </c>
      <c r="AV147" s="0" t="n">
        <v>1</v>
      </c>
      <c r="AX147" s="0" t="n">
        <v>31</v>
      </c>
      <c r="AY147" s="16" t="n">
        <f aca="false">IF(L147&lt;&gt;"",MAX(16,(L147-J147)+8),"")</f>
        <v>45</v>
      </c>
      <c r="BA147" s="0" t="n">
        <v>4</v>
      </c>
      <c r="BB147" s="0" t="n">
        <f aca="false">MIN(AB147/150, 1)*30</f>
        <v>8</v>
      </c>
      <c r="BC147" s="0" t="n">
        <f aca="false">MIN(N147/4000, 1)*20</f>
        <v>7</v>
      </c>
      <c r="BD147" s="0" t="n">
        <f aca="false">MIN(Z147/400,1)*20</f>
        <v>9.65</v>
      </c>
      <c r="BE147" s="3" t="n">
        <f aca="false">1-(MAX(J147-1900, 0)/750)</f>
        <v>0.974666666666667</v>
      </c>
      <c r="BF147" s="0" t="n">
        <f aca="false">((MAX($M147,1)*MIN($AJ147/300,1)))*IF(G147="Wagon",50,10)</f>
        <v>0</v>
      </c>
      <c r="BG147" s="0" t="n">
        <f aca="false">VLOOKUP($H147,Constants!$I:$K, 2, FALSE())</f>
        <v>1.15</v>
      </c>
      <c r="BH147" s="0" t="n">
        <f aca="false">VLOOKUP($H147,Constants!$I:$K, 3, FALSE())*IF(AND(G147="multiple_unit",AB147&lt;110),0.75,1)</f>
        <v>1.7</v>
      </c>
      <c r="BI147" s="0" t="n">
        <f aca="false">INT(POWER(((Constants!$G$2+$BB147+$BC147+$BD147+$BF147)*$BE147)*$BH147, 1.05))+$BA147</f>
        <v>63</v>
      </c>
      <c r="BJ147" s="0" t="n">
        <f aca="false">INT(POWER((((Constants!$G$1+$BB147+$BC147+$BD147+$BF147)*($BE147))*$BG147),IF($G147="wagon",1,1.2)))+$AZ147</f>
        <v>94</v>
      </c>
      <c r="BK147" s="17" t="n">
        <f aca="false">BI147*IF($G147="wagon",62.5,781.25)</f>
        <v>49218.75</v>
      </c>
      <c r="BL147" s="17" t="n">
        <f aca="false">BJ147*IF($G147="wagon",2.73,81.25)</f>
        <v>7637.5</v>
      </c>
      <c r="BV147" s="0" t="n">
        <v>3</v>
      </c>
      <c r="CA147" s="0" t="str">
        <f aca="false">VLOOKUP(J147,Eras!$A$2:$C$10, 2, TRUE())</f>
        <v>edw</v>
      </c>
      <c r="CB147" s="0" t="s">
        <v>478</v>
      </c>
      <c r="CC147" s="0" t="str">
        <f aca="false">CONCATENATE(CA147,"_",CB147)</f>
        <v>edw_Freight</v>
      </c>
      <c r="CD147" s="0" t="str">
        <f aca="false">_xlfn.CONCAT(H147, "_",I147)</f>
        <v>steam_RAIL</v>
      </c>
      <c r="CE147" s="6" t="str">
        <f aca="false" t="array" ref="CE147:CE147">_xlfn.CONCAT("{BLACK}Length: {GOLD}", TEXT(ROUNDUP(IF(AQ147&lt;&gt;"",SUM(VALUE(_xlfn.TEXTSPLIT(AQ147, ","))), SUM(VALUE(_xlfn.TEXTSPLIT(AN147, ",")))*IF(M147, M147, 1))/16, 1), "#,##0.0"), " tiles{}")</f>
        <v>{BLACK}Length: {GOLD}0.9 tiles{}</v>
      </c>
      <c r="CF147" s="0" t="str">
        <f aca="false">VLOOKUP($CD147, Constants!$M:$N, 2, FALSE())</f>
        <v>{BLACK}Powered by: {GOLD}Steam</v>
      </c>
      <c r="CG147" s="0" t="str">
        <f aca="false">IF(M147&gt;1,_xlfn.CONCAT("{BLACK}Cars: {GOLD}", M147),"")</f>
        <v/>
      </c>
      <c r="CH147" s="0" t="s">
        <v>551</v>
      </c>
      <c r="CI147" s="0" t="str">
        <f aca="false">IF($BU147="!param_no_gameplay_units","{GREEN}Included for gameplay purposes","")</f>
        <v/>
      </c>
      <c r="CJ147" s="0" t="str">
        <f aca="false">IF(BX147="buffet","{YELLOW}25% long distance bonus for consist{}",IF(BZ147="BRAKE","{YELLOW}Speed bonus for slow wagons{}",IF(BW147&gt;190,CONCATENATE("{YELLOW}",INT((BW147-185)/1.85),"% bonus for long distance travel{}"),IF(AND(BW147&lt;180,BW147&lt;&gt;0),CONCATENATE("{YELLOW}",INT((185-BW147)/1.85),"% penalty for long distance travel{}"),""))))</f>
        <v/>
      </c>
      <c r="CK147" s="0" t="str">
        <f aca="false">_xlfn.CONCAT(CF147,IF(CF147&lt;&gt;""," ",""),CG147,IF(OR(CG147&lt;&gt;"",CF147&lt;&gt;""),"{}",""),CE147,CJ147,"{SILVER}",CH147,IF(CI147&lt;&gt;"","{}{}",""),CI147)</f>
        <v>{BLACK}Powered by: {GOLD}Steam {}{BLACK}Length: {GOLD}0.9 tiles{}{SILVER}The "Lickey Banker" was a single 0-10-0 engine built to help add power and tractive effort to trains climbing the 1 in 37 Lickey Incline.</v>
      </c>
    </row>
    <row r="148" customFormat="false" ht="14.25" hidden="false" customHeight="false" outlineLevel="0" collapsed="false">
      <c r="A148" s="0" t="s">
        <v>552</v>
      </c>
      <c r="B148" s="15" t="s">
        <v>553</v>
      </c>
      <c r="C148" s="0" t="n">
        <v>133</v>
      </c>
      <c r="E148" s="0" t="n">
        <v>36</v>
      </c>
      <c r="F148" s="0" t="s">
        <v>143</v>
      </c>
      <c r="G148" s="0" t="s">
        <v>445</v>
      </c>
      <c r="H148" s="0" t="s">
        <v>446</v>
      </c>
      <c r="I148" s="0" t="s">
        <v>92</v>
      </c>
      <c r="J148" s="0" t="n">
        <v>1912</v>
      </c>
      <c r="L148" s="0" t="n">
        <v>1962</v>
      </c>
      <c r="N148" s="0" t="n">
        <v>1050</v>
      </c>
      <c r="P148" s="2" t="n">
        <v>20</v>
      </c>
      <c r="Q148" s="2" t="n">
        <v>26</v>
      </c>
      <c r="R148" s="2" t="n">
        <v>2</v>
      </c>
      <c r="S148" s="2" t="n">
        <v>180</v>
      </c>
      <c r="T148" s="18" t="n">
        <f aca="false">((($AB148/2)/60)*5280)/($U148*3.2*PI())</f>
        <v>141.601089074407</v>
      </c>
      <c r="U148" s="2" t="n">
        <v>1.7</v>
      </c>
      <c r="V148" s="2" t="n">
        <f aca="false">((($P148*$P148/4)*PI())*($Q148/12)*$R148*$S148*$T148)/(33000*1.1)</f>
        <v>955.882352941177</v>
      </c>
      <c r="W148" s="0" t="n">
        <v>61</v>
      </c>
      <c r="Z148" s="0" t="n">
        <v>104</v>
      </c>
      <c r="AA148" s="3" t="n">
        <f aca="false">IF(AND(W148&gt;0,Z148&gt;0),(Z148/((W148+X148)*10)),"")</f>
        <v>0.170491803278689</v>
      </c>
      <c r="AB148" s="0" t="n">
        <v>55</v>
      </c>
      <c r="AC148" s="0" t="n">
        <f aca="false">ROUND(AB148*1.6, 0)</f>
        <v>88</v>
      </c>
      <c r="AF148" s="0" t="n">
        <v>14.4</v>
      </c>
      <c r="AG148" s="0" t="n">
        <v>10</v>
      </c>
      <c r="AJ148" s="4" t="n">
        <v>0</v>
      </c>
      <c r="AK148" s="0" t="str">
        <f aca="false">CONCATENATE(VLOOKUP(AL148, 'Voxel Sizes'!$A$2:$B$18,2,FALSE()),"x",INT(AH148*15), "x", INT(AI148*15))</f>
        <v>102x0x0</v>
      </c>
      <c r="AL148" s="0" t="n">
        <f aca="false">ROUND(15*((AG148*10)/256),0)</f>
        <v>6</v>
      </c>
      <c r="AM148" s="0" t="s">
        <v>118</v>
      </c>
      <c r="AN148" s="0" t="str">
        <f aca="false">CONCATENATE(VLOOKUP(AL148,Constants!$A$2:$C$16,IF(AM148&lt;&gt;"", 3, 2), FALSE()),IF(AM148&lt;&gt;"",CONCATENATE(",",VLOOKUP(AM148,$B:$AN,39,FALSE())),""))</f>
        <v>2,2,2,2,1,2</v>
      </c>
      <c r="AV148" s="0" t="n">
        <v>1</v>
      </c>
      <c r="AX148" s="0" t="n">
        <v>30</v>
      </c>
      <c r="AY148" s="16" t="n">
        <f aca="false">IF(L148&lt;&gt;"",MAX(16,(L148-J148)+8),"")</f>
        <v>58</v>
      </c>
      <c r="AZ148" s="0" t="n">
        <v>5</v>
      </c>
      <c r="BB148" s="0" t="n">
        <f aca="false">MIN(AB148/150, 1)*30</f>
        <v>11</v>
      </c>
      <c r="BC148" s="0" t="n">
        <f aca="false">MIN(N148/4000, 1)*20</f>
        <v>5.25</v>
      </c>
      <c r="BD148" s="0" t="n">
        <f aca="false">MIN(Z148/400,1)*20</f>
        <v>5.2</v>
      </c>
      <c r="BE148" s="3" t="n">
        <f aca="false">1-(MAX(J148-1900, 0)/750)</f>
        <v>0.984</v>
      </c>
      <c r="BF148" s="0" t="n">
        <f aca="false">((MAX($M148,1)*MIN($AJ148/300,1)))*IF(G148="Wagon",50,10)</f>
        <v>0</v>
      </c>
      <c r="BG148" s="0" t="n">
        <f aca="false">VLOOKUP($H148,Constants!$I:$K, 2, FALSE())</f>
        <v>1.15</v>
      </c>
      <c r="BH148" s="0" t="n">
        <f aca="false">VLOOKUP($H148,Constants!$I:$K, 3, FALSE())*IF(AND(G148="multiple_unit",AB148&lt;110),0.75,1)</f>
        <v>1.7</v>
      </c>
      <c r="BI148" s="0" t="n">
        <f aca="false">INT(POWER(((Constants!$G$2+$BB148+$BC148+$BD148+$BF148)*$BE148)*$BH148, 1.05))+$BA148</f>
        <v>53</v>
      </c>
      <c r="BJ148" s="0" t="n">
        <f aca="false">INT(POWER((((Constants!$G$1+$BB148+$BC148+$BD148+$BF148)*($BE148))*$BG148),IF($G148="wagon",1,1.2)))+$AZ148</f>
        <v>91</v>
      </c>
      <c r="BK148" s="17" t="n">
        <f aca="false">BI148*IF($G148="wagon",62.5,781.25)</f>
        <v>41406.25</v>
      </c>
      <c r="BL148" s="17" t="n">
        <f aca="false">BJ148*IF($G148="wagon",2.73,81.25)</f>
        <v>7393.75</v>
      </c>
      <c r="BV148" s="0" t="n">
        <v>5</v>
      </c>
      <c r="CA148" s="0" t="str">
        <f aca="false">VLOOKUP(J148,Eras!$A$2:$C$10, 2, TRUE())</f>
        <v>edw</v>
      </c>
      <c r="CB148" s="0" t="s">
        <v>478</v>
      </c>
      <c r="CC148" s="0" t="str">
        <f aca="false">CONCATENATE(CA148,"_",CB148)</f>
        <v>edw_Freight</v>
      </c>
      <c r="CD148" s="0" t="str">
        <f aca="false">_xlfn.CONCAT(H148, "_",I148)</f>
        <v>steam_RAIL</v>
      </c>
      <c r="CE148" s="6" t="str">
        <f aca="false" t="array" ref="CE148:CE148">_xlfn.CONCAT("{BLACK}Length: {GOLD}", TEXT(ROUNDUP(IF(AQ148&lt;&gt;"",SUM(VALUE(_xlfn.TEXTSPLIT(AQ148, ","))), SUM(VALUE(_xlfn.TEXTSPLIT(AN148, ",")))*IF(M148, M148, 1))/16, 1), "#,##0.0"), " tiles{}")</f>
        <v>{BLACK}Length: {GOLD}0.7 tiles{}</v>
      </c>
      <c r="CF148" s="0" t="str">
        <f aca="false">VLOOKUP($CD148, Constants!$M:$N, 2, FALSE())</f>
        <v>{BLACK}Powered by: {GOLD}Steam</v>
      </c>
      <c r="CG148" s="0" t="str">
        <f aca="false">IF(M148&gt;1,_xlfn.CONCAT("{BLACK}Cars: {GOLD}", M148),"")</f>
        <v/>
      </c>
      <c r="CH148" s="0" t="s">
        <v>554</v>
      </c>
      <c r="CI148" s="0" t="str">
        <f aca="false">IF($BU148="!param_no_gameplay_units","{GREEN}Included for gameplay purposes","")</f>
        <v/>
      </c>
      <c r="CJ148" s="0" t="str">
        <f aca="false">IF(BX148="buffet","{YELLOW}25% long distance bonus for consist{}",IF(BZ148="BRAKE","{YELLOW}Speed bonus for slow wagons{}",IF(BW148&gt;190,CONCATENATE("{YELLOW}",INT((BW148-185)/1.85),"% bonus for long distance travel{}"),IF(AND(BW148&lt;180,BW148&lt;&gt;0),CONCATENATE("{YELLOW}",INT((185-BW148)/1.85),"% penalty for long distance travel{}"),""))))</f>
        <v/>
      </c>
      <c r="CK148" s="0" t="str">
        <f aca="false">_xlfn.CONCAT(CF148,IF(CF148&lt;&gt;""," ",""),CG148,IF(OR(CG148&lt;&gt;"",CF148&lt;&gt;""),"{}",""),CE148,CJ148,"{SILVER}",CH148,IF(CI148&lt;&gt;"","{}{}",""),CI148)</f>
        <v>{BLACK}Powered by: {GOLD}Steam {}{BLACK}Length: {GOLD}0.7 tiles{}{SILVER}The Gresley K2 is a freight engine, designed for the GNR which had been using passenger engines to haul goods trains.</v>
      </c>
    </row>
    <row r="149" customFormat="false" ht="14.25" hidden="false" customHeight="false" outlineLevel="0" collapsed="false">
      <c r="A149" s="0" t="s">
        <v>555</v>
      </c>
      <c r="B149" s="15" t="s">
        <v>556</v>
      </c>
      <c r="C149" s="0" t="n">
        <v>134</v>
      </c>
      <c r="E149" s="0" t="n">
        <v>37</v>
      </c>
      <c r="F149" s="0" t="s">
        <v>143</v>
      </c>
      <c r="G149" s="0" t="s">
        <v>445</v>
      </c>
      <c r="H149" s="0" t="s">
        <v>446</v>
      </c>
      <c r="I149" s="0" t="s">
        <v>92</v>
      </c>
      <c r="J149" s="0" t="n">
        <v>1920</v>
      </c>
      <c r="L149" s="0" t="n">
        <v>1960</v>
      </c>
      <c r="N149" s="0" t="n">
        <v>1250</v>
      </c>
      <c r="P149" s="2" t="n">
        <v>20</v>
      </c>
      <c r="Q149" s="2" t="n">
        <v>28</v>
      </c>
      <c r="R149" s="2" t="n">
        <v>2</v>
      </c>
      <c r="S149" s="2" t="n">
        <v>180</v>
      </c>
      <c r="T149" s="18" t="n">
        <f aca="false">((($AB149/2)/60)*5280)/($U149*3.2*PI())</f>
        <v>175.070437401085</v>
      </c>
      <c r="U149" s="2" t="n">
        <v>1.5</v>
      </c>
      <c r="V149" s="2" t="n">
        <f aca="false">((($P149*$P149/4)*PI())*($Q149/12)*$R149*$S149*$T149)/(33000*1.1)</f>
        <v>1272.72727272727</v>
      </c>
      <c r="W149" s="0" t="n">
        <v>55.6</v>
      </c>
      <c r="X149" s="1" t="n">
        <v>32</v>
      </c>
      <c r="Z149" s="0" t="n">
        <v>129</v>
      </c>
      <c r="AA149" s="3" t="n">
        <f aca="false">IF(AND(W149&gt;0,Z149&gt;0),(Z149/((W149+X149)*10)),"")</f>
        <v>0.147260273972603</v>
      </c>
      <c r="AB149" s="0" t="n">
        <v>60</v>
      </c>
      <c r="AC149" s="0" t="n">
        <f aca="false">ROUND(AB149*1.6, 0)</f>
        <v>96</v>
      </c>
      <c r="AF149" s="0" t="n">
        <v>16.61</v>
      </c>
      <c r="AG149" s="0" t="n">
        <v>10</v>
      </c>
      <c r="AJ149" s="4" t="n">
        <v>0</v>
      </c>
      <c r="AK149" s="0" t="str">
        <f aca="false">CONCATENATE(VLOOKUP(AL149, 'Voxel Sizes'!$A$2:$B$18,2,FALSE()),"x",INT(AH149*15), "x", INT(AI149*15))</f>
        <v>102x0x0</v>
      </c>
      <c r="AL149" s="0" t="n">
        <f aca="false">ROUND(15*((AG149*10)/256),0)</f>
        <v>6</v>
      </c>
      <c r="AM149" s="0" t="s">
        <v>118</v>
      </c>
      <c r="AN149" s="0" t="str">
        <f aca="false">CONCATENATE(VLOOKUP(AL149,Constants!$A$2:$C$16,IF(AM149&lt;&gt;"", 3, 2), FALSE()),IF(AM149&lt;&gt;"",CONCATENATE(",",VLOOKUP(AM149,$B:$AN,39,FALSE())),""))</f>
        <v>2,2,2,2,1,2</v>
      </c>
      <c r="AV149" s="0" t="n">
        <v>1</v>
      </c>
      <c r="AX149" s="0" t="n">
        <v>30</v>
      </c>
      <c r="AY149" s="16" t="n">
        <f aca="false">IF(L149&lt;&gt;"",MAX(16,(L149-J149)+8),"")</f>
        <v>48</v>
      </c>
      <c r="BB149" s="0" t="n">
        <f aca="false">MIN(AB149/150, 1)*30</f>
        <v>12</v>
      </c>
      <c r="BC149" s="0" t="n">
        <f aca="false">MIN(N149/4000, 1)*20</f>
        <v>6.25</v>
      </c>
      <c r="BD149" s="0" t="n">
        <f aca="false">MIN(Z149/400,1)*20</f>
        <v>6.45</v>
      </c>
      <c r="BE149" s="3" t="n">
        <f aca="false">1-(MAX(J149-1900, 0)/750)</f>
        <v>0.973333333333333</v>
      </c>
      <c r="BF149" s="0" t="n">
        <f aca="false">((MAX($M149,1)*MIN($AJ149/300,1)))*IF(G149="Wagon",50,10)</f>
        <v>0</v>
      </c>
      <c r="BG149" s="0" t="n">
        <f aca="false">VLOOKUP($H149,Constants!$I:$K, 2, FALSE())</f>
        <v>1.15</v>
      </c>
      <c r="BH149" s="0" t="n">
        <f aca="false">VLOOKUP($H149,Constants!$I:$K, 3, FALSE())*IF(AND(G149="multiple_unit",AB149&lt;110),0.75,1)</f>
        <v>1.7</v>
      </c>
      <c r="BI149" s="0" t="n">
        <f aca="false">INT(POWER(((Constants!$G$2+$BB149+$BC149+$BD149+$BF149)*$BE149)*$BH149, 1.05))+$BA149</f>
        <v>59</v>
      </c>
      <c r="BJ149" s="0" t="n">
        <f aca="false">INT(POWER((((Constants!$G$1+$BB149+$BC149+$BD149+$BF149)*($BE149))*$BG149),IF($G149="wagon",1,1.2)))+$AZ149</f>
        <v>94</v>
      </c>
      <c r="BK149" s="17" t="n">
        <f aca="false">BI149*IF($G149="wagon",62.5,781.25)</f>
        <v>46093.75</v>
      </c>
      <c r="BL149" s="17" t="n">
        <f aca="false">BJ149*IF($G149="wagon",2.73,81.25)</f>
        <v>7637.5</v>
      </c>
      <c r="BV149" s="0" t="n">
        <v>4</v>
      </c>
      <c r="CA149" s="0" t="str">
        <f aca="false">VLOOKUP(J149,Eras!$A$2:$C$10, 2, TRUE())</f>
        <v>edw</v>
      </c>
      <c r="CB149" s="0" t="s">
        <v>478</v>
      </c>
      <c r="CC149" s="0" t="str">
        <f aca="false">CONCATENATE(CA149,"_",CB149)</f>
        <v>edw_Freight</v>
      </c>
      <c r="CD149" s="0" t="str">
        <f aca="false">_xlfn.CONCAT(H149, "_",I149)</f>
        <v>steam_RAIL</v>
      </c>
      <c r="CE149" s="6" t="str">
        <f aca="false" t="array" ref="CE149:CE149">_xlfn.CONCAT("{BLACK}Length: {GOLD}", TEXT(ROUNDUP(IF(AQ149&lt;&gt;"",SUM(VALUE(_xlfn.TEXTSPLIT(AQ149, ","))), SUM(VALUE(_xlfn.TEXTSPLIT(AN149, ",")))*IF(M149, M149, 1))/16, 1), "#,##0.0"), " tiles{}")</f>
        <v>{BLACK}Length: {GOLD}0.7 tiles{}</v>
      </c>
      <c r="CF149" s="0" t="str">
        <f aca="false">VLOOKUP($CD149, Constants!$M:$N, 2, FALSE())</f>
        <v>{BLACK}Powered by: {GOLD}Steam</v>
      </c>
      <c r="CG149" s="0" t="str">
        <f aca="false">IF(M149&gt;1,_xlfn.CONCAT("{BLACK}Cars: {GOLD}", M149),"")</f>
        <v/>
      </c>
      <c r="CH149" s="0" t="s">
        <v>557</v>
      </c>
      <c r="CI149" s="0" t="str">
        <f aca="false">IF($BU149="!param_no_gameplay_units","{GREEN}Included for gameplay purposes","")</f>
        <v/>
      </c>
      <c r="CJ149" s="0" t="str">
        <f aca="false">IF(BX149="buffet","{YELLOW}25% long distance bonus for consist{}",IF(BZ149="BRAKE","{YELLOW}Speed bonus for slow wagons{}",IF(BW149&gt;190,CONCATENATE("{YELLOW}",INT((BW149-185)/1.85),"% bonus for long distance travel{}"),IF(AND(BW149&lt;180,BW149&lt;&gt;0),CONCATENATE("{YELLOW}",INT((185-BW149)/1.85),"% penalty for long distance travel{}"),""))))</f>
        <v/>
      </c>
      <c r="CK149" s="0" t="str">
        <f aca="false">_xlfn.CONCAT(CF149,IF(CF149&lt;&gt;""," ",""),CG149,IF(OR(CG149&lt;&gt;"",CF149&lt;&gt;""),"{}",""),CE149,CJ149,"{SILVER}",CH149,IF(CI149&lt;&gt;"","{}{}",""),CI149)</f>
        <v>{BLACK}Powered by: {GOLD}Steam {}{BLACK}Length: {GOLD}0.7 tiles{}{SILVER}The D81 (later LNER J20 Class) continued the GER's habit of building powerful 0-6-0s, and remained the most powerful British 0-6-0 tender locomotive for over twenty years.</v>
      </c>
    </row>
    <row r="150" customFormat="false" ht="14.25" hidden="false" customHeight="false" outlineLevel="0" collapsed="false">
      <c r="A150" s="0" t="s">
        <v>558</v>
      </c>
      <c r="B150" s="15" t="s">
        <v>559</v>
      </c>
      <c r="C150" s="0" t="n">
        <v>135</v>
      </c>
      <c r="E150" s="0" t="n">
        <v>38</v>
      </c>
      <c r="F150" s="0" t="s">
        <v>143</v>
      </c>
      <c r="G150" s="0" t="s">
        <v>445</v>
      </c>
      <c r="H150" s="0" t="s">
        <v>529</v>
      </c>
      <c r="I150" s="0" t="s">
        <v>530</v>
      </c>
      <c r="J150" s="0" t="n">
        <v>1914</v>
      </c>
      <c r="K150" s="0" t="n">
        <v>1919</v>
      </c>
      <c r="L150" s="0" t="n">
        <v>1950</v>
      </c>
      <c r="N150" s="0" t="n">
        <v>1100</v>
      </c>
      <c r="W150" s="0" t="n">
        <v>76</v>
      </c>
      <c r="Z150" s="0" t="n">
        <v>140</v>
      </c>
      <c r="AA150" s="3" t="n">
        <f aca="false">IF(AND(W150&gt;0,Z150&gt;0),(Z150/((W150+X150)*10)),"")</f>
        <v>0.184210526315789</v>
      </c>
      <c r="AB150" s="0" t="n">
        <v>35</v>
      </c>
      <c r="AC150" s="0" t="n">
        <f aca="false">ROUND(AB150*1.6, 0)</f>
        <v>56</v>
      </c>
      <c r="AF150" s="0" t="n">
        <v>12</v>
      </c>
      <c r="AG150" s="0" t="n">
        <v>12</v>
      </c>
      <c r="AJ150" s="4" t="n">
        <v>0</v>
      </c>
      <c r="AK150" s="0" t="str">
        <f aca="false">CONCATENATE(VLOOKUP(AL150, 'Voxel Sizes'!$A$2:$B$18,2,FALSE()),"x",INT(AH150*15), "x", INT(AI150*15))</f>
        <v>120x0x0</v>
      </c>
      <c r="AL150" s="0" t="n">
        <f aca="false">ROUND(15*((AG150*10)/256),0)</f>
        <v>7</v>
      </c>
      <c r="AN150" s="0" t="str">
        <f aca="false">CONCATENATE(VLOOKUP(AL150,Constants!$A$2:$C$16,IF(AM150&lt;&gt;"", 3, 2), FALSE()),IF(AM150&lt;&gt;"",CONCATENATE(",",VLOOKUP(AM150,$B:$AN,39,FALSE())),""))</f>
        <v>2,3,2</v>
      </c>
      <c r="AX150" s="0" t="n">
        <v>16</v>
      </c>
      <c r="AY150" s="16" t="n">
        <f aca="false">IF(L150&lt;&gt;"",MAX(16,(L150-J150)+8),"")</f>
        <v>44</v>
      </c>
      <c r="BA150" s="0" t="n">
        <v>8</v>
      </c>
      <c r="BB150" s="0" t="n">
        <f aca="false">MIN(AB150/150, 1)*30</f>
        <v>7</v>
      </c>
      <c r="BC150" s="0" t="n">
        <f aca="false">MIN(N150/4000, 1)*20</f>
        <v>5.5</v>
      </c>
      <c r="BD150" s="0" t="n">
        <f aca="false">MIN(Z150/400,1)*20</f>
        <v>7</v>
      </c>
      <c r="BE150" s="3" t="n">
        <f aca="false">1-(MAX(J150-1900, 0)/750)</f>
        <v>0.981333333333333</v>
      </c>
      <c r="BF150" s="0" t="n">
        <f aca="false">((MAX($M150,1)*MIN($AJ150/300,1)))*IF(G150="Wagon",50,10)</f>
        <v>0</v>
      </c>
      <c r="BG150" s="0" t="n">
        <f aca="false">VLOOKUP($H150,Constants!$I:$K, 2, FALSE())</f>
        <v>0.85</v>
      </c>
      <c r="BH150" s="0" t="n">
        <f aca="false">VLOOKUP($H150,Constants!$I:$K, 3, FALSE())*IF(AND(G150="multiple_unit",AB150&lt;110),0.75,1)</f>
        <v>2.3</v>
      </c>
      <c r="BI150" s="0" t="n">
        <f aca="false">INT(POWER(((Constants!$G$2+$BB150+$BC150+$BD150+$BF150)*$BE150)*$BH150, 1.05))+$BA150</f>
        <v>75</v>
      </c>
      <c r="BJ150" s="0" t="n">
        <f aca="false">INT(POWER((((Constants!$G$1+$BB150+$BC150+$BD150+$BF150)*($BE150))*$BG150),IF($G150="wagon",1,1.2)))+$AZ150</f>
        <v>56</v>
      </c>
      <c r="BK150" s="17" t="n">
        <f aca="false">BI150*IF($G150="wagon",62.5,781.25)</f>
        <v>58593.75</v>
      </c>
      <c r="BL150" s="17" t="n">
        <f aca="false">BJ150*IF($G150="wagon",2.73,81.25)</f>
        <v>4550</v>
      </c>
      <c r="BV150" s="0" t="n">
        <v>6</v>
      </c>
      <c r="CA150" s="0" t="str">
        <f aca="false">VLOOKUP(J150,Eras!$A$2:$C$10, 2, TRUE())</f>
        <v>edw</v>
      </c>
      <c r="CB150" s="0" t="s">
        <v>531</v>
      </c>
      <c r="CC150" s="0" t="str">
        <f aca="false">CONCATENATE(CA150,"_",CB150)</f>
        <v>edw_Freight (Electric)</v>
      </c>
      <c r="CD150" s="0" t="str">
        <f aca="false">_xlfn.CONCAT(H150, "_",I150)</f>
        <v>electric_ELRL</v>
      </c>
      <c r="CE150" s="6" t="str">
        <f aca="false" t="array" ref="CE150:CE150">_xlfn.CONCAT("{BLACK}Length: {GOLD}", TEXT(ROUNDUP(IF(AQ150&lt;&gt;"",SUM(VALUE(_xlfn.TEXTSPLIT(AQ150, ","))), SUM(VALUE(_xlfn.TEXTSPLIT(AN150, ",")))*IF(M150, M150, 1))/16, 1), "#,##0.0"), " tiles{}")</f>
        <v>{BLACK}Length: {GOLD}0.5 tiles{}</v>
      </c>
      <c r="CF150" s="0" t="str">
        <f aca="false">VLOOKUP($CD150, Constants!$M:$N, 2, FALSE())</f>
        <v>{BLACK}Powered by: {GOLD}25kV AC</v>
      </c>
      <c r="CG150" s="0" t="str">
        <f aca="false">IF(M150&gt;1,_xlfn.CONCAT("{BLACK}Cars: {GOLD}", M150),"")</f>
        <v/>
      </c>
      <c r="CH150" s="0" t="s">
        <v>560</v>
      </c>
      <c r="CI150" s="0" t="str">
        <f aca="false">IF($BU150="!param_no_gameplay_units","{GREEN}Included for gameplay purposes","")</f>
        <v/>
      </c>
      <c r="CJ150" s="0" t="str">
        <f aca="false">IF(BX150="buffet","{YELLOW}25% long distance bonus for consist{}",IF(BZ150="BRAKE","{YELLOW}Speed bonus for slow wagons{}",IF(BW150&gt;190,CONCATENATE("{YELLOW}",INT((BW150-185)/1.85),"% bonus for long distance travel{}"),IF(AND(BW150&lt;180,BW150&lt;&gt;0),CONCATENATE("{YELLOW}",INT((185-BW150)/1.85),"% penalty for long distance travel{}"),""))))</f>
        <v/>
      </c>
      <c r="CK150" s="0" t="str">
        <f aca="false">_xlfn.CONCAT(CF150,IF(CF150&lt;&gt;""," ",""),CG150,IF(OR(CG150&lt;&gt;"",CF150&lt;&gt;""),"{}",""),CE150,CJ150,"{SILVER}",CH150,IF(CI150&lt;&gt;"","{}{}",""),CI150)</f>
        <v>{BLACK}Powered by: {GOLD}25kV AC {}{BLACK}Length: {GOLD}0.5 tiles{}{SILVER}The LNER EF1 is an early electric freight engine designed for hauling heavy coal trains.</v>
      </c>
    </row>
    <row r="151" customFormat="false" ht="14.25" hidden="false" customHeight="false" outlineLevel="0" collapsed="false">
      <c r="A151" s="0" t="s">
        <v>561</v>
      </c>
      <c r="B151" s="15" t="s">
        <v>562</v>
      </c>
      <c r="C151" s="0" t="n">
        <v>136</v>
      </c>
      <c r="E151" s="0" t="n">
        <v>39</v>
      </c>
      <c r="F151" s="0" t="s">
        <v>143</v>
      </c>
      <c r="G151" s="0" t="s">
        <v>445</v>
      </c>
      <c r="H151" s="0" t="s">
        <v>446</v>
      </c>
      <c r="I151" s="0" t="s">
        <v>92</v>
      </c>
      <c r="J151" s="0" t="n">
        <v>1923</v>
      </c>
      <c r="L151" s="0" t="n">
        <v>1966</v>
      </c>
      <c r="N151" s="0" t="n">
        <v>950</v>
      </c>
      <c r="P151" s="2" t="n">
        <v>20</v>
      </c>
      <c r="Q151" s="2" t="n">
        <v>26</v>
      </c>
      <c r="R151" s="2" t="n">
        <v>2</v>
      </c>
      <c r="S151" s="2" t="n">
        <v>175</v>
      </c>
      <c r="T151" s="18" t="n">
        <f aca="false">((($AB151/2)/60)*5280)/($U151*3.2*PI())</f>
        <v>150.451157141557</v>
      </c>
      <c r="U151" s="2" t="n">
        <v>1.6</v>
      </c>
      <c r="V151" s="2" t="n">
        <f aca="false">((($P151*$P151/4)*PI())*($Q151/12)*$R151*$S151*$T151)/(33000*1.1)</f>
        <v>987.413194444445</v>
      </c>
      <c r="W151" s="0" t="n">
        <f aca="false">49.5+41.8</f>
        <v>91.3</v>
      </c>
      <c r="Z151" s="0" t="n">
        <v>109</v>
      </c>
      <c r="AA151" s="3" t="n">
        <f aca="false">IF(AND(W151&gt;0,Z151&gt;0),(Z151/((W151+X151)*10)),"")</f>
        <v>0.119386637458927</v>
      </c>
      <c r="AB151" s="0" t="n">
        <v>55</v>
      </c>
      <c r="AC151" s="0" t="n">
        <f aca="false">ROUND(AB151*1.6, 0)</f>
        <v>88</v>
      </c>
      <c r="AF151" s="0" t="n">
        <v>15.8</v>
      </c>
      <c r="AG151" s="0" t="n">
        <v>10</v>
      </c>
      <c r="AJ151" s="4" t="n">
        <v>0</v>
      </c>
      <c r="AK151" s="0" t="str">
        <f aca="false">CONCATENATE(VLOOKUP(AL151, 'Voxel Sizes'!$A$2:$B$18,2,FALSE()),"x",INT(AH151*15), "x", INT(AI151*15))</f>
        <v>102x0x0</v>
      </c>
      <c r="AL151" s="0" t="n">
        <f aca="false">ROUND(15*((AG151*10)/256),0)</f>
        <v>6</v>
      </c>
      <c r="AM151" s="0" t="s">
        <v>112</v>
      </c>
      <c r="AN151" s="0" t="str">
        <f aca="false">CONCATENATE(VLOOKUP(AL151,Constants!$A$2:$C$16,IF(AM151&lt;&gt;"", 3, 2), FALSE()),IF(AM151&lt;&gt;"",CONCATENATE(",",VLOOKUP(AM151,$B:$AN,39,FALSE())),""))</f>
        <v>2,2,2,2,1,2</v>
      </c>
      <c r="AV151" s="0" t="n">
        <v>1</v>
      </c>
      <c r="AX151" s="0" t="n">
        <v>36</v>
      </c>
      <c r="AY151" s="16" t="n">
        <f aca="false">IF(L151&lt;&gt;"",MAX(16,(L151-J151)+8),"")</f>
        <v>51</v>
      </c>
      <c r="BB151" s="0" t="n">
        <f aca="false">MIN(AB151/150, 1)*30</f>
        <v>11</v>
      </c>
      <c r="BC151" s="0" t="n">
        <f aca="false">MIN(N151/4000, 1)*20</f>
        <v>4.75</v>
      </c>
      <c r="BD151" s="0" t="n">
        <f aca="false">MIN(Z151/400,1)*20</f>
        <v>5.45</v>
      </c>
      <c r="BE151" s="3" t="n">
        <f aca="false">1-(MAX(J151-1900, 0)/750)</f>
        <v>0.969333333333333</v>
      </c>
      <c r="BF151" s="0" t="n">
        <f aca="false">((MAX($M151,1)*MIN($AJ151/300,1)))*IF(G151="Wagon",50,10)</f>
        <v>0</v>
      </c>
      <c r="BG151" s="0" t="n">
        <f aca="false">VLOOKUP($H151,Constants!$I:$K, 2, FALSE())</f>
        <v>1.15</v>
      </c>
      <c r="BH151" s="0" t="n">
        <f aca="false">VLOOKUP($H151,Constants!$I:$K, 3, FALSE())*IF(AND(G151="multiple_unit",AB151&lt;110),0.75,1)</f>
        <v>1.7</v>
      </c>
      <c r="BI151" s="0" t="n">
        <f aca="false">INT(POWER(((Constants!$G$2+$BB151+$BC151+$BD151+$BF151)*$BE151)*$BH151, 1.05))+$BA151</f>
        <v>52</v>
      </c>
      <c r="BJ151" s="0" t="n">
        <f aca="false">INT(POWER((((Constants!$G$1+$BB151+$BC151+$BD151+$BF151)*($BE151))*$BG151),IF($G151="wagon",1,1.2)))+$AZ151</f>
        <v>84</v>
      </c>
      <c r="BK151" s="17" t="n">
        <f aca="false">BI151*IF($G151="wagon",62.5,781.25)</f>
        <v>40625</v>
      </c>
      <c r="BL151" s="17" t="n">
        <f aca="false">BJ151*IF($G151="wagon",2.73,81.25)</f>
        <v>6825</v>
      </c>
      <c r="BV151" s="0" t="n">
        <v>9</v>
      </c>
      <c r="CA151" s="0" t="str">
        <f aca="false">VLOOKUP(J151,Eras!$A$2:$C$10, 2, TRUE())</f>
        <v>big4</v>
      </c>
      <c r="CB151" s="0" t="s">
        <v>439</v>
      </c>
      <c r="CC151" s="0" t="str">
        <f aca="false">CONCATENATE(CA151,"_",CB151)</f>
        <v>big4_Mixed Traffic</v>
      </c>
      <c r="CD151" s="0" t="str">
        <f aca="false">_xlfn.CONCAT(H151, "_",I151)</f>
        <v>steam_RAIL</v>
      </c>
      <c r="CE151" s="6" t="str">
        <f aca="false" t="array" ref="CE151:CE151">_xlfn.CONCAT("{BLACK}Length: {GOLD}", TEXT(ROUNDUP(IF(AQ151&lt;&gt;"",SUM(VALUE(_xlfn.TEXTSPLIT(AQ151, ","))), SUM(VALUE(_xlfn.TEXTSPLIT(AN151, ",")))*IF(M151, M151, 1))/16, 1), "#,##0.0"), " tiles{}")</f>
        <v>{BLACK}Length: {GOLD}0.7 tiles{}</v>
      </c>
      <c r="CF151" s="0" t="str">
        <f aca="false">VLOOKUP($CD151, Constants!$M:$N, 2, FALSE())</f>
        <v>{BLACK}Powered by: {GOLD}Steam</v>
      </c>
      <c r="CG151" s="0" t="str">
        <f aca="false">IF(M151&gt;1,_xlfn.CONCAT("{BLACK}Cars: {GOLD}", M151),"")</f>
        <v/>
      </c>
      <c r="CH151" s="0" t="s">
        <v>563</v>
      </c>
      <c r="CI151" s="0" t="str">
        <f aca="false">IF($BU151="!param_no_gameplay_units","{GREEN}Included for gameplay purposes","")</f>
        <v/>
      </c>
      <c r="CJ151" s="0" t="str">
        <f aca="false">IF(BX151="buffet","{YELLOW}25% long distance bonus for consist{}",IF(BZ151="BRAKE","{YELLOW}Speed bonus for slow wagons{}",IF(BW151&gt;190,CONCATENATE("{YELLOW}",INT((BW151-185)/1.85),"% bonus for long distance travel{}"),IF(AND(BW151&lt;180,BW151&lt;&gt;0),CONCATENATE("{YELLOW}",INT((185-BW151)/1.85),"% penalty for long distance travel{}"),""))))</f>
        <v/>
      </c>
      <c r="CK151" s="0" t="str">
        <f aca="false">_xlfn.CONCAT(CF151,IF(CF151&lt;&gt;""," ",""),CG151,IF(OR(CG151&lt;&gt;"",CF151&lt;&gt;""),"{}",""),CE151,CJ151,"{SILVER}",CH151,IF(CI151&lt;&gt;"","{}{}",""),CI151)</f>
        <v>{BLACK}Powered by: {GOLD}Steam {}{BLACK}Length: {GOLD}0.7 tiles{}{SILVER}The Fowler 4F is a development of the earlier Midland 3835 class.</v>
      </c>
    </row>
    <row r="152" customFormat="false" ht="14.25" hidden="false" customHeight="false" outlineLevel="0" collapsed="false">
      <c r="A152" s="0" t="s">
        <v>564</v>
      </c>
      <c r="B152" s="15" t="s">
        <v>565</v>
      </c>
      <c r="C152" s="0" t="n">
        <v>137</v>
      </c>
      <c r="E152" s="0" t="n">
        <v>40</v>
      </c>
      <c r="F152" s="0" t="s">
        <v>143</v>
      </c>
      <c r="G152" s="0" t="s">
        <v>445</v>
      </c>
      <c r="H152" s="0" t="s">
        <v>446</v>
      </c>
      <c r="I152" s="0" t="s">
        <v>92</v>
      </c>
      <c r="J152" s="0" t="n">
        <v>1921</v>
      </c>
      <c r="L152" s="0" t="n">
        <v>1962</v>
      </c>
      <c r="N152" s="0" t="n">
        <v>450</v>
      </c>
      <c r="P152" s="2" t="n">
        <v>15</v>
      </c>
      <c r="Q152" s="2" t="n">
        <v>22</v>
      </c>
      <c r="R152" s="2" t="n">
        <v>2</v>
      </c>
      <c r="S152" s="2" t="n">
        <v>160</v>
      </c>
      <c r="T152" s="18" t="n">
        <f aca="false">((($AB152/2)/60)*5280)/($U152*3.2*PI())</f>
        <v>159.154943091895</v>
      </c>
      <c r="U152" s="2" t="n">
        <v>1.1</v>
      </c>
      <c r="V152" s="2" t="n">
        <f aca="false">((($P152*$P152/4)*PI())*($Q152/12)*$R152*$S152*$T152)/(33000*1.1)</f>
        <v>454.545454545454</v>
      </c>
      <c r="W152" s="0" t="n">
        <v>33.3</v>
      </c>
      <c r="Z152" s="0" t="n">
        <v>65</v>
      </c>
      <c r="AA152" s="3" t="n">
        <f aca="false">IF(AND(W152&gt;0,Z152&gt;0),(Z152/((W152+X152)*10)),"")</f>
        <v>0.195195195195195</v>
      </c>
      <c r="AB152" s="0" t="n">
        <v>40</v>
      </c>
      <c r="AC152" s="0" t="n">
        <f aca="false">ROUND(AB152*1.6, 0)</f>
        <v>64</v>
      </c>
      <c r="AG152" s="0" t="n">
        <v>8</v>
      </c>
      <c r="AJ152" s="4" t="n">
        <v>0</v>
      </c>
      <c r="AK152" s="0" t="str">
        <f aca="false">CONCATENATE(VLOOKUP(AL152, 'Voxel Sizes'!$A$2:$B$18,2,FALSE()),"x",INT(AH152*15), "x", INT(AI152*15))</f>
        <v>82x0x0</v>
      </c>
      <c r="AL152" s="0" t="n">
        <f aca="false">ROUND(15*((AG152*10)/256),0)</f>
        <v>5</v>
      </c>
      <c r="AN152" s="0" t="str">
        <f aca="false">CONCATENATE(VLOOKUP(AL152,Constants!$A$2:$C$16,IF(AM152&lt;&gt;"", 3, 2), FALSE()),IF(AM152&lt;&gt;"",CONCATENATE(",",VLOOKUP(AM152,$B:$AN,39,FALSE())),""))</f>
        <v>2,1,2</v>
      </c>
      <c r="AV152" s="0" t="n">
        <v>1</v>
      </c>
      <c r="AX152" s="0" t="n">
        <v>33</v>
      </c>
      <c r="AY152" s="16" t="n">
        <f aca="false">IF(L152&lt;&gt;"",MAX(16,(L152-J152)+8),"")</f>
        <v>49</v>
      </c>
      <c r="AZ152" s="0" t="n">
        <v>-15</v>
      </c>
      <c r="BA152" s="0" t="n">
        <v>-9</v>
      </c>
      <c r="BB152" s="0" t="n">
        <f aca="false">MIN(AB152/150, 1)*30</f>
        <v>8</v>
      </c>
      <c r="BC152" s="0" t="n">
        <f aca="false">MIN(N152/4000, 1)*20</f>
        <v>2.25</v>
      </c>
      <c r="BD152" s="0" t="n">
        <f aca="false">MIN(Z152/400,1)*20</f>
        <v>3.25</v>
      </c>
      <c r="BE152" s="3" t="n">
        <f aca="false">1-(MAX(J152-1900, 0)/750)</f>
        <v>0.972</v>
      </c>
      <c r="BF152" s="0" t="n">
        <f aca="false">((MAX($M152,1)*MIN($AJ152/300,1)))*IF(G152="Wagon",50,10)</f>
        <v>0</v>
      </c>
      <c r="BG152" s="0" t="n">
        <f aca="false">VLOOKUP($H152,Constants!$I:$K, 2, FALSE())</f>
        <v>1.15</v>
      </c>
      <c r="BH152" s="0" t="n">
        <f aca="false">VLOOKUP($H152,Constants!$I:$K, 3, FALSE())*IF(AND(G152="multiple_unit",AB152&lt;110),0.75,1)</f>
        <v>1.7</v>
      </c>
      <c r="BI152" s="0" t="n">
        <f aca="false">INT(POWER(((Constants!$G$2+$BB152+$BC152+$BD152+$BF152)*$BE152)*$BH152, 1.05))+$BA152</f>
        <v>27</v>
      </c>
      <c r="BJ152" s="0" t="n">
        <f aca="false">INT(POWER((((Constants!$G$1+$BB152+$BC152+$BD152+$BF152)*($BE152))*$BG152),IF($G152="wagon",1,1.2)))+$AZ152</f>
        <v>48</v>
      </c>
      <c r="BK152" s="17" t="n">
        <f aca="false">BI152*IF($G152="wagon",62.5,781.25)</f>
        <v>21093.75</v>
      </c>
      <c r="BL152" s="17" t="n">
        <f aca="false">BJ152*IF($G152="wagon",2.73,81.25)</f>
        <v>3900</v>
      </c>
      <c r="BV152" s="0" t="n">
        <v>6</v>
      </c>
      <c r="CA152" s="0" t="str">
        <f aca="false">VLOOKUP(J152,Eras!$A$2:$C$10, 2, TRUE())</f>
        <v>edw</v>
      </c>
      <c r="CB152" s="0" t="s">
        <v>513</v>
      </c>
      <c r="CC152" s="0" t="str">
        <f aca="false">CONCATENATE(CA152,"_",CB152)</f>
        <v>edw_Cheap</v>
      </c>
      <c r="CD152" s="0" t="str">
        <f aca="false">_xlfn.CONCAT(H152, "_",I152)</f>
        <v>steam_RAIL</v>
      </c>
      <c r="CE152" s="6" t="str">
        <f aca="false" t="array" ref="CE152:CE152">_xlfn.CONCAT("{BLACK}Length: {GOLD}", TEXT(ROUNDUP(IF(AQ152&lt;&gt;"",SUM(VALUE(_xlfn.TEXTSPLIT(AQ152, ","))), SUM(VALUE(_xlfn.TEXTSPLIT(AN152, ",")))*IF(M152, M152, 1))/16, 1), "#,##0.0"), " tiles{}")</f>
        <v>{BLACK}Length: {GOLD}0.4 tiles{}</v>
      </c>
      <c r="CF152" s="0" t="str">
        <f aca="false">VLOOKUP($CD152, Constants!$M:$N, 2, FALSE())</f>
        <v>{BLACK}Powered by: {GOLD}Steam</v>
      </c>
      <c r="CG152" s="0" t="str">
        <f aca="false">IF(M152&gt;1,_xlfn.CONCAT("{BLACK}Cars: {GOLD}", M152),"")</f>
        <v/>
      </c>
      <c r="CH152" s="0" t="s">
        <v>566</v>
      </c>
      <c r="CI152" s="0" t="str">
        <f aca="false">IF($BU152="!param_no_gameplay_units","{GREEN}Included for gameplay purposes","")</f>
        <v/>
      </c>
      <c r="CJ152" s="0" t="str">
        <f aca="false">IF(BX152="buffet","{YELLOW}25% long distance bonus for consist{}",IF(BZ152="BRAKE","{YELLOW}Speed bonus for slow wagons{}",IF(BW152&gt;190,CONCATENATE("{YELLOW}",INT((BW152-185)/1.85),"% bonus for long distance travel{}"),IF(AND(BW152&lt;180,BW152&lt;&gt;0),CONCATENATE("{YELLOW}",INT((185-BW152)/1.85),"% penalty for long distance travel{}"),""))))</f>
        <v/>
      </c>
      <c r="CK152" s="0" t="str">
        <f aca="false">_xlfn.CONCAT(CF152,IF(CF152&lt;&gt;""," ",""),CG152,IF(OR(CG152&lt;&gt;"",CF152&lt;&gt;""),"{}",""),CE152,CJ152,"{SILVER}",CH152,IF(CI152&lt;&gt;"","{}{}",""),CI152)</f>
        <v>{BLACK}Powered by: {GOLD}Steam {}{BLACK}Length: {GOLD}0.4 tiles{}{SILVER}The 1528 class is a small 0-4-0 tank engine. Designed for shunting, it was built in two batches, the first in 1907 and the second (as here) with minor detail changes in 1921</v>
      </c>
    </row>
    <row r="153" customFormat="false" ht="14.25" hidden="false" customHeight="false" outlineLevel="0" collapsed="false">
      <c r="A153" s="0" t="s">
        <v>567</v>
      </c>
      <c r="B153" s="15" t="s">
        <v>568</v>
      </c>
      <c r="C153" s="0" t="n">
        <v>138</v>
      </c>
      <c r="E153" s="0" t="n">
        <v>41</v>
      </c>
      <c r="F153" s="0" t="s">
        <v>143</v>
      </c>
      <c r="G153" s="0" t="s">
        <v>445</v>
      </c>
      <c r="H153" s="0" t="s">
        <v>446</v>
      </c>
      <c r="I153" s="0" t="s">
        <v>92</v>
      </c>
      <c r="J153" s="0" t="n">
        <v>1923</v>
      </c>
      <c r="K153" s="0" t="n">
        <v>1950</v>
      </c>
      <c r="L153" s="0" t="n">
        <v>1950</v>
      </c>
      <c r="N153" s="0" t="n">
        <v>1900</v>
      </c>
      <c r="P153" s="2" t="n">
        <v>16</v>
      </c>
      <c r="Q153" s="2" t="n">
        <v>26</v>
      </c>
      <c r="R153" s="2" t="n">
        <v>4</v>
      </c>
      <c r="S153" s="2" t="n">
        <v>225</v>
      </c>
      <c r="T153" s="18" t="n">
        <f aca="false">((($AB153/2)/60)*5280)/($U153*3.2*PI())</f>
        <v>223.214807686383</v>
      </c>
      <c r="U153" s="2" t="n">
        <v>2</v>
      </c>
      <c r="V153" s="2" t="n">
        <f aca="false">((($P153*$P153/4)*PI())*($Q153/12)*$R153*$S153*$T153)/(33000*1.1)</f>
        <v>2410.90909090909</v>
      </c>
      <c r="W153" s="0" t="n">
        <v>81.1</v>
      </c>
      <c r="X153" s="1" t="n">
        <v>48</v>
      </c>
      <c r="Z153" s="0" t="n">
        <v>141</v>
      </c>
      <c r="AA153" s="3" t="n">
        <f aca="false">IF(AND(W153&gt;0,Z153&gt;0),(Z153/((W153+X153)*10)),"")</f>
        <v>0.109217660728118</v>
      </c>
      <c r="AB153" s="0" t="n">
        <v>102</v>
      </c>
      <c r="AC153" s="0" t="n">
        <f aca="false">ROUND(AB153*1.6, 0)</f>
        <v>163</v>
      </c>
      <c r="AE153" s="0" t="n">
        <v>1</v>
      </c>
      <c r="AF153" s="0" t="n">
        <v>19.86</v>
      </c>
      <c r="AG153" s="0" t="n">
        <f aca="false">AF153-7.64</f>
        <v>12.22</v>
      </c>
      <c r="AI153" s="0" t="n">
        <v>4.07</v>
      </c>
      <c r="AJ153" s="4" t="n">
        <v>0</v>
      </c>
      <c r="AK153" s="0" t="str">
        <f aca="false">CONCATENATE(VLOOKUP(AL153, 'Voxel Sizes'!$A$2:$B$18,2,FALSE()),"x",INT(AH153*15), "x", INT(AI153*15))</f>
        <v>120x0x61</v>
      </c>
      <c r="AL153" s="0" t="n">
        <f aca="false">ROUND(15*((AG153*10)/256),0)</f>
        <v>7</v>
      </c>
      <c r="AM153" s="0" t="s">
        <v>91</v>
      </c>
      <c r="AN153" s="0" t="str">
        <f aca="false">CONCATENATE(VLOOKUP(AL153,Constants!$A$2:$C$16,IF(AM153&lt;&gt;"", 3, 2), FALSE()),IF(AM153&lt;&gt;"",CONCATENATE(",",VLOOKUP(AM153,$B:$AN,39,FALSE())),""))</f>
        <v>2,3,2,2,1,2</v>
      </c>
      <c r="AV153" s="0" t="n">
        <v>1</v>
      </c>
      <c r="AX153" s="0" t="n">
        <v>30</v>
      </c>
      <c r="AY153" s="16" t="n">
        <f aca="false">IF(L153&lt;&gt;"",MAX(16,(L153-J153)+8),"")</f>
        <v>35</v>
      </c>
      <c r="BB153" s="0" t="n">
        <f aca="false">MIN(AB153/150, 1)*30</f>
        <v>20.4</v>
      </c>
      <c r="BC153" s="0" t="n">
        <f aca="false">MIN(N153/4000, 1)*20</f>
        <v>9.5</v>
      </c>
      <c r="BD153" s="0" t="n">
        <f aca="false">MIN(Z153/400,1)*20</f>
        <v>7.05</v>
      </c>
      <c r="BE153" s="3" t="n">
        <f aca="false">1-(MAX(J153-1900, 0)/750)</f>
        <v>0.969333333333333</v>
      </c>
      <c r="BF153" s="0" t="n">
        <f aca="false">((MAX($M153,1)*MIN($AJ153/300,1)))*IF(G153="Wagon",50,10)</f>
        <v>0</v>
      </c>
      <c r="BG153" s="0" t="n">
        <f aca="false">VLOOKUP($H153,Constants!$I:$K, 2, FALSE())</f>
        <v>1.15</v>
      </c>
      <c r="BH153" s="0" t="n">
        <f aca="false">VLOOKUP($H153,Constants!$I:$K, 3, FALSE())*IF(AND(G153="multiple_unit",AB153&lt;110),0.75,1)</f>
        <v>1.7</v>
      </c>
      <c r="BI153" s="0" t="n">
        <f aca="false">INT(POWER(((Constants!$G$2+$BB153+$BC153+$BD153+$BF153)*$BE153)*$BH153, 1.05))+$BA153</f>
        <v>85</v>
      </c>
      <c r="BJ153" s="0" t="n">
        <f aca="false">INT(POWER((((Constants!$G$1+$BB153+$BC153+$BD153+$BF153)*($BE153))*$BG153),IF($G153="wagon",1,1.2)))+$AZ153</f>
        <v>130</v>
      </c>
      <c r="BK153" s="17" t="n">
        <f aca="false">BI153*IF($G153="wagon",62.5,781.25)</f>
        <v>66406.25</v>
      </c>
      <c r="BL153" s="17" t="n">
        <f aca="false">BJ153*IF($G153="wagon",2.73,81.25)</f>
        <v>10562.5</v>
      </c>
      <c r="BV153" s="0" t="n">
        <v>10</v>
      </c>
      <c r="CA153" s="0" t="str">
        <f aca="false">VLOOKUP(J153,Eras!$A$2:$C$10, 2, TRUE())</f>
        <v>big4</v>
      </c>
      <c r="CB153" s="0" t="s">
        <v>474</v>
      </c>
      <c r="CC153" s="0" t="str">
        <f aca="false">CONCATENATE(CA153,"_",CB153)</f>
        <v>big4_Express</v>
      </c>
      <c r="CD153" s="0" t="str">
        <f aca="false">_xlfn.CONCAT(H153, "_",I153)</f>
        <v>steam_RAIL</v>
      </c>
      <c r="CE153" s="6" t="str">
        <f aca="false" t="array" ref="CE153:CE153">_xlfn.CONCAT("{BLACK}Length: {GOLD}", TEXT(ROUNDUP(IF(AQ153&lt;&gt;"",SUM(VALUE(_xlfn.TEXTSPLIT(AQ153, ","))), SUM(VALUE(_xlfn.TEXTSPLIT(AN153, ",")))*IF(M153, M153, 1))/16, 1), "#,##0.0"), " tiles{}")</f>
        <v>{BLACK}Length: {GOLD}0.8 tiles{}</v>
      </c>
      <c r="CF153" s="0" t="str">
        <f aca="false">VLOOKUP($CD153, Constants!$M:$N, 2, FALSE())</f>
        <v>{BLACK}Powered by: {GOLD}Steam</v>
      </c>
      <c r="CG153" s="0" t="str">
        <f aca="false">IF(M153&gt;1,_xlfn.CONCAT("{BLACK}Cars: {GOLD}", M153),"")</f>
        <v/>
      </c>
      <c r="CH153" s="0" t="s">
        <v>569</v>
      </c>
      <c r="CI153" s="0" t="str">
        <f aca="false">IF($BU153="!param_no_gameplay_units","{GREEN}Included for gameplay purposes","")</f>
        <v/>
      </c>
      <c r="CJ153" s="0" t="str">
        <f aca="false">IF(BX153="buffet","{YELLOW}25% long distance bonus for consist{}",IF(BZ153="BRAKE","{YELLOW}Speed bonus for slow wagons{}",IF(BW153&gt;190,CONCATENATE("{YELLOW}",INT((BW153-185)/1.85),"% bonus for long distance travel{}"),IF(AND(BW153&lt;180,BW153&lt;&gt;0),CONCATENATE("{YELLOW}",INT((185-BW153)/1.85),"% penalty for long distance travel{}"),""))))</f>
        <v/>
      </c>
      <c r="CK153" s="0" t="str">
        <f aca="false">_xlfn.CONCAT(CF153,IF(CF153&lt;&gt;""," ",""),CG153,IF(OR(CG153&lt;&gt;"",CF153&lt;&gt;""),"{}",""),CE153,CJ153,"{SILVER}",CH153,IF(CI153&lt;&gt;"","{}{}",""),CI153)</f>
        <v>{BLACK}Powered by: {GOLD}Steam {}{BLACK}Length: {GOLD}0.8 tiles{}{SILVER}The Castle Class is a large, powerful express locomotive designed by GWR Chief Mechanical Engineer Charles Collett</v>
      </c>
    </row>
    <row r="154" customFormat="false" ht="14.25" hidden="false" customHeight="false" outlineLevel="0" collapsed="false">
      <c r="A154" s="0" t="s">
        <v>570</v>
      </c>
      <c r="B154" s="15" t="s">
        <v>571</v>
      </c>
      <c r="C154" s="0" t="n">
        <v>139</v>
      </c>
      <c r="E154" s="0" t="n">
        <v>42</v>
      </c>
      <c r="F154" s="0" t="s">
        <v>143</v>
      </c>
      <c r="G154" s="0" t="s">
        <v>445</v>
      </c>
      <c r="H154" s="0" t="s">
        <v>446</v>
      </c>
      <c r="I154" s="0" t="s">
        <v>92</v>
      </c>
      <c r="J154" s="0" t="n">
        <v>1921</v>
      </c>
      <c r="K154" s="0" t="n">
        <v>1922</v>
      </c>
      <c r="L154" s="0" t="n">
        <v>1964</v>
      </c>
      <c r="N154" s="0" t="n">
        <v>1000</v>
      </c>
      <c r="P154" s="2" t="n">
        <v>20.5</v>
      </c>
      <c r="Q154" s="2" t="n">
        <v>24</v>
      </c>
      <c r="R154" s="2" t="n">
        <v>2</v>
      </c>
      <c r="S154" s="2" t="n">
        <v>175</v>
      </c>
      <c r="T154" s="18" t="n">
        <f aca="false">((($AB154/2)/60)*5280)/($U154*3.2*PI())</f>
        <v>157.437443706012</v>
      </c>
      <c r="U154" s="2" t="n">
        <v>1.39</v>
      </c>
      <c r="V154" s="2" t="n">
        <f aca="false">((($P154*$P154/4)*PI())*($Q154/12)*$R154*$S154*$T154)/(33000*1.1)</f>
        <v>1002.06766405058</v>
      </c>
      <c r="W154" s="0" t="n">
        <v>63</v>
      </c>
      <c r="X154" s="1" t="n">
        <f aca="false">104.4-63</f>
        <v>41.4</v>
      </c>
      <c r="Z154" s="0" t="n">
        <v>125</v>
      </c>
      <c r="AA154" s="3" t="n">
        <f aca="false">IF(AND(W154&gt;0,Z154&gt;0),(Z154/((W154+X154)*10)),"")</f>
        <v>0.119731800766284</v>
      </c>
      <c r="AB154" s="0" t="n">
        <v>50</v>
      </c>
      <c r="AC154" s="0" t="n">
        <f aca="false">ROUND(AB154*1.6, 0)</f>
        <v>80</v>
      </c>
      <c r="AG154" s="0" t="n">
        <v>10</v>
      </c>
      <c r="AJ154" s="4" t="n">
        <v>0</v>
      </c>
      <c r="AK154" s="0" t="str">
        <f aca="false">CONCATENATE(VLOOKUP(AL154, 'Voxel Sizes'!$A$2:$B$18,2,FALSE()),"x",INT(AH154*15), "x", INT(AI154*15))</f>
        <v>102x0x0</v>
      </c>
      <c r="AL154" s="0" t="n">
        <f aca="false">ROUND(15*((AG154*10)/256),0)</f>
        <v>6</v>
      </c>
      <c r="AM154" s="0" t="s">
        <v>120</v>
      </c>
      <c r="AN154" s="0" t="str">
        <f aca="false">CONCATENATE(VLOOKUP(AL154,Constants!$A$2:$C$16,IF(AM154&lt;&gt;"", 3, 2), FALSE()),IF(AM154&lt;&gt;"",CONCATENATE(",",VLOOKUP(AM154,$B:$AN,39,FALSE())),""))</f>
        <v>2,2,2,2,1,2</v>
      </c>
      <c r="AV154" s="0" t="n">
        <v>1</v>
      </c>
      <c r="AX154" s="0" t="n">
        <v>30</v>
      </c>
      <c r="AY154" s="16" t="n">
        <f aca="false">IF(L154&lt;&gt;"",MAX(16,(L154-J154)+8),"")</f>
        <v>51</v>
      </c>
      <c r="BB154" s="0" t="n">
        <f aca="false">MIN(AB154/150, 1)*30</f>
        <v>10</v>
      </c>
      <c r="BC154" s="0" t="n">
        <f aca="false">MIN(N154/4000, 1)*20</f>
        <v>5</v>
      </c>
      <c r="BD154" s="0" t="n">
        <f aca="false">MIN(Z154/400,1)*20</f>
        <v>6.25</v>
      </c>
      <c r="BE154" s="3" t="n">
        <f aca="false">1-(MAX(J154-1900, 0)/750)</f>
        <v>0.972</v>
      </c>
      <c r="BF154" s="0" t="n">
        <f aca="false">((MAX($M154,1)*MIN($AJ154/300,1)))*IF(G154="Wagon",50,10)</f>
        <v>0</v>
      </c>
      <c r="BG154" s="0" t="n">
        <f aca="false">VLOOKUP($H154,Constants!$I:$K, 2, FALSE())</f>
        <v>1.15</v>
      </c>
      <c r="BH154" s="0" t="n">
        <f aca="false">VLOOKUP($H154,Constants!$I:$K, 3, FALSE())*IF(AND(G154="multiple_unit",AB154&lt;110),0.75,1)</f>
        <v>1.7</v>
      </c>
      <c r="BI154" s="0" t="n">
        <f aca="false">INT(POWER(((Constants!$G$2+$BB154+$BC154+$BD154+$BF154)*$BE154)*$BH154, 1.05))+$BA154</f>
        <v>52</v>
      </c>
      <c r="BJ154" s="0" t="n">
        <f aca="false">INT(POWER((((Constants!$G$1+$BB154+$BC154+$BD154+$BF154)*($BE154))*$BG154),IF($G154="wagon",1,1.2)))+$AZ154</f>
        <v>84</v>
      </c>
      <c r="BK154" s="17" t="n">
        <f aca="false">BI154*IF($G154="wagon",62.5,781.25)</f>
        <v>40625</v>
      </c>
      <c r="BL154" s="17" t="n">
        <f aca="false">BJ154*IF($G154="wagon",2.73,81.25)</f>
        <v>6825</v>
      </c>
      <c r="BV154" s="0" t="n">
        <v>7</v>
      </c>
      <c r="CA154" s="0" t="str">
        <f aca="false">VLOOKUP(J154,Eras!$A$2:$C$10, 2, TRUE())</f>
        <v>edw</v>
      </c>
      <c r="CB154" s="0" t="s">
        <v>478</v>
      </c>
      <c r="CC154" s="0" t="str">
        <f aca="false">CONCATENATE(CA154,"_",CB154)</f>
        <v>edw_Freight</v>
      </c>
      <c r="CD154" s="0" t="str">
        <f aca="false">_xlfn.CONCAT(H154, "_",I154)</f>
        <v>steam_RAIL</v>
      </c>
      <c r="CE154" s="6" t="str">
        <f aca="false" t="array" ref="CE154:CE154">_xlfn.CONCAT("{BLACK}Length: {GOLD}", TEXT(ROUNDUP(IF(AQ154&lt;&gt;"",SUM(VALUE(_xlfn.TEXTSPLIT(AQ154, ","))), SUM(VALUE(_xlfn.TEXTSPLIT(AN154, ",")))*IF(M154, M154, 1))/16, 1), "#,##0.0"), " tiles{}")</f>
        <v>{BLACK}Length: {GOLD}0.7 tiles{}</v>
      </c>
      <c r="CF154" s="0" t="str">
        <f aca="false">VLOOKUP($CD154, Constants!$M:$N, 2, FALSE())</f>
        <v>{BLACK}Powered by: {GOLD}Steam</v>
      </c>
      <c r="CG154" s="0" t="str">
        <f aca="false">IF(M154&gt;1,_xlfn.CONCAT("{BLACK}Cars: {GOLD}", M154),"")</f>
        <v/>
      </c>
      <c r="CH154" s="0" t="s">
        <v>572</v>
      </c>
      <c r="CI154" s="0" t="str">
        <f aca="false">IF($BU154="!param_no_gameplay_units","{GREEN}Included for gameplay purposes","")</f>
        <v/>
      </c>
      <c r="CJ154" s="0" t="str">
        <f aca="false">IF(BX154="buffet","{YELLOW}25% long distance bonus for consist{}",IF(BZ154="BRAKE","{YELLOW}Speed bonus for slow wagons{}",IF(BW154&gt;190,CONCATENATE("{YELLOW}",INT((BW154-185)/1.85),"% bonus for long distance travel{}"),IF(AND(BW154&lt;180,BW154&lt;&gt;0),CONCATENATE("{YELLOW}",INT((185-BW154)/1.85),"% penalty for long distance travel{}"),""))))</f>
        <v/>
      </c>
      <c r="CK154" s="0" t="str">
        <f aca="false">_xlfn.CONCAT(CF154,IF(CF154&lt;&gt;""," ",""),CG154,IF(OR(CG154&lt;&gt;"",CF154&lt;&gt;""),"{}",""),CE154,CJ154,"{SILVER}",CH154,IF(CI154&lt;&gt;"","{}{}",""),CI154)</f>
        <v>{BLACK}Powered by: {GOLD}Steam {}{BLACK}Length: {GOLD}0.7 tiles{}{SILVER}The LNWR G2 is an 0-8-0 freight locomotive, built from scratch as a new class and never rebuilt instead of the usual LNWR practice of rebuilding existing 8-coupled locomotives.</v>
      </c>
    </row>
    <row r="155" customFormat="false" ht="14.25" hidden="false" customHeight="false" outlineLevel="0" collapsed="false">
      <c r="A155" s="0" t="s">
        <v>573</v>
      </c>
      <c r="B155" s="15" t="s">
        <v>574</v>
      </c>
      <c r="C155" s="0" t="n">
        <v>140</v>
      </c>
      <c r="E155" s="0" t="n">
        <v>43</v>
      </c>
      <c r="F155" s="0" t="s">
        <v>143</v>
      </c>
      <c r="G155" s="0" t="s">
        <v>445</v>
      </c>
      <c r="H155" s="0" t="s">
        <v>446</v>
      </c>
      <c r="I155" s="0" t="s">
        <v>92</v>
      </c>
      <c r="J155" s="0" t="n">
        <v>1924</v>
      </c>
      <c r="L155" s="0" t="n">
        <v>1967</v>
      </c>
      <c r="N155" s="0" t="n">
        <v>650</v>
      </c>
      <c r="P155" s="2" t="n">
        <v>18</v>
      </c>
      <c r="Q155" s="2" t="n">
        <v>26</v>
      </c>
      <c r="R155" s="2" t="n">
        <v>2</v>
      </c>
      <c r="S155" s="2" t="n">
        <v>160</v>
      </c>
      <c r="T155" s="18" t="n">
        <f aca="false">((($AB155/2)/60)*5280)/($U155*3.2*PI())</f>
        <v>140.681601483015</v>
      </c>
      <c r="U155" s="2" t="n">
        <v>1.4</v>
      </c>
      <c r="V155" s="2" t="n">
        <f aca="false">((($P155*$P155/4)*PI())*($Q155/12)*$R155*$S155*$T155)/(33000*1.1)</f>
        <v>683.766233766234</v>
      </c>
      <c r="W155" s="0" t="n">
        <v>50.2</v>
      </c>
      <c r="Z155" s="0" t="n">
        <v>93</v>
      </c>
      <c r="AA155" s="3" t="n">
        <f aca="false">IF(AND(W155&gt;0,Z155&gt;0),(Z155/((W155+X155)*10)),"")</f>
        <v>0.185258964143426</v>
      </c>
      <c r="AB155" s="0" t="n">
        <v>45</v>
      </c>
      <c r="AC155" s="0" t="n">
        <f aca="false">ROUND(AB155*1.6, 0)</f>
        <v>72</v>
      </c>
      <c r="AF155" s="0" t="n">
        <v>9.57</v>
      </c>
      <c r="AG155" s="0" t="n">
        <v>9.57</v>
      </c>
      <c r="AJ155" s="4" t="n">
        <v>0</v>
      </c>
      <c r="AK155" s="0" t="str">
        <f aca="false">CONCATENATE(VLOOKUP(AL155, 'Voxel Sizes'!$A$2:$B$18,2,FALSE()),"x",INT(AH155*15), "x", INT(AI155*15))</f>
        <v>102x0x0</v>
      </c>
      <c r="AL155" s="0" t="n">
        <f aca="false">ROUND(15*((AG155*10)/256),0)</f>
        <v>6</v>
      </c>
      <c r="AN155" s="0" t="str">
        <f aca="false">CONCATENATE(VLOOKUP(AL155,Constants!$A$2:$C$16,IF(AM155&lt;&gt;"", 3, 2), FALSE()),IF(AM155&lt;&gt;"",CONCATENATE(",",VLOOKUP(AM155,$B:$AN,39,FALSE())),""))</f>
        <v>2,2,2</v>
      </c>
      <c r="AV155" s="0" t="n">
        <v>1</v>
      </c>
      <c r="AX155" s="0" t="n">
        <v>48</v>
      </c>
      <c r="AY155" s="16" t="n">
        <f aca="false">IF(L155&lt;&gt;"",MAX(16,(L155-J155)+8),"")</f>
        <v>51</v>
      </c>
      <c r="BB155" s="0" t="n">
        <f aca="false">MIN(AB155/150, 1)*30</f>
        <v>9</v>
      </c>
      <c r="BC155" s="0" t="n">
        <f aca="false">MIN(N155/4000, 1)*20</f>
        <v>3.25</v>
      </c>
      <c r="BD155" s="0" t="n">
        <f aca="false">MIN(Z155/400,1)*20</f>
        <v>4.65</v>
      </c>
      <c r="BE155" s="3" t="n">
        <f aca="false">1-(MAX(J155-1900, 0)/750)</f>
        <v>0.968</v>
      </c>
      <c r="BF155" s="0" t="n">
        <f aca="false">((MAX($M155,1)*MIN($AJ155/300,1)))*IF(G155="Wagon",50,10)</f>
        <v>0</v>
      </c>
      <c r="BG155" s="0" t="n">
        <f aca="false">VLOOKUP($H155,Constants!$I:$K, 2, FALSE())</f>
        <v>1.15</v>
      </c>
      <c r="BH155" s="0" t="n">
        <f aca="false">VLOOKUP($H155,Constants!$I:$K, 3, FALSE())*IF(AND(G155="multiple_unit",AB155&lt;110),0.75,1)</f>
        <v>1.7</v>
      </c>
      <c r="BI155" s="0" t="n">
        <f aca="false">INT(POWER(((Constants!$G$2+$BB155+$BC155+$BD155+$BF155)*$BE155)*$BH155, 1.05))+$BA155</f>
        <v>43</v>
      </c>
      <c r="BJ155" s="0" t="n">
        <f aca="false">INT(POWER((((Constants!$G$1+$BB155+$BC155+$BD155+$BF155)*($BE155))*$BG155),IF($G155="wagon",1,1.2)))+$AZ155</f>
        <v>72</v>
      </c>
      <c r="BK155" s="17" t="n">
        <f aca="false">BI155*IF($G155="wagon",62.5,781.25)</f>
        <v>33593.75</v>
      </c>
      <c r="BL155" s="17" t="n">
        <f aca="false">BJ155*IF($G155="wagon",2.73,81.25)</f>
        <v>5850</v>
      </c>
      <c r="BV155" s="0" t="n">
        <v>11</v>
      </c>
      <c r="CA155" s="0" t="str">
        <f aca="false">VLOOKUP(J155,Eras!$A$2:$C$10, 2, TRUE())</f>
        <v>big4</v>
      </c>
      <c r="CB155" s="0" t="s">
        <v>513</v>
      </c>
      <c r="CC155" s="0" t="str">
        <f aca="false">CONCATENATE(CA155,"_",CB155)</f>
        <v>big4_Cheap</v>
      </c>
      <c r="CD155" s="0" t="str">
        <f aca="false">_xlfn.CONCAT(H155, "_",I155)</f>
        <v>steam_RAIL</v>
      </c>
      <c r="CE155" s="6" t="str">
        <f aca="false" t="array" ref="CE155:CE155">_xlfn.CONCAT("{BLACK}Length: {GOLD}", TEXT(ROUNDUP(IF(AQ155&lt;&gt;"",SUM(VALUE(_xlfn.TEXTSPLIT(AQ155, ","))), SUM(VALUE(_xlfn.TEXTSPLIT(AN155, ",")))*IF(M155, M155, 1))/16, 1), "#,##0.0"), " tiles{}")</f>
        <v>{BLACK}Length: {GOLD}0.4 tiles{}</v>
      </c>
      <c r="CF155" s="0" t="str">
        <f aca="false">VLOOKUP($CD155, Constants!$M:$N, 2, FALSE())</f>
        <v>{BLACK}Powered by: {GOLD}Steam</v>
      </c>
      <c r="CG155" s="0" t="str">
        <f aca="false">IF(M155&gt;1,_xlfn.CONCAT("{BLACK}Cars: {GOLD}", M155),"")</f>
        <v/>
      </c>
      <c r="CH155" s="0" t="s">
        <v>575</v>
      </c>
      <c r="CI155" s="0" t="str">
        <f aca="false">IF($BU155="!param_no_gameplay_units","{GREEN}Included for gameplay purposes","")</f>
        <v/>
      </c>
      <c r="CJ155" s="0" t="str">
        <f aca="false">IF(BX155="buffet","{YELLOW}25% long distance bonus for consist{}",IF(BZ155="BRAKE","{YELLOW}Speed bonus for slow wagons{}",IF(BW155&gt;190,CONCATENATE("{YELLOW}",INT((BW155-185)/1.85),"% bonus for long distance travel{}"),IF(AND(BW155&lt;180,BW155&lt;&gt;0),CONCATENATE("{YELLOW}",INT((185-BW155)/1.85),"% penalty for long distance travel{}"),""))))</f>
        <v/>
      </c>
      <c r="CK155" s="0" t="str">
        <f aca="false">_xlfn.CONCAT(CF155,IF(CF155&lt;&gt;""," ",""),CG155,IF(OR(CG155&lt;&gt;"",CF155&lt;&gt;""),"{}",""),CE155,CJ155,"{SILVER}",CH155,IF(CI155&lt;&gt;"","{}{}",""),CI155)</f>
        <v>{BLACK}Powered by: {GOLD}Steam {}{BLACK}Length: {GOLD}0.4 tiles{}{SILVER}The Jinty is a popular tank engine that was built in large quantities. Although small and low powered it is reliable and cheap to run. Jinties were sometimes run in pairs (or more) for working on steep inclines.</v>
      </c>
    </row>
    <row r="156" customFormat="false" ht="14.25" hidden="false" customHeight="false" outlineLevel="0" collapsed="false">
      <c r="A156" s="0" t="s">
        <v>576</v>
      </c>
      <c r="B156" s="15" t="s">
        <v>577</v>
      </c>
      <c r="C156" s="0" t="n">
        <v>141</v>
      </c>
      <c r="E156" s="0" t="n">
        <v>44</v>
      </c>
      <c r="F156" s="0" t="s">
        <v>143</v>
      </c>
      <c r="G156" s="0" t="s">
        <v>445</v>
      </c>
      <c r="H156" s="0" t="s">
        <v>446</v>
      </c>
      <c r="I156" s="0" t="s">
        <v>92</v>
      </c>
      <c r="J156" s="0" t="n">
        <v>1921</v>
      </c>
      <c r="K156" s="0" t="n">
        <v>1922</v>
      </c>
      <c r="L156" s="0" t="n">
        <v>1959</v>
      </c>
      <c r="N156" s="0" t="n">
        <v>1350</v>
      </c>
      <c r="P156" s="2" t="n">
        <v>20.5</v>
      </c>
      <c r="Q156" s="2" t="n">
        <v>26</v>
      </c>
      <c r="R156" s="2" t="n">
        <v>2</v>
      </c>
      <c r="S156" s="2" t="n">
        <v>180</v>
      </c>
      <c r="T156" s="18" t="n">
        <f aca="false">((($AB156/2)/60)*5280)/($U156*3.2*PI())</f>
        <v>195.802462882792</v>
      </c>
      <c r="U156" s="2" t="n">
        <v>1.9</v>
      </c>
      <c r="V156" s="2" t="n">
        <f aca="false">((($P156*$P156/4)*PI())*($Q156/12)*$R156*$S156*$T156)/(33000*1.1)</f>
        <v>1388.68495813397</v>
      </c>
      <c r="W156" s="0" t="n">
        <v>62.2</v>
      </c>
      <c r="X156" s="1" t="n">
        <v>40</v>
      </c>
      <c r="Z156" s="0" t="n">
        <v>95</v>
      </c>
      <c r="AA156" s="3" t="n">
        <f aca="false">IF(AND(W156&gt;0,Z156&gt;0),(Z156/((W156+X156)*10)),"")</f>
        <v>0.0929549902152642</v>
      </c>
      <c r="AB156" s="0" t="n">
        <v>85</v>
      </c>
      <c r="AC156" s="0" t="n">
        <f aca="false">ROUND(AB156*1.6, 0)</f>
        <v>136</v>
      </c>
      <c r="AG156" s="0" t="n">
        <v>10</v>
      </c>
      <c r="AJ156" s="4" t="n">
        <v>0</v>
      </c>
      <c r="AK156" s="0" t="str">
        <f aca="false">CONCATENATE(VLOOKUP(AL156, 'Voxel Sizes'!$A$2:$B$18,2,FALSE()),"x",INT(AH156*15), "x", INT(AI156*15))</f>
        <v>102x0x0</v>
      </c>
      <c r="AL156" s="0" t="n">
        <f aca="false">ROUND(15*((AG156*10)/256),0)</f>
        <v>6</v>
      </c>
      <c r="AM156" s="0" t="s">
        <v>120</v>
      </c>
      <c r="AN156" s="0" t="str">
        <f aca="false">CONCATENATE(VLOOKUP(AL156,Constants!$A$2:$C$16,IF(AM156&lt;&gt;"", 3, 2), FALSE()),IF(AM156&lt;&gt;"",CONCATENATE(",",VLOOKUP(AM156,$B:$AN,39,FALSE())),""))</f>
        <v>2,2,2,2,1,2</v>
      </c>
      <c r="AX156" s="0" t="n">
        <v>31</v>
      </c>
      <c r="AY156" s="16" t="n">
        <f aca="false">IF(L156&lt;&gt;"",MAX(16,(L156-J156)+8),"")</f>
        <v>46</v>
      </c>
      <c r="BB156" s="0" t="n">
        <f aca="false">MIN(AB156/150, 1)*30</f>
        <v>17</v>
      </c>
      <c r="BC156" s="0" t="n">
        <f aca="false">MIN(N156/4000, 1)*20</f>
        <v>6.75</v>
      </c>
      <c r="BD156" s="0" t="n">
        <f aca="false">MIN(Z156/400,1)*20</f>
        <v>4.75</v>
      </c>
      <c r="BE156" s="3" t="n">
        <f aca="false">1-(MAX(J156-1900, 0)/750)</f>
        <v>0.972</v>
      </c>
      <c r="BF156" s="0" t="n">
        <f aca="false">((MAX($M156,1)*MIN($AJ156/300,1)))*IF(G156="Wagon",50,10)</f>
        <v>0</v>
      </c>
      <c r="BG156" s="0" t="n">
        <f aca="false">VLOOKUP($H156,Constants!$I:$K, 2, FALSE())</f>
        <v>1.15</v>
      </c>
      <c r="BH156" s="0" t="n">
        <f aca="false">VLOOKUP($H156,Constants!$I:$K, 3, FALSE())*IF(AND(G156="multiple_unit",AB156&lt;110),0.75,1)</f>
        <v>1.7</v>
      </c>
      <c r="BI156" s="0" t="n">
        <f aca="false">INT(POWER(((Constants!$G$2+$BB156+$BC156+$BD156+$BF156)*$BE156)*$BH156, 1.05))+$BA156</f>
        <v>67</v>
      </c>
      <c r="BJ156" s="0" t="n">
        <f aca="false">INT(POWER((((Constants!$G$1+$BB156+$BC156+$BD156+$BF156)*($BE156))*$BG156),IF($G156="wagon",1,1.2)))+$AZ156</f>
        <v>105</v>
      </c>
      <c r="BK156" s="17" t="n">
        <f aca="false">BI156*IF($G156="wagon",62.5,781.25)</f>
        <v>52343.75</v>
      </c>
      <c r="BL156" s="17" t="n">
        <f aca="false">BJ156*IF($G156="wagon",2.73,81.25)</f>
        <v>8531.25</v>
      </c>
      <c r="BV156" s="0" t="n">
        <v>8</v>
      </c>
      <c r="CA156" s="0" t="str">
        <f aca="false">VLOOKUP(J156,Eras!$A$2:$C$10, 2, TRUE())</f>
        <v>edw</v>
      </c>
      <c r="CB156" s="0" t="s">
        <v>474</v>
      </c>
      <c r="CC156" s="0" t="str">
        <f aca="false">CONCATENATE(CA156,"_",CB156)</f>
        <v>edw_Express</v>
      </c>
      <c r="CD156" s="0" t="str">
        <f aca="false">_xlfn.CONCAT(H156, "_",I156)</f>
        <v>steam_RAIL</v>
      </c>
      <c r="CE156" s="6" t="str">
        <f aca="false" t="array" ref="CE156:CE156">_xlfn.CONCAT("{BLACK}Length: {GOLD}", TEXT(ROUNDUP(IF(AQ156&lt;&gt;"",SUM(VALUE(_xlfn.TEXTSPLIT(AQ156, ","))), SUM(VALUE(_xlfn.TEXTSPLIT(AN156, ",")))*IF(M156, M156, 1))/16, 1), "#,##0.0"), " tiles{}")</f>
        <v>{BLACK}Length: {GOLD}0.7 tiles{}</v>
      </c>
      <c r="CF156" s="0" t="str">
        <f aca="false">VLOOKUP($CD156, Constants!$M:$N, 2, FALSE())</f>
        <v>{BLACK}Powered by: {GOLD}Steam</v>
      </c>
      <c r="CG156" s="0" t="str">
        <f aca="false">IF(M156&gt;1,_xlfn.CONCAT("{BLACK}Cars: {GOLD}", M156),"")</f>
        <v/>
      </c>
      <c r="CH156" s="0" t="s">
        <v>578</v>
      </c>
      <c r="CI156" s="0" t="str">
        <f aca="false">IF($BU156="!param_no_gameplay_units","{GREEN}Included for gameplay purposes","")</f>
        <v/>
      </c>
      <c r="CJ156" s="0" t="str">
        <f aca="false">IF(BX156="buffet","{YELLOW}25% long distance bonus for consist{}",IF(BZ156="BRAKE","{YELLOW}Speed bonus for slow wagons{}",IF(BW156&gt;190,CONCATENATE("{YELLOW}",INT((BW156-185)/1.85),"% bonus for long distance travel{}"),IF(AND(BW156&lt;180,BW156&lt;&gt;0),CONCATENATE("{YELLOW}",INT((185-BW156)/1.85),"% penalty for long distance travel{}"),""))))</f>
        <v/>
      </c>
      <c r="CK156" s="0" t="str">
        <f aca="false">_xlfn.CONCAT(CF156,IF(CF156&lt;&gt;""," ",""),CG156,IF(OR(CG156&lt;&gt;"",CF156&lt;&gt;""),"{}",""),CE156,CJ156,"{SILVER}",CH156,IF(CI156&lt;&gt;"","{}{}",""),CI156)</f>
        <v>{BLACK}Powered by: {GOLD}Steam {}{BLACK}Length: {GOLD}0.7 tiles{}{SILVER}The Caledonian 72 class was a 4-4-0 express locomotive, later inherited by the LMS after grouping.</v>
      </c>
    </row>
    <row r="157" customFormat="false" ht="14.25" hidden="false" customHeight="false" outlineLevel="0" collapsed="false">
      <c r="A157" s="0" t="s">
        <v>579</v>
      </c>
      <c r="B157" s="15" t="s">
        <v>580</v>
      </c>
      <c r="C157" s="0" t="n">
        <v>142</v>
      </c>
      <c r="E157" s="0" t="n">
        <v>45</v>
      </c>
      <c r="F157" s="0" t="s">
        <v>143</v>
      </c>
      <c r="G157" s="0" t="s">
        <v>445</v>
      </c>
      <c r="H157" s="0" t="s">
        <v>446</v>
      </c>
      <c r="I157" s="0" t="s">
        <v>92</v>
      </c>
      <c r="J157" s="0" t="n">
        <v>1924</v>
      </c>
      <c r="K157" s="0" t="n">
        <v>1928</v>
      </c>
      <c r="L157" s="0" t="n">
        <v>1965</v>
      </c>
      <c r="N157" s="0" t="n">
        <v>900</v>
      </c>
      <c r="W157" s="0" t="n">
        <v>62</v>
      </c>
      <c r="Z157" s="0" t="n">
        <v>115</v>
      </c>
      <c r="AA157" s="3" t="n">
        <f aca="false">IF(AND(W157&gt;0,Z157&gt;0),(Z157/((W157+X157)*10)),"")</f>
        <v>0.185483870967742</v>
      </c>
      <c r="AB157" s="0" t="n">
        <v>50</v>
      </c>
      <c r="AC157" s="0" t="n">
        <f aca="false">ROUND(AB157*1.6, 0)</f>
        <v>80</v>
      </c>
      <c r="AF157" s="0" t="n">
        <v>11.43</v>
      </c>
      <c r="AG157" s="0" t="n">
        <v>11.43</v>
      </c>
      <c r="AJ157" s="4" t="n">
        <v>0</v>
      </c>
      <c r="AK157" s="0" t="str">
        <f aca="false">CONCATENATE(VLOOKUP(AL157, 'Voxel Sizes'!$A$2:$B$18,2,FALSE()),"x",INT(AH157*15), "x", INT(AI157*15))</f>
        <v>120x0x0</v>
      </c>
      <c r="AL157" s="0" t="n">
        <f aca="false">ROUND(15*((AG157*10)/256),0)</f>
        <v>7</v>
      </c>
      <c r="AN157" s="0" t="str">
        <f aca="false">CONCATENATE(VLOOKUP(AL157,Constants!$A$2:$C$16,IF(AM157&lt;&gt;"", 3, 2), FALSE()),IF(AM157&lt;&gt;"",CONCATENATE(",",VLOOKUP(AM157,$B:$AN,39,FALSE())),""))</f>
        <v>2,3,2</v>
      </c>
      <c r="AV157" s="0" t="n">
        <v>1</v>
      </c>
      <c r="AX157" s="0" t="n">
        <v>33</v>
      </c>
      <c r="AY157" s="16" t="n">
        <f aca="false">IF(L157&lt;&gt;"",MAX(16,(L157-J157)+8),"")</f>
        <v>49</v>
      </c>
      <c r="BB157" s="0" t="n">
        <f aca="false">MIN(AB157/150, 1)*30</f>
        <v>10</v>
      </c>
      <c r="BC157" s="0" t="n">
        <f aca="false">MIN(N157/4000, 1)*20</f>
        <v>4.5</v>
      </c>
      <c r="BD157" s="0" t="n">
        <f aca="false">MIN(Z157/400,1)*20</f>
        <v>5.75</v>
      </c>
      <c r="BE157" s="3" t="n">
        <f aca="false">1-(MAX(J157-1900, 0)/750)</f>
        <v>0.968</v>
      </c>
      <c r="BF157" s="0" t="n">
        <f aca="false">((MAX($M157,1)*MIN($AJ157/300,1)))*IF(G157="Wagon",50,10)</f>
        <v>0</v>
      </c>
      <c r="BG157" s="0" t="n">
        <f aca="false">VLOOKUP($H157,Constants!$I:$K, 2, FALSE())</f>
        <v>1.15</v>
      </c>
      <c r="BH157" s="0" t="n">
        <f aca="false">VLOOKUP($H157,Constants!$I:$K, 3, FALSE())*IF(AND(G157="multiple_unit",AB157&lt;110),0.75,1)</f>
        <v>1.7</v>
      </c>
      <c r="BI157" s="0" t="n">
        <f aca="false">INT(POWER(((Constants!$G$2+$BB157+$BC157+$BD157+$BF157)*$BE157)*$BH157, 1.05))+$BA157</f>
        <v>50</v>
      </c>
      <c r="BJ157" s="0" t="n">
        <f aca="false">INT(POWER((((Constants!$G$1+$BB157+$BC157+$BD157+$BF157)*($BE157))*$BG157),IF($G157="wagon",1,1.2)))+$AZ157</f>
        <v>81</v>
      </c>
      <c r="BK157" s="17" t="n">
        <f aca="false">BI157*IF($G157="wagon",62.5,781.25)</f>
        <v>39062.5</v>
      </c>
      <c r="BL157" s="17" t="n">
        <f aca="false">BJ157*IF($G157="wagon",2.73,81.25)</f>
        <v>6581.25</v>
      </c>
      <c r="BV157" s="0" t="n">
        <v>12</v>
      </c>
      <c r="CA157" s="0" t="str">
        <f aca="false">VLOOKUP(J157,Eras!$A$2:$C$10, 2, TRUE())</f>
        <v>big4</v>
      </c>
      <c r="CB157" s="0" t="s">
        <v>439</v>
      </c>
      <c r="CC157" s="0" t="str">
        <f aca="false">CONCATENATE(CA157,"_",CB157)</f>
        <v>big4_Mixed Traffic</v>
      </c>
      <c r="CD157" s="0" t="str">
        <f aca="false">_xlfn.CONCAT(H157, "_",I157)</f>
        <v>steam_RAIL</v>
      </c>
      <c r="CE157" s="6" t="str">
        <f aca="false" t="array" ref="CE157:CE157">_xlfn.CONCAT("{BLACK}Length: {GOLD}", TEXT(ROUNDUP(IF(AQ157&lt;&gt;"",SUM(VALUE(_xlfn.TEXTSPLIT(AQ157, ","))), SUM(VALUE(_xlfn.TEXTSPLIT(AN157, ",")))*IF(M157, M157, 1))/16, 1), "#,##0.0"), " tiles{}")</f>
        <v>{BLACK}Length: {GOLD}0.5 tiles{}</v>
      </c>
      <c r="CF157" s="0" t="str">
        <f aca="false">VLOOKUP($CD157, Constants!$M:$N, 2, FALSE())</f>
        <v>{BLACK}Powered by: {GOLD}Steam</v>
      </c>
      <c r="CG157" s="0" t="str">
        <f aca="false">IF(M157&gt;1,_xlfn.CONCAT("{BLACK}Cars: {GOLD}", M157),"")</f>
        <v/>
      </c>
      <c r="CH157" s="0" t="s">
        <v>581</v>
      </c>
      <c r="CI157" s="0" t="str">
        <f aca="false">IF($BU157="!param_no_gameplay_units","{GREEN}Included for gameplay purposes","")</f>
        <v/>
      </c>
      <c r="CJ157" s="0" t="str">
        <f aca="false">IF(BX157="buffet","{YELLOW}25% long distance bonus for consist{}",IF(BZ157="BRAKE","{YELLOW}Speed bonus for slow wagons{}",IF(BW157&gt;190,CONCATENATE("{YELLOW}",INT((BW157-185)/1.85),"% bonus for long distance travel{}"),IF(AND(BW157&lt;180,BW157&lt;&gt;0),CONCATENATE("{YELLOW}",INT((185-BW157)/1.85),"% penalty for long distance travel{}"),""))))</f>
        <v/>
      </c>
      <c r="CK157" s="0" t="str">
        <f aca="false">_xlfn.CONCAT(CF157,IF(CF157&lt;&gt;""," ",""),CG157,IF(OR(CG157&lt;&gt;"",CF157&lt;&gt;""),"{}",""),CE157,CJ157,"{SILVER}",CH157,IF(CI157&lt;&gt;"","{}{}",""),CI157)</f>
        <v>{BLACK}Powered by: {GOLD}Steam {}{BLACK}Length: {GOLD}0.5 tiles{}{SILVER}The 5600 Class is a large tank engine that offers more power and tractive effort than smaller 0-6-0 tank engines, at the expense of greater weight and higher running costs.</v>
      </c>
    </row>
    <row r="158" customFormat="false" ht="14.25" hidden="false" customHeight="false" outlineLevel="0" collapsed="false">
      <c r="A158" s="0" t="s">
        <v>582</v>
      </c>
      <c r="B158" s="15" t="s">
        <v>583</v>
      </c>
      <c r="C158" s="0" t="n">
        <v>143</v>
      </c>
      <c r="E158" s="0" t="n">
        <v>46</v>
      </c>
      <c r="F158" s="0" t="s">
        <v>143</v>
      </c>
      <c r="G158" s="0" t="s">
        <v>445</v>
      </c>
      <c r="H158" s="0" t="s">
        <v>446</v>
      </c>
      <c r="I158" s="0" t="s">
        <v>92</v>
      </c>
      <c r="J158" s="0" t="n">
        <v>1923</v>
      </c>
      <c r="L158" s="0" t="n">
        <v>1951</v>
      </c>
      <c r="N158" s="0" t="n">
        <v>1000</v>
      </c>
      <c r="P158" s="2" t="n">
        <v>20</v>
      </c>
      <c r="Q158" s="2" t="n">
        <v>26</v>
      </c>
      <c r="R158" s="2" t="n">
        <v>2</v>
      </c>
      <c r="S158" s="2" t="n">
        <v>185</v>
      </c>
      <c r="T158" s="18" t="n">
        <f aca="false">((($AB158/2)/60)*5280)/($U158*3.2*PI())</f>
        <v>144.81929564428</v>
      </c>
      <c r="U158" s="2" t="n">
        <v>1.36</v>
      </c>
      <c r="V158" s="2" t="n">
        <f aca="false">((($P158*$P158/4)*PI())*($Q158/12)*$R158*$S158*$T158)/(33000*1.1)</f>
        <v>1004.76270053476</v>
      </c>
      <c r="W158" s="0" t="n">
        <v>61</v>
      </c>
      <c r="Z158" s="0" t="n">
        <v>133</v>
      </c>
      <c r="AA158" s="3" t="n">
        <f aca="false">IF(AND(W158&gt;0,Z158&gt;0),(Z158/((W158+X158)*10)),"")</f>
        <v>0.218032786885246</v>
      </c>
      <c r="AB158" s="0" t="n">
        <v>45</v>
      </c>
      <c r="AC158" s="0" t="n">
        <f aca="false">ROUND(AB158*1.6, 0)</f>
        <v>72</v>
      </c>
      <c r="AG158" s="0" t="n">
        <v>14</v>
      </c>
      <c r="AJ158" s="4" t="n">
        <v>0</v>
      </c>
      <c r="AK158" s="0" t="str">
        <f aca="false">CONCATENATE(VLOOKUP(AL158, 'Voxel Sizes'!$A$2:$B$18,2,FALSE()),"x",INT(AH158*15), "x", INT(AI158*15))</f>
        <v>136x0x0</v>
      </c>
      <c r="AL158" s="0" t="n">
        <f aca="false">ROUND(15*((AG158*10)/256),0)</f>
        <v>8</v>
      </c>
      <c r="AN158" s="0" t="str">
        <f aca="false">CONCATENATE(VLOOKUP(AL158,Constants!$A$2:$C$16,IF(AM158&lt;&gt;"", 3, 2), FALSE()),IF(AM158&lt;&gt;"",CONCATENATE(",",VLOOKUP(AM158,$B:$AN,39,FALSE())),""))</f>
        <v>2,4,2</v>
      </c>
      <c r="AV158" s="0" t="n">
        <v>1</v>
      </c>
      <c r="AX158" s="0" t="n">
        <v>30</v>
      </c>
      <c r="AY158" s="16" t="n">
        <f aca="false">IF(L158&lt;&gt;"",MAX(16,(L158-J158)+8),"")</f>
        <v>36</v>
      </c>
      <c r="BB158" s="0" t="n">
        <f aca="false">MIN(AB158/150, 1)*30</f>
        <v>9</v>
      </c>
      <c r="BC158" s="0" t="n">
        <f aca="false">MIN(N158/4000, 1)*20</f>
        <v>5</v>
      </c>
      <c r="BD158" s="0" t="n">
        <f aca="false">MIN(Z158/400,1)*20</f>
        <v>6.65</v>
      </c>
      <c r="BE158" s="3" t="n">
        <f aca="false">1-(MAX(J158-1900, 0)/750)</f>
        <v>0.969333333333333</v>
      </c>
      <c r="BF158" s="0" t="n">
        <f aca="false">((MAX($M158,1)*MIN($AJ158/300,1)))*IF(G158="Wagon",50,10)</f>
        <v>0</v>
      </c>
      <c r="BG158" s="0" t="n">
        <f aca="false">VLOOKUP($H158,Constants!$I:$K, 2, FALSE())</f>
        <v>1.15</v>
      </c>
      <c r="BH158" s="0" t="n">
        <f aca="false">VLOOKUP($H158,Constants!$I:$K, 3, FALSE())*IF(AND(G158="multiple_unit",AB158&lt;110),0.75,1)</f>
        <v>1.7</v>
      </c>
      <c r="BI158" s="0" t="n">
        <f aca="false">INT(POWER(((Constants!$G$2+$BB158+$BC158+$BD158+$BF158)*$BE158)*$BH158, 1.05))+$BA158</f>
        <v>50</v>
      </c>
      <c r="BJ158" s="0" t="n">
        <f aca="false">INT(POWER((((Constants!$G$1+$BB158+$BC158+$BD158+$BF158)*($BE158))*$BG158),IF($G158="wagon",1,1.2)))+$AZ158</f>
        <v>82</v>
      </c>
      <c r="BK158" s="17" t="n">
        <f aca="false">BI158*IF($G158="wagon",62.5,781.25)</f>
        <v>39062.5</v>
      </c>
      <c r="BL158" s="17" t="n">
        <f aca="false">BJ158*IF($G158="wagon",2.73,81.25)</f>
        <v>6662.5</v>
      </c>
      <c r="BV158" s="0" t="n">
        <v>5</v>
      </c>
      <c r="CA158" s="0" t="str">
        <f aca="false">VLOOKUP(J158,Eras!$A$2:$C$10, 2, TRUE())</f>
        <v>big4</v>
      </c>
      <c r="CB158" s="0" t="s">
        <v>478</v>
      </c>
      <c r="CC158" s="0" t="str">
        <f aca="false">CONCATENATE(CA158,"_",CB158)</f>
        <v>big4_Freight</v>
      </c>
      <c r="CD158" s="0" t="str">
        <f aca="false">_xlfn.CONCAT(H158, "_",I158)</f>
        <v>steam_RAIL</v>
      </c>
      <c r="CE158" s="6" t="str">
        <f aca="false" t="array" ref="CE158:CE158">_xlfn.CONCAT("{BLACK}Length: {GOLD}", TEXT(ROUNDUP(IF(AQ158&lt;&gt;"",SUM(VALUE(_xlfn.TEXTSPLIT(AQ158, ","))), SUM(VALUE(_xlfn.TEXTSPLIT(AN158, ",")))*IF(M158, M158, 1))/16, 1), "#,##0.0"), " tiles{}")</f>
        <v>{BLACK}Length: {GOLD}0.5 tiles{}</v>
      </c>
      <c r="CF158" s="0" t="str">
        <f aca="false">VLOOKUP($CD158, Constants!$M:$N, 2, FALSE())</f>
        <v>{BLACK}Powered by: {GOLD}Steam</v>
      </c>
      <c r="CG158" s="0" t="str">
        <f aca="false">IF(M158&gt;1,_xlfn.CONCAT("{BLACK}Cars: {GOLD}", M158),"")</f>
        <v/>
      </c>
      <c r="CH158" s="0" t="s">
        <v>584</v>
      </c>
      <c r="CI158" s="0" t="str">
        <f aca="false">IF($BU158="!param_no_gameplay_units","{GREEN}Included for gameplay purposes","")</f>
        <v/>
      </c>
      <c r="CJ158" s="0" t="str">
        <f aca="false">IF(BX158="buffet","{YELLOW}25% long distance bonus for consist{}",IF(BZ158="BRAKE","{YELLOW}Speed bonus for slow wagons{}",IF(BW158&gt;190,CONCATENATE("{YELLOW}",INT((BW158-185)/1.85),"% bonus for long distance travel{}"),IF(AND(BW158&lt;180,BW158&lt;&gt;0),CONCATENATE("{YELLOW}",INT((185-BW158)/1.85),"% penalty for long distance travel{}"),""))))</f>
        <v/>
      </c>
      <c r="CK158" s="0" t="str">
        <f aca="false">_xlfn.CONCAT(CF158,IF(CF158&lt;&gt;""," ",""),CG158,IF(OR(CG158&lt;&gt;"",CF158&lt;&gt;""),"{}",""),CE158,CJ158,"{SILVER}",CH158,IF(CI158&lt;&gt;"","{}{}",""),CI158)</f>
        <v>{BLACK}Powered by: {GOLD}Steam {}{BLACK}Length: {GOLD}0.5 tiles{}{SILVER}The LNWR 380 class is a large tank locomotive with an 0-8-4T chassis. It was derived from the LNWR's 0-8-0 tender engines and similar 0-8-2T tanks.</v>
      </c>
    </row>
    <row r="159" customFormat="false" ht="14.25" hidden="false" customHeight="false" outlineLevel="0" collapsed="false">
      <c r="A159" s="0" t="s">
        <v>585</v>
      </c>
      <c r="B159" s="15" t="s">
        <v>586</v>
      </c>
      <c r="C159" s="0" t="n">
        <v>144</v>
      </c>
      <c r="E159" s="0" t="n">
        <v>47</v>
      </c>
      <c r="F159" s="0" t="s">
        <v>143</v>
      </c>
      <c r="G159" s="0" t="s">
        <v>445</v>
      </c>
      <c r="H159" s="0" t="s">
        <v>446</v>
      </c>
      <c r="I159" s="0" t="s">
        <v>92</v>
      </c>
      <c r="J159" s="0" t="n">
        <v>1926</v>
      </c>
      <c r="K159" s="0" t="n">
        <v>1932</v>
      </c>
      <c r="L159" s="0" t="n">
        <v>1967</v>
      </c>
      <c r="N159" s="0" t="n">
        <v>1400</v>
      </c>
      <c r="P159" s="2" t="n">
        <v>21</v>
      </c>
      <c r="Q159" s="2" t="n">
        <v>26</v>
      </c>
      <c r="R159" s="2" t="n">
        <v>2</v>
      </c>
      <c r="S159" s="2" t="n">
        <v>180</v>
      </c>
      <c r="T159" s="18" t="n">
        <f aca="false">((($AB159/2)/60)*5280)/($U159*3.2*PI())</f>
        <v>191.483290907437</v>
      </c>
      <c r="U159" s="2" t="n">
        <v>1.6</v>
      </c>
      <c r="V159" s="2" t="n">
        <f aca="false">((($P159*$P159/4)*PI())*($Q159/12)*$R159*$S159*$T159)/(33000*1.1)</f>
        <v>1425.10653409091</v>
      </c>
      <c r="W159" s="0" t="n">
        <v>67</v>
      </c>
      <c r="X159" s="1" t="n">
        <v>46</v>
      </c>
      <c r="Z159" s="0" t="n">
        <v>118</v>
      </c>
      <c r="AA159" s="3" t="n">
        <f aca="false">IF(AND(W159&gt;0,Z159&gt;0),(Z159/((W159+X159)*10)),"")</f>
        <v>0.104424778761062</v>
      </c>
      <c r="AB159" s="0" t="n">
        <v>70</v>
      </c>
      <c r="AC159" s="0" t="n">
        <f aca="false">ROUND(AB159*1.6, 0)</f>
        <v>112</v>
      </c>
      <c r="AF159" s="0" t="n">
        <v>10.44</v>
      </c>
      <c r="AG159" s="0" t="n">
        <v>10.44</v>
      </c>
      <c r="AJ159" s="4" t="n">
        <v>0</v>
      </c>
      <c r="AK159" s="0" t="str">
        <f aca="false">CONCATENATE(VLOOKUP(AL159, 'Voxel Sizes'!$A$2:$B$18,2,FALSE()),"x",INT(AH159*15), "x", INT(AI159*15))</f>
        <v>102x0x0</v>
      </c>
      <c r="AL159" s="0" t="n">
        <f aca="false">ROUND(15*((AG159*10)/256),0)</f>
        <v>6</v>
      </c>
      <c r="AM159" s="0" t="s">
        <v>124</v>
      </c>
      <c r="AN159" s="0" t="str">
        <f aca="false">CONCATENATE(VLOOKUP(AL159,Constants!$A$2:$C$16,IF(AM159&lt;&gt;"", 3, 2), FALSE()),IF(AM159&lt;&gt;"",CONCATENATE(",",VLOOKUP(AM159,$B:$AN,39,FALSE())),""))</f>
        <v>2,2,2,2,1,2</v>
      </c>
      <c r="AV159" s="0" t="n">
        <v>1</v>
      </c>
      <c r="AX159" s="0" t="n">
        <v>28</v>
      </c>
      <c r="AY159" s="16" t="n">
        <f aca="false">IF(L159&lt;&gt;"",MAX(16,(L159-J159)+8),"")</f>
        <v>49</v>
      </c>
      <c r="BB159" s="0" t="n">
        <f aca="false">MIN(AB159/150, 1)*30</f>
        <v>14</v>
      </c>
      <c r="BC159" s="0" t="n">
        <f aca="false">MIN(N159/4000, 1)*20</f>
        <v>7</v>
      </c>
      <c r="BD159" s="0" t="n">
        <f aca="false">MIN(Z159/400,1)*20</f>
        <v>5.9</v>
      </c>
      <c r="BE159" s="3" t="n">
        <f aca="false">1-(MAX(J159-1900, 0)/750)</f>
        <v>0.965333333333333</v>
      </c>
      <c r="BF159" s="0" t="n">
        <f aca="false">((MAX($M159,1)*MIN($AJ159/300,1)))*IF(G159="Wagon",50,10)</f>
        <v>0</v>
      </c>
      <c r="BG159" s="0" t="n">
        <f aca="false">VLOOKUP($H159,Constants!$I:$K, 2, FALSE())</f>
        <v>1.15</v>
      </c>
      <c r="BH159" s="0" t="n">
        <f aca="false">VLOOKUP($H159,Constants!$I:$K, 3, FALSE())*IF(AND(G159="multiple_unit",AB159&lt;110),0.75,1)</f>
        <v>1.7</v>
      </c>
      <c r="BI159" s="0" t="n">
        <f aca="false">INT(POWER(((Constants!$G$2+$BB159+$BC159+$BD159+$BF159)*$BE159)*$BH159, 1.05))+$BA159</f>
        <v>63</v>
      </c>
      <c r="BJ159" s="0" t="n">
        <f aca="false">INT(POWER((((Constants!$G$1+$BB159+$BC159+$BD159+$BF159)*($BE159))*$BG159),IF($G159="wagon",1,1.2)))+$AZ159</f>
        <v>100</v>
      </c>
      <c r="BK159" s="17" t="n">
        <f aca="false">BI159*IF($G159="wagon",62.5,781.25)</f>
        <v>49218.75</v>
      </c>
      <c r="BL159" s="17" t="n">
        <f aca="false">BJ159*IF($G159="wagon",2.73,81.25)</f>
        <v>8125</v>
      </c>
      <c r="BV159" s="0" t="n">
        <v>1</v>
      </c>
      <c r="CA159" s="0" t="str">
        <f aca="false">VLOOKUP(J159,Eras!$A$2:$C$10, 2, TRUE())</f>
        <v>big4</v>
      </c>
      <c r="CB159" s="0" t="s">
        <v>474</v>
      </c>
      <c r="CC159" s="0" t="str">
        <f aca="false">CONCATENATE(CA159,"_",CB159)</f>
        <v>big4_Express</v>
      </c>
      <c r="CD159" s="0" t="str">
        <f aca="false">_xlfn.CONCAT(H159, "_",I159)</f>
        <v>steam_RAIL</v>
      </c>
      <c r="CE159" s="6" t="str">
        <f aca="false" t="array" ref="CE159:CE159">_xlfn.CONCAT("{BLACK}Length: {GOLD}", TEXT(ROUNDUP(IF(AQ159&lt;&gt;"",SUM(VALUE(_xlfn.TEXTSPLIT(AQ159, ","))), SUM(VALUE(_xlfn.TEXTSPLIT(AN159, ",")))*IF(M159, M159, 1))/16, 1), "#,##0.0"), " tiles{}")</f>
        <v>{BLACK}Length: {GOLD}0.7 tiles{}</v>
      </c>
      <c r="CF159" s="0" t="str">
        <f aca="false">VLOOKUP($CD159, Constants!$M:$N, 2, FALSE())</f>
        <v>{BLACK}Powered by: {GOLD}Steam</v>
      </c>
      <c r="CG159" s="0" t="str">
        <f aca="false">IF(M159&gt;1,_xlfn.CONCAT("{BLACK}Cars: {GOLD}", M159),"")</f>
        <v/>
      </c>
      <c r="CH159" s="0" t="s">
        <v>587</v>
      </c>
      <c r="CI159" s="0" t="str">
        <f aca="false">IF($BU159="!param_no_gameplay_units","{GREEN}Included for gameplay purposes","")</f>
        <v/>
      </c>
      <c r="CJ159" s="0" t="str">
        <f aca="false">IF(BX159="buffet","{YELLOW}25% long distance bonus for consist{}",IF(BZ159="BRAKE","{YELLOW}Speed bonus for slow wagons{}",IF(BW159&gt;190,CONCATENATE("{YELLOW}",INT((BW159-185)/1.85),"% bonus for long distance travel{}"),IF(AND(BW159&lt;180,BW159&lt;&gt;0),CONCATENATE("{YELLOW}",INT((185-BW159)/1.85),"% penalty for long distance travel{}"),""))))</f>
        <v/>
      </c>
      <c r="CK159" s="0" t="str">
        <f aca="false">_xlfn.CONCAT(CF159,IF(CF159&lt;&gt;""," ",""),CG159,IF(OR(CG159&lt;&gt;"",CF159&lt;&gt;""),"{}",""),CE159,CJ159,"{SILVER}",CH159,IF(CI159&lt;&gt;"","{}{}",""),CI159)</f>
        <v>{BLACK}Powered by: {GOLD}Steam {}{BLACK}Length: {GOLD}0.7 tiles{}{SILVER}The Hughes Crab was named for its distinctive "scuttling" motion, caused by the inclined cylinders.</v>
      </c>
    </row>
    <row r="160" customFormat="false" ht="14.25" hidden="false" customHeight="false" outlineLevel="0" collapsed="false">
      <c r="A160" s="0" t="s">
        <v>588</v>
      </c>
      <c r="B160" s="15" t="s">
        <v>589</v>
      </c>
      <c r="C160" s="0" t="n">
        <v>145</v>
      </c>
      <c r="E160" s="0" t="n">
        <v>48</v>
      </c>
      <c r="F160" s="0" t="s">
        <v>143</v>
      </c>
      <c r="G160" s="0" t="s">
        <v>445</v>
      </c>
      <c r="H160" s="0" t="s">
        <v>446</v>
      </c>
      <c r="I160" s="0" t="s">
        <v>92</v>
      </c>
      <c r="J160" s="0" t="n">
        <v>1927</v>
      </c>
      <c r="L160" s="0" t="n">
        <v>1961</v>
      </c>
      <c r="N160" s="0" t="n">
        <v>1200</v>
      </c>
      <c r="P160" s="2" t="n">
        <v>17</v>
      </c>
      <c r="Q160" s="2" t="n">
        <v>26</v>
      </c>
      <c r="R160" s="2" t="n">
        <v>3</v>
      </c>
      <c r="S160" s="2" t="n">
        <v>180</v>
      </c>
      <c r="T160" s="18" t="n">
        <f aca="false">((($AB160/2)/60)*5280)/($U160*3.2*PI())</f>
        <v>164.128535063517</v>
      </c>
      <c r="U160" s="2" t="n">
        <v>2</v>
      </c>
      <c r="V160" s="2" t="n">
        <f aca="false">((($P160*$P160/4)*PI())*($Q160/12)*$R160*$S160*$T160)/(33000*1.1)</f>
        <v>1200.74573863636</v>
      </c>
      <c r="W160" s="0" t="n">
        <v>66</v>
      </c>
      <c r="X160" s="1" t="n">
        <v>53</v>
      </c>
      <c r="Z160" s="0" t="n">
        <v>96</v>
      </c>
      <c r="AA160" s="3" t="n">
        <f aca="false">IF(AND(W160&gt;0,Z160&gt;0),(Z160/((W160+X160)*10)),"")</f>
        <v>0.080672268907563</v>
      </c>
      <c r="AB160" s="0" t="n">
        <v>75</v>
      </c>
      <c r="AC160" s="0" t="n">
        <f aca="false">ROUND(AB160*1.6, 0)</f>
        <v>120</v>
      </c>
      <c r="AF160" s="0" t="n">
        <v>17.9</v>
      </c>
      <c r="AG160" s="0" t="n">
        <f aca="false">AF160-7.5</f>
        <v>10.4</v>
      </c>
      <c r="AJ160" s="4" t="n">
        <v>0</v>
      </c>
      <c r="AK160" s="0" t="str">
        <f aca="false">CONCATENATE(VLOOKUP(AL160, 'Voxel Sizes'!$A$2:$B$18,2,FALSE()),"x",INT(AH160*15), "x", INT(AI160*15))</f>
        <v>102x0x0</v>
      </c>
      <c r="AL160" s="0" t="n">
        <f aca="false">ROUND(15*((AG160*10)/256),0)</f>
        <v>6</v>
      </c>
      <c r="AM160" s="0" t="s">
        <v>118</v>
      </c>
      <c r="AN160" s="0" t="str">
        <f aca="false">CONCATENATE(VLOOKUP(AL160,Constants!$A$2:$C$16,IF(AM160&lt;&gt;"", 3, 2), FALSE()),IF(AM160&lt;&gt;"",CONCATENATE(",",VLOOKUP(AM160,$B:$AN,39,FALSE())),""))</f>
        <v>2,2,2,2,1,2</v>
      </c>
      <c r="AV160" s="0" t="n">
        <v>1</v>
      </c>
      <c r="AX160" s="0" t="n">
        <v>30</v>
      </c>
      <c r="AY160" s="16" t="n">
        <f aca="false">IF(L160&lt;&gt;"",MAX(16,(L160-J160)+8),"")</f>
        <v>42</v>
      </c>
      <c r="BB160" s="0" t="n">
        <f aca="false">MIN(AB160/150, 1)*30</f>
        <v>15</v>
      </c>
      <c r="BC160" s="0" t="n">
        <f aca="false">MIN(N160/4000, 1)*20</f>
        <v>6</v>
      </c>
      <c r="BD160" s="0" t="n">
        <f aca="false">MIN(Z160/400,1)*20</f>
        <v>4.8</v>
      </c>
      <c r="BE160" s="3" t="n">
        <f aca="false">1-(MAX(J160-1900, 0)/750)</f>
        <v>0.964</v>
      </c>
      <c r="BF160" s="0" t="n">
        <f aca="false">((MAX($M160,1)*MIN($AJ160/300,1)))*IF(G160="Wagon",50,10)</f>
        <v>0</v>
      </c>
      <c r="BG160" s="0" t="n">
        <f aca="false">VLOOKUP($H160,Constants!$I:$K, 2, FALSE())</f>
        <v>1.15</v>
      </c>
      <c r="BH160" s="0" t="n">
        <f aca="false">VLOOKUP($H160,Constants!$I:$K, 3, FALSE())*IF(AND(G160="multiple_unit",AB160&lt;110),0.75,1)</f>
        <v>1.7</v>
      </c>
      <c r="BI160" s="0" t="n">
        <f aca="false">INT(POWER(((Constants!$G$2+$BB160+$BC160+$BD160+$BF160)*$BE160)*$BH160, 1.05))+$BA160</f>
        <v>61</v>
      </c>
      <c r="BJ160" s="0" t="n">
        <f aca="false">INT(POWER((((Constants!$G$1+$BB160+$BC160+$BD160+$BF160)*($BE160))*$BG160),IF($G160="wagon",1,1.2)))+$AZ160</f>
        <v>96</v>
      </c>
      <c r="BK160" s="17" t="n">
        <f aca="false">BI160*IF($G160="wagon",62.5,781.25)</f>
        <v>47656.25</v>
      </c>
      <c r="BL160" s="17" t="n">
        <f aca="false">BJ160*IF($G160="wagon",2.73,81.25)</f>
        <v>7800</v>
      </c>
      <c r="BV160" s="0" t="n">
        <v>2</v>
      </c>
      <c r="CA160" s="0" t="str">
        <f aca="false">VLOOKUP(J160,Eras!$A$2:$C$10, 2, TRUE())</f>
        <v>big4</v>
      </c>
      <c r="CB160" s="0" t="s">
        <v>535</v>
      </c>
      <c r="CC160" s="0" t="str">
        <f aca="false">CONCATENATE(CA160,"_",CB160)</f>
        <v>big4_Passenger</v>
      </c>
      <c r="CD160" s="0" t="str">
        <f aca="false">_xlfn.CONCAT(H160, "_",I160)</f>
        <v>steam_RAIL</v>
      </c>
      <c r="CE160" s="6" t="str">
        <f aca="false" t="array" ref="CE160:CE160">_xlfn.CONCAT("{BLACK}Length: {GOLD}", TEXT(ROUNDUP(IF(AQ160&lt;&gt;"",SUM(VALUE(_xlfn.TEXTSPLIT(AQ160, ","))), SUM(VALUE(_xlfn.TEXTSPLIT(AN160, ",")))*IF(M160, M160, 1))/16, 1), "#,##0.0"), " tiles{}")</f>
        <v>{BLACK}Length: {GOLD}0.7 tiles{}</v>
      </c>
      <c r="CF160" s="0" t="str">
        <f aca="false">VLOOKUP($CD160, Constants!$M:$N, 2, FALSE())</f>
        <v>{BLACK}Powered by: {GOLD}Steam</v>
      </c>
      <c r="CG160" s="0" t="str">
        <f aca="false">IF(M160&gt;1,_xlfn.CONCAT("{BLACK}Cars: {GOLD}", M160),"")</f>
        <v/>
      </c>
      <c r="CH160" s="0" t="s">
        <v>590</v>
      </c>
      <c r="CI160" s="0" t="str">
        <f aca="false">IF($BU160="!param_no_gameplay_units","{GREEN}Included for gameplay purposes","")</f>
        <v/>
      </c>
      <c r="CJ160" s="0" t="str">
        <f aca="false">IF(BX160="buffet","{YELLOW}25% long distance bonus for consist{}",IF(BZ160="BRAKE","{YELLOW}Speed bonus for slow wagons{}",IF(BW160&gt;190,CONCATENATE("{YELLOW}",INT((BW160-185)/1.85),"% bonus for long distance travel{}"),IF(AND(BW160&lt;180,BW160&lt;&gt;0),CONCATENATE("{YELLOW}",INT((185-BW160)/1.85),"% penalty for long distance travel{}"),""))))</f>
        <v/>
      </c>
      <c r="CK160" s="0" t="str">
        <f aca="false">_xlfn.CONCAT(CF160,IF(CF160&lt;&gt;""," ",""),CG160,IF(OR(CG160&lt;&gt;"",CF160&lt;&gt;""),"{}",""),CE160,CJ160,"{SILVER}",CH160,IF(CI160&lt;&gt;"","{}{}",""),CI160)</f>
        <v>{BLACK}Powered by: {GOLD}Steam {}{BLACK}Length: {GOLD}0.7 tiles{}{SILVER}The D49 is a Nigel Gresley designed 4-4-0 locomotive for passenger traffic.</v>
      </c>
    </row>
    <row r="161" customFormat="false" ht="14.25" hidden="false" customHeight="false" outlineLevel="0" collapsed="false">
      <c r="A161" s="0" t="s">
        <v>591</v>
      </c>
      <c r="B161" s="15" t="s">
        <v>592</v>
      </c>
      <c r="C161" s="0" t="n">
        <v>146</v>
      </c>
      <c r="E161" s="0" t="n">
        <v>49</v>
      </c>
      <c r="F161" s="0" t="s">
        <v>143</v>
      </c>
      <c r="G161" s="0" t="s">
        <v>445</v>
      </c>
      <c r="H161" s="0" t="s">
        <v>446</v>
      </c>
      <c r="I161" s="0" t="s">
        <v>92</v>
      </c>
      <c r="J161" s="0" t="n">
        <v>1927</v>
      </c>
      <c r="K161" s="0" t="n">
        <v>1936</v>
      </c>
      <c r="L161" s="0" t="n">
        <v>1962</v>
      </c>
      <c r="N161" s="0" t="n">
        <v>2300</v>
      </c>
      <c r="P161" s="2" t="n">
        <v>16.25</v>
      </c>
      <c r="Q161" s="2" t="n">
        <v>28</v>
      </c>
      <c r="R161" s="2" t="n">
        <v>4</v>
      </c>
      <c r="S161" s="2" t="n">
        <v>250</v>
      </c>
      <c r="T161" s="18" t="n">
        <f aca="false">((($AB161/2)/60)*5280)/($U161*3.2*PI())</f>
        <v>232.100958675681</v>
      </c>
      <c r="U161" s="2" t="n">
        <v>1.98</v>
      </c>
      <c r="V161" s="2" t="n">
        <f aca="false">((($P161*$P161/4)*PI())*($Q161/12)*$R161*$S161*$T161)/(33000*1.1)</f>
        <v>3094.16669058004</v>
      </c>
      <c r="W161" s="0" t="n">
        <v>90.4</v>
      </c>
      <c r="X161" s="1" t="n">
        <v>47</v>
      </c>
      <c r="Z161" s="0" t="n">
        <v>179</v>
      </c>
      <c r="AA161" s="3" t="n">
        <f aca="false">IF(AND(W161&gt;0,Z161&gt;0),(Z161/((W161+X161)*10)),"")</f>
        <v>0.130276564774381</v>
      </c>
      <c r="AB161" s="0" t="n">
        <v>105</v>
      </c>
      <c r="AC161" s="0" t="n">
        <f aca="false">ROUND(AB161*1.6, 0)</f>
        <v>168</v>
      </c>
      <c r="AF161" s="0" t="n">
        <v>20.78</v>
      </c>
      <c r="AG161" s="0" t="n">
        <f aca="false">AF161-7.5</f>
        <v>13.28</v>
      </c>
      <c r="AI161" s="0" t="n">
        <v>4.08</v>
      </c>
      <c r="AJ161" s="4" t="n">
        <v>0</v>
      </c>
      <c r="AK161" s="0" t="str">
        <f aca="false">CONCATENATE(VLOOKUP(AL161, 'Voxel Sizes'!$A$2:$B$18,2,FALSE()),"x",INT(AH161*15), "x", INT(AI161*15))</f>
        <v>136x0x61</v>
      </c>
      <c r="AL161" s="0" t="n">
        <f aca="false">ROUND(15*((AG161*10)/256),0)</f>
        <v>8</v>
      </c>
      <c r="AM161" s="0" t="s">
        <v>91</v>
      </c>
      <c r="AN161" s="0" t="str">
        <f aca="false">CONCATENATE(VLOOKUP(AL161,Constants!$A$2:$C$16,IF(AM161&lt;&gt;"", 3, 2), FALSE()),IF(AM161&lt;&gt;"",CONCATENATE(",",VLOOKUP(AM161,$B:$AN,39,FALSE())),""))</f>
        <v>2,4,2,2,1,2</v>
      </c>
      <c r="AV161" s="0" t="n">
        <v>1</v>
      </c>
      <c r="AX161" s="0" t="n">
        <v>30</v>
      </c>
      <c r="AY161" s="16" t="n">
        <f aca="false">IF(L161&lt;&gt;"",MAX(16,(L161-J161)+8),"")</f>
        <v>43</v>
      </c>
      <c r="BB161" s="0" t="n">
        <f aca="false">MIN(AB161/150, 1)*30</f>
        <v>21</v>
      </c>
      <c r="BC161" s="0" t="n">
        <f aca="false">MIN(N161/4000, 1)*20</f>
        <v>11.5</v>
      </c>
      <c r="BD161" s="0" t="n">
        <f aca="false">MIN(Z161/400,1)*20</f>
        <v>8.95</v>
      </c>
      <c r="BE161" s="3" t="n">
        <f aca="false">1-(MAX(J161-1900, 0)/750)</f>
        <v>0.964</v>
      </c>
      <c r="BF161" s="0" t="n">
        <f aca="false">((MAX($M161,1)*MIN($AJ161/300,1)))*IF(G161="Wagon",50,10)</f>
        <v>0</v>
      </c>
      <c r="BG161" s="0" t="n">
        <f aca="false">VLOOKUP($H161,Constants!$I:$K, 2, FALSE())</f>
        <v>1.15</v>
      </c>
      <c r="BH161" s="0" t="n">
        <f aca="false">VLOOKUP($H161,Constants!$I:$K, 3, FALSE())*IF(AND(G161="multiple_unit",AB161&lt;110),0.75,1)</f>
        <v>1.7</v>
      </c>
      <c r="BI161" s="0" t="n">
        <f aca="false">INT(POWER(((Constants!$G$2+$BB161+$BC161+$BD161+$BF161)*$BE161)*$BH161, 1.05))+$BA161</f>
        <v>94</v>
      </c>
      <c r="BJ161" s="0" t="n">
        <f aca="false">INT(POWER((((Constants!$G$1+$BB161+$BC161+$BD161+$BF161)*($BE161))*$BG161),IF($G161="wagon",1,1.2)))+$AZ161</f>
        <v>143</v>
      </c>
      <c r="BK161" s="17" t="n">
        <f aca="false">BI161*IF($G161="wagon",62.5,781.25)</f>
        <v>73437.5</v>
      </c>
      <c r="BL161" s="17" t="n">
        <f aca="false">BJ161*IF($G161="wagon",2.73,81.25)</f>
        <v>11618.75</v>
      </c>
      <c r="BV161" s="0" t="n">
        <v>3</v>
      </c>
      <c r="CA161" s="0" t="str">
        <f aca="false">VLOOKUP(J161,Eras!$A$2:$C$10, 2, TRUE())</f>
        <v>big4</v>
      </c>
      <c r="CB161" s="0" t="s">
        <v>474</v>
      </c>
      <c r="CC161" s="0" t="str">
        <f aca="false">CONCATENATE(CA161,"_",CB161)</f>
        <v>big4_Express</v>
      </c>
      <c r="CD161" s="0" t="str">
        <f aca="false">_xlfn.CONCAT(H161, "_",I161)</f>
        <v>steam_RAIL</v>
      </c>
      <c r="CE161" s="6" t="str">
        <f aca="false" t="array" ref="CE161:CE161">_xlfn.CONCAT("{BLACK}Length: {GOLD}", TEXT(ROUNDUP(IF(AQ161&lt;&gt;"",SUM(VALUE(_xlfn.TEXTSPLIT(AQ161, ","))), SUM(VALUE(_xlfn.TEXTSPLIT(AN161, ",")))*IF(M161, M161, 1))/16, 1), "#,##0.0"), " tiles{}")</f>
        <v>{BLACK}Length: {GOLD}0.9 tiles{}</v>
      </c>
      <c r="CF161" s="0" t="str">
        <f aca="false">VLOOKUP($CD161, Constants!$M:$N, 2, FALSE())</f>
        <v>{BLACK}Powered by: {GOLD}Steam</v>
      </c>
      <c r="CG161" s="0" t="str">
        <f aca="false">IF(M161&gt;1,_xlfn.CONCAT("{BLACK}Cars: {GOLD}", M161),"")</f>
        <v/>
      </c>
      <c r="CH161" s="0" t="s">
        <v>593</v>
      </c>
      <c r="CI161" s="0" t="str">
        <f aca="false">IF($BU161="!param_no_gameplay_units","{GREEN}Included for gameplay purposes","")</f>
        <v/>
      </c>
      <c r="CJ161" s="0" t="str">
        <f aca="false">IF(BX161="buffet","{YELLOW}25% long distance bonus for consist{}",IF(BZ161="BRAKE","{YELLOW}Speed bonus for slow wagons{}",IF(BW161&gt;190,CONCATENATE("{YELLOW}",INT((BW161-185)/1.85),"% bonus for long distance travel{}"),IF(AND(BW161&lt;180,BW161&lt;&gt;0),CONCATENATE("{YELLOW}",INT((185-BW161)/1.85),"% penalty for long distance travel{}"),""))))</f>
        <v/>
      </c>
      <c r="CK161" s="0" t="str">
        <f aca="false">_xlfn.CONCAT(CF161,IF(CF161&lt;&gt;""," ",""),CG161,IF(OR(CG161&lt;&gt;"",CF161&lt;&gt;""),"{}",""),CE161,CJ161,"{SILVER}",CH161,IF(CI161&lt;&gt;"","{}{}",""),CI161)</f>
        <v>{BLACK}Powered by: {GOLD}Steam {}{BLACK}Length: {GOLD}0.9 tiles{}{SILVER}The King Class is a larger and more powerful development of the Castle Class, designed for even higher sustained speeds.</v>
      </c>
    </row>
    <row r="162" customFormat="false" ht="14.25" hidden="false" customHeight="false" outlineLevel="0" collapsed="false">
      <c r="A162" s="0" t="s">
        <v>594</v>
      </c>
      <c r="B162" s="15" t="s">
        <v>595</v>
      </c>
      <c r="C162" s="0" t="n">
        <v>147</v>
      </c>
      <c r="E162" s="0" t="n">
        <v>50</v>
      </c>
      <c r="F162" s="0" t="s">
        <v>143</v>
      </c>
      <c r="G162" s="0" t="s">
        <v>445</v>
      </c>
      <c r="H162" s="0" t="s">
        <v>446</v>
      </c>
      <c r="I162" s="0" t="s">
        <v>92</v>
      </c>
      <c r="J162" s="0" t="n">
        <v>1927</v>
      </c>
      <c r="K162" s="0" t="n">
        <v>1934</v>
      </c>
      <c r="L162" s="0" t="n">
        <v>1966</v>
      </c>
      <c r="N162" s="0" t="n">
        <v>950</v>
      </c>
      <c r="P162" s="2" t="n">
        <v>19</v>
      </c>
      <c r="Q162" s="2" t="n">
        <v>26</v>
      </c>
      <c r="R162" s="2" t="n">
        <v>2</v>
      </c>
      <c r="S162" s="2" t="n">
        <v>200</v>
      </c>
      <c r="T162" s="18" t="n">
        <f aca="false">((($AB162/2)/60)*5280)/($U162*3.2*PI())</f>
        <v>205.965220471865</v>
      </c>
      <c r="U162" s="2" t="n">
        <v>1.7</v>
      </c>
      <c r="V162" s="2" t="n">
        <f aca="false">((($P162*$P162/4)*PI())*($Q162/12)*$R162*$S162*$T162)/(33000*1.1)</f>
        <v>1394.23648247178</v>
      </c>
      <c r="W162" s="0" t="n">
        <v>87.6</v>
      </c>
      <c r="Z162" s="0" t="n">
        <v>102</v>
      </c>
      <c r="AA162" s="3" t="n">
        <f aca="false">IF(AND(W162&gt;0,Z162&gt;0),(Z162/((W162+X162)*10)),"")</f>
        <v>0.116438356164384</v>
      </c>
      <c r="AB162" s="0" t="n">
        <v>80</v>
      </c>
      <c r="AC162" s="0" t="n">
        <f aca="false">ROUND(AB162*1.6, 0)</f>
        <v>128</v>
      </c>
      <c r="AF162" s="0" t="n">
        <v>14.4</v>
      </c>
      <c r="AG162" s="0" t="n">
        <v>14.4</v>
      </c>
      <c r="AJ162" s="4" t="n">
        <v>0</v>
      </c>
      <c r="AK162" s="0" t="str">
        <f aca="false">CONCATENATE(VLOOKUP(AL162, 'Voxel Sizes'!$A$2:$B$18,2,FALSE()),"x",INT(AH162*15), "x", INT(AI162*15))</f>
        <v>136x0x0</v>
      </c>
      <c r="AL162" s="0" t="n">
        <f aca="false">ROUND(15*((AG162*10)/256),0)</f>
        <v>8</v>
      </c>
      <c r="AN162" s="0" t="str">
        <f aca="false">CONCATENATE(VLOOKUP(AL162,Constants!$A$2:$C$16,IF(AM162&lt;&gt;"", 3, 2), FALSE()),IF(AM162&lt;&gt;"",CONCATENATE(",",VLOOKUP(AM162,$B:$AN,39,FALSE())),""))</f>
        <v>2,4,2</v>
      </c>
      <c r="AV162" s="0" t="n">
        <v>1</v>
      </c>
      <c r="AX162" s="0" t="n">
        <v>30</v>
      </c>
      <c r="AY162" s="16" t="n">
        <f aca="false">IF(L162&lt;&gt;"",MAX(16,(L162-J162)+8),"")</f>
        <v>47</v>
      </c>
      <c r="BB162" s="0" t="n">
        <f aca="false">MIN(AB162/150, 1)*30</f>
        <v>16</v>
      </c>
      <c r="BC162" s="0" t="n">
        <f aca="false">MIN(N162/4000, 1)*20</f>
        <v>4.75</v>
      </c>
      <c r="BD162" s="0" t="n">
        <f aca="false">MIN(Z162/400,1)*20</f>
        <v>5.1</v>
      </c>
      <c r="BE162" s="3" t="n">
        <f aca="false">1-(MAX(J162-1900, 0)/750)</f>
        <v>0.964</v>
      </c>
      <c r="BF162" s="0" t="n">
        <f aca="false">((MAX($M162,1)*MIN($AJ162/300,1)))*IF(G162="Wagon",50,10)</f>
        <v>0</v>
      </c>
      <c r="BG162" s="0" t="n">
        <f aca="false">VLOOKUP($H162,Constants!$I:$K, 2, FALSE())</f>
        <v>1.15</v>
      </c>
      <c r="BH162" s="0" t="n">
        <f aca="false">VLOOKUP($H162,Constants!$I:$K, 3, FALSE())*IF(AND(G162="multiple_unit",AB162&lt;110),0.75,1)</f>
        <v>1.7</v>
      </c>
      <c r="BI162" s="0" t="n">
        <f aca="false">INT(POWER(((Constants!$G$2+$BB162+$BC162+$BD162+$BF162)*$BE162)*$BH162, 1.05))+$BA162</f>
        <v>61</v>
      </c>
      <c r="BJ162" s="0" t="n">
        <f aca="false">INT(POWER((((Constants!$G$1+$BB162+$BC162+$BD162+$BF162)*($BE162))*$BG162),IF($G162="wagon",1,1.2)))+$AZ162</f>
        <v>97</v>
      </c>
      <c r="BK162" s="17" t="n">
        <f aca="false">BI162*IF($G162="wagon",62.5,781.25)</f>
        <v>47656.25</v>
      </c>
      <c r="BL162" s="17" t="n">
        <f aca="false">BJ162*IF($G162="wagon",2.73,81.25)</f>
        <v>7881.25</v>
      </c>
      <c r="BV162" s="0" t="n">
        <v>4</v>
      </c>
      <c r="CA162" s="0" t="str">
        <f aca="false">VLOOKUP(J162,Eras!$A$2:$C$10, 2, TRUE())</f>
        <v>big4</v>
      </c>
      <c r="CB162" s="0" t="s">
        <v>439</v>
      </c>
      <c r="CC162" s="0" t="str">
        <f aca="false">CONCATENATE(CA162,"_",CB162)</f>
        <v>big4_Mixed Traffic</v>
      </c>
      <c r="CD162" s="0" t="str">
        <f aca="false">_xlfn.CONCAT(H162, "_",I162)</f>
        <v>steam_RAIL</v>
      </c>
      <c r="CE162" s="6" t="str">
        <f aca="false" t="array" ref="CE162:CE162">_xlfn.CONCAT("{BLACK}Length: {GOLD}", TEXT(ROUNDUP(IF(AQ162&lt;&gt;"",SUM(VALUE(_xlfn.TEXTSPLIT(AQ162, ","))), SUM(VALUE(_xlfn.TEXTSPLIT(AN162, ",")))*IF(M162, M162, 1))/16, 1), "#,##0.0"), " tiles{}")</f>
        <v>{BLACK}Length: {GOLD}0.5 tiles{}</v>
      </c>
      <c r="CF162" s="0" t="str">
        <f aca="false">VLOOKUP($CD162, Constants!$M:$N, 2, FALSE())</f>
        <v>{BLACK}Powered by: {GOLD}Steam</v>
      </c>
      <c r="CG162" s="0" t="str">
        <f aca="false">IF(M162&gt;1,_xlfn.CONCAT("{BLACK}Cars: {GOLD}", M162),"")</f>
        <v/>
      </c>
      <c r="CH162" s="0" t="s">
        <v>596</v>
      </c>
      <c r="CI162" s="0" t="str">
        <f aca="false">IF($BU162="!param_no_gameplay_units","{GREEN}Included for gameplay purposes","")</f>
        <v/>
      </c>
      <c r="CJ162" s="0" t="str">
        <f aca="false">IF(BX162="buffet","{YELLOW}25% long distance bonus for consist{}",IF(BZ162="BRAKE","{YELLOW}Speed bonus for slow wagons{}",IF(BW162&gt;190,CONCATENATE("{YELLOW}",INT((BW162-185)/1.85),"% bonus for long distance travel{}"),IF(AND(BW162&lt;180,BW162&lt;&gt;0),CONCATENATE("{YELLOW}",INT((185-BW162)/1.85),"% penalty for long distance travel{}"),""))))</f>
        <v/>
      </c>
      <c r="CK162" s="0" t="str">
        <f aca="false">_xlfn.CONCAT(CF162,IF(CF162&lt;&gt;""," ",""),CG162,IF(OR(CG162&lt;&gt;"",CF162&lt;&gt;""),"{}",""),CE162,CJ162,"{SILVER}",CH162,IF(CI162&lt;&gt;"","{}{}",""),CI162)</f>
        <v>{BLACK}Powered by: {GOLD}Steam {}{BLACK}Length: {GOLD}0.5 tiles{}{SILVER}Fowler's 2-6-4T achieved high speeds for a tank engine, and was typically used on longer distance services.</v>
      </c>
    </row>
    <row r="163" customFormat="false" ht="14.25" hidden="false" customHeight="false" outlineLevel="0" collapsed="false">
      <c r="A163" s="0" t="s">
        <v>597</v>
      </c>
      <c r="B163" s="15" t="s">
        <v>598</v>
      </c>
      <c r="C163" s="0" t="n">
        <v>148</v>
      </c>
      <c r="E163" s="0" t="n">
        <v>51</v>
      </c>
      <c r="F163" s="0" t="s">
        <v>143</v>
      </c>
      <c r="G163" s="0" t="s">
        <v>445</v>
      </c>
      <c r="H163" s="0" t="s">
        <v>446</v>
      </c>
      <c r="I163" s="0" t="s">
        <v>92</v>
      </c>
      <c r="J163" s="0" t="n">
        <v>1928</v>
      </c>
      <c r="K163" s="0" t="n">
        <v>1943</v>
      </c>
      <c r="L163" s="0" t="n">
        <v>1965</v>
      </c>
      <c r="N163" s="0" t="n">
        <v>1600</v>
      </c>
      <c r="P163" s="2" t="n">
        <v>18.5</v>
      </c>
      <c r="Q163" s="2" t="n">
        <v>30</v>
      </c>
      <c r="R163" s="2" t="n">
        <v>2</v>
      </c>
      <c r="S163" s="2" t="n">
        <v>225</v>
      </c>
      <c r="T163" s="18" t="n">
        <f aca="false">((($AB163/2)/60)*5280)/($U163*3.2*PI())</f>
        <v>194.522708223428</v>
      </c>
      <c r="U163" s="2" t="n">
        <v>1.8</v>
      </c>
      <c r="V163" s="2" t="n">
        <f aca="false">((($P163*$P163/4)*PI())*($Q163/12)*$R163*$S163*$T163)/(33000*1.1)</f>
        <v>1620.50189393939</v>
      </c>
      <c r="W163" s="0" t="n">
        <v>76.2</v>
      </c>
      <c r="X163" s="1" t="n">
        <v>47</v>
      </c>
      <c r="Z163" s="0" t="n">
        <v>121</v>
      </c>
      <c r="AA163" s="3" t="n">
        <f aca="false">IF(AND(W163&gt;0,Z163&gt;0),(Z163/((W163+X163)*10)),"")</f>
        <v>0.0982142857142857</v>
      </c>
      <c r="AB163" s="0" t="n">
        <v>80</v>
      </c>
      <c r="AC163" s="0" t="n">
        <f aca="false">ROUND(AB163*1.6, 0)</f>
        <v>128</v>
      </c>
      <c r="AF163" s="0" t="n">
        <v>19.2</v>
      </c>
      <c r="AG163" s="0" t="n">
        <f aca="false">AF163-7.5</f>
        <v>11.7</v>
      </c>
      <c r="AI163" s="0" t="n">
        <v>4.04</v>
      </c>
      <c r="AJ163" s="4" t="n">
        <v>0</v>
      </c>
      <c r="AK163" s="0" t="str">
        <f aca="false">CONCATENATE(VLOOKUP(AL163, 'Voxel Sizes'!$A$2:$B$18,2,FALSE()),"x",INT(AH163*15), "x", INT(AI163*15))</f>
        <v>120x0x60</v>
      </c>
      <c r="AL163" s="0" t="n">
        <f aca="false">ROUND(15*((AG163*10)/256),0)</f>
        <v>7</v>
      </c>
      <c r="AM163" s="0" t="s">
        <v>91</v>
      </c>
      <c r="AN163" s="0" t="str">
        <f aca="false">CONCATENATE(VLOOKUP(AL163,Constants!$A$2:$C$16,IF(AM163&lt;&gt;"", 3, 2), FALSE()),IF(AM163&lt;&gt;"",CONCATENATE(",",VLOOKUP(AM163,$B:$AN,39,FALSE())),""))</f>
        <v>2,3,2,2,1,2</v>
      </c>
      <c r="AV163" s="0" t="n">
        <v>1</v>
      </c>
      <c r="AX163" s="0" t="n">
        <v>30</v>
      </c>
      <c r="AY163" s="16" t="n">
        <f aca="false">IF(L163&lt;&gt;"",MAX(16,(L163-J163)+8),"")</f>
        <v>45</v>
      </c>
      <c r="BB163" s="0" t="n">
        <f aca="false">MIN(AB163/150, 1)*30</f>
        <v>16</v>
      </c>
      <c r="BC163" s="0" t="n">
        <f aca="false">MIN(N163/4000, 1)*20</f>
        <v>8</v>
      </c>
      <c r="BD163" s="0" t="n">
        <f aca="false">MIN(Z163/400,1)*20</f>
        <v>6.05</v>
      </c>
      <c r="BE163" s="3" t="n">
        <f aca="false">1-(MAX(J163-1900, 0)/750)</f>
        <v>0.962666666666667</v>
      </c>
      <c r="BF163" s="0" t="n">
        <f aca="false">((MAX($M163,1)*MIN($AJ163/300,1)))*IF(G163="Wagon",50,10)</f>
        <v>0</v>
      </c>
      <c r="BG163" s="0" t="n">
        <f aca="false">VLOOKUP($H163,Constants!$I:$K, 2, FALSE())</f>
        <v>1.15</v>
      </c>
      <c r="BH163" s="0" t="n">
        <f aca="false">VLOOKUP($H163,Constants!$I:$K, 3, FALSE())*IF(AND(G163="multiple_unit",AB163&lt;110),0.75,1)</f>
        <v>1.7</v>
      </c>
      <c r="BI163" s="0" t="n">
        <f aca="false">INT(POWER(((Constants!$G$2+$BB163+$BC163+$BD163+$BF163)*$BE163)*$BH163, 1.05))+$BA163</f>
        <v>70</v>
      </c>
      <c r="BJ163" s="0" t="n">
        <f aca="false">INT(POWER((((Constants!$G$1+$BB163+$BC163+$BD163+$BF163)*($BE163))*$BG163),IF($G163="wagon",1,1.2)))+$AZ163</f>
        <v>109</v>
      </c>
      <c r="BK163" s="17" t="n">
        <f aca="false">BI163*IF($G163="wagon",62.5,781.25)</f>
        <v>54687.5</v>
      </c>
      <c r="BL163" s="17" t="n">
        <f aca="false">BJ163*IF($G163="wagon",2.73,81.25)</f>
        <v>8856.25</v>
      </c>
      <c r="BV163" s="0" t="n">
        <v>5</v>
      </c>
      <c r="CA163" s="0" t="str">
        <f aca="false">VLOOKUP(J163,Eras!$A$2:$C$10, 2, TRUE())</f>
        <v>big4</v>
      </c>
      <c r="CB163" s="0" t="s">
        <v>439</v>
      </c>
      <c r="CC163" s="0" t="str">
        <f aca="false">CONCATENATE(CA163,"_",CB163)</f>
        <v>big4_Mixed Traffic</v>
      </c>
      <c r="CD163" s="0" t="str">
        <f aca="false">_xlfn.CONCAT(H163, "_",I163)</f>
        <v>steam_RAIL</v>
      </c>
      <c r="CE163" s="6" t="str">
        <f aca="false" t="array" ref="CE163:CE163">_xlfn.CONCAT("{BLACK}Length: {GOLD}", TEXT(ROUNDUP(IF(AQ163&lt;&gt;"",SUM(VALUE(_xlfn.TEXTSPLIT(AQ163, ","))), SUM(VALUE(_xlfn.TEXTSPLIT(AN163, ",")))*IF(M163, M163, 1))/16, 1), "#,##0.0"), " tiles{}")</f>
        <v>{BLACK}Length: {GOLD}0.8 tiles{}</v>
      </c>
      <c r="CF163" s="0" t="str">
        <f aca="false">VLOOKUP($CD163, Constants!$M:$N, 2, FALSE())</f>
        <v>{BLACK}Powered by: {GOLD}Steam</v>
      </c>
      <c r="CG163" s="0" t="str">
        <f aca="false">IF(M163&gt;1,_xlfn.CONCAT("{BLACK}Cars: {GOLD}", M163),"")</f>
        <v/>
      </c>
      <c r="CH163" s="0" t="s">
        <v>599</v>
      </c>
      <c r="CI163" s="0" t="str">
        <f aca="false">IF($BU163="!param_no_gameplay_units","{GREEN}Included for gameplay purposes","")</f>
        <v/>
      </c>
      <c r="CJ163" s="0" t="str">
        <f aca="false">IF(BX163="buffet","{YELLOW}25% long distance bonus for consist{}",IF(BZ163="BRAKE","{YELLOW}Speed bonus for slow wagons{}",IF(BW163&gt;190,CONCATENATE("{YELLOW}",INT((BW163-185)/1.85),"% bonus for long distance travel{}"),IF(AND(BW163&lt;180,BW163&lt;&gt;0),CONCATENATE("{YELLOW}",INT((185-BW163)/1.85),"% penalty for long distance travel{}"),""))))</f>
        <v/>
      </c>
      <c r="CK163" s="0" t="str">
        <f aca="false">_xlfn.CONCAT(CF163,IF(CF163&lt;&gt;""," ",""),CG163,IF(OR(CG163&lt;&gt;"",CF163&lt;&gt;""),"{}",""),CE163,CJ163,"{SILVER}",CH163,IF(CI163&lt;&gt;"","{}{}",""),CI163)</f>
        <v>{BLACK}Powered by: {GOLD}Steam {}{BLACK}Length: {GOLD}0.8 tiles{}{SILVER}The GWR 4900 Hall Class set the template for the 4-6-0 mixed traffic locomotive, fast enough for express passenger services with enough tractive effort for freight.</v>
      </c>
    </row>
    <row r="164" customFormat="false" ht="14.25" hidden="false" customHeight="false" outlineLevel="0" collapsed="false">
      <c r="A164" s="0" t="s">
        <v>600</v>
      </c>
      <c r="B164" s="15" t="s">
        <v>601</v>
      </c>
      <c r="C164" s="0" t="n">
        <v>149</v>
      </c>
      <c r="E164" s="0" t="n">
        <v>52</v>
      </c>
      <c r="F164" s="0" t="s">
        <v>143</v>
      </c>
      <c r="G164" s="0" t="s">
        <v>445</v>
      </c>
      <c r="H164" s="0" t="s">
        <v>446</v>
      </c>
      <c r="I164" s="0" t="s">
        <v>92</v>
      </c>
      <c r="J164" s="0" t="n">
        <v>1928</v>
      </c>
      <c r="K164" s="0" t="n">
        <v>1935</v>
      </c>
      <c r="L164" s="0" t="n">
        <v>1966</v>
      </c>
      <c r="N164" s="0" t="n">
        <v>2100</v>
      </c>
      <c r="P164" s="2" t="n">
        <v>19</v>
      </c>
      <c r="Q164" s="2" t="n">
        <v>26</v>
      </c>
      <c r="R164" s="2" t="n">
        <v>3</v>
      </c>
      <c r="S164" s="2" t="n">
        <v>220</v>
      </c>
      <c r="T164" s="18" t="n">
        <f aca="false">((($AB164/2)/60)*5280)/($U164*3.2*PI())</f>
        <v>236.345090491465</v>
      </c>
      <c r="U164" s="2" t="n">
        <v>2</v>
      </c>
      <c r="V164" s="2" t="n">
        <f aca="false">((($P164*$P164/4)*PI())*($Q164/12)*$R164*$S164*$T164)/(33000*1.1)</f>
        <v>2639.8125</v>
      </c>
      <c r="W164" s="0" t="n">
        <v>92.8</v>
      </c>
      <c r="X164" s="1" t="n">
        <v>54</v>
      </c>
      <c r="Z164" s="0" t="n">
        <v>146</v>
      </c>
      <c r="AA164" s="3" t="n">
        <f aca="false">IF(AND(W164&gt;0,Z164&gt;0),(Z164/((W164+X164)*10)),"")</f>
        <v>0.0994550408719346</v>
      </c>
      <c r="AB164" s="0" t="n">
        <v>108</v>
      </c>
      <c r="AC164" s="0" t="n">
        <f aca="false">ROUND(AB164*1.6, 0)</f>
        <v>173</v>
      </c>
      <c r="AE164" s="0" t="n">
        <v>1</v>
      </c>
      <c r="AF164" s="0" t="n">
        <v>21.46</v>
      </c>
      <c r="AG164" s="0" t="n">
        <f aca="false">AF164-7.5</f>
        <v>13.96</v>
      </c>
      <c r="AJ164" s="4" t="n">
        <v>0</v>
      </c>
      <c r="AK164" s="0" t="str">
        <f aca="false">CONCATENATE(VLOOKUP(AL164, 'Voxel Sizes'!$A$2:$B$18,2,FALSE()),"x",INT(AH164*15), "x", INT(AI164*15))</f>
        <v>136x0x0</v>
      </c>
      <c r="AL164" s="0" t="n">
        <f aca="false">ROUND(15*((AG164*10)/256),0)</f>
        <v>8</v>
      </c>
      <c r="AM164" s="0" t="s">
        <v>128</v>
      </c>
      <c r="AN164" s="0" t="str">
        <f aca="false">CONCATENATE(VLOOKUP(AL164,Constants!$A$2:$C$16,IF(AM164&lt;&gt;"", 3, 2), FALSE()),IF(AM164&lt;&gt;"",CONCATENATE(",",VLOOKUP(AM164,$B:$AN,39,FALSE())),""))</f>
        <v>2,4,2,2,1,2</v>
      </c>
      <c r="AV164" s="0" t="n">
        <v>1</v>
      </c>
      <c r="AX164" s="0" t="n">
        <v>32</v>
      </c>
      <c r="AY164" s="16" t="n">
        <f aca="false">IF(L164&lt;&gt;"",MAX(16,(L164-J164)+8),"")</f>
        <v>46</v>
      </c>
      <c r="BB164" s="0" t="n">
        <f aca="false">MIN(AB164/150, 1)*30</f>
        <v>21.6</v>
      </c>
      <c r="BC164" s="0" t="n">
        <f aca="false">MIN(N164/4000, 1)*20</f>
        <v>10.5</v>
      </c>
      <c r="BD164" s="0" t="n">
        <f aca="false">MIN(Z164/400,1)*20</f>
        <v>7.3</v>
      </c>
      <c r="BE164" s="3" t="n">
        <f aca="false">1-(MAX(J164-1900, 0)/750)</f>
        <v>0.962666666666667</v>
      </c>
      <c r="BF164" s="0" t="n">
        <f aca="false">((MAX($M164,1)*MIN($AJ164/300,1)))*IF(G164="Wagon",50,10)</f>
        <v>0</v>
      </c>
      <c r="BG164" s="0" t="n">
        <f aca="false">VLOOKUP($H164,Constants!$I:$K, 2, FALSE())</f>
        <v>1.15</v>
      </c>
      <c r="BH164" s="0" t="n">
        <f aca="false">VLOOKUP($H164,Constants!$I:$K, 3, FALSE())*IF(AND(G164="multiple_unit",AB164&lt;110),0.75,1)</f>
        <v>1.7</v>
      </c>
      <c r="BI164" s="0" t="n">
        <f aca="false">INT(POWER(((Constants!$G$2+$BB164+$BC164+$BD164+$BF164)*$BE164)*$BH164, 1.05))+$BA164</f>
        <v>90</v>
      </c>
      <c r="BJ164" s="0" t="n">
        <f aca="false">INT(POWER((((Constants!$G$1+$BB164+$BC164+$BD164+$BF164)*($BE164))*$BG164),IF($G164="wagon",1,1.2)))+$AZ164</f>
        <v>136</v>
      </c>
      <c r="BK164" s="17" t="n">
        <f aca="false">BI164*IF($G164="wagon",62.5,781.25)</f>
        <v>70312.5</v>
      </c>
      <c r="BL164" s="17" t="n">
        <f aca="false">BJ164*IF($G164="wagon",2.73,81.25)</f>
        <v>11050</v>
      </c>
      <c r="BV164" s="0" t="n">
        <v>6</v>
      </c>
      <c r="CA164" s="0" t="str">
        <f aca="false">VLOOKUP(J164,Eras!$A$2:$C$10, 2, TRUE())</f>
        <v>big4</v>
      </c>
      <c r="CB164" s="0" t="s">
        <v>474</v>
      </c>
      <c r="CC164" s="0" t="str">
        <f aca="false">CONCATENATE(CA164,"_",CB164)</f>
        <v>big4_Express</v>
      </c>
      <c r="CD164" s="0" t="str">
        <f aca="false">_xlfn.CONCAT(H164, "_",I164)</f>
        <v>steam_RAIL</v>
      </c>
      <c r="CE164" s="6" t="str">
        <f aca="false" t="array" ref="CE164:CE164">_xlfn.CONCAT("{BLACK}Length: {GOLD}", TEXT(ROUNDUP(IF(AQ164&lt;&gt;"",SUM(VALUE(_xlfn.TEXTSPLIT(AQ164, ","))), SUM(VALUE(_xlfn.TEXTSPLIT(AN164, ",")))*IF(M164, M164, 1))/16, 1), "#,##0.0"), " tiles{}")</f>
        <v>{BLACK}Length: {GOLD}0.9 tiles{}</v>
      </c>
      <c r="CF164" s="0" t="str">
        <f aca="false">VLOOKUP($CD164, Constants!$M:$N, 2, FALSE())</f>
        <v>{BLACK}Powered by: {GOLD}Steam</v>
      </c>
      <c r="CG164" s="0" t="str">
        <f aca="false">IF(M164&gt;1,_xlfn.CONCAT("{BLACK}Cars: {GOLD}", M164),"")</f>
        <v/>
      </c>
      <c r="CH164" s="0" t="s">
        <v>602</v>
      </c>
      <c r="CI164" s="0" t="str">
        <f aca="false">IF($BU164="!param_no_gameplay_units","{GREEN}Included for gameplay purposes","")</f>
        <v/>
      </c>
      <c r="CJ164" s="0" t="str">
        <f aca="false">IF(BX164="buffet","{YELLOW}25% long distance bonus for consist{}",IF(BZ164="BRAKE","{YELLOW}Speed bonus for slow wagons{}",IF(BW164&gt;190,CONCATENATE("{YELLOW}",INT((BW164-185)/1.85),"% bonus for long distance travel{}"),IF(AND(BW164&lt;180,BW164&lt;&gt;0),CONCATENATE("{YELLOW}",INT((185-BW164)/1.85),"% penalty for long distance travel{}"),""))))</f>
        <v/>
      </c>
      <c r="CK164" s="0" t="str">
        <f aca="false">_xlfn.CONCAT(CF164,IF(CF164&lt;&gt;""," ",""),CG164,IF(OR(CG164&lt;&gt;"",CF164&lt;&gt;""),"{}",""),CE164,CJ164,"{SILVER}",CH164,IF(CI164&lt;&gt;"","{}{}",""),CI164)</f>
        <v>{BLACK}Powered by: {GOLD}Steam {}{BLACK}Length: {GOLD}0.9 tiles{}{SILVER}The Gresley A3 is a Pacific (4-6-2) locomotive famed for its 100mph+ performance hauling LNER's Flying Scotsman service.</v>
      </c>
    </row>
    <row r="165" customFormat="false" ht="14.25" hidden="false" customHeight="false" outlineLevel="0" collapsed="false">
      <c r="A165" s="0" t="s">
        <v>603</v>
      </c>
      <c r="B165" s="15" t="s">
        <v>604</v>
      </c>
      <c r="C165" s="0" t="n">
        <v>150</v>
      </c>
      <c r="E165" s="0" t="n">
        <v>53</v>
      </c>
      <c r="F165" s="0" t="s">
        <v>143</v>
      </c>
      <c r="G165" s="0" t="s">
        <v>445</v>
      </c>
      <c r="H165" s="0" t="s">
        <v>446</v>
      </c>
      <c r="I165" s="0" t="s">
        <v>92</v>
      </c>
      <c r="J165" s="0" t="n">
        <v>1930</v>
      </c>
      <c r="K165" s="0" t="n">
        <v>1934</v>
      </c>
      <c r="L165" s="0" t="n">
        <v>1965</v>
      </c>
      <c r="N165" s="0" t="n">
        <v>1200</v>
      </c>
      <c r="W165" s="0" t="n">
        <v>82</v>
      </c>
      <c r="X165" s="1" t="n">
        <v>44</v>
      </c>
      <c r="Z165" s="0" t="n">
        <v>118</v>
      </c>
      <c r="AA165" s="3" t="n">
        <f aca="false">IF(AND(W165&gt;0,Z165&gt;0),(Z165/((W165+X165)*10)),"")</f>
        <v>0.0936507936507937</v>
      </c>
      <c r="AB165" s="0" t="n">
        <v>90</v>
      </c>
      <c r="AC165" s="0" t="n">
        <f aca="false">ROUND(AB165*1.6, 0)</f>
        <v>144</v>
      </c>
      <c r="AE165" s="0" t="n">
        <v>1</v>
      </c>
      <c r="AF165" s="0" t="n">
        <v>11.76</v>
      </c>
      <c r="AG165" s="0" t="n">
        <v>11.76</v>
      </c>
      <c r="AJ165" s="4" t="n">
        <v>0</v>
      </c>
      <c r="AK165" s="0" t="str">
        <f aca="false">CONCATENATE(VLOOKUP(AL165, 'Voxel Sizes'!$A$2:$B$18,2,FALSE()),"x",INT(AH165*15), "x", INT(AI165*15))</f>
        <v>120x0x0</v>
      </c>
      <c r="AL165" s="0" t="n">
        <f aca="false">ROUND(15*((AG165*10)/256),0)</f>
        <v>7</v>
      </c>
      <c r="AM165" s="0" t="s">
        <v>124</v>
      </c>
      <c r="AN165" s="0" t="str">
        <f aca="false">CONCATENATE(VLOOKUP(AL165,Constants!$A$2:$C$16,IF(AM165&lt;&gt;"", 3, 2), FALSE()),IF(AM165&lt;&gt;"",CONCATENATE(",",VLOOKUP(AM165,$B:$AN,39,FALSE())),""))</f>
        <v>2,3,2,2,1,2</v>
      </c>
      <c r="AV165" s="0" t="n">
        <v>1</v>
      </c>
      <c r="AX165" s="0" t="n">
        <v>34</v>
      </c>
      <c r="AY165" s="16" t="n">
        <f aca="false">IF(L165&lt;&gt;"",MAX(16,(L165-J165)+8),"")</f>
        <v>43</v>
      </c>
      <c r="BB165" s="0" t="n">
        <f aca="false">MIN(AB165/150, 1)*30</f>
        <v>18</v>
      </c>
      <c r="BC165" s="0" t="n">
        <f aca="false">MIN(N165/4000, 1)*20</f>
        <v>6</v>
      </c>
      <c r="BD165" s="0" t="n">
        <f aca="false">MIN(Z165/400,1)*20</f>
        <v>5.9</v>
      </c>
      <c r="BE165" s="3" t="n">
        <f aca="false">1-(MAX(J165-1900, 0)/750)</f>
        <v>0.96</v>
      </c>
      <c r="BF165" s="0" t="n">
        <f aca="false">((MAX($M165,1)*MIN($AJ165/300,1)))*IF(G165="Wagon",50,10)</f>
        <v>0</v>
      </c>
      <c r="BG165" s="0" t="n">
        <f aca="false">VLOOKUP($H165,Constants!$I:$K, 2, FALSE())</f>
        <v>1.15</v>
      </c>
      <c r="BH165" s="0" t="n">
        <f aca="false">VLOOKUP($H165,Constants!$I:$K, 3, FALSE())*IF(AND(G165="multiple_unit",AB165&lt;110),0.75,1)</f>
        <v>1.7</v>
      </c>
      <c r="BI165" s="0" t="n">
        <f aca="false">INT(POWER(((Constants!$G$2+$BB165+$BC165+$BD165+$BF165)*$BE165)*$BH165, 1.05))+$BA165</f>
        <v>69</v>
      </c>
      <c r="BJ165" s="0" t="n">
        <f aca="false">INT(POWER((((Constants!$G$1+$BB165+$BC165+$BD165+$BF165)*($BE165))*$BG165),IF($G165="wagon",1,1.2)))+$AZ165</f>
        <v>108</v>
      </c>
      <c r="BK165" s="17" t="n">
        <f aca="false">BI165*IF($G165="wagon",62.5,781.25)</f>
        <v>53906.25</v>
      </c>
      <c r="BL165" s="17" t="n">
        <f aca="false">BJ165*IF($G165="wagon",2.73,81.25)</f>
        <v>8775</v>
      </c>
      <c r="BV165" s="0" t="n">
        <v>11</v>
      </c>
      <c r="CA165" s="0" t="str">
        <f aca="false">VLOOKUP(J165,Eras!$A$2:$C$10, 2, TRUE())</f>
        <v>big4</v>
      </c>
      <c r="CB165" s="0" t="s">
        <v>474</v>
      </c>
      <c r="CC165" s="0" t="str">
        <f aca="false">CONCATENATE(CA165,"_",CB165)</f>
        <v>big4_Express</v>
      </c>
      <c r="CD165" s="0" t="str">
        <f aca="false">_xlfn.CONCAT(H165, "_",I165)</f>
        <v>steam_RAIL</v>
      </c>
      <c r="CE165" s="6" t="str">
        <f aca="false" t="array" ref="CE165:CE165">_xlfn.CONCAT("{BLACK}Length: {GOLD}", TEXT(ROUNDUP(IF(AQ165&lt;&gt;"",SUM(VALUE(_xlfn.TEXTSPLIT(AQ165, ","))), SUM(VALUE(_xlfn.TEXTSPLIT(AN165, ",")))*IF(M165, M165, 1))/16, 1), "#,##0.0"), " tiles{}")</f>
        <v>{BLACK}Length: {GOLD}0.8 tiles{}</v>
      </c>
      <c r="CF165" s="0" t="str">
        <f aca="false">VLOOKUP($CD165, Constants!$M:$N, 2, FALSE())</f>
        <v>{BLACK}Powered by: {GOLD}Steam</v>
      </c>
      <c r="CG165" s="0" t="str">
        <f aca="false">IF(M165&gt;1,_xlfn.CONCAT("{BLACK}Cars: {GOLD}", M165),"")</f>
        <v/>
      </c>
      <c r="CH165" s="0" t="s">
        <v>605</v>
      </c>
      <c r="CI165" s="0" t="str">
        <f aca="false">IF($BU165="!param_no_gameplay_units","{GREEN}Included for gameplay purposes","")</f>
        <v/>
      </c>
      <c r="CJ165" s="0" t="str">
        <f aca="false">IF(BX165="buffet","{YELLOW}25% long distance bonus for consist{}",IF(BZ165="BRAKE","{YELLOW}Speed bonus for slow wagons{}",IF(BW165&gt;190,CONCATENATE("{YELLOW}",INT((BW165-185)/1.85),"% bonus for long distance travel{}"),IF(AND(BW165&lt;180,BW165&lt;&gt;0),CONCATENATE("{YELLOW}",INT((185-BW165)/1.85),"% penalty for long distance travel{}"),""))))</f>
        <v/>
      </c>
      <c r="CK165" s="0" t="str">
        <f aca="false">_xlfn.CONCAT(CF165,IF(CF165&lt;&gt;""," ",""),CG165,IF(OR(CG165&lt;&gt;"",CF165&lt;&gt;""),"{}",""),CE165,CJ165,"{SILVER}",CH165,IF(CI165&lt;&gt;"","{}{}",""),CI165)</f>
        <v>{BLACK}Powered by: {GOLD}Steam {}{BLACK}Length: {GOLD}0.8 tiles{}{SILVER}The Patriot class combined the Royal Scot chassis with boilers from the LNWR's Large Claughton class. Although none were preserved, there is a project to build a new Patriot-class locomotive.</v>
      </c>
    </row>
    <row r="166" customFormat="false" ht="14.25" hidden="false" customHeight="false" outlineLevel="0" collapsed="false">
      <c r="A166" s="0" t="s">
        <v>606</v>
      </c>
      <c r="B166" s="15" t="s">
        <v>607</v>
      </c>
      <c r="C166" s="0" t="n">
        <v>151</v>
      </c>
      <c r="E166" s="0" t="n">
        <v>54</v>
      </c>
      <c r="F166" s="0" t="s">
        <v>143</v>
      </c>
      <c r="G166" s="0" t="s">
        <v>445</v>
      </c>
      <c r="H166" s="0" t="s">
        <v>446</v>
      </c>
      <c r="I166" s="0" t="s">
        <v>92</v>
      </c>
      <c r="J166" s="0" t="n">
        <v>1929</v>
      </c>
      <c r="K166" s="0" t="n">
        <v>1950</v>
      </c>
      <c r="L166" s="0" t="n">
        <v>1971</v>
      </c>
      <c r="N166" s="0" t="n">
        <v>750</v>
      </c>
      <c r="P166" s="2" t="n">
        <v>17.5</v>
      </c>
      <c r="Q166" s="2" t="n">
        <v>24</v>
      </c>
      <c r="R166" s="2" t="n">
        <v>2</v>
      </c>
      <c r="S166" s="2" t="n">
        <v>200</v>
      </c>
      <c r="T166" s="18" t="n">
        <f aca="false">((($AB166/2)/60)*5280)/($U166*3.2*PI())</f>
        <v>187.57546864402</v>
      </c>
      <c r="U166" s="2" t="n">
        <v>1.4</v>
      </c>
      <c r="V166" s="2" t="n">
        <f aca="false">((($P166*$P166/4)*PI())*($Q166/12)*$R166*$S166*$T166)/(33000*1.1)</f>
        <v>994.318181818182</v>
      </c>
      <c r="W166" s="0" t="n">
        <v>48.3</v>
      </c>
      <c r="Z166" s="0" t="n">
        <v>100</v>
      </c>
      <c r="AA166" s="3" t="n">
        <f aca="false">IF(AND(W166&gt;0,Z166&gt;0),(Z166/((W166+X166)*10)),"")</f>
        <v>0.20703933747412</v>
      </c>
      <c r="AB166" s="0" t="n">
        <v>60</v>
      </c>
      <c r="AC166" s="0" t="n">
        <f aca="false">ROUND(AB166*1.6, 0)</f>
        <v>96</v>
      </c>
      <c r="AE166" s="0" t="n">
        <v>1</v>
      </c>
      <c r="AF166" s="0" t="n">
        <v>9.5</v>
      </c>
      <c r="AG166" s="0" t="n">
        <v>9.5</v>
      </c>
      <c r="AI166" s="0" t="n">
        <v>3.735</v>
      </c>
      <c r="AJ166" s="4" t="n">
        <v>0</v>
      </c>
      <c r="AK166" s="0" t="str">
        <f aca="false">CONCATENATE(VLOOKUP(AL166, 'Voxel Sizes'!$A$2:$B$18,2,FALSE()),"x",INT(AH166*15), "x", INT(AI166*15))</f>
        <v>102x0x56</v>
      </c>
      <c r="AL166" s="0" t="n">
        <f aca="false">ROUND(15*((AG166*10)/256),0)</f>
        <v>6</v>
      </c>
      <c r="AN166" s="0" t="str">
        <f aca="false">CONCATENATE(VLOOKUP(AL166,Constants!$A$2:$C$16,IF(AM166&lt;&gt;"", 3, 2), FALSE()),IF(AM166&lt;&gt;"",CONCATENATE(",",VLOOKUP(AM166,$B:$AN,39,FALSE())),""))</f>
        <v>2,2,2</v>
      </c>
      <c r="AV166" s="0" t="n">
        <v>1</v>
      </c>
      <c r="AX166" s="0" t="n">
        <v>37</v>
      </c>
      <c r="AY166" s="16" t="n">
        <f aca="false">IF(L166&lt;&gt;"",MAX(16,(L166-J166)+8),"")</f>
        <v>50</v>
      </c>
      <c r="BB166" s="0" t="n">
        <f aca="false">MIN(AB166/150, 1)*30</f>
        <v>12</v>
      </c>
      <c r="BC166" s="0" t="n">
        <f aca="false">MIN(N166/4000, 1)*20</f>
        <v>3.75</v>
      </c>
      <c r="BD166" s="0" t="n">
        <f aca="false">MIN(Z166/400,1)*20</f>
        <v>5</v>
      </c>
      <c r="BE166" s="3" t="n">
        <f aca="false">1-(MAX(J166-1900, 0)/750)</f>
        <v>0.961333333333333</v>
      </c>
      <c r="BF166" s="0" t="n">
        <f aca="false">((MAX($M166,1)*MIN($AJ166/300,1)))*IF(G166="Wagon",50,10)</f>
        <v>0</v>
      </c>
      <c r="BG166" s="0" t="n">
        <f aca="false">VLOOKUP($H166,Constants!$I:$K, 2, FALSE())</f>
        <v>1.15</v>
      </c>
      <c r="BH166" s="0" t="n">
        <f aca="false">VLOOKUP($H166,Constants!$I:$K, 3, FALSE())*IF(AND(G166="multiple_unit",AB166&lt;110),0.75,1)</f>
        <v>1.7</v>
      </c>
      <c r="BI166" s="0" t="n">
        <f aca="false">INT(POWER(((Constants!$G$2+$BB166+$BC166+$BD166+$BF166)*$BE166)*$BH166, 1.05))+$BA166</f>
        <v>50</v>
      </c>
      <c r="BJ166" s="0" t="n">
        <f aca="false">INT(POWER((((Constants!$G$1+$BB166+$BC166+$BD166+$BF166)*($BE166))*$BG166),IF($G166="wagon",1,1.2)))+$AZ166</f>
        <v>82</v>
      </c>
      <c r="BK166" s="17" t="n">
        <f aca="false">BI166*IF($G166="wagon",62.5,781.25)</f>
        <v>39062.5</v>
      </c>
      <c r="BL166" s="17" t="n">
        <f aca="false">BJ166*IF($G166="wagon",2.73,81.25)</f>
        <v>6662.5</v>
      </c>
      <c r="BV166" s="0" t="n">
        <v>7</v>
      </c>
      <c r="CA166" s="0" t="str">
        <f aca="false">VLOOKUP(J166,Eras!$A$2:$C$10, 2, TRUE())</f>
        <v>big4</v>
      </c>
      <c r="CB166" s="0" t="s">
        <v>513</v>
      </c>
      <c r="CC166" s="0" t="str">
        <f aca="false">CONCATENATE(CA166,"_",CB166)</f>
        <v>big4_Cheap</v>
      </c>
      <c r="CD166" s="0" t="str">
        <f aca="false">_xlfn.CONCAT(H166, "_",I166)</f>
        <v>steam_RAIL</v>
      </c>
      <c r="CE166" s="6" t="str">
        <f aca="false" t="array" ref="CE166:CE166">_xlfn.CONCAT("{BLACK}Length: {GOLD}", TEXT(ROUNDUP(IF(AQ166&lt;&gt;"",SUM(VALUE(_xlfn.TEXTSPLIT(AQ166, ","))), SUM(VALUE(_xlfn.TEXTSPLIT(AN166, ",")))*IF(M166, M166, 1))/16, 1), "#,##0.0"), " tiles{}")</f>
        <v>{BLACK}Length: {GOLD}0.4 tiles{}</v>
      </c>
      <c r="CF166" s="0" t="str">
        <f aca="false">VLOOKUP($CD166, Constants!$M:$N, 2, FALSE())</f>
        <v>{BLACK}Powered by: {GOLD}Steam</v>
      </c>
      <c r="CG166" s="0" t="str">
        <f aca="false">IF(M166&gt;1,_xlfn.CONCAT("{BLACK}Cars: {GOLD}", M166),"")</f>
        <v/>
      </c>
      <c r="CH166" s="0" t="s">
        <v>608</v>
      </c>
      <c r="CI166" s="0" t="str">
        <f aca="false">IF($BU166="!param_no_gameplay_units","{GREEN}Included for gameplay purposes","")</f>
        <v/>
      </c>
      <c r="CJ166" s="0" t="str">
        <f aca="false">IF(BX166="buffet","{YELLOW}25% long distance bonus for consist{}",IF(BZ166="BRAKE","{YELLOW}Speed bonus for slow wagons{}",IF(BW166&gt;190,CONCATENATE("{YELLOW}",INT((BW166-185)/1.85),"% bonus for long distance travel{}"),IF(AND(BW166&lt;180,BW166&lt;&gt;0),CONCATENATE("{YELLOW}",INT((185-BW166)/1.85),"% penalty for long distance travel{}"),""))))</f>
        <v/>
      </c>
      <c r="CK166" s="0" t="str">
        <f aca="false">_xlfn.CONCAT(CF166,IF(CF166&lt;&gt;""," ",""),CG166,IF(OR(CG166&lt;&gt;"",CF166&lt;&gt;""),"{}",""),CE166,CJ166,"{SILVER}",CH166,IF(CI166&lt;&gt;"","{}{}",""),CI166)</f>
        <v>{BLACK}Powered by: {GOLD}Steam {}{BLACK}Length: {GOLD}0.4 tiles{}{SILVER}The 5700 class numbered 863 locomotives, and was ubiquitous across the GWR network.</v>
      </c>
    </row>
    <row r="167" customFormat="false" ht="14.25" hidden="false" customHeight="true" outlineLevel="0" collapsed="false">
      <c r="A167" s="0" t="s">
        <v>609</v>
      </c>
      <c r="B167" s="15" t="s">
        <v>610</v>
      </c>
      <c r="C167" s="0" t="n">
        <v>152</v>
      </c>
      <c r="E167" s="0" t="n">
        <v>55</v>
      </c>
      <c r="F167" s="0" t="s">
        <v>143</v>
      </c>
      <c r="G167" s="0" t="s">
        <v>445</v>
      </c>
      <c r="H167" s="0" t="s">
        <v>446</v>
      </c>
      <c r="I167" s="0" t="s">
        <v>92</v>
      </c>
      <c r="J167" s="0" t="n">
        <v>1930</v>
      </c>
      <c r="K167" s="0" t="n">
        <v>1935</v>
      </c>
      <c r="L167" s="0" t="n">
        <v>1961</v>
      </c>
      <c r="N167" s="0" t="n">
        <v>1750</v>
      </c>
      <c r="P167" s="2" t="n">
        <v>16.5</v>
      </c>
      <c r="Q167" s="2" t="n">
        <v>26</v>
      </c>
      <c r="R167" s="2" t="n">
        <v>3</v>
      </c>
      <c r="S167" s="2" t="n">
        <v>220</v>
      </c>
      <c r="T167" s="18" t="n">
        <f aca="false">((($AB167/2)/60)*5280)/($U167*3.2*PI())</f>
        <v>207.896144413788</v>
      </c>
      <c r="U167" s="2" t="n">
        <v>2</v>
      </c>
      <c r="V167" s="2" t="n">
        <f aca="false">((($P167*$P167/4)*PI())*($Q167/12)*$R167*$S167*$T167)/(33000*1.1)</f>
        <v>1751.19140625</v>
      </c>
      <c r="W167" s="0" t="n">
        <v>68.2</v>
      </c>
      <c r="X167" s="1" t="n">
        <v>43.1</v>
      </c>
      <c r="Z167" s="0" t="n">
        <v>111</v>
      </c>
      <c r="AA167" s="3" t="n">
        <f aca="false">IF(AND(W167&gt;0,Z167&gt;0),(Z167/((W167+X167)*10)),"")</f>
        <v>0.0997304582210243</v>
      </c>
      <c r="AB167" s="0" t="n">
        <v>95</v>
      </c>
      <c r="AC167" s="0" t="n">
        <f aca="false">ROUND(AB167*1.6, 0)</f>
        <v>152</v>
      </c>
      <c r="AF167" s="0" t="n">
        <v>17.93</v>
      </c>
      <c r="AG167" s="0" t="n">
        <f aca="false">AF167-7.5</f>
        <v>10.43</v>
      </c>
      <c r="AI167" s="0" t="n">
        <v>3.96</v>
      </c>
      <c r="AJ167" s="4" t="n">
        <v>0</v>
      </c>
      <c r="AK167" s="0" t="str">
        <f aca="false">CONCATENATE(VLOOKUP(AL167, 'Voxel Sizes'!$A$2:$B$18,2,FALSE()),"x",INT(AH167*15), "x", INT(AI167*15))</f>
        <v>102x0x59</v>
      </c>
      <c r="AL167" s="0" t="n">
        <f aca="false">ROUND(15*((AG167*10)/256),0)</f>
        <v>6</v>
      </c>
      <c r="AM167" s="0" t="s">
        <v>122</v>
      </c>
      <c r="AN167" s="0" t="str">
        <f aca="false">CONCATENATE(VLOOKUP(AL167,Constants!$A$2:$C$16,IF(AM167&lt;&gt;"", 3, 2), FALSE()),IF(AM167&lt;&gt;"",CONCATENATE(",",VLOOKUP(AM167,$B:$AN,39,FALSE())),""))</f>
        <v>2,2,2,2,1,2</v>
      </c>
      <c r="AV167" s="0" t="n">
        <v>1</v>
      </c>
      <c r="AX167" s="0" t="n">
        <v>29</v>
      </c>
      <c r="AY167" s="16" t="n">
        <f aca="false">IF(L167&lt;&gt;"",MAX(16,(L167-J167)+8),"")</f>
        <v>39</v>
      </c>
      <c r="BB167" s="0" t="n">
        <f aca="false">MIN(AB167/150, 1)*30</f>
        <v>19</v>
      </c>
      <c r="BC167" s="0" t="n">
        <f aca="false">MIN(N167/4000, 1)*20</f>
        <v>8.75</v>
      </c>
      <c r="BD167" s="0" t="n">
        <f aca="false">MIN(Z167/400,1)*20</f>
        <v>5.55</v>
      </c>
      <c r="BE167" s="3" t="n">
        <f aca="false">1-(MAX(J167-1900, 0)/750)</f>
        <v>0.96</v>
      </c>
      <c r="BF167" s="0" t="n">
        <f aca="false">((MAX($M167,1)*MIN($AJ167/300,1)))*IF(G167="Wagon",50,10)</f>
        <v>0</v>
      </c>
      <c r="BG167" s="0" t="n">
        <f aca="false">VLOOKUP($H167,Constants!$I:$K, 2, FALSE())</f>
        <v>1.15</v>
      </c>
      <c r="BH167" s="0" t="n">
        <f aca="false">VLOOKUP($H167,Constants!$I:$K, 3, FALSE())*IF(AND(G167="multiple_unit",AB167&lt;110),0.75,1)</f>
        <v>1.7</v>
      </c>
      <c r="BI167" s="0" t="n">
        <f aca="false">INT(POWER(((Constants!$G$2+$BB167+$BC167+$BD167+$BF167)*$BE167)*$BH167, 1.05))+$BA167</f>
        <v>76</v>
      </c>
      <c r="BJ167" s="0" t="n">
        <f aca="false">INT(POWER((((Constants!$G$1+$BB167+$BC167+$BD167+$BF167)*($BE167))*$BG167),IF($G167="wagon",1,1.2)))+$AZ167</f>
        <v>118</v>
      </c>
      <c r="BK167" s="17" t="n">
        <f aca="false">BI167*IF($G167="wagon",62.5,781.25)</f>
        <v>59375</v>
      </c>
      <c r="BL167" s="17" t="n">
        <f aca="false">BJ167*IF($G167="wagon",2.73,81.25)</f>
        <v>9587.5</v>
      </c>
      <c r="BV167" s="0" t="n">
        <v>8</v>
      </c>
      <c r="CA167" s="0" t="str">
        <f aca="false">VLOOKUP(J167,Eras!$A$2:$C$10, 2, TRUE())</f>
        <v>big4</v>
      </c>
      <c r="CB167" s="0" t="s">
        <v>474</v>
      </c>
      <c r="CC167" s="0" t="str">
        <f aca="false">CONCATENATE(CA167,"_",CB167)</f>
        <v>big4_Express</v>
      </c>
      <c r="CD167" s="0" t="str">
        <f aca="false">_xlfn.CONCAT(H167, "_",I167)</f>
        <v>steam_RAIL</v>
      </c>
      <c r="CE167" s="6" t="str">
        <f aca="false" t="array" ref="CE167:CE167">_xlfn.CONCAT("{BLACK}Length: {GOLD}", TEXT(ROUNDUP(IF(AQ167&lt;&gt;"",SUM(VALUE(_xlfn.TEXTSPLIT(AQ167, ","))), SUM(VALUE(_xlfn.TEXTSPLIT(AN167, ",")))*IF(M167, M167, 1))/16, 1), "#,##0.0"), " tiles{}")</f>
        <v>{BLACK}Length: {GOLD}0.7 tiles{}</v>
      </c>
      <c r="CF167" s="0" t="str">
        <f aca="false">VLOOKUP($CD167, Constants!$M:$N, 2, FALSE())</f>
        <v>{BLACK}Powered by: {GOLD}Steam</v>
      </c>
      <c r="CG167" s="0" t="str">
        <f aca="false">IF(M167&gt;1,_xlfn.CONCAT("{BLACK}Cars: {GOLD}", M167),"")</f>
        <v/>
      </c>
      <c r="CH167" s="0" t="s">
        <v>611</v>
      </c>
      <c r="CI167" s="0" t="str">
        <f aca="false">IF($BU167="!param_no_gameplay_units","{GREEN}Included for gameplay purposes","")</f>
        <v/>
      </c>
      <c r="CJ167" s="0" t="str">
        <f aca="false">IF(BX167="buffet","{YELLOW}25% long distance bonus for consist{}",IF(BZ167="BRAKE","{YELLOW}Speed bonus for slow wagons{}",IF(BW167&gt;190,CONCATENATE("{YELLOW}",INT((BW167-185)/1.85),"% bonus for long distance travel{}"),IF(AND(BW167&lt;180,BW167&lt;&gt;0),CONCATENATE("{YELLOW}",INT((185-BW167)/1.85),"% penalty for long distance travel{}"),""))))</f>
        <v/>
      </c>
      <c r="CK167" s="0" t="str">
        <f aca="false">_xlfn.CONCAT(CF167,IF(CF167&lt;&gt;""," ",""),CG167,IF(OR(CG167&lt;&gt;"",CF167&lt;&gt;""),"{}",""),CE167,CJ167,"{SILVER}",CH167,IF(CI167&lt;&gt;"","{}{}",""),CI167)</f>
        <v>{BLACK}Powered by: {GOLD}Steam {}{BLACK}Length: {GOLD}0.7 tiles{}{SILVER}The Schools class was the most powerful 4-4-0 locomotive produced in  Europe, and the last British locomotive with such a wheel layout.</v>
      </c>
    </row>
    <row r="168" customFormat="false" ht="14.25" hidden="false" customHeight="false" outlineLevel="0" collapsed="false">
      <c r="A168" s="0" t="s">
        <v>612</v>
      </c>
      <c r="B168" s="15" t="s">
        <v>613</v>
      </c>
      <c r="C168" s="0" t="n">
        <v>153</v>
      </c>
      <c r="E168" s="0" t="n">
        <v>56</v>
      </c>
      <c r="F168" s="0" t="s">
        <v>143</v>
      </c>
      <c r="G168" s="0" t="s">
        <v>445</v>
      </c>
      <c r="H168" s="0" t="s">
        <v>446</v>
      </c>
      <c r="I168" s="0" t="s">
        <v>92</v>
      </c>
      <c r="J168" s="0" t="n">
        <v>1932</v>
      </c>
      <c r="K168" s="0" t="n">
        <v>1936</v>
      </c>
      <c r="L168" s="0" t="n">
        <v>1965</v>
      </c>
      <c r="N168" s="0" t="n">
        <v>600</v>
      </c>
      <c r="P168" s="2" t="n">
        <v>16</v>
      </c>
      <c r="Q168" s="2" t="n">
        <v>24</v>
      </c>
      <c r="R168" s="2" t="n">
        <v>2</v>
      </c>
      <c r="S168" s="2" t="n">
        <v>165</v>
      </c>
      <c r="T168" s="18" t="n">
        <f aca="false">((($AB168/2)/60)*5280)/($U168*3.2*PI())</f>
        <v>218.838046751356</v>
      </c>
      <c r="U168" s="2" t="n">
        <v>1.6</v>
      </c>
      <c r="V168" s="2" t="n">
        <f aca="false">((($P168*$P168/4)*PI())*($Q168/12)*$R168*$S168*$T168)/(33000*1.1)</f>
        <v>800</v>
      </c>
      <c r="W168" s="0" t="n">
        <v>43</v>
      </c>
      <c r="Z168" s="0" t="n">
        <v>62</v>
      </c>
      <c r="AA168" s="3" t="n">
        <f aca="false">IF(AND(W168&gt;0,Z168&gt;0),(Z168/((W168+X168)*10)),"")</f>
        <v>0.144186046511628</v>
      </c>
      <c r="AB168" s="0" t="n">
        <v>80</v>
      </c>
      <c r="AC168" s="0" t="n">
        <f aca="false">ROUND(AB168*1.6, 0)</f>
        <v>128</v>
      </c>
      <c r="AF168" s="0" t="n">
        <v>9.12</v>
      </c>
      <c r="AG168" s="0" t="n">
        <v>9.12</v>
      </c>
      <c r="AI168" s="0" t="n">
        <v>3.82</v>
      </c>
      <c r="AJ168" s="4" t="n">
        <v>0</v>
      </c>
      <c r="AK168" s="0" t="str">
        <f aca="false">CONCATENATE(VLOOKUP(AL168, 'Voxel Sizes'!$A$2:$B$18,2,FALSE()),"x",INT(AH168*15), "x", INT(AI168*15))</f>
        <v>82x0x57</v>
      </c>
      <c r="AL168" s="0" t="n">
        <f aca="false">ROUND(15*((AG168*10)/256),0)</f>
        <v>5</v>
      </c>
      <c r="AN168" s="0" t="str">
        <f aca="false">CONCATENATE(VLOOKUP(AL168,Constants!$A$2:$C$16,IF(AM168&lt;&gt;"", 3, 2), FALSE()),IF(AM168&lt;&gt;"",CONCATENATE(",",VLOOKUP(AM168,$B:$AN,39,FALSE())),""))</f>
        <v>2,1,2</v>
      </c>
      <c r="AV168" s="0" t="n">
        <v>1</v>
      </c>
      <c r="AX168" s="0" t="n">
        <v>36</v>
      </c>
      <c r="AY168" s="16" t="n">
        <f aca="false">IF(L168&lt;&gt;"",MAX(16,(L168-J168)+8),"")</f>
        <v>41</v>
      </c>
      <c r="BB168" s="0" t="n">
        <f aca="false">MIN(AB168/150, 1)*30</f>
        <v>16</v>
      </c>
      <c r="BC168" s="0" t="n">
        <f aca="false">MIN(N168/4000, 1)*20</f>
        <v>3</v>
      </c>
      <c r="BD168" s="0" t="n">
        <f aca="false">MIN(Z168/400,1)*20</f>
        <v>3.1</v>
      </c>
      <c r="BE168" s="3" t="n">
        <f aca="false">1-(MAX(J168-1900, 0)/750)</f>
        <v>0.957333333333333</v>
      </c>
      <c r="BF168" s="0" t="n">
        <f aca="false">((MAX($M168,1)*MIN($AJ168/300,1)))*IF(G168="Wagon",50,10)</f>
        <v>0</v>
      </c>
      <c r="BG168" s="0" t="n">
        <f aca="false">VLOOKUP($H168,Constants!$I:$K, 2, FALSE())</f>
        <v>1.15</v>
      </c>
      <c r="BH168" s="0" t="n">
        <f aca="false">VLOOKUP($H168,Constants!$I:$K, 3, FALSE())*IF(AND(G168="multiple_unit",AB168&lt;110),0.75,1)</f>
        <v>1.7</v>
      </c>
      <c r="BI168" s="0" t="n">
        <f aca="false">INT(POWER(((Constants!$G$2+$BB168+$BC168+$BD168+$BF168)*$BE168)*$BH168, 1.05))+$BA168</f>
        <v>53</v>
      </c>
      <c r="BJ168" s="0" t="n">
        <f aca="false">INT(POWER((((Constants!$G$1+$BB168+$BC168+$BD168+$BF168)*($BE168))*$BG168),IF($G168="wagon",1,1.2)))+$AZ168</f>
        <v>85</v>
      </c>
      <c r="BK168" s="17" t="n">
        <f aca="false">BI168*IF($G168="wagon",62.5,781.25)</f>
        <v>41406.25</v>
      </c>
      <c r="BL168" s="17" t="n">
        <f aca="false">BJ168*IF($G168="wagon",2.73,81.25)</f>
        <v>6906.25</v>
      </c>
      <c r="BV168" s="0" t="n">
        <v>10</v>
      </c>
      <c r="CA168" s="0" t="str">
        <f aca="false">VLOOKUP(J168,Eras!$A$2:$C$10, 2, TRUE())</f>
        <v>big4</v>
      </c>
      <c r="CB168" s="0" t="s">
        <v>513</v>
      </c>
      <c r="CC168" s="0" t="str">
        <f aca="false">CONCATENATE(CA168,"_",CB168)</f>
        <v>big4_Cheap</v>
      </c>
      <c r="CD168" s="0" t="str">
        <f aca="false">_xlfn.CONCAT(H168, "_",I168)</f>
        <v>steam_RAIL</v>
      </c>
      <c r="CE168" s="6" t="str">
        <f aca="false" t="array" ref="CE168:CE168">_xlfn.CONCAT("{BLACK}Length: {GOLD}", TEXT(ROUNDUP(IF(AQ168&lt;&gt;"",SUM(VALUE(_xlfn.TEXTSPLIT(AQ168, ","))), SUM(VALUE(_xlfn.TEXTSPLIT(AN168, ",")))*IF(M168, M168, 1))/16, 1), "#,##0.0"), " tiles{}")</f>
        <v>{BLACK}Length: {GOLD}0.4 tiles{}</v>
      </c>
      <c r="CF168" s="0" t="str">
        <f aca="false">VLOOKUP($CD168, Constants!$M:$N, 2, FALSE())</f>
        <v>{BLACK}Powered by: {GOLD}Steam</v>
      </c>
      <c r="CG168" s="0" t="str">
        <f aca="false">IF(M168&gt;1,_xlfn.CONCAT("{BLACK}Cars: {GOLD}", M168),"")</f>
        <v/>
      </c>
      <c r="CH168" s="0" t="s">
        <v>614</v>
      </c>
      <c r="CI168" s="0" t="str">
        <f aca="false">IF($BU168="!param_no_gameplay_units","{GREEN}Included for gameplay purposes","")</f>
        <v/>
      </c>
      <c r="CJ168" s="0" t="str">
        <f aca="false">IF(BX168="buffet","{YELLOW}25% long distance bonus for consist{}",IF(BZ168="BRAKE","{YELLOW}Speed bonus for slow wagons{}",IF(BW168&gt;190,CONCATENATE("{YELLOW}",INT((BW168-185)/1.85),"% bonus for long distance travel{}"),IF(AND(BW168&lt;180,BW168&lt;&gt;0),CONCATENATE("{YELLOW}",INT((185-BW168)/1.85),"% penalty for long distance travel{}"),""))))</f>
        <v/>
      </c>
      <c r="CK168" s="0" t="str">
        <f aca="false">_xlfn.CONCAT(CF168,IF(CF168&lt;&gt;""," ",""),CG168,IF(OR(CG168&lt;&gt;"",CF168&lt;&gt;""),"{}",""),CE168,CJ168,"{SILVER}",CH168,IF(CI168&lt;&gt;"","{}{}",""),CI168)</f>
        <v>{BLACK}Powered by: {GOLD}Steam {}{BLACK}Length: {GOLD}0.4 tiles{}{SILVER}The 1400 class (originally the 4800 class) is an update of an 1868 design with more modern features. Although small, it is capable of high speed.</v>
      </c>
    </row>
    <row r="169" customFormat="false" ht="14.25" hidden="false" customHeight="false" outlineLevel="0" collapsed="false">
      <c r="A169" s="0" t="s">
        <v>615</v>
      </c>
      <c r="B169" s="15" t="s">
        <v>616</v>
      </c>
      <c r="C169" s="0" t="n">
        <v>154</v>
      </c>
      <c r="E169" s="0" t="n">
        <v>57</v>
      </c>
      <c r="F169" s="0" t="s">
        <v>143</v>
      </c>
      <c r="G169" s="0" t="s">
        <v>445</v>
      </c>
      <c r="H169" s="0" t="s">
        <v>446</v>
      </c>
      <c r="I169" s="0" t="s">
        <v>92</v>
      </c>
      <c r="J169" s="0" t="n">
        <v>1934</v>
      </c>
      <c r="K169" s="0" t="n">
        <v>1951</v>
      </c>
      <c r="L169" s="0" t="n">
        <v>1967</v>
      </c>
      <c r="N169" s="0" t="n">
        <v>1250</v>
      </c>
      <c r="W169" s="0" t="n">
        <v>73.4</v>
      </c>
      <c r="X169" s="1" t="n">
        <v>46</v>
      </c>
      <c r="Z169" s="0" t="n">
        <v>113</v>
      </c>
      <c r="AA169" s="3" t="n">
        <f aca="false">IF(AND(W169&gt;0,Z169&gt;0),(Z169/((W169+X169)*10)),"")</f>
        <v>0.0946398659966499</v>
      </c>
      <c r="AB169" s="0" t="n">
        <v>92</v>
      </c>
      <c r="AC169" s="0" t="n">
        <f aca="false">ROUND(AB169*1.6, 0)</f>
        <v>147</v>
      </c>
      <c r="AE169" s="0" t="n">
        <v>1</v>
      </c>
      <c r="AF169" s="0" t="n">
        <v>11.76</v>
      </c>
      <c r="AG169" s="0" t="n">
        <v>11.76</v>
      </c>
      <c r="AJ169" s="4" t="n">
        <v>0</v>
      </c>
      <c r="AK169" s="0" t="str">
        <f aca="false">CONCATENATE(VLOOKUP(AL169, 'Voxel Sizes'!$A$2:$B$18,2,FALSE()),"x",INT(AH169*15), "x", INT(AI169*15))</f>
        <v>120x0x0</v>
      </c>
      <c r="AL169" s="0" t="n">
        <f aca="false">ROUND(15*((AG169*10)/256),0)</f>
        <v>7</v>
      </c>
      <c r="AM169" s="0" t="s">
        <v>126</v>
      </c>
      <c r="AN169" s="0" t="str">
        <f aca="false">CONCATENATE(VLOOKUP(AL169,Constants!$A$2:$C$16,IF(AM169&lt;&gt;"", 3, 2), FALSE()),IF(AM169&lt;&gt;"",CONCATENATE(",",VLOOKUP(AM169,$B:$AN,39,FALSE())),""))</f>
        <v>2,3,2,2,1,2</v>
      </c>
      <c r="AV169" s="0" t="n">
        <v>1</v>
      </c>
      <c r="AX169" s="0" t="n">
        <v>34</v>
      </c>
      <c r="AY169" s="16" t="n">
        <f aca="false">IF(L169&lt;&gt;"",MAX(16,(L169-J169)+8),"")</f>
        <v>41</v>
      </c>
      <c r="BB169" s="0" t="n">
        <f aca="false">MIN(AB169/150, 1)*30</f>
        <v>18.4</v>
      </c>
      <c r="BC169" s="0" t="n">
        <f aca="false">MIN(N169/4000, 1)*20</f>
        <v>6.25</v>
      </c>
      <c r="BD169" s="0" t="n">
        <f aca="false">MIN(Z169/400,1)*20</f>
        <v>5.65</v>
      </c>
      <c r="BE169" s="3" t="n">
        <f aca="false">1-(MAX(J169-1900, 0)/750)</f>
        <v>0.954666666666667</v>
      </c>
      <c r="BF169" s="0" t="n">
        <f aca="false">((MAX($M169,1)*MIN($AJ169/300,1)))*IF(G169="Wagon",50,10)</f>
        <v>0</v>
      </c>
      <c r="BG169" s="0" t="n">
        <f aca="false">VLOOKUP($H169,Constants!$I:$K, 2, FALSE())</f>
        <v>1.15</v>
      </c>
      <c r="BH169" s="0" t="n">
        <f aca="false">VLOOKUP($H169,Constants!$I:$K, 3, FALSE())*IF(AND(G169="multiple_unit",AB169&lt;110),0.75,1)</f>
        <v>1.7</v>
      </c>
      <c r="BI169" s="0" t="n">
        <f aca="false">INT(POWER(((Constants!$G$2+$BB169+$BC169+$BD169+$BF169)*$BE169)*$BH169, 1.05))+$BA169</f>
        <v>70</v>
      </c>
      <c r="BJ169" s="0" t="n">
        <f aca="false">INT(POWER((((Constants!$G$1+$BB169+$BC169+$BD169+$BF169)*($BE169))*$BG169),IF($G169="wagon",1,1.2)))+$AZ169</f>
        <v>108</v>
      </c>
      <c r="BK169" s="17" t="n">
        <f aca="false">BI169*IF($G169="wagon",62.5,781.25)</f>
        <v>54687.5</v>
      </c>
      <c r="BL169" s="17" t="n">
        <f aca="false">BJ169*IF($G169="wagon",2.73,81.25)</f>
        <v>8775</v>
      </c>
      <c r="BV169" s="0" t="n">
        <v>11</v>
      </c>
      <c r="CA169" s="0" t="str">
        <f aca="false">VLOOKUP(J169,Eras!$A$2:$C$10, 2, TRUE())</f>
        <v>big4</v>
      </c>
      <c r="CB169" s="0" t="s">
        <v>439</v>
      </c>
      <c r="CC169" s="0" t="str">
        <f aca="false">CONCATENATE(CA169,"_",CB169)</f>
        <v>big4_Mixed Traffic</v>
      </c>
      <c r="CD169" s="0" t="str">
        <f aca="false">_xlfn.CONCAT(H169, "_",I169)</f>
        <v>steam_RAIL</v>
      </c>
      <c r="CE169" s="6" t="str">
        <f aca="false" t="array" ref="CE169:CE169">_xlfn.CONCAT("{BLACK}Length: {GOLD}", TEXT(ROUNDUP(IF(AQ169&lt;&gt;"",SUM(VALUE(_xlfn.TEXTSPLIT(AQ169, ","))), SUM(VALUE(_xlfn.TEXTSPLIT(AN169, ",")))*IF(M169, M169, 1))/16, 1), "#,##0.0"), " tiles{}")</f>
        <v>{BLACK}Length: {GOLD}0.8 tiles{}</v>
      </c>
      <c r="CF169" s="0" t="str">
        <f aca="false">VLOOKUP($CD169, Constants!$M:$N, 2, FALSE())</f>
        <v>{BLACK}Powered by: {GOLD}Steam</v>
      </c>
      <c r="CG169" s="0" t="str">
        <f aca="false">IF(M169&gt;1,_xlfn.CONCAT("{BLACK}Cars: {GOLD}", M169),"")</f>
        <v/>
      </c>
      <c r="CH169" s="0" t="s">
        <v>617</v>
      </c>
      <c r="CI169" s="0" t="str">
        <f aca="false">IF($BU169="!param_no_gameplay_units","{GREEN}Included for gameplay purposes","")</f>
        <v/>
      </c>
      <c r="CJ169" s="0" t="str">
        <f aca="false">IF(BX169="buffet","{YELLOW}25% long distance bonus for consist{}",IF(BZ169="BRAKE","{YELLOW}Speed bonus for slow wagons{}",IF(BW169&gt;190,CONCATENATE("{YELLOW}",INT((BW169-185)/1.85),"% bonus for long distance travel{}"),IF(AND(BW169&lt;180,BW169&lt;&gt;0),CONCATENATE("{YELLOW}",INT((185-BW169)/1.85),"% penalty for long distance travel{}"),""))))</f>
        <v/>
      </c>
      <c r="CK169" s="0" t="str">
        <f aca="false">_xlfn.CONCAT(CF169,IF(CF169&lt;&gt;""," ",""),CG169,IF(OR(CG169&lt;&gt;"",CF169&lt;&gt;""),"{}",""),CE169,CJ169,"{SILVER}",CH169,IF(CI169&lt;&gt;"","{}{}",""),CI169)</f>
        <v>{BLACK}Powered by: {GOLD}Steam {}{BLACK}Length: {GOLD}0.8 tiles{}{SILVER}The Stanier Class 5, commonly known as the "Black 5", was a workhorse for the LMS and into the British Rail era. Although intended as a mixed traffic locomotive it was capable of high top speeds.</v>
      </c>
    </row>
    <row r="170" customFormat="false" ht="14.25" hidden="false" customHeight="false" outlineLevel="0" collapsed="false">
      <c r="A170" s="0" t="s">
        <v>618</v>
      </c>
      <c r="B170" s="15" t="s">
        <v>619</v>
      </c>
      <c r="C170" s="0" t="n">
        <v>155</v>
      </c>
      <c r="E170" s="0" t="n">
        <v>58</v>
      </c>
      <c r="F170" s="0" t="s">
        <v>143</v>
      </c>
      <c r="G170" s="0" t="s">
        <v>445</v>
      </c>
      <c r="H170" s="0" t="s">
        <v>446</v>
      </c>
      <c r="I170" s="0" t="s">
        <v>92</v>
      </c>
      <c r="J170" s="0" t="n">
        <v>1934</v>
      </c>
      <c r="K170" s="0" t="n">
        <v>1936</v>
      </c>
      <c r="L170" s="0" t="n">
        <v>1967</v>
      </c>
      <c r="N170" s="0" t="n">
        <v>1375</v>
      </c>
      <c r="W170" s="0" t="n">
        <v>80.8</v>
      </c>
      <c r="X170" s="1" t="n">
        <v>52</v>
      </c>
      <c r="Z170" s="0" t="n">
        <v>118</v>
      </c>
      <c r="AA170" s="3" t="n">
        <f aca="false">IF(AND(W170&gt;0,Z170&gt;0),(Z170/((W170+X170)*10)),"")</f>
        <v>0.088855421686747</v>
      </c>
      <c r="AB170" s="0" t="n">
        <v>95</v>
      </c>
      <c r="AC170" s="0" t="n">
        <f aca="false">ROUND(AB170*1.6, 0)</f>
        <v>152</v>
      </c>
      <c r="AE170" s="0" t="n">
        <v>1</v>
      </c>
      <c r="AF170" s="0" t="n">
        <v>12.09</v>
      </c>
      <c r="AG170" s="0" t="n">
        <v>12.09</v>
      </c>
      <c r="AJ170" s="4" t="n">
        <v>0</v>
      </c>
      <c r="AK170" s="0" t="str">
        <f aca="false">CONCATENATE(VLOOKUP(AL170, 'Voxel Sizes'!$A$2:$B$18,2,FALSE()),"x",INT(AH170*15), "x", INT(AI170*15))</f>
        <v>120x0x0</v>
      </c>
      <c r="AL170" s="0" t="n">
        <f aca="false">ROUND(15*((AG170*10)/256),0)</f>
        <v>7</v>
      </c>
      <c r="AM170" s="0" t="s">
        <v>124</v>
      </c>
      <c r="AN170" s="0" t="str">
        <f aca="false">CONCATENATE(VLOOKUP(AL170,Constants!$A$2:$C$16,IF(AM170&lt;&gt;"", 3, 2), FALSE()),IF(AM170&lt;&gt;"",CONCATENATE(",",VLOOKUP(AM170,$B:$AN,39,FALSE())),""))</f>
        <v>2,3,2,2,1,2</v>
      </c>
      <c r="AV170" s="0" t="n">
        <v>1</v>
      </c>
      <c r="AX170" s="0" t="n">
        <v>34</v>
      </c>
      <c r="AY170" s="16" t="n">
        <f aca="false">IF(L170&lt;&gt;"",MAX(16,(L170-J170)+8),"")</f>
        <v>41</v>
      </c>
      <c r="BB170" s="0" t="n">
        <f aca="false">MIN(AB170/150, 1)*30</f>
        <v>19</v>
      </c>
      <c r="BC170" s="0" t="n">
        <f aca="false">MIN(N170/4000, 1)*20</f>
        <v>6.875</v>
      </c>
      <c r="BD170" s="0" t="n">
        <f aca="false">MIN(Z170/400,1)*20</f>
        <v>5.9</v>
      </c>
      <c r="BE170" s="3" t="n">
        <f aca="false">1-(MAX(J170-1900, 0)/750)</f>
        <v>0.954666666666667</v>
      </c>
      <c r="BF170" s="0" t="n">
        <f aca="false">((MAX($M170,1)*MIN($AJ170/300,1)))*IF(G170="Wagon",50,10)</f>
        <v>0</v>
      </c>
      <c r="BG170" s="0" t="n">
        <f aca="false">VLOOKUP($H170,Constants!$I:$K, 2, FALSE())</f>
        <v>1.15</v>
      </c>
      <c r="BH170" s="0" t="n">
        <f aca="false">VLOOKUP($H170,Constants!$I:$K, 3, FALSE())*IF(AND(G170="multiple_unit",AB170&lt;110),0.75,1)</f>
        <v>1.7</v>
      </c>
      <c r="BI170" s="0" t="n">
        <f aca="false">INT(POWER(((Constants!$G$2+$BB170+$BC170+$BD170+$BF170)*$BE170)*$BH170, 1.05))+$BA170</f>
        <v>73</v>
      </c>
      <c r="BJ170" s="0" t="n">
        <f aca="false">INT(POWER((((Constants!$G$1+$BB170+$BC170+$BD170+$BF170)*($BE170))*$BG170),IF($G170="wagon",1,1.2)))+$AZ170</f>
        <v>112</v>
      </c>
      <c r="BK170" s="17" t="n">
        <f aca="false">BI170*IF($G170="wagon",62.5,781.25)</f>
        <v>57031.25</v>
      </c>
      <c r="BL170" s="17" t="n">
        <f aca="false">BJ170*IF($G170="wagon",2.73,81.25)</f>
        <v>9100</v>
      </c>
      <c r="BV170" s="0" t="n">
        <v>12</v>
      </c>
      <c r="CA170" s="0" t="str">
        <f aca="false">VLOOKUP(J170,Eras!$A$2:$C$10, 2, TRUE())</f>
        <v>big4</v>
      </c>
      <c r="CB170" s="0" t="s">
        <v>474</v>
      </c>
      <c r="CC170" s="0" t="str">
        <f aca="false">CONCATENATE(CA170,"_",CB170)</f>
        <v>big4_Express</v>
      </c>
      <c r="CD170" s="0" t="str">
        <f aca="false">_xlfn.CONCAT(H170, "_",I170)</f>
        <v>steam_RAIL</v>
      </c>
      <c r="CE170" s="6" t="str">
        <f aca="false" t="array" ref="CE170:CE170">_xlfn.CONCAT("{BLACK}Length: {GOLD}", TEXT(ROUNDUP(IF(AQ170&lt;&gt;"",SUM(VALUE(_xlfn.TEXTSPLIT(AQ170, ","))), SUM(VALUE(_xlfn.TEXTSPLIT(AN170, ",")))*IF(M170, M170, 1))/16, 1), "#,##0.0"), " tiles{}")</f>
        <v>{BLACK}Length: {GOLD}0.8 tiles{}</v>
      </c>
      <c r="CF170" s="0" t="str">
        <f aca="false">VLOOKUP($CD170, Constants!$M:$N, 2, FALSE())</f>
        <v>{BLACK}Powered by: {GOLD}Steam</v>
      </c>
      <c r="CG170" s="0" t="str">
        <f aca="false">IF(M170&gt;1,_xlfn.CONCAT("{BLACK}Cars: {GOLD}", M170),"")</f>
        <v/>
      </c>
      <c r="CH170" s="0" t="s">
        <v>620</v>
      </c>
      <c r="CI170" s="0" t="str">
        <f aca="false">IF($BU170="!param_no_gameplay_units","{GREEN}Included for gameplay purposes","")</f>
        <v/>
      </c>
      <c r="CJ170" s="0" t="str">
        <f aca="false">IF(BX170="buffet","{YELLOW}25% long distance bonus for consist{}",IF(BZ170="BRAKE","{YELLOW}Speed bonus for slow wagons{}",IF(BW170&gt;190,CONCATENATE("{YELLOW}",INT((BW170-185)/1.85),"% bonus for long distance travel{}"),IF(AND(BW170&lt;180,BW170&lt;&gt;0),CONCATENATE("{YELLOW}",INT((185-BW170)/1.85),"% penalty for long distance travel{}"),""))))</f>
        <v/>
      </c>
      <c r="CK170" s="0" t="str">
        <f aca="false">_xlfn.CONCAT(CF170,IF(CF170&lt;&gt;""," ",""),CG170,IF(OR(CG170&lt;&gt;"",CF170&lt;&gt;""),"{}",""),CE170,CJ170,"{SILVER}",CH170,IF(CI170&lt;&gt;"","{}{}",""),CI170)</f>
        <v>{BLACK}Powered by: {GOLD}Steam {}{BLACK}Length: {GOLD}0.8 tiles{}{SILVER}The Jubilee is the counterpart to the Class 5, often called the "Red Stanier" due to its red LMS livery. It was intended for passenger work, with slightly larger diameter driving wheels giving a higher top speed.</v>
      </c>
    </row>
    <row r="171" customFormat="false" ht="14.25" hidden="false" customHeight="false" outlineLevel="0" collapsed="false">
      <c r="A171" s="0" t="s">
        <v>621</v>
      </c>
      <c r="B171" s="15" t="s">
        <v>622</v>
      </c>
      <c r="C171" s="0" t="n">
        <v>156</v>
      </c>
      <c r="E171" s="0" t="n">
        <v>59</v>
      </c>
      <c r="F171" s="0" t="s">
        <v>143</v>
      </c>
      <c r="G171" s="0" t="s">
        <v>445</v>
      </c>
      <c r="H171" s="0" t="s">
        <v>446</v>
      </c>
      <c r="I171" s="0" t="s">
        <v>92</v>
      </c>
      <c r="J171" s="0" t="n">
        <v>1935</v>
      </c>
      <c r="L171" s="0" t="n">
        <v>1968</v>
      </c>
      <c r="N171" s="0" t="n">
        <v>1300</v>
      </c>
      <c r="W171" s="0" t="n">
        <v>73</v>
      </c>
      <c r="X171" s="1" t="n">
        <v>46</v>
      </c>
      <c r="Z171" s="0" t="n">
        <v>144</v>
      </c>
      <c r="AA171" s="3" t="n">
        <f aca="false">IF(AND(W171&gt;0,Z171&gt;0),(Z171/((W171+X171)*10)),"")</f>
        <v>0.121008403361345</v>
      </c>
      <c r="AB171" s="0" t="n">
        <v>70</v>
      </c>
      <c r="AC171" s="0" t="n">
        <f aca="false">ROUND(AB171*1.6, 0)</f>
        <v>112</v>
      </c>
      <c r="AF171" s="0" t="n">
        <v>19.22</v>
      </c>
      <c r="AG171" s="0" t="n">
        <f aca="false">19.22-7.46</f>
        <v>11.76</v>
      </c>
      <c r="AJ171" s="4" t="n">
        <v>0</v>
      </c>
      <c r="AK171" s="0" t="str">
        <f aca="false">CONCATENATE(VLOOKUP(AL171, 'Voxel Sizes'!$A$2:$B$18,2,FALSE()),"x",INT(AH171*15), "x", INT(AI171*15))</f>
        <v>120x0x0</v>
      </c>
      <c r="AL171" s="0" t="n">
        <f aca="false">ROUND(15*((AG171*10)/256),0)</f>
        <v>7</v>
      </c>
      <c r="AM171" s="0" t="s">
        <v>126</v>
      </c>
      <c r="AN171" s="0" t="str">
        <f aca="false">CONCATENATE(VLOOKUP(AL171,Constants!$A$2:$C$16,IF(AM171&lt;&gt;"", 3, 2), FALSE()),IF(AM171&lt;&gt;"",CONCATENATE(",",VLOOKUP(AM171,$B:$AN,39,FALSE())),""))</f>
        <v>2,3,2,2,1,2</v>
      </c>
      <c r="AV171" s="0" t="n">
        <v>1</v>
      </c>
      <c r="AX171" s="0" t="n">
        <v>34</v>
      </c>
      <c r="AY171" s="16" t="n">
        <f aca="false">IF(L171&lt;&gt;"",MAX(16,(L171-J171)+8),"")</f>
        <v>41</v>
      </c>
      <c r="BB171" s="0" t="n">
        <f aca="false">MIN(AB171/150, 1)*30</f>
        <v>14</v>
      </c>
      <c r="BC171" s="0" t="n">
        <f aca="false">MIN(N171/4000, 1)*20</f>
        <v>6.5</v>
      </c>
      <c r="BD171" s="0" t="n">
        <f aca="false">MIN(Z171/400,1)*20</f>
        <v>7.2</v>
      </c>
      <c r="BE171" s="3" t="n">
        <f aca="false">1-(MAX(J171-1900, 0)/750)</f>
        <v>0.953333333333333</v>
      </c>
      <c r="BF171" s="0" t="n">
        <f aca="false">((MAX($M171,1)*MIN($AJ171/300,1)))*IF(G171="Wagon",50,10)</f>
        <v>0</v>
      </c>
      <c r="BG171" s="0" t="n">
        <f aca="false">VLOOKUP($H171,Constants!$I:$K, 2, FALSE())</f>
        <v>1.15</v>
      </c>
      <c r="BH171" s="0" t="n">
        <f aca="false">VLOOKUP($H171,Constants!$I:$K, 3, FALSE())*IF(AND(G171="multiple_unit",AB171&lt;110),0.75,1)</f>
        <v>1.7</v>
      </c>
      <c r="BI171" s="0" t="n">
        <f aca="false">INT(POWER(((Constants!$G$2+$BB171+$BC171+$BD171+$BF171)*$BE171)*$BH171, 1.05))+$BA171</f>
        <v>64</v>
      </c>
      <c r="BJ171" s="0" t="n">
        <f aca="false">INT(POWER((((Constants!$G$1+$BB171+$BC171+$BD171+$BF171)*($BE171))*$BG171),IF($G171="wagon",1,1.2)))+$AZ171</f>
        <v>101</v>
      </c>
      <c r="BK171" s="17" t="n">
        <f aca="false">BI171*IF($G171="wagon",62.5,781.25)</f>
        <v>50000</v>
      </c>
      <c r="BL171" s="17" t="n">
        <f aca="false">BJ171*IF($G171="wagon",2.73,81.25)</f>
        <v>8206.25</v>
      </c>
      <c r="BV171" s="0" t="n">
        <v>1</v>
      </c>
      <c r="CA171" s="0" t="str">
        <f aca="false">VLOOKUP(J171,Eras!$A$2:$C$10, 2, TRUE())</f>
        <v>big4</v>
      </c>
      <c r="CB171" s="0" t="s">
        <v>478</v>
      </c>
      <c r="CC171" s="0" t="str">
        <f aca="false">CONCATENATE(CA171,"_",CB171)</f>
        <v>big4_Freight</v>
      </c>
      <c r="CD171" s="0" t="str">
        <f aca="false">_xlfn.CONCAT(H171, "_",I171)</f>
        <v>steam_RAIL</v>
      </c>
      <c r="CE171" s="6" t="str">
        <f aca="false" t="array" ref="CE171:CE171">_xlfn.CONCAT("{BLACK}Length: {GOLD}", TEXT(ROUNDUP(IF(AQ171&lt;&gt;"",SUM(VALUE(_xlfn.TEXTSPLIT(AQ171, ","))), SUM(VALUE(_xlfn.TEXTSPLIT(AN171, ",")))*IF(M171, M171, 1))/16, 1), "#,##0.0"), " tiles{}")</f>
        <v>{BLACK}Length: {GOLD}0.8 tiles{}</v>
      </c>
      <c r="CF171" s="0" t="str">
        <f aca="false">VLOOKUP($CD171, Constants!$M:$N, 2, FALSE())</f>
        <v>{BLACK}Powered by: {GOLD}Steam</v>
      </c>
      <c r="CG171" s="0" t="str">
        <f aca="false">IF(M171&gt;1,_xlfn.CONCAT("{BLACK}Cars: {GOLD}", M171),"")</f>
        <v/>
      </c>
      <c r="CH171" s="0" t="s">
        <v>623</v>
      </c>
      <c r="CI171" s="0" t="str">
        <f aca="false">IF($BU171="!param_no_gameplay_units","{GREEN}Included for gameplay purposes","")</f>
        <v/>
      </c>
      <c r="CJ171" s="0" t="str">
        <f aca="false">IF(BX171="buffet","{YELLOW}25% long distance bonus for consist{}",IF(BZ171="BRAKE","{YELLOW}Speed bonus for slow wagons{}",IF(BW171&gt;190,CONCATENATE("{YELLOW}",INT((BW171-185)/1.85),"% bonus for long distance travel{}"),IF(AND(BW171&lt;180,BW171&lt;&gt;0),CONCATENATE("{YELLOW}",INT((185-BW171)/1.85),"% penalty for long distance travel{}"),""))))</f>
        <v/>
      </c>
      <c r="CK171" s="0" t="str">
        <f aca="false">_xlfn.CONCAT(CF171,IF(CF171&lt;&gt;""," ",""),CG171,IF(OR(CG171&lt;&gt;"",CF171&lt;&gt;""),"{}",""),CE171,CJ171,"{SILVER}",CH171,IF(CI171&lt;&gt;"","{}{}",""),CI171)</f>
        <v>{BLACK}Powered by: {GOLD}Steam {}{BLACK}Length: {GOLD}0.8 tiles{}{SILVER}The Stanier 8F is a further development of the Class 5, specialised for freight traffic with a 2-8-0 layout.</v>
      </c>
    </row>
    <row r="172" customFormat="false" ht="14.25" hidden="false" customHeight="false" outlineLevel="0" collapsed="false">
      <c r="A172" s="0" t="s">
        <v>624</v>
      </c>
      <c r="B172" s="15" t="s">
        <v>625</v>
      </c>
      <c r="C172" s="0" t="n">
        <v>157</v>
      </c>
      <c r="E172" s="0" t="n">
        <v>60</v>
      </c>
      <c r="F172" s="0" t="s">
        <v>143</v>
      </c>
      <c r="G172" s="0" t="s">
        <v>445</v>
      </c>
      <c r="H172" s="0" t="s">
        <v>446</v>
      </c>
      <c r="I172" s="0" t="s">
        <v>92</v>
      </c>
      <c r="J172" s="0" t="n">
        <v>1935</v>
      </c>
      <c r="K172" s="0" t="n">
        <v>1938</v>
      </c>
      <c r="L172" s="0" t="n">
        <v>1966</v>
      </c>
      <c r="N172" s="0" t="n">
        <v>2450</v>
      </c>
      <c r="W172" s="0" t="n">
        <v>104.6</v>
      </c>
      <c r="X172" s="1" t="n">
        <v>64</v>
      </c>
      <c r="Z172" s="0" t="n">
        <v>157</v>
      </c>
      <c r="AA172" s="3" t="n">
        <f aca="false">IF(AND(W172&gt;0,Z172&gt;0),(Z172/((W172+X172)*10)),"")</f>
        <v>0.0931198102016607</v>
      </c>
      <c r="AB172" s="0" t="n">
        <v>126</v>
      </c>
      <c r="AC172" s="0" t="n">
        <f aca="false">ROUND(AB172*1.6, 0)</f>
        <v>202</v>
      </c>
      <c r="AE172" s="0" t="n">
        <v>1</v>
      </c>
      <c r="AF172" s="0" t="n">
        <v>21.65</v>
      </c>
      <c r="AG172" s="0" t="n">
        <f aca="false">AF172-7.5</f>
        <v>14.15</v>
      </c>
      <c r="AI172" s="0" t="n">
        <v>3.99</v>
      </c>
      <c r="AJ172" s="4" t="n">
        <v>0</v>
      </c>
      <c r="AK172" s="0" t="str">
        <f aca="false">CONCATENATE(VLOOKUP(AL172, 'Voxel Sizes'!$A$2:$B$18,2,FALSE()),"x",INT(AH172*15), "x", INT(AI172*15))</f>
        <v>136x0x59</v>
      </c>
      <c r="AL172" s="0" t="n">
        <f aca="false">ROUND(15*((AG172*10)/256),0)</f>
        <v>8</v>
      </c>
      <c r="AM172" s="0" t="s">
        <v>128</v>
      </c>
      <c r="AN172" s="0" t="str">
        <f aca="false">CONCATENATE(VLOOKUP(AL172,Constants!$A$2:$C$16,IF(AM172&lt;&gt;"", 3, 2), FALSE()),IF(AM172&lt;&gt;"",CONCATENATE(",",VLOOKUP(AM172,$B:$AN,39,FALSE())),""))</f>
        <v>2,4,2,2,1,2</v>
      </c>
      <c r="AV172" s="0" t="n">
        <v>1</v>
      </c>
      <c r="AX172" s="0" t="n">
        <v>28</v>
      </c>
      <c r="AY172" s="16" t="n">
        <f aca="false">IF(L172&lt;&gt;"",MAX(16,(L172-J172)+8),"")</f>
        <v>39</v>
      </c>
      <c r="BB172" s="0" t="n">
        <f aca="false">MIN(AB172/150, 1)*30</f>
        <v>25.2</v>
      </c>
      <c r="BC172" s="0" t="n">
        <f aca="false">MIN(N172/4000, 1)*20</f>
        <v>12.25</v>
      </c>
      <c r="BD172" s="0" t="n">
        <f aca="false">MIN(Z172/400,1)*20</f>
        <v>7.85</v>
      </c>
      <c r="BE172" s="3" t="n">
        <f aca="false">1-(MAX(J172-1900, 0)/750)</f>
        <v>0.953333333333333</v>
      </c>
      <c r="BF172" s="0" t="n">
        <f aca="false">((MAX($M172,1)*MIN($AJ172/300,1)))*IF(G172="Wagon",50,10)</f>
        <v>0</v>
      </c>
      <c r="BG172" s="0" t="n">
        <f aca="false">VLOOKUP($H172,Constants!$I:$K, 2, FALSE())</f>
        <v>1.15</v>
      </c>
      <c r="BH172" s="0" t="n">
        <f aca="false">VLOOKUP($H172,Constants!$I:$K, 3, FALSE())*IF(AND(G172="multiple_unit",AB172&lt;110),0.75,1)</f>
        <v>1.7</v>
      </c>
      <c r="BI172" s="0" t="n">
        <f aca="false">INT(POWER(((Constants!$G$2+$BB172+$BC172+$BD172+$BF172)*$BE172)*$BH172, 1.05))+$BA172</f>
        <v>101</v>
      </c>
      <c r="BJ172" s="0" t="n">
        <f aca="false">INT(POWER((((Constants!$G$1+$BB172+$BC172+$BD172+$BF172)*($BE172))*$BG172),IF($G172="wagon",1,1.2)))+$AZ172</f>
        <v>152</v>
      </c>
      <c r="BK172" s="17" t="n">
        <f aca="false">BI172*IF($G172="wagon",62.5,781.25)</f>
        <v>78906.25</v>
      </c>
      <c r="BL172" s="17" t="n">
        <f aca="false">BJ172*IF($G172="wagon",2.73,81.25)</f>
        <v>12350</v>
      </c>
      <c r="BV172" s="0" t="n">
        <v>2</v>
      </c>
      <c r="CA172" s="0" t="str">
        <f aca="false">VLOOKUP(J172,Eras!$A$2:$C$10, 2, TRUE())</f>
        <v>big4</v>
      </c>
      <c r="CB172" s="0" t="s">
        <v>474</v>
      </c>
      <c r="CC172" s="0" t="str">
        <f aca="false">CONCATENATE(CA172,"_",CB172)</f>
        <v>big4_Express</v>
      </c>
      <c r="CD172" s="0" t="str">
        <f aca="false">_xlfn.CONCAT(H172, "_",I172)</f>
        <v>steam_RAIL</v>
      </c>
      <c r="CE172" s="6" t="str">
        <f aca="false" t="array" ref="CE172:CE172">_xlfn.CONCAT("{BLACK}Length: {GOLD}", TEXT(ROUNDUP(IF(AQ172&lt;&gt;"",SUM(VALUE(_xlfn.TEXTSPLIT(AQ172, ","))), SUM(VALUE(_xlfn.TEXTSPLIT(AN172, ",")))*IF(M172, M172, 1))/16, 1), "#,##0.0"), " tiles{}")</f>
        <v>{BLACK}Length: {GOLD}0.9 tiles{}</v>
      </c>
      <c r="CF172" s="0" t="str">
        <f aca="false">VLOOKUP($CD172, Constants!$M:$N, 2, FALSE())</f>
        <v>{BLACK}Powered by: {GOLD}Steam</v>
      </c>
      <c r="CG172" s="0" t="str">
        <f aca="false">IF(M172&gt;1,_xlfn.CONCAT("{BLACK}Cars: {GOLD}", M172),"")</f>
        <v/>
      </c>
      <c r="CH172" s="0" t="s">
        <v>626</v>
      </c>
      <c r="CI172" s="0" t="str">
        <f aca="false">IF($BU172="!param_no_gameplay_units","{GREEN}Included for gameplay purposes","")</f>
        <v/>
      </c>
      <c r="CJ172" s="0" t="str">
        <f aca="false">IF(BX172="buffet","{YELLOW}25% long distance bonus for consist{}",IF(BZ172="BRAKE","{YELLOW}Speed bonus for slow wagons{}",IF(BW172&gt;190,CONCATENATE("{YELLOW}",INT((BW172-185)/1.85),"% bonus for long distance travel{}"),IF(AND(BW172&lt;180,BW172&lt;&gt;0),CONCATENATE("{YELLOW}",INT((185-BW172)/1.85),"% penalty for long distance travel{}"),""))))</f>
        <v/>
      </c>
      <c r="CK172" s="0" t="str">
        <f aca="false">_xlfn.CONCAT(CF172,IF(CF172&lt;&gt;""," ",""),CG172,IF(OR(CG172&lt;&gt;"",CF172&lt;&gt;""),"{}",""),CE172,CJ172,"{SILVER}",CH172,IF(CI172&lt;&gt;"","{}{}",""),CI172)</f>
        <v>{BLACK}Powered by: {GOLD}Steam {}{BLACK}Length: {GOLD}0.9 tiles{}{SILVER}The Gresley A4 is the iconic pinnacle of high-speed British steam, holding numerous speed and power records.</v>
      </c>
    </row>
    <row r="173" customFormat="false" ht="14.25" hidden="false" customHeight="false" outlineLevel="0" collapsed="false">
      <c r="A173" s="0" t="s">
        <v>627</v>
      </c>
      <c r="B173" s="15" t="s">
        <v>628</v>
      </c>
      <c r="C173" s="0" t="n">
        <v>158</v>
      </c>
      <c r="E173" s="0" t="n">
        <v>61</v>
      </c>
      <c r="F173" s="0" t="s">
        <v>143</v>
      </c>
      <c r="G173" s="0" t="s">
        <v>445</v>
      </c>
      <c r="H173" s="0" t="s">
        <v>446</v>
      </c>
      <c r="I173" s="0" t="s">
        <v>92</v>
      </c>
      <c r="J173" s="0" t="n">
        <v>1936</v>
      </c>
      <c r="K173" s="0" t="n">
        <v>1944</v>
      </c>
      <c r="L173" s="0" t="n">
        <v>1966</v>
      </c>
      <c r="N173" s="0" t="n">
        <v>1900</v>
      </c>
      <c r="P173" s="2" t="n">
        <v>18.5</v>
      </c>
      <c r="Q173" s="2" t="n">
        <v>26</v>
      </c>
      <c r="R173" s="2" t="n">
        <v>3</v>
      </c>
      <c r="S173" s="2" t="n">
        <v>220</v>
      </c>
      <c r="T173" s="18" t="n">
        <f aca="false">((($AB173/2)/60)*5280)/($U173*3.2*PI())</f>
        <v>216.509982424214</v>
      </c>
      <c r="U173" s="2" t="n">
        <v>1.88</v>
      </c>
      <c r="V173" s="2" t="n">
        <f aca="false">((($P173*$P173/4)*PI())*($Q173/12)*$R173*$S173*$T173)/(33000*1.1)</f>
        <v>2292.66539228723</v>
      </c>
      <c r="W173" s="0" t="n">
        <v>91</v>
      </c>
      <c r="X173" s="1" t="n">
        <v>54</v>
      </c>
      <c r="Z173" s="0" t="n">
        <v>150</v>
      </c>
      <c r="AA173" s="3" t="n">
        <f aca="false">IF(AND(W173&gt;0,Z173&gt;0),(Z173/((W173+X173)*10)),"")</f>
        <v>0.103448275862069</v>
      </c>
      <c r="AB173" s="0" t="n">
        <v>93</v>
      </c>
      <c r="AC173" s="0" t="n">
        <f aca="false">ROUND(AB173*1.6, 0)</f>
        <v>149</v>
      </c>
      <c r="AE173" s="0" t="n">
        <v>1</v>
      </c>
      <c r="AF173" s="0" t="n">
        <v>20.24</v>
      </c>
      <c r="AG173" s="0" t="n">
        <f aca="false">AF173-7.5</f>
        <v>12.74</v>
      </c>
      <c r="AJ173" s="4" t="n">
        <v>0</v>
      </c>
      <c r="AK173" s="0" t="str">
        <f aca="false">CONCATENATE(VLOOKUP(AL173, 'Voxel Sizes'!$A$2:$B$18,2,FALSE()),"x",INT(AH173*15), "x", INT(AI173*15))</f>
        <v>120x0x0</v>
      </c>
      <c r="AL173" s="0" t="n">
        <f aca="false">ROUND(15*((AG173*10)/256),0)</f>
        <v>7</v>
      </c>
      <c r="AM173" s="0" t="s">
        <v>128</v>
      </c>
      <c r="AN173" s="0" t="str">
        <f aca="false">CONCATENATE(VLOOKUP(AL173,Constants!$A$2:$C$16,IF(AM173&lt;&gt;"", 3, 2), FALSE()),IF(AM173&lt;&gt;"",CONCATENATE(",",VLOOKUP(AM173,$B:$AN,39,FALSE())),""))</f>
        <v>2,3,2,2,1,2</v>
      </c>
      <c r="AV173" s="0" t="n">
        <v>1</v>
      </c>
      <c r="AX173" s="0" t="n">
        <v>32</v>
      </c>
      <c r="AY173" s="16" t="n">
        <f aca="false">IF(L173&lt;&gt;"",MAX(16,(L173-J173)+8),"")</f>
        <v>38</v>
      </c>
      <c r="BB173" s="0" t="n">
        <f aca="false">MIN(AB173/150, 1)*30</f>
        <v>18.6</v>
      </c>
      <c r="BC173" s="0" t="n">
        <f aca="false">MIN(N173/4000, 1)*20</f>
        <v>9.5</v>
      </c>
      <c r="BD173" s="0" t="n">
        <f aca="false">MIN(Z173/400,1)*20</f>
        <v>7.5</v>
      </c>
      <c r="BE173" s="3" t="n">
        <f aca="false">1-(MAX(J173-1900, 0)/750)</f>
        <v>0.952</v>
      </c>
      <c r="BF173" s="0" t="n">
        <f aca="false">((MAX($M173,1)*MIN($AJ173/300,1)))*IF(G173="Wagon",50,10)</f>
        <v>0</v>
      </c>
      <c r="BG173" s="0" t="n">
        <f aca="false">VLOOKUP($H173,Constants!$I:$K, 2, FALSE())</f>
        <v>1.15</v>
      </c>
      <c r="BH173" s="0" t="n">
        <f aca="false">VLOOKUP($H173,Constants!$I:$K, 3, FALSE())*IF(AND(G173="multiple_unit",AB173&lt;110),0.75,1)</f>
        <v>1.7</v>
      </c>
      <c r="BI173" s="0" t="n">
        <f aca="false">INT(POWER(((Constants!$G$2+$BB173+$BC173+$BD173+$BF173)*$BE173)*$BH173, 1.05))+$BA173</f>
        <v>81</v>
      </c>
      <c r="BJ173" s="0" t="n">
        <f aca="false">INT(POWER((((Constants!$G$1+$BB173+$BC173+$BD173+$BF173)*($BE173))*$BG173),IF($G173="wagon",1,1.2)))+$AZ173</f>
        <v>123</v>
      </c>
      <c r="BK173" s="17" t="n">
        <f aca="false">BI173*IF($G173="wagon",62.5,781.25)</f>
        <v>63281.25</v>
      </c>
      <c r="BL173" s="17" t="n">
        <f aca="false">BJ173*IF($G173="wagon",2.73,81.25)</f>
        <v>9993.75</v>
      </c>
      <c r="BV173" s="0" t="n">
        <v>3</v>
      </c>
      <c r="CA173" s="0" t="str">
        <f aca="false">VLOOKUP(J173,Eras!$A$2:$C$10, 2, TRUE())</f>
        <v>big4</v>
      </c>
      <c r="CB173" s="0" t="s">
        <v>439</v>
      </c>
      <c r="CC173" s="0" t="str">
        <f aca="false">CONCATENATE(CA173,"_",CB173)</f>
        <v>big4_Mixed Traffic</v>
      </c>
      <c r="CD173" s="0" t="str">
        <f aca="false">_xlfn.CONCAT(H173, "_",I173)</f>
        <v>steam_RAIL</v>
      </c>
      <c r="CE173" s="6" t="str">
        <f aca="false" t="array" ref="CE173:CE173">_xlfn.CONCAT("{BLACK}Length: {GOLD}", TEXT(ROUNDUP(IF(AQ173&lt;&gt;"",SUM(VALUE(_xlfn.TEXTSPLIT(AQ173, ","))), SUM(VALUE(_xlfn.TEXTSPLIT(AN173, ",")))*IF(M173, M173, 1))/16, 1), "#,##0.0"), " tiles{}")</f>
        <v>{BLACK}Length: {GOLD}0.8 tiles{}</v>
      </c>
      <c r="CF173" s="0" t="str">
        <f aca="false">VLOOKUP($CD173, Constants!$M:$N, 2, FALSE())</f>
        <v>{BLACK}Powered by: {GOLD}Steam</v>
      </c>
      <c r="CG173" s="0" t="str">
        <f aca="false">IF(M173&gt;1,_xlfn.CONCAT("{BLACK}Cars: {GOLD}", M173),"")</f>
        <v/>
      </c>
      <c r="CH173" s="0" t="s">
        <v>629</v>
      </c>
      <c r="CI173" s="0" t="str">
        <f aca="false">IF($BU173="!param_no_gameplay_units","{GREEN}Included for gameplay purposes","")</f>
        <v/>
      </c>
      <c r="CJ173" s="0" t="str">
        <f aca="false">IF(BX173="buffet","{YELLOW}25% long distance bonus for consist{}",IF(BZ173="BRAKE","{YELLOW}Speed bonus for slow wagons{}",IF(BW173&gt;190,CONCATENATE("{YELLOW}",INT((BW173-185)/1.85),"% bonus for long distance travel{}"),IF(AND(BW173&lt;180,BW173&lt;&gt;0),CONCATENATE("{YELLOW}",INT((185-BW173)/1.85),"% penalty for long distance travel{}"),""))))</f>
        <v/>
      </c>
      <c r="CK173" s="0" t="str">
        <f aca="false">_xlfn.CONCAT(CF173,IF(CF173&lt;&gt;""," ",""),CG173,IF(OR(CG173&lt;&gt;"",CF173&lt;&gt;""),"{}",""),CE173,CJ173,"{SILVER}",CH173,IF(CI173&lt;&gt;"","{}{}",""),CI173)</f>
        <v>{BLACK}Powered by: {GOLD}Steam {}{BLACK}Length: {GOLD}0.8 tiles{}{SILVER}The Gresley V2 is derived from the A3 type, adapted to mixed traffic with a shorter boiler, smaller driving wheels and a 2-6-2 layout.</v>
      </c>
    </row>
    <row r="174" customFormat="false" ht="14.25" hidden="false" customHeight="false" outlineLevel="0" collapsed="false">
      <c r="A174" s="0" t="s">
        <v>630</v>
      </c>
      <c r="B174" s="15" t="s">
        <v>631</v>
      </c>
      <c r="C174" s="0" t="n">
        <v>159</v>
      </c>
      <c r="E174" s="0" t="n">
        <v>62</v>
      </c>
      <c r="F174" s="0" t="s">
        <v>143</v>
      </c>
      <c r="G174" s="0" t="s">
        <v>445</v>
      </c>
      <c r="H174" s="0" t="s">
        <v>446</v>
      </c>
      <c r="I174" s="0" t="s">
        <v>92</v>
      </c>
      <c r="J174" s="0" t="n">
        <v>1936</v>
      </c>
      <c r="K174" s="0" t="n">
        <v>1939</v>
      </c>
      <c r="L174" s="0" t="n">
        <v>1965</v>
      </c>
      <c r="N174" s="0" t="n">
        <v>1600</v>
      </c>
      <c r="P174" s="2" t="n">
        <v>18.5</v>
      </c>
      <c r="Q174" s="2" t="n">
        <v>30</v>
      </c>
      <c r="R174" s="2" t="n">
        <v>2</v>
      </c>
      <c r="S174" s="2" t="n">
        <v>225</v>
      </c>
      <c r="T174" s="18" t="n">
        <f aca="false">((($AB174/2)/60)*5280)/($U174*3.2*PI())</f>
        <v>193.092394192373</v>
      </c>
      <c r="U174" s="2" t="n">
        <v>1.7</v>
      </c>
      <c r="V174" s="2" t="n">
        <f aca="false">((($P174*$P174/4)*PI())*($Q174/12)*$R174*$S174*$T174)/(33000*1.1)</f>
        <v>1608.5864388369</v>
      </c>
      <c r="W174" s="0" t="n">
        <v>75.2</v>
      </c>
      <c r="X174" s="1" t="n">
        <v>48</v>
      </c>
      <c r="Z174" s="0" t="n">
        <v>128</v>
      </c>
      <c r="AA174" s="3" t="n">
        <f aca="false">IF(AND(W174&gt;0,Z174&gt;0),(Z174/((W174+X174)*10)),"")</f>
        <v>0.103896103896104</v>
      </c>
      <c r="AB174" s="0" t="n">
        <v>75</v>
      </c>
      <c r="AC174" s="0" t="n">
        <f aca="false">ROUND(AB174*1.6, 0)</f>
        <v>120</v>
      </c>
      <c r="AF174" s="0" t="n">
        <v>19.21</v>
      </c>
      <c r="AG174" s="0" t="n">
        <f aca="false">AF174-7.5</f>
        <v>11.71</v>
      </c>
      <c r="AI174" s="0" t="n">
        <v>3.96</v>
      </c>
      <c r="AJ174" s="4" t="n">
        <v>0</v>
      </c>
      <c r="AK174" s="0" t="str">
        <f aca="false">CONCATENATE(VLOOKUP(AL174, 'Voxel Sizes'!$A$2:$B$18,2,FALSE()),"x",INT(AH174*15), "x", INT(AI174*15))</f>
        <v>120x0x59</v>
      </c>
      <c r="AL174" s="0" t="n">
        <f aca="false">ROUND(15*((AG174*10)/256),0)</f>
        <v>7</v>
      </c>
      <c r="AM174" s="0" t="s">
        <v>91</v>
      </c>
      <c r="AN174" s="0" t="str">
        <f aca="false">CONCATENATE(VLOOKUP(AL174,Constants!$A$2:$C$16,IF(AM174&lt;&gt;"", 3, 2), FALSE()),IF(AM174&lt;&gt;"",CONCATENATE(",",VLOOKUP(AM174,$B:$AN,39,FALSE())),""))</f>
        <v>2,3,2,2,1,2</v>
      </c>
      <c r="AV174" s="0" t="n">
        <v>1</v>
      </c>
      <c r="AX174" s="0" t="n">
        <v>30</v>
      </c>
      <c r="AY174" s="16" t="n">
        <f aca="false">IF(L174&lt;&gt;"",MAX(16,(L174-J174)+8),"")</f>
        <v>37</v>
      </c>
      <c r="BB174" s="0" t="n">
        <f aca="false">MIN(AB174/150, 1)*30</f>
        <v>15</v>
      </c>
      <c r="BC174" s="0" t="n">
        <f aca="false">MIN(N174/4000, 1)*20</f>
        <v>8</v>
      </c>
      <c r="BD174" s="0" t="n">
        <f aca="false">MIN(Z174/400,1)*20</f>
        <v>6.4</v>
      </c>
      <c r="BE174" s="3" t="n">
        <f aca="false">1-(MAX(J174-1900, 0)/750)</f>
        <v>0.952</v>
      </c>
      <c r="BF174" s="0" t="n">
        <f aca="false">((MAX($M174,1)*MIN($AJ174/300,1)))*IF(G174="Wagon",50,10)</f>
        <v>0</v>
      </c>
      <c r="BG174" s="0" t="n">
        <f aca="false">VLOOKUP($H174,Constants!$I:$K, 2, FALSE())</f>
        <v>1.15</v>
      </c>
      <c r="BH174" s="0" t="n">
        <f aca="false">VLOOKUP($H174,Constants!$I:$K, 3, FALSE())*IF(AND(G174="multiple_unit",AB174&lt;110),0.75,1)</f>
        <v>1.7</v>
      </c>
      <c r="BI174" s="0" t="n">
        <f aca="false">INT(POWER(((Constants!$G$2+$BB174+$BC174+$BD174+$BF174)*$BE174)*$BH174, 1.05))+$BA174</f>
        <v>68</v>
      </c>
      <c r="BJ174" s="0" t="n">
        <f aca="false">INT(POWER((((Constants!$G$1+$BB174+$BC174+$BD174+$BF174)*($BE174))*$BG174),IF($G174="wagon",1,1.2)))+$AZ174</f>
        <v>105</v>
      </c>
      <c r="BK174" s="17" t="n">
        <f aca="false">BI174*IF($G174="wagon",62.5,781.25)</f>
        <v>53125</v>
      </c>
      <c r="BL174" s="17" t="n">
        <f aca="false">BJ174*IF($G174="wagon",2.73,81.25)</f>
        <v>8531.25</v>
      </c>
      <c r="BV174" s="0" t="n">
        <v>4</v>
      </c>
      <c r="CA174" s="0" t="str">
        <f aca="false">VLOOKUP(J174,Eras!$A$2:$C$10, 2, TRUE())</f>
        <v>big4</v>
      </c>
      <c r="CB174" s="0" t="s">
        <v>439</v>
      </c>
      <c r="CC174" s="0" t="str">
        <f aca="false">CONCATENATE(CA174,"_",CB174)</f>
        <v>big4_Mixed Traffic</v>
      </c>
      <c r="CD174" s="0" t="str">
        <f aca="false">_xlfn.CONCAT(H174, "_",I174)</f>
        <v>steam_RAIL</v>
      </c>
      <c r="CE174" s="6" t="str">
        <f aca="false" t="array" ref="CE174:CE174">_xlfn.CONCAT("{BLACK}Length: {GOLD}", TEXT(ROUNDUP(IF(AQ174&lt;&gt;"",SUM(VALUE(_xlfn.TEXTSPLIT(AQ174, ","))), SUM(VALUE(_xlfn.TEXTSPLIT(AN174, ",")))*IF(M174, M174, 1))/16, 1), "#,##0.0"), " tiles{}")</f>
        <v>{BLACK}Length: {GOLD}0.8 tiles{}</v>
      </c>
      <c r="CF174" s="0" t="str">
        <f aca="false">VLOOKUP($CD174, Constants!$M:$N, 2, FALSE())</f>
        <v>{BLACK}Powered by: {GOLD}Steam</v>
      </c>
      <c r="CG174" s="0" t="str">
        <f aca="false">IF(M174&gt;1,_xlfn.CONCAT("{BLACK}Cars: {GOLD}", M174),"")</f>
        <v/>
      </c>
      <c r="CH174" s="0" t="s">
        <v>632</v>
      </c>
      <c r="CI174" s="0" t="str">
        <f aca="false">IF($BU174="!param_no_gameplay_units","{GREEN}Included for gameplay purposes","")</f>
        <v/>
      </c>
      <c r="CJ174" s="0" t="str">
        <f aca="false">IF(BX174="buffet","{YELLOW}25% long distance bonus for consist{}",IF(BZ174="BRAKE","{YELLOW}Speed bonus for slow wagons{}",IF(BW174&gt;190,CONCATENATE("{YELLOW}",INT((BW174-185)/1.85),"% bonus for long distance travel{}"),IF(AND(BW174&lt;180,BW174&lt;&gt;0),CONCATENATE("{YELLOW}",INT((185-BW174)/1.85),"% penalty for long distance travel{}"),""))))</f>
        <v/>
      </c>
      <c r="CK174" s="0" t="str">
        <f aca="false">_xlfn.CONCAT(CF174,IF(CF174&lt;&gt;""," ",""),CG174,IF(OR(CG174&lt;&gt;"",CF174&lt;&gt;""),"{}",""),CE174,CJ174,"{SILVER}",CH174,IF(CI174&lt;&gt;"","{}{}",""),CI174)</f>
        <v>{BLACK}Powered by: {GOLD}Steam {}{BLACK}Length: {GOLD}0.8 tiles{}{SILVER}The Grange class is a conservative design similar to the Hall class with smaller driving wheels, but proved to be reliable in service.</v>
      </c>
    </row>
    <row r="175" customFormat="false" ht="14.25" hidden="false" customHeight="false" outlineLevel="0" collapsed="false">
      <c r="A175" s="0" t="s">
        <v>633</v>
      </c>
      <c r="B175" s="15" t="s">
        <v>634</v>
      </c>
      <c r="C175" s="0" t="n">
        <v>160</v>
      </c>
      <c r="E175" s="0" t="n">
        <v>63</v>
      </c>
      <c r="F175" s="0" t="s">
        <v>143</v>
      </c>
      <c r="G175" s="0" t="s">
        <v>445</v>
      </c>
      <c r="H175" s="0" t="s">
        <v>446</v>
      </c>
      <c r="I175" s="0" t="s">
        <v>92</v>
      </c>
      <c r="J175" s="0" t="n">
        <v>1937</v>
      </c>
      <c r="K175" s="0" t="n">
        <v>1948</v>
      </c>
      <c r="L175" s="0" t="n">
        <v>1964</v>
      </c>
      <c r="N175" s="0" t="n">
        <v>2500</v>
      </c>
      <c r="W175" s="0" t="n">
        <v>110</v>
      </c>
      <c r="X175" s="1" t="n">
        <v>57</v>
      </c>
      <c r="Z175" s="0" t="n">
        <v>180</v>
      </c>
      <c r="AA175" s="3" t="n">
        <f aca="false">IF(AND(W175&gt;0,Z175&gt;0),(Z175/((W175+X175)*10)),"")</f>
        <v>0.107784431137725</v>
      </c>
      <c r="AB175" s="0" t="n">
        <v>115</v>
      </c>
      <c r="AC175" s="0" t="n">
        <f aca="false">ROUND(AB175*1.6, 0)</f>
        <v>184</v>
      </c>
      <c r="AE175" s="0" t="n">
        <v>1</v>
      </c>
      <c r="AF175" s="0" t="n">
        <v>22.49</v>
      </c>
      <c r="AG175" s="0" t="n">
        <f aca="false">AF175-7.5</f>
        <v>14.99</v>
      </c>
      <c r="AI175" s="0" t="n">
        <v>4.039</v>
      </c>
      <c r="AJ175" s="4" t="n">
        <v>0</v>
      </c>
      <c r="AK175" s="0" t="str">
        <f aca="false">CONCATENATE(VLOOKUP(AL175, 'Voxel Sizes'!$A$2:$B$18,2,FALSE()),"x",INT(AH175*15), "x", INT(AI175*15))</f>
        <v>152x0x60</v>
      </c>
      <c r="AL175" s="0" t="n">
        <f aca="false">ROUND(15*((AG175*10)/256),0)</f>
        <v>9</v>
      </c>
      <c r="AM175" s="0" t="s">
        <v>130</v>
      </c>
      <c r="AN175" s="0" t="str">
        <f aca="false">CONCATENATE(VLOOKUP(AL175,Constants!$A$2:$C$16,IF(AM175&lt;&gt;"", 3, 2), FALSE()),IF(AM175&lt;&gt;"",CONCATENATE(",",VLOOKUP(AM175,$B:$AN,39,FALSE())),""))</f>
        <v>2,5,2,2,1,2</v>
      </c>
      <c r="AV175" s="0" t="n">
        <v>1</v>
      </c>
      <c r="AX175" s="0" t="n">
        <v>35</v>
      </c>
      <c r="AY175" s="16" t="n">
        <f aca="false">IF(L175&lt;&gt;"",MAX(16,(L175-J175)+8),"")</f>
        <v>35</v>
      </c>
      <c r="BB175" s="0" t="n">
        <f aca="false">MIN(AB175/150, 1)*30</f>
        <v>23</v>
      </c>
      <c r="BC175" s="0" t="n">
        <f aca="false">MIN(N175/4000, 1)*20</f>
        <v>12.5</v>
      </c>
      <c r="BD175" s="0" t="n">
        <f aca="false">MIN(Z175/400,1)*20</f>
        <v>9</v>
      </c>
      <c r="BE175" s="3" t="n">
        <f aca="false">1-(MAX(J175-1900, 0)/750)</f>
        <v>0.950666666666667</v>
      </c>
      <c r="BF175" s="0" t="n">
        <f aca="false">((MAX($M175,1)*MIN($AJ175/300,1)))*IF(G175="Wagon",50,10)</f>
        <v>0</v>
      </c>
      <c r="BG175" s="0" t="n">
        <f aca="false">VLOOKUP($H175,Constants!$I:$K, 2, FALSE())</f>
        <v>1.15</v>
      </c>
      <c r="BH175" s="0" t="n">
        <f aca="false">VLOOKUP($H175,Constants!$I:$K, 3, FALSE())*IF(AND(G175="multiple_unit",AB175&lt;110),0.75,1)</f>
        <v>1.7</v>
      </c>
      <c r="BI175" s="0" t="n">
        <f aca="false">INT(POWER(((Constants!$G$2+$BB175+$BC175+$BD175+$BF175)*$BE175)*$BH175, 1.05))+$BA175</f>
        <v>99</v>
      </c>
      <c r="BJ175" s="0" t="n">
        <f aca="false">INT(POWER((((Constants!$G$1+$BB175+$BC175+$BD175+$BF175)*($BE175))*$BG175),IF($G175="wagon",1,1.2)))+$AZ175</f>
        <v>149</v>
      </c>
      <c r="BK175" s="17" t="n">
        <f aca="false">BI175*IF($G175="wagon",62.5,781.25)</f>
        <v>77343.75</v>
      </c>
      <c r="BL175" s="17" t="n">
        <f aca="false">BJ175*IF($G175="wagon",2.73,81.25)</f>
        <v>12106.25</v>
      </c>
      <c r="BV175" s="0" t="n">
        <v>5</v>
      </c>
      <c r="CA175" s="0" t="str">
        <f aca="false">VLOOKUP(J175,Eras!$A$2:$C$10, 2, TRUE())</f>
        <v>big4</v>
      </c>
      <c r="CB175" s="0" t="s">
        <v>474</v>
      </c>
      <c r="CC175" s="0" t="str">
        <f aca="false">CONCATENATE(CA175,"_",CB175)</f>
        <v>big4_Express</v>
      </c>
      <c r="CD175" s="0" t="str">
        <f aca="false">_xlfn.CONCAT(H175, "_",I175)</f>
        <v>steam_RAIL</v>
      </c>
      <c r="CE175" s="6" t="str">
        <f aca="false" t="array" ref="CE175:CE175">_xlfn.CONCAT("{BLACK}Length: {GOLD}", TEXT(ROUNDUP(IF(AQ175&lt;&gt;"",SUM(VALUE(_xlfn.TEXTSPLIT(AQ175, ","))), SUM(VALUE(_xlfn.TEXTSPLIT(AN175, ",")))*IF(M175, M175, 1))/16, 1), "#,##0.0"), " tiles{}")</f>
        <v>{BLACK}Length: {GOLD}0.9 tiles{}</v>
      </c>
      <c r="CF175" s="0" t="str">
        <f aca="false">VLOOKUP($CD175, Constants!$M:$N, 2, FALSE())</f>
        <v>{BLACK}Powered by: {GOLD}Steam</v>
      </c>
      <c r="CG175" s="0" t="str">
        <f aca="false">IF(M175&gt;1,_xlfn.CONCAT("{BLACK}Cars: {GOLD}", M175),"")</f>
        <v/>
      </c>
      <c r="CH175" s="0" t="s">
        <v>635</v>
      </c>
      <c r="CI175" s="0" t="str">
        <f aca="false">IF($BU175="!param_no_gameplay_units","{GREEN}Included for gameplay purposes","")</f>
        <v/>
      </c>
      <c r="CJ175" s="0" t="str">
        <f aca="false">IF(BX175="buffet","{YELLOW}25% long distance bonus for consist{}",IF(BZ175="BRAKE","{YELLOW}Speed bonus for slow wagons{}",IF(BW175&gt;190,CONCATENATE("{YELLOW}",INT((BW175-185)/1.85),"% bonus for long distance travel{}"),IF(AND(BW175&lt;180,BW175&lt;&gt;0),CONCATENATE("{YELLOW}",INT((185-BW175)/1.85),"% penalty for long distance travel{}"),""))))</f>
        <v/>
      </c>
      <c r="CK175" s="0" t="str">
        <f aca="false">_xlfn.CONCAT(CF175,IF(CF175&lt;&gt;""," ",""),CG175,IF(OR(CG175&lt;&gt;"",CF175&lt;&gt;""),"{}",""),CE175,CJ175,"{SILVER}",CH175,IF(CI175&lt;&gt;"","{}{}",""),CI175)</f>
        <v>{BLACK}Powered by: {GOLD}Steam {}{BLACK}Length: {GOLD}0.9 tiles{}{SILVER}The Stanier Coronation briefly held the British speed record for a steam locomotive. In real life, the streamlined casing was only fitted to early examples.</v>
      </c>
    </row>
    <row r="176" customFormat="false" ht="14.25" hidden="false" customHeight="false" outlineLevel="0" collapsed="false">
      <c r="A176" s="0" t="s">
        <v>636</v>
      </c>
      <c r="B176" s="15" t="s">
        <v>637</v>
      </c>
      <c r="C176" s="0" t="n">
        <v>161</v>
      </c>
      <c r="E176" s="0" t="n">
        <v>64</v>
      </c>
      <c r="F176" s="0" t="s">
        <v>143</v>
      </c>
      <c r="G176" s="0" t="s">
        <v>445</v>
      </c>
      <c r="H176" s="0" t="s">
        <v>446</v>
      </c>
      <c r="I176" s="0" t="s">
        <v>92</v>
      </c>
      <c r="J176" s="0" t="n">
        <v>1941</v>
      </c>
      <c r="K176" s="0" t="n">
        <v>1949</v>
      </c>
      <c r="L176" s="0" t="n">
        <v>1967</v>
      </c>
      <c r="N176" s="0" t="n">
        <v>2100</v>
      </c>
      <c r="P176" s="2" t="n">
        <v>18</v>
      </c>
      <c r="Q176" s="2" t="n">
        <v>24</v>
      </c>
      <c r="R176" s="2" t="n">
        <v>3</v>
      </c>
      <c r="S176" s="2" t="n">
        <v>250</v>
      </c>
      <c r="T176" s="18" t="n">
        <f aca="false">((($AB176/2)/60)*5280)/($U176*3.2*PI())</f>
        <v>241.87363061992</v>
      </c>
      <c r="U176" s="2" t="n">
        <v>1.9</v>
      </c>
      <c r="V176" s="2" t="n">
        <f aca="false">((($P176*$P176/4)*PI())*($Q176/12)*$R176*$S176*$T176)/(33000*1.1)</f>
        <v>2543.36124401914</v>
      </c>
      <c r="W176" s="0" t="n">
        <v>96.3</v>
      </c>
      <c r="X176" s="1" t="n">
        <v>52</v>
      </c>
      <c r="Z176" s="0" t="n">
        <v>167</v>
      </c>
      <c r="AA176" s="3" t="n">
        <f aca="false">IF(AND(W176&gt;0,Z176&gt;0),(Z176/((W176+X176)*10)),"")</f>
        <v>0.112609575185435</v>
      </c>
      <c r="AB176" s="0" t="n">
        <v>105</v>
      </c>
      <c r="AC176" s="0" t="n">
        <f aca="false">ROUND(AB176*1.6, 0)</f>
        <v>168</v>
      </c>
      <c r="AE176" s="0" t="n">
        <v>1</v>
      </c>
      <c r="AF176" s="0" t="n">
        <v>21.23</v>
      </c>
      <c r="AG176" s="0" t="n">
        <f aca="false">AF176-7.5</f>
        <v>13.73</v>
      </c>
      <c r="AJ176" s="4" t="n">
        <v>0</v>
      </c>
      <c r="AK176" s="0" t="str">
        <f aca="false">CONCATENATE(VLOOKUP(AL176, 'Voxel Sizes'!$A$2:$B$18,2,FALSE()),"x",INT(AH176*15), "x", INT(AI176*15))</f>
        <v>136x0x0</v>
      </c>
      <c r="AL176" s="0" t="n">
        <f aca="false">ROUND(15*((AG176*10)/256),0)</f>
        <v>8</v>
      </c>
      <c r="AM176" s="0" t="s">
        <v>132</v>
      </c>
      <c r="AN176" s="0" t="str">
        <f aca="false">CONCATENATE(VLOOKUP(AL176,Constants!$A$2:$C$16,IF(AM176&lt;&gt;"", 3, 2), FALSE()),IF(AM176&lt;&gt;"",CONCATENATE(",",VLOOKUP(AM176,$B:$AN,39,FALSE())),""))</f>
        <v>2,4,2,2,1,2</v>
      </c>
      <c r="AV176" s="0" t="n">
        <v>1</v>
      </c>
      <c r="AX176" s="0" t="n">
        <v>32</v>
      </c>
      <c r="AY176" s="16" t="n">
        <f aca="false">IF(L176&lt;&gt;"",MAX(16,(L176-J176)+8),"")</f>
        <v>34</v>
      </c>
      <c r="BB176" s="0" t="n">
        <f aca="false">MIN(AB176/150, 1)*30</f>
        <v>21</v>
      </c>
      <c r="BC176" s="0" t="n">
        <f aca="false">MIN(N176/4000, 1)*20</f>
        <v>10.5</v>
      </c>
      <c r="BD176" s="0" t="n">
        <f aca="false">MIN(Z176/400,1)*20</f>
        <v>8.35</v>
      </c>
      <c r="BE176" s="3" t="n">
        <f aca="false">1-(MAX(J176-1900, 0)/750)</f>
        <v>0.945333333333333</v>
      </c>
      <c r="BF176" s="0" t="n">
        <f aca="false">((MAX($M176,1)*MIN($AJ176/300,1)))*IF(G176="Wagon",50,10)</f>
        <v>0</v>
      </c>
      <c r="BG176" s="0" t="n">
        <f aca="false">VLOOKUP($H176,Constants!$I:$K, 2, FALSE())</f>
        <v>1.15</v>
      </c>
      <c r="BH176" s="0" t="n">
        <f aca="false">VLOOKUP($H176,Constants!$I:$K, 3, FALSE())*IF(AND(G176="multiple_unit",AB176&lt;110),0.75,1)</f>
        <v>1.7</v>
      </c>
      <c r="BI176" s="0" t="n">
        <f aca="false">INT(POWER(((Constants!$G$2+$BB176+$BC176+$BD176+$BF176)*$BE176)*$BH176, 1.05))+$BA176</f>
        <v>89</v>
      </c>
      <c r="BJ176" s="0" t="n">
        <f aca="false">INT(POWER((((Constants!$G$1+$BB176+$BC176+$BD176+$BF176)*($BE176))*$BG176),IF($G176="wagon",1,1.2)))+$AZ176</f>
        <v>135</v>
      </c>
      <c r="BK176" s="17" t="n">
        <f aca="false">BI176*IF($G176="wagon",62.5,781.25)</f>
        <v>69531.25</v>
      </c>
      <c r="BL176" s="17" t="n">
        <f aca="false">BJ176*IF($G176="wagon",2.73,81.25)</f>
        <v>10968.75</v>
      </c>
      <c r="BV176" s="0" t="n">
        <v>6</v>
      </c>
      <c r="CA176" s="0" t="str">
        <f aca="false">VLOOKUP(J176,Eras!$A$2:$C$10, 2, TRUE())</f>
        <v>big4</v>
      </c>
      <c r="CB176" s="0" t="s">
        <v>474</v>
      </c>
      <c r="CC176" s="0" t="str">
        <f aca="false">CONCATENATE(CA176,"_",CB176)</f>
        <v>big4_Express</v>
      </c>
      <c r="CD176" s="0" t="str">
        <f aca="false">_xlfn.CONCAT(H176, "_",I176)</f>
        <v>steam_RAIL</v>
      </c>
      <c r="CE176" s="6" t="str">
        <f aca="false" t="array" ref="CE176:CE176">_xlfn.CONCAT("{BLACK}Length: {GOLD}", TEXT(ROUNDUP(IF(AQ176&lt;&gt;"",SUM(VALUE(_xlfn.TEXTSPLIT(AQ176, ","))), SUM(VALUE(_xlfn.TEXTSPLIT(AN176, ",")))*IF(M176, M176, 1))/16, 1), "#,##0.0"), " tiles{}")</f>
        <v>{BLACK}Length: {GOLD}0.9 tiles{}</v>
      </c>
      <c r="CF176" s="0" t="str">
        <f aca="false">VLOOKUP($CD176, Constants!$M:$N, 2, FALSE())</f>
        <v>{BLACK}Powered by: {GOLD}Steam</v>
      </c>
      <c r="CG176" s="0" t="str">
        <f aca="false">IF(M176&gt;1,_xlfn.CONCAT("{BLACK}Cars: {GOLD}", M176),"")</f>
        <v/>
      </c>
      <c r="CH176" s="0" t="s">
        <v>638</v>
      </c>
      <c r="CI176" s="0" t="str">
        <f aca="false">IF($BU176="!param_no_gameplay_units","{GREEN}Included for gameplay purposes","")</f>
        <v/>
      </c>
      <c r="CJ176" s="0" t="str">
        <f aca="false">IF(BX176="buffet","{YELLOW}25% long distance bonus for consist{}",IF(BZ176="BRAKE","{YELLOW}Speed bonus for slow wagons{}",IF(BW176&gt;190,CONCATENATE("{YELLOW}",INT((BW176-185)/1.85),"% bonus for long distance travel{}"),IF(AND(BW176&lt;180,BW176&lt;&gt;0),CONCATENATE("{YELLOW}",INT((185-BW176)/1.85),"% penalty for long distance travel{}"),""))))</f>
        <v/>
      </c>
      <c r="CK176" s="0" t="str">
        <f aca="false">_xlfn.CONCAT(CF176,IF(CF176&lt;&gt;""," ",""),CG176,IF(OR(CG176&lt;&gt;"",CF176&lt;&gt;""),"{}",""),CE176,CJ176,"{SILVER}",CH176,IF(CI176&lt;&gt;"","{}{}",""),CI176)</f>
        <v>{BLACK}Powered by: {GOLD}Steam {}{BLACK}Length: {GOLD}0.9 tiles{}{SILVER}The SR Merchant Navy is a large, powerful locomotive with an air-smoothed casing. Bulleid's novel design features proved to be troublesome, and the class was later rebuilt.</v>
      </c>
    </row>
    <row r="177" customFormat="false" ht="14.25" hidden="false" customHeight="false" outlineLevel="0" collapsed="false">
      <c r="A177" s="0" t="s">
        <v>639</v>
      </c>
      <c r="B177" s="15" t="s">
        <v>640</v>
      </c>
      <c r="C177" s="0" t="n">
        <v>162</v>
      </c>
      <c r="E177" s="0" t="n">
        <v>65</v>
      </c>
      <c r="F177" s="0" t="s">
        <v>143</v>
      </c>
      <c r="G177" s="0" t="s">
        <v>445</v>
      </c>
      <c r="H177" s="0" t="s">
        <v>529</v>
      </c>
      <c r="I177" s="0" t="s">
        <v>641</v>
      </c>
      <c r="J177" s="0" t="n">
        <v>1941</v>
      </c>
      <c r="K177" s="0" t="n">
        <v>1948</v>
      </c>
      <c r="L177" s="0" t="n">
        <v>1968</v>
      </c>
      <c r="N177" s="0" t="n">
        <v>1470</v>
      </c>
      <c r="W177" s="0" t="n">
        <v>101</v>
      </c>
      <c r="Z177" s="0" t="n">
        <v>178</v>
      </c>
      <c r="AA177" s="3" t="n">
        <f aca="false">IF(AND(W177&gt;0,Z177&gt;0),(Z177/((W177+X177)*10)),"")</f>
        <v>0.176237623762376</v>
      </c>
      <c r="AB177" s="0" t="n">
        <v>75</v>
      </c>
      <c r="AC177" s="0" t="n">
        <f aca="false">ROUND(AB177*1.6, 0)</f>
        <v>120</v>
      </c>
      <c r="AE177" s="0" t="n">
        <v>1</v>
      </c>
      <c r="AF177" s="0" t="n">
        <v>17</v>
      </c>
      <c r="AG177" s="0" t="n">
        <v>17</v>
      </c>
      <c r="AJ177" s="4" t="n">
        <v>0</v>
      </c>
      <c r="AK177" s="0" t="str">
        <f aca="false">CONCATENATE(VLOOKUP(AL177, 'Voxel Sizes'!$A$2:$B$18,2,FALSE()),"x",INT(AH177*15), "x", INT(AI177*15))</f>
        <v>164x0x0</v>
      </c>
      <c r="AL177" s="0" t="n">
        <f aca="false">ROUND(15*((AG177*10)/256),0)</f>
        <v>10</v>
      </c>
      <c r="AN177" s="0" t="str">
        <f aca="false">CONCATENATE(VLOOKUP(AL177,Constants!$A$2:$C$16,IF(AM177&lt;&gt;"", 3, 2), FALSE()),IF(AM177&lt;&gt;"",CONCATENATE(",",VLOOKUP(AM177,$B:$AN,39,FALSE())),""))</f>
        <v>4,2,4</v>
      </c>
      <c r="AX177" s="0" t="n">
        <v>31</v>
      </c>
      <c r="AY177" s="16" t="n">
        <f aca="false">IF(L177&lt;&gt;"",MAX(16,(L177-J177)+8),"")</f>
        <v>35</v>
      </c>
      <c r="BB177" s="0" t="n">
        <f aca="false">MIN(AB177/150, 1)*30</f>
        <v>15</v>
      </c>
      <c r="BC177" s="0" t="n">
        <f aca="false">MIN(N177/4000, 1)*20</f>
        <v>7.35</v>
      </c>
      <c r="BD177" s="0" t="n">
        <f aca="false">MIN(Z177/400,1)*20</f>
        <v>8.9</v>
      </c>
      <c r="BE177" s="3" t="n">
        <f aca="false">1-(MAX(J177-1900, 0)/750)</f>
        <v>0.945333333333333</v>
      </c>
      <c r="BF177" s="0" t="n">
        <f aca="false">((MAX($M177,1)*MIN($AJ177/300,1)))*IF(G177="Wagon",50,10)</f>
        <v>0</v>
      </c>
      <c r="BG177" s="0" t="n">
        <f aca="false">VLOOKUP($H177,Constants!$I:$K, 2, FALSE())</f>
        <v>0.85</v>
      </c>
      <c r="BH177" s="0" t="n">
        <f aca="false">VLOOKUP($H177,Constants!$I:$K, 3, FALSE())*IF(AND(G177="multiple_unit",AB177&lt;110),0.75,1)</f>
        <v>2.3</v>
      </c>
      <c r="BI177" s="0" t="n">
        <f aca="false">INT(POWER(((Constants!$G$2+$BB177+$BC177+$BD177+$BF177)*$BE177)*$BH177, 1.05))+$BA177</f>
        <v>98</v>
      </c>
      <c r="BJ177" s="0" t="n">
        <f aca="false">INT(POWER((((Constants!$G$1+$BB177+$BC177+$BD177+$BF177)*($BE177))*$BG177),IF($G177="wagon",1,1.2)))+$AZ177</f>
        <v>76</v>
      </c>
      <c r="BK177" s="17" t="n">
        <f aca="false">BI177*IF($G177="wagon",62.5,781.25)</f>
        <v>76562.5</v>
      </c>
      <c r="BL177" s="17" t="n">
        <f aca="false">BJ177*IF($G177="wagon",2.73,81.25)</f>
        <v>6175</v>
      </c>
      <c r="BV177" s="0" t="n">
        <v>8</v>
      </c>
      <c r="CA177" s="0" t="str">
        <f aca="false">VLOOKUP(J177,Eras!$A$2:$C$10, 2, TRUE())</f>
        <v>big4</v>
      </c>
      <c r="CB177" s="0" t="s">
        <v>642</v>
      </c>
      <c r="CC177" s="0" t="str">
        <f aca="false">CONCATENATE(CA177,"_",CB177)</f>
        <v>big4_MT (Electric)</v>
      </c>
      <c r="CD177" s="0" t="str">
        <f aca="false">_xlfn.CONCAT(H177, "_",I177)</f>
        <v>electric_THIRD_RAIL</v>
      </c>
      <c r="CE177" s="6" t="str">
        <f aca="false" t="array" ref="CE177:CE177">_xlfn.CONCAT("{BLACK}Length: {GOLD}", TEXT(ROUNDUP(IF(AQ177&lt;&gt;"",SUM(VALUE(_xlfn.TEXTSPLIT(AQ177, ","))), SUM(VALUE(_xlfn.TEXTSPLIT(AN177, ",")))*IF(M177, M177, 1))/16, 1), "#,##0.0"), " tiles{}")</f>
        <v>{BLACK}Length: {GOLD}0.7 tiles{}</v>
      </c>
      <c r="CF177" s="0" t="str">
        <f aca="false">VLOOKUP($CD177, Constants!$M:$N, 2, FALSE())</f>
        <v>{BLACK}Powered by: {GOLD}750V DC</v>
      </c>
      <c r="CG177" s="0" t="str">
        <f aca="false">IF(M177&gt;1,_xlfn.CONCAT("{BLACK}Cars: {GOLD}", M177),"")</f>
        <v/>
      </c>
      <c r="CH177" s="0" t="s">
        <v>643</v>
      </c>
      <c r="CI177" s="0" t="str">
        <f aca="false">IF($BU177="!param_no_gameplay_units","{GREEN}Included for gameplay purposes","")</f>
        <v/>
      </c>
      <c r="CJ177" s="0" t="str">
        <f aca="false">IF(BX177="buffet","{YELLOW}25% long distance bonus for consist{}",IF(BZ177="BRAKE","{YELLOW}Speed bonus for slow wagons{}",IF(BW177&gt;190,CONCATENATE("{YELLOW}",INT((BW177-185)/1.85),"% bonus for long distance travel{}"),IF(AND(BW177&lt;180,BW177&lt;&gt;0),CONCATENATE("{YELLOW}",INT((185-BW177)/1.85),"% penalty for long distance travel{}"),""))))</f>
        <v/>
      </c>
      <c r="CK177" s="0" t="str">
        <f aca="false">_xlfn.CONCAT(CF177,IF(CF177&lt;&gt;""," ",""),CG177,IF(OR(CG177&lt;&gt;"",CF177&lt;&gt;""),"{}",""),CE177,CJ177,"{SILVER}",CH177,IF(CI177&lt;&gt;"","{}{}",""),CI177)</f>
        <v>{BLACK}Powered by: {GOLD}750V DC {}{BLACK}Length: {GOLD}0.7 tiles{}{SILVER}With six traction motors, the CC is adept at handling both heavy freight and long passenger trains.</v>
      </c>
    </row>
    <row r="178" customFormat="false" ht="14.25" hidden="false" customHeight="false" outlineLevel="0" collapsed="false">
      <c r="A178" s="0" t="s">
        <v>644</v>
      </c>
      <c r="B178" s="15" t="s">
        <v>645</v>
      </c>
      <c r="C178" s="0" t="n">
        <v>163</v>
      </c>
      <c r="E178" s="0" t="n">
        <v>66</v>
      </c>
      <c r="F178" s="0" t="s">
        <v>143</v>
      </c>
      <c r="G178" s="0" t="s">
        <v>445</v>
      </c>
      <c r="H178" s="0" t="s">
        <v>446</v>
      </c>
      <c r="I178" s="0" t="s">
        <v>92</v>
      </c>
      <c r="J178" s="0" t="n">
        <v>1942</v>
      </c>
      <c r="K178" s="0" t="n">
        <v>1942</v>
      </c>
      <c r="L178" s="0" t="n">
        <v>1966</v>
      </c>
      <c r="N178" s="0" t="n">
        <v>1600</v>
      </c>
      <c r="P178" s="2" t="n">
        <v>19</v>
      </c>
      <c r="Q178" s="2" t="n">
        <v>26</v>
      </c>
      <c r="R178" s="2" t="n">
        <v>2</v>
      </c>
      <c r="S178" s="2" t="n">
        <v>230</v>
      </c>
      <c r="T178" s="18" t="n">
        <f aca="false">((($AB178/2)/60)*5280)/($U178*3.2*PI())</f>
        <v>218.838046751356</v>
      </c>
      <c r="U178" s="2" t="n">
        <v>1.5</v>
      </c>
      <c r="V178" s="2" t="n">
        <f aca="false">((($P178*$P178/4)*PI())*($Q178/12)*$R178*$S178*$T178)/(33000*1.1)</f>
        <v>1703.5827020202</v>
      </c>
      <c r="W178" s="0" t="n">
        <v>50.3</v>
      </c>
      <c r="X178" s="1" t="n">
        <f aca="false">90.7-W178</f>
        <v>40.4</v>
      </c>
      <c r="Z178" s="0" t="n">
        <v>134</v>
      </c>
      <c r="AA178" s="3" t="n">
        <f aca="false">IF(AND(W178&gt;0,Z178&gt;0),(Z178/((W178+X178)*10)),"")</f>
        <v>0.14773980154355</v>
      </c>
      <c r="AB178" s="0" t="n">
        <v>75</v>
      </c>
      <c r="AC178" s="0" t="n">
        <f aca="false">ROUND(AB178*1.6, 0)</f>
        <v>120</v>
      </c>
      <c r="AE178" s="0" t="n">
        <v>1</v>
      </c>
      <c r="AF178" s="0" t="n">
        <v>16.73</v>
      </c>
      <c r="AG178" s="0" t="n">
        <v>10</v>
      </c>
      <c r="AJ178" s="4" t="n">
        <v>0</v>
      </c>
      <c r="AK178" s="0" t="str">
        <f aca="false">CONCATENATE(VLOOKUP(AL178, 'Voxel Sizes'!$A$2:$B$18,2,FALSE()),"x",INT(AH178*15), "x", INT(AI178*15))</f>
        <v>102x0x0</v>
      </c>
      <c r="AL178" s="0" t="n">
        <f aca="false">ROUND(15*((AG178*10)/256),0)</f>
        <v>6</v>
      </c>
      <c r="AM178" s="0" t="s">
        <v>134</v>
      </c>
      <c r="AN178" s="0" t="str">
        <f aca="false">CONCATENATE(VLOOKUP(AL178,Constants!$A$2:$C$16,IF(AM178&lt;&gt;"", 3, 2), FALSE()),IF(AM178&lt;&gt;"",CONCATENATE(",",VLOOKUP(AM178,$B:$AN,39,FALSE())),""))</f>
        <v>2,2,2,1,2,1</v>
      </c>
      <c r="AV178" s="0" t="n">
        <v>1</v>
      </c>
      <c r="AX178" s="0" t="n">
        <v>25</v>
      </c>
      <c r="AY178" s="16" t="n">
        <f aca="false">IF(L178&lt;&gt;"",MAX(16,(L178-J178)+8),"")</f>
        <v>32</v>
      </c>
      <c r="BB178" s="0" t="n">
        <f aca="false">MIN(AB178/150, 1)*30</f>
        <v>15</v>
      </c>
      <c r="BC178" s="0" t="n">
        <f aca="false">MIN(N178/4000, 1)*20</f>
        <v>8</v>
      </c>
      <c r="BD178" s="0" t="n">
        <f aca="false">MIN(Z178/400,1)*20</f>
        <v>6.7</v>
      </c>
      <c r="BE178" s="3" t="n">
        <f aca="false">1-(MAX(J178-1900, 0)/750)</f>
        <v>0.944</v>
      </c>
      <c r="BF178" s="0" t="n">
        <f aca="false">((MAX($M178,1)*MIN($AJ178/300,1)))*IF(G178="Wagon",50,10)</f>
        <v>0</v>
      </c>
      <c r="BG178" s="0" t="n">
        <f aca="false">VLOOKUP($H178,Constants!$I:$K, 2, FALSE())</f>
        <v>1.15</v>
      </c>
      <c r="BH178" s="0" t="n">
        <f aca="false">VLOOKUP($H178,Constants!$I:$K, 3, FALSE())*IF(AND(G178="multiple_unit",AB178&lt;110),0.75,1)</f>
        <v>1.7</v>
      </c>
      <c r="BI178" s="0" t="n">
        <f aca="false">INT(POWER(((Constants!$G$2+$BB178+$BC178+$BD178+$BF178)*$BE178)*$BH178, 1.05))+$BA178</f>
        <v>68</v>
      </c>
      <c r="BJ178" s="0" t="n">
        <f aca="false">INT(POWER((((Constants!$G$1+$BB178+$BC178+$BD178+$BF178)*($BE178))*$BG178),IF($G178="wagon",1,1.2)))+$AZ178</f>
        <v>105</v>
      </c>
      <c r="BK178" s="17" t="n">
        <f aca="false">BI178*IF($G178="wagon",62.5,781.25)</f>
        <v>53125</v>
      </c>
      <c r="BL178" s="17" t="n">
        <f aca="false">BJ178*IF($G178="wagon",2.73,81.25)</f>
        <v>8531.25</v>
      </c>
      <c r="BV178" s="0" t="n">
        <v>9</v>
      </c>
      <c r="CA178" s="0" t="str">
        <f aca="false">VLOOKUP(J178,Eras!$A$2:$C$10, 2, TRUE())</f>
        <v>big4</v>
      </c>
      <c r="CB178" s="0" t="s">
        <v>513</v>
      </c>
      <c r="CC178" s="0" t="str">
        <f aca="false">CONCATENATE(CA178,"_",CB178)</f>
        <v>big4_Cheap</v>
      </c>
      <c r="CD178" s="0" t="str">
        <f aca="false">_xlfn.CONCAT(H178, "_",I178)</f>
        <v>steam_RAIL</v>
      </c>
      <c r="CE178" s="6" t="str">
        <f aca="false" t="array" ref="CE178:CE178">_xlfn.CONCAT("{BLACK}Length: {GOLD}", TEXT(ROUNDUP(IF(AQ178&lt;&gt;"",SUM(VALUE(_xlfn.TEXTSPLIT(AQ178, ","))), SUM(VALUE(_xlfn.TEXTSPLIT(AN178, ",")))*IF(M178, M178, 1))/16, 1), "#,##0.0"), " tiles{}")</f>
        <v>{BLACK}Length: {GOLD}0.7 tiles{}</v>
      </c>
      <c r="CF178" s="0" t="str">
        <f aca="false">VLOOKUP($CD178, Constants!$M:$N, 2, FALSE())</f>
        <v>{BLACK}Powered by: {GOLD}Steam</v>
      </c>
      <c r="CG178" s="0" t="str">
        <f aca="false">IF(M178&gt;1,_xlfn.CONCAT("{BLACK}Cars: {GOLD}", M178),"")</f>
        <v/>
      </c>
      <c r="CH178" s="0" t="s">
        <v>646</v>
      </c>
      <c r="CI178" s="0" t="str">
        <f aca="false">IF($BU178="!param_no_gameplay_units","{GREEN}Included for gameplay purposes","")</f>
        <v/>
      </c>
      <c r="CJ178" s="0" t="str">
        <f aca="false">IF(BX178="buffet","{YELLOW}25% long distance bonus for consist{}",IF(BZ178="BRAKE","{YELLOW}Speed bonus for slow wagons{}",IF(BW178&gt;190,CONCATENATE("{YELLOW}",INT((BW178-185)/1.85),"% bonus for long distance travel{}"),IF(AND(BW178&lt;180,BW178&lt;&gt;0),CONCATENATE("{YELLOW}",INT((185-BW178)/1.85),"% penalty for long distance travel{}"),""))))</f>
        <v/>
      </c>
      <c r="CK178" s="0" t="str">
        <f aca="false">_xlfn.CONCAT(CF178,IF(CF178&lt;&gt;""," ",""),CG178,IF(OR(CG178&lt;&gt;"",CF178&lt;&gt;""),"{}",""),CE178,CJ178,"{SILVER}",CH178,IF(CI178&lt;&gt;"","{}{}",""),CI178)</f>
        <v>{BLACK}Powered by: {GOLD}Steam {}{BLACK}Length: {GOLD}0.7 tiles{}{SILVER}The Q1 was designed for function over form and the most efficient possible use of materials.</v>
      </c>
    </row>
    <row r="179" customFormat="false" ht="14.25" hidden="false" customHeight="false" outlineLevel="0" collapsed="false">
      <c r="A179" s="0" t="s">
        <v>647</v>
      </c>
      <c r="B179" s="15" t="s">
        <v>648</v>
      </c>
      <c r="C179" s="0" t="n">
        <v>164</v>
      </c>
      <c r="E179" s="0" t="n">
        <v>67</v>
      </c>
      <c r="F179" s="0" t="s">
        <v>143</v>
      </c>
      <c r="G179" s="0" t="s">
        <v>445</v>
      </c>
      <c r="H179" s="0" t="s">
        <v>446</v>
      </c>
      <c r="I179" s="0" t="s">
        <v>92</v>
      </c>
      <c r="J179" s="0" t="n">
        <v>1943</v>
      </c>
      <c r="K179" s="0" t="n">
        <v>1964</v>
      </c>
      <c r="L179" s="0" t="n">
        <v>1967</v>
      </c>
      <c r="N179" s="0" t="n">
        <v>500</v>
      </c>
      <c r="P179" s="2" t="n">
        <v>18</v>
      </c>
      <c r="Q179" s="2" t="n">
        <v>26</v>
      </c>
      <c r="R179" s="2" t="n">
        <v>2</v>
      </c>
      <c r="S179" s="2" t="n">
        <v>170</v>
      </c>
      <c r="T179" s="18" t="n">
        <f aca="false">((($AB179/2)/60)*5280)/($U179*3.2*PI())</f>
        <v>94.2686970621226</v>
      </c>
      <c r="U179" s="2" t="n">
        <v>1.3</v>
      </c>
      <c r="V179" s="2" t="n">
        <f aca="false">((($P179*$P179/4)*PI())*($Q179/12)*$R179*$S179*$T179)/(33000*1.1)</f>
        <v>486.818181818182</v>
      </c>
      <c r="W179" s="0" t="n">
        <v>49</v>
      </c>
      <c r="Z179" s="0" t="n">
        <v>106</v>
      </c>
      <c r="AA179" s="3" t="n">
        <f aca="false">IF(AND(W179&gt;0,Z179&gt;0),(Z179/((W179+X179)*10)),"")</f>
        <v>0.216326530612245</v>
      </c>
      <c r="AB179" s="0" t="n">
        <v>28</v>
      </c>
      <c r="AC179" s="0" t="n">
        <f aca="false">ROUND(AB179*1.6, 0)</f>
        <v>45</v>
      </c>
      <c r="AE179" s="0" t="n">
        <v>1</v>
      </c>
      <c r="AF179" s="0" t="n">
        <v>9.25</v>
      </c>
      <c r="AG179" s="0" t="n">
        <v>9.25</v>
      </c>
      <c r="AJ179" s="4" t="n">
        <v>0</v>
      </c>
      <c r="AK179" s="0" t="str">
        <f aca="false">CONCATENATE(VLOOKUP(AL179, 'Voxel Sizes'!$A$2:$B$18,2,FALSE()),"x",INT(AH179*15), "x", INT(AI179*15))</f>
        <v>82x0x0</v>
      </c>
      <c r="AL179" s="0" t="n">
        <f aca="false">ROUND(15*((AG179*10)/256),0)</f>
        <v>5</v>
      </c>
      <c r="AN179" s="0" t="str">
        <f aca="false">CONCATENATE(VLOOKUP(AL179,Constants!$A$2:$C$16,IF(AM179&lt;&gt;"", 3, 2), FALSE()),IF(AM179&lt;&gt;"",CONCATENATE(",",VLOOKUP(AM179,$B:$AN,39,FALSE())),""))</f>
        <v>2,1,2</v>
      </c>
      <c r="AV179" s="0" t="n">
        <v>1</v>
      </c>
      <c r="AX179" s="0" t="n">
        <v>23</v>
      </c>
      <c r="AY179" s="16" t="n">
        <f aca="false">IF(L179&lt;&gt;"",MAX(16,(L179-J179)+8),"")</f>
        <v>32</v>
      </c>
      <c r="BB179" s="0" t="n">
        <f aca="false">MIN(AB179/150, 1)*30</f>
        <v>5.6</v>
      </c>
      <c r="BC179" s="0" t="n">
        <f aca="false">MIN(N179/4000, 1)*20</f>
        <v>2.5</v>
      </c>
      <c r="BD179" s="0" t="n">
        <f aca="false">MIN(Z179/400,1)*20</f>
        <v>5.3</v>
      </c>
      <c r="BE179" s="3" t="n">
        <f aca="false">1-(MAX(J179-1900, 0)/750)</f>
        <v>0.942666666666667</v>
      </c>
      <c r="BF179" s="0" t="n">
        <f aca="false">((MAX($M179,1)*MIN($AJ179/300,1)))*IF(G179="Wagon",50,10)</f>
        <v>0</v>
      </c>
      <c r="BG179" s="0" t="n">
        <f aca="false">VLOOKUP($H179,Constants!$I:$K, 2, FALSE())</f>
        <v>1.15</v>
      </c>
      <c r="BH179" s="0" t="n">
        <f aca="false">VLOOKUP($H179,Constants!$I:$K, 3, FALSE())*IF(AND(G179="multiple_unit",AB179&lt;110),0.75,1)</f>
        <v>1.7</v>
      </c>
      <c r="BI179" s="0" t="n">
        <f aca="false">INT(POWER(((Constants!$G$2+$BB179+$BC179+$BD179+$BF179)*$BE179)*$BH179, 1.05))+$BA179</f>
        <v>34</v>
      </c>
      <c r="BJ179" s="0" t="n">
        <f aca="false">INT(POWER((((Constants!$G$1+$BB179+$BC179+$BD179+$BF179)*($BE179))*$BG179),IF($G179="wagon",1,1.2)))+$AZ179</f>
        <v>61</v>
      </c>
      <c r="BK179" s="17" t="n">
        <f aca="false">BI179*IF($G179="wagon",62.5,781.25)</f>
        <v>26562.5</v>
      </c>
      <c r="BL179" s="17" t="n">
        <f aca="false">BJ179*IF($G179="wagon",2.73,81.25)</f>
        <v>4956.25</v>
      </c>
      <c r="BV179" s="0" t="n">
        <v>10</v>
      </c>
      <c r="CA179" s="0" t="str">
        <f aca="false">VLOOKUP(J179,Eras!$A$2:$C$10, 2, TRUE())</f>
        <v>big4</v>
      </c>
      <c r="CB179" s="0" t="s">
        <v>513</v>
      </c>
      <c r="CC179" s="0" t="str">
        <f aca="false">CONCATENATE(CA179,"_",CB179)</f>
        <v>big4_Cheap</v>
      </c>
      <c r="CD179" s="0" t="str">
        <f aca="false">_xlfn.CONCAT(H179, "_",I179)</f>
        <v>steam_RAIL</v>
      </c>
      <c r="CE179" s="6" t="str">
        <f aca="false" t="array" ref="CE179:CE179">_xlfn.CONCAT("{BLACK}Length: {GOLD}", TEXT(ROUNDUP(IF(AQ179&lt;&gt;"",SUM(VALUE(_xlfn.TEXTSPLIT(AQ179, ","))), SUM(VALUE(_xlfn.TEXTSPLIT(AN179, ",")))*IF(M179, M179, 1))/16, 1), "#,##0.0"), " tiles{}")</f>
        <v>{BLACK}Length: {GOLD}0.4 tiles{}</v>
      </c>
      <c r="CF179" s="0" t="str">
        <f aca="false">VLOOKUP($CD179, Constants!$M:$N, 2, FALSE())</f>
        <v>{BLACK}Powered by: {GOLD}Steam</v>
      </c>
      <c r="CG179" s="0" t="str">
        <f aca="false">IF(M179&gt;1,_xlfn.CONCAT("{BLACK}Cars: {GOLD}", M179),"")</f>
        <v/>
      </c>
      <c r="CH179" s="0" t="s">
        <v>649</v>
      </c>
      <c r="CI179" s="0" t="str">
        <f aca="false">IF($BU179="!param_no_gameplay_units","{GREEN}Included for gameplay purposes","")</f>
        <v/>
      </c>
      <c r="CJ179" s="0" t="str">
        <f aca="false">IF(BX179="buffet","{YELLOW}25% long distance bonus for consist{}",IF(BZ179="BRAKE","{YELLOW}Speed bonus for slow wagons{}",IF(BW179&gt;190,CONCATENATE("{YELLOW}",INT((BW179-185)/1.85),"% bonus for long distance travel{}"),IF(AND(BW179&lt;180,BW179&lt;&gt;0),CONCATENATE("{YELLOW}",INT((185-BW179)/1.85),"% penalty for long distance travel{}"),""))))</f>
        <v/>
      </c>
      <c r="CK179" s="0" t="str">
        <f aca="false">_xlfn.CONCAT(CF179,IF(CF179&lt;&gt;""," ",""),CG179,IF(OR(CG179&lt;&gt;"",CF179&lt;&gt;""),"{}",""),CE179,CJ179,"{SILVER}",CH179,IF(CI179&lt;&gt;"","{}{}",""),CI179)</f>
        <v>{BLACK}Powered by: {GOLD}Steam {}{BLACK}Length: {GOLD}0.4 tiles{}{SILVER}Hunslet's Austerity was designed for shunting duties. It's powerful for its size with good adhesion, but does not run well at higher speeds.</v>
      </c>
    </row>
    <row r="180" customFormat="false" ht="14.25" hidden="false" customHeight="false" outlineLevel="0" collapsed="false">
      <c r="A180" s="0" t="s">
        <v>650</v>
      </c>
      <c r="B180" s="15" t="s">
        <v>651</v>
      </c>
      <c r="C180" s="0" t="n">
        <v>165</v>
      </c>
      <c r="E180" s="0" t="n">
        <v>68</v>
      </c>
      <c r="F180" s="0" t="s">
        <v>143</v>
      </c>
      <c r="G180" s="0" t="s">
        <v>445</v>
      </c>
      <c r="H180" s="0" t="s">
        <v>446</v>
      </c>
      <c r="I180" s="0" t="s">
        <v>92</v>
      </c>
      <c r="J180" s="0" t="n">
        <v>1943</v>
      </c>
      <c r="K180" s="0" t="n">
        <v>1945</v>
      </c>
      <c r="L180" s="0" t="n">
        <v>1962</v>
      </c>
      <c r="N180" s="0" t="n">
        <v>1200</v>
      </c>
      <c r="P180" s="2" t="n">
        <v>19</v>
      </c>
      <c r="Q180" s="2" t="n">
        <v>28</v>
      </c>
      <c r="R180" s="2" t="n">
        <v>2</v>
      </c>
      <c r="S180" s="2" t="n">
        <v>225</v>
      </c>
      <c r="T180" s="18" t="n">
        <f aca="false">((($AB180/2)/60)*5280)/($U180*3.2*PI())</f>
        <v>212.585531129889</v>
      </c>
      <c r="U180" s="2" t="n">
        <v>1.4</v>
      </c>
      <c r="V180" s="2" t="n">
        <f aca="false">((($P180*$P180/4)*PI())*($Q180/12)*$R180*$S180*$T180)/(33000*1.1)</f>
        <v>1743.46590909091</v>
      </c>
      <c r="W180" s="0" t="n">
        <v>71.4</v>
      </c>
      <c r="X180" s="1" t="n">
        <v>56.4</v>
      </c>
      <c r="Z180" s="0" t="n">
        <v>152</v>
      </c>
      <c r="AA180" s="3" t="n">
        <f aca="false">IF(AND(W180&gt;0,Z180&gt;0),(Z180/((W180+X180)*10)),"")</f>
        <v>0.118935837245696</v>
      </c>
      <c r="AB180" s="0" t="n">
        <v>68</v>
      </c>
      <c r="AC180" s="0" t="n">
        <f aca="false">ROUND(AB180*1.6, 0)</f>
        <v>109</v>
      </c>
      <c r="AF180" s="0" t="n">
        <v>19.35</v>
      </c>
      <c r="AG180" s="0" t="n">
        <v>11.7</v>
      </c>
      <c r="AJ180" s="4" t="n">
        <v>0</v>
      </c>
      <c r="AK180" s="0" t="str">
        <f aca="false">CONCATENATE(VLOOKUP(AL180, 'Voxel Sizes'!$A$2:$B$18,2,FALSE()),"x",INT(AH180*15), "x", INT(AI180*15))</f>
        <v>120x0x0</v>
      </c>
      <c r="AL180" s="0" t="n">
        <f aca="false">ROUND(15*((AG180*10)/256),0)</f>
        <v>7</v>
      </c>
      <c r="AM180" s="0" t="s">
        <v>136</v>
      </c>
      <c r="AN180" s="0" t="str">
        <f aca="false">CONCATENATE(VLOOKUP(AL180,Constants!$A$2:$C$16,IF(AM180&lt;&gt;"", 3, 2), FALSE()),IF(AM180&lt;&gt;"",CONCATENATE(",",VLOOKUP(AM180,$B:$AN,39,FALSE())),""))</f>
        <v>2,3,2,1,2,1</v>
      </c>
      <c r="AV180" s="0" t="n">
        <v>1</v>
      </c>
      <c r="AX180" s="0" t="n">
        <v>26</v>
      </c>
      <c r="AY180" s="16" t="n">
        <f aca="false">IF(L180&lt;&gt;"",MAX(16,(L180-J180)+8),"")</f>
        <v>27</v>
      </c>
      <c r="BB180" s="0" t="n">
        <f aca="false">MIN(AB180/150, 1)*30</f>
        <v>13.6</v>
      </c>
      <c r="BC180" s="0" t="n">
        <f aca="false">MIN(N180/4000, 1)*20</f>
        <v>6</v>
      </c>
      <c r="BD180" s="0" t="n">
        <f aca="false">MIN(Z180/400,1)*20</f>
        <v>7.6</v>
      </c>
      <c r="BE180" s="3" t="n">
        <f aca="false">1-(MAX(J180-1900, 0)/750)</f>
        <v>0.942666666666667</v>
      </c>
      <c r="BF180" s="0" t="n">
        <f aca="false">((MAX($M180,1)*MIN($AJ180/300,1)))*IF(G180="Wagon",50,10)</f>
        <v>0</v>
      </c>
      <c r="BG180" s="0" t="n">
        <f aca="false">VLOOKUP($H180,Constants!$I:$K, 2, FALSE())</f>
        <v>1.15</v>
      </c>
      <c r="BH180" s="0" t="n">
        <f aca="false">VLOOKUP($H180,Constants!$I:$K, 3, FALSE())*IF(AND(G180="multiple_unit",AB180&lt;110),0.75,1)</f>
        <v>1.7</v>
      </c>
      <c r="BI180" s="0" t="n">
        <f aca="false">INT(POWER(((Constants!$G$2+$BB180+$BC180+$BD180+$BF180)*$BE180)*$BH180, 1.05))+$BA180</f>
        <v>62</v>
      </c>
      <c r="BJ180" s="0" t="n">
        <f aca="false">INT(POWER((((Constants!$G$1+$BB180+$BC180+$BD180+$BF180)*($BE180))*$BG180),IF($G180="wagon",1,1.2)))+$AZ180</f>
        <v>98</v>
      </c>
      <c r="BK180" s="17" t="n">
        <f aca="false">BI180*IF($G180="wagon",62.5,781.25)</f>
        <v>48437.5</v>
      </c>
      <c r="BL180" s="17" t="n">
        <f aca="false">BJ180*IF($G180="wagon",2.73,81.25)</f>
        <v>7962.5</v>
      </c>
      <c r="BV180" s="0" t="n">
        <v>11</v>
      </c>
      <c r="CA180" s="0" t="str">
        <f aca="false">VLOOKUP(J180,Eras!$A$2:$C$10, 2, TRUE())</f>
        <v>big4</v>
      </c>
      <c r="CB180" s="0" t="s">
        <v>478</v>
      </c>
      <c r="CC180" s="0" t="str">
        <f aca="false">CONCATENATE(CA180,"_",CB180)</f>
        <v>big4_Freight</v>
      </c>
      <c r="CD180" s="0" t="str">
        <f aca="false">_xlfn.CONCAT(H180, "_",I180)</f>
        <v>steam_RAIL</v>
      </c>
      <c r="CE180" s="6" t="str">
        <f aca="false" t="array" ref="CE180:CE180">_xlfn.CONCAT("{BLACK}Length: {GOLD}", TEXT(ROUNDUP(IF(AQ180&lt;&gt;"",SUM(VALUE(_xlfn.TEXTSPLIT(AQ180, ","))), SUM(VALUE(_xlfn.TEXTSPLIT(AN180, ",")))*IF(M180, M180, 1))/16, 1), "#,##0.0"), " tiles{}")</f>
        <v>{BLACK}Length: {GOLD}0.7 tiles{}</v>
      </c>
      <c r="CF180" s="0" t="str">
        <f aca="false">VLOOKUP($CD180, Constants!$M:$N, 2, FALSE())</f>
        <v>{BLACK}Powered by: {GOLD}Steam</v>
      </c>
      <c r="CG180" s="0" t="str">
        <f aca="false">IF(M180&gt;1,_xlfn.CONCAT("{BLACK}Cars: {GOLD}", M180),"")</f>
        <v/>
      </c>
      <c r="CH180" s="0" t="s">
        <v>652</v>
      </c>
      <c r="CI180" s="0" t="str">
        <f aca="false">IF($BU180="!param_no_gameplay_units","{GREEN}Included for gameplay purposes","")</f>
        <v/>
      </c>
      <c r="CJ180" s="0" t="str">
        <f aca="false">IF(BX180="buffet","{YELLOW}25% long distance bonus for consist{}",IF(BZ180="BRAKE","{YELLOW}Speed bonus for slow wagons{}",IF(BW180&gt;190,CONCATENATE("{YELLOW}",INT((BW180-185)/1.85),"% bonus for long distance travel{}"),IF(AND(BW180&lt;180,BW180&lt;&gt;0),CONCATENATE("{YELLOW}",INT((185-BW180)/1.85),"% penalty for long distance travel{}"),""))))</f>
        <v/>
      </c>
      <c r="CK180" s="0" t="str">
        <f aca="false">_xlfn.CONCAT(CF180,IF(CF180&lt;&gt;""," ",""),CG180,IF(OR(CG180&lt;&gt;"",CF180&lt;&gt;""),"{}",""),CE180,CJ180,"{SILVER}",CH180,IF(CI180&lt;&gt;"","{}{}",""),CI180)</f>
        <v>{BLACK}Powered by: {GOLD}Steam {}{BLACK}Length: {GOLD}0.7 tiles{}{SILVER}Robert Riddles adapted the LMS 8F for low cost and simple construction, resulting in this "austerity" freight locomotive.</v>
      </c>
    </row>
    <row r="181" customFormat="false" ht="14.25" hidden="false" customHeight="false" outlineLevel="0" collapsed="false">
      <c r="A181" s="0" t="s">
        <v>653</v>
      </c>
      <c r="B181" s="15" t="s">
        <v>654</v>
      </c>
      <c r="C181" s="0" t="n">
        <v>166</v>
      </c>
      <c r="E181" s="0" t="n">
        <v>69</v>
      </c>
      <c r="F181" s="0" t="s">
        <v>143</v>
      </c>
      <c r="G181" s="0" t="s">
        <v>445</v>
      </c>
      <c r="H181" s="0" t="s">
        <v>446</v>
      </c>
      <c r="I181" s="0" t="s">
        <v>92</v>
      </c>
      <c r="J181" s="0" t="n">
        <v>1944</v>
      </c>
      <c r="K181" s="0" t="n">
        <v>1950</v>
      </c>
      <c r="L181" s="0" t="n">
        <v>1965</v>
      </c>
      <c r="N181" s="0" t="n">
        <v>1700</v>
      </c>
      <c r="P181" s="2" t="n">
        <v>18.5</v>
      </c>
      <c r="Q181" s="2" t="n">
        <v>30</v>
      </c>
      <c r="R181" s="2" t="n">
        <v>2</v>
      </c>
      <c r="S181" s="2" t="n">
        <v>225</v>
      </c>
      <c r="T181" s="18" t="n">
        <f aca="false">((($AB181/2)/60)*5280)/($U181*3.2*PI())</f>
        <v>206.680377487392</v>
      </c>
      <c r="U181" s="2" t="n">
        <v>1.8</v>
      </c>
      <c r="V181" s="2" t="n">
        <f aca="false">((($P181*$P181/4)*PI())*($Q181/12)*$R181*$S181*$T181)/(33000*1.1)</f>
        <v>1721.78326231061</v>
      </c>
      <c r="W181" s="0" t="n">
        <v>77</v>
      </c>
      <c r="X181" s="1" t="n">
        <v>48</v>
      </c>
      <c r="Z181" s="0" t="n">
        <v>121</v>
      </c>
      <c r="AA181" s="3" t="n">
        <f aca="false">IF(AND(W181&gt;0,Z181&gt;0),(Z181/((W181+X181)*10)),"")</f>
        <v>0.0968</v>
      </c>
      <c r="AB181" s="0" t="n">
        <v>85</v>
      </c>
      <c r="AC181" s="0" t="n">
        <f aca="false">ROUND(AB181*1.6, 0)</f>
        <v>136</v>
      </c>
      <c r="AF181" s="0" t="n">
        <v>19.2</v>
      </c>
      <c r="AG181" s="0" t="n">
        <v>11.7</v>
      </c>
      <c r="AI181" s="0" t="n">
        <v>4.01</v>
      </c>
      <c r="AJ181" s="4" t="n">
        <v>0</v>
      </c>
      <c r="AK181" s="0" t="str">
        <f aca="false">CONCATENATE(VLOOKUP(AL181, 'Voxel Sizes'!$A$2:$B$18,2,FALSE()),"x",INT(AH181*15), "x", INT(AI181*15))</f>
        <v>120x0x60</v>
      </c>
      <c r="AL181" s="0" t="n">
        <f aca="false">ROUND(15*((AG181*10)/256),0)</f>
        <v>7</v>
      </c>
      <c r="AM181" s="0" t="s">
        <v>91</v>
      </c>
      <c r="AN181" s="0" t="str">
        <f aca="false">CONCATENATE(VLOOKUP(AL181,Constants!$A$2:$C$16,IF(AM181&lt;&gt;"", 3, 2), FALSE()),IF(AM181&lt;&gt;"",CONCATENATE(",",VLOOKUP(AM181,$B:$AN,39,FALSE())),""))</f>
        <v>2,3,2,2,1,2</v>
      </c>
      <c r="AU181" s="0" t="s">
        <v>598</v>
      </c>
      <c r="AV181" s="0" t="n">
        <v>1</v>
      </c>
      <c r="AX181" s="0" t="n">
        <v>31</v>
      </c>
      <c r="AY181" s="16" t="n">
        <f aca="false">IF(L181&lt;&gt;"",MAX(16,(L181-J181)+8),"")</f>
        <v>29</v>
      </c>
      <c r="BB181" s="0" t="n">
        <f aca="false">MIN(AB181/150, 1)*30</f>
        <v>17</v>
      </c>
      <c r="BC181" s="0" t="n">
        <f aca="false">MIN(N181/4000, 1)*20</f>
        <v>8.5</v>
      </c>
      <c r="BD181" s="0" t="n">
        <f aca="false">MIN(Z181/400,1)*20</f>
        <v>6.05</v>
      </c>
      <c r="BE181" s="3" t="n">
        <f aca="false">1-(MAX(J181-1900, 0)/750)</f>
        <v>0.941333333333333</v>
      </c>
      <c r="BF181" s="0" t="n">
        <f aca="false">((MAX($M181,1)*MIN($AJ181/300,1)))*IF(G181="Wagon",50,10)</f>
        <v>0</v>
      </c>
      <c r="BG181" s="0" t="n">
        <f aca="false">VLOOKUP($H181,Constants!$I:$K, 2, FALSE())</f>
        <v>1.15</v>
      </c>
      <c r="BH181" s="0" t="n">
        <f aca="false">VLOOKUP($H181,Constants!$I:$K, 3, FALSE())*IF(AND(G181="multiple_unit",AB181&lt;110),0.75,1)</f>
        <v>1.7</v>
      </c>
      <c r="BI181" s="0" t="n">
        <f aca="false">INT(POWER(((Constants!$G$2+$BB181+$BC181+$BD181+$BF181)*$BE181)*$BH181, 1.05))+$BA181</f>
        <v>71</v>
      </c>
      <c r="BJ181" s="0" t="n">
        <f aca="false">INT(POWER((((Constants!$G$1+$BB181+$BC181+$BD181+$BF181)*($BE181))*$BG181),IF($G181="wagon",1,1.2)))+$AZ181</f>
        <v>110</v>
      </c>
      <c r="BK181" s="17" t="n">
        <f aca="false">BI181*IF($G181="wagon",62.5,781.25)</f>
        <v>55468.75</v>
      </c>
      <c r="BL181" s="17" t="n">
        <f aca="false">BJ181*IF($G181="wagon",2.73,81.25)</f>
        <v>8937.5</v>
      </c>
      <c r="BV181" s="0" t="n">
        <v>12</v>
      </c>
      <c r="CA181" s="0" t="str">
        <f aca="false">VLOOKUP(J181,Eras!$A$2:$C$10, 2, TRUE())</f>
        <v>big4</v>
      </c>
      <c r="CB181" s="0" t="s">
        <v>439</v>
      </c>
      <c r="CC181" s="0" t="str">
        <f aca="false">CONCATENATE(CA181,"_",CB181)</f>
        <v>big4_Mixed Traffic</v>
      </c>
      <c r="CD181" s="0" t="str">
        <f aca="false">_xlfn.CONCAT(H181, "_",I181)</f>
        <v>steam_RAIL</v>
      </c>
      <c r="CE181" s="6" t="str">
        <f aca="false" t="array" ref="CE181:CE181">_xlfn.CONCAT("{BLACK}Length: {GOLD}", TEXT(ROUNDUP(IF(AQ181&lt;&gt;"",SUM(VALUE(_xlfn.TEXTSPLIT(AQ181, ","))), SUM(VALUE(_xlfn.TEXTSPLIT(AN181, ",")))*IF(M181, M181, 1))/16, 1), "#,##0.0"), " tiles{}")</f>
        <v>{BLACK}Length: {GOLD}0.8 tiles{}</v>
      </c>
      <c r="CF181" s="0" t="str">
        <f aca="false">VLOOKUP($CD181, Constants!$M:$N, 2, FALSE())</f>
        <v>{BLACK}Powered by: {GOLD}Steam</v>
      </c>
      <c r="CG181" s="0" t="str">
        <f aca="false">IF(M181&gt;1,_xlfn.CONCAT("{BLACK}Cars: {GOLD}", M181),"")</f>
        <v/>
      </c>
      <c r="CH181" s="0" t="s">
        <v>655</v>
      </c>
      <c r="CI181" s="0" t="str">
        <f aca="false">IF($BU181="!param_no_gameplay_units","{GREEN}Included for gameplay purposes","")</f>
        <v/>
      </c>
      <c r="CJ181" s="0" t="str">
        <f aca="false">IF(BX181="buffet","{YELLOW}25% long distance bonus for consist{}",IF(BZ181="BRAKE","{YELLOW}Speed bonus for slow wagons{}",IF(BW181&gt;190,CONCATENATE("{YELLOW}",INT((BW181-185)/1.85),"% bonus for long distance travel{}"),IF(AND(BW181&lt;180,BW181&lt;&gt;0),CONCATENATE("{YELLOW}",INT((185-BW181)/1.85),"% penalty for long distance travel{}"),""))))</f>
        <v/>
      </c>
      <c r="CK181" s="0" t="str">
        <f aca="false">_xlfn.CONCAT(CF181,IF(CF181&lt;&gt;""," ",""),CG181,IF(OR(CG181&lt;&gt;"",CF181&lt;&gt;""),"{}",""),CE181,CJ181,"{SILVER}",CH181,IF(CI181&lt;&gt;"","{}{}",""),CI181)</f>
        <v>{BLACK}Powered by: {GOLD}Steam {}{BLACK}Length: {GOLD}0.8 tiles{}{SILVER}While externally identical to the original Hall class, the Modified Hall was completely new on the inside with many design innovations.</v>
      </c>
    </row>
    <row r="182" customFormat="false" ht="14.25" hidden="false" customHeight="false" outlineLevel="0" collapsed="false">
      <c r="A182" s="0" t="s">
        <v>656</v>
      </c>
      <c r="B182" s="15" t="s">
        <v>657</v>
      </c>
      <c r="C182" s="0" t="n">
        <v>167</v>
      </c>
      <c r="E182" s="0" t="n">
        <v>70</v>
      </c>
      <c r="F182" s="0" t="s">
        <v>143</v>
      </c>
      <c r="G182" s="0" t="s">
        <v>445</v>
      </c>
      <c r="H182" s="0" t="s">
        <v>446</v>
      </c>
      <c r="I182" s="0" t="s">
        <v>92</v>
      </c>
      <c r="J182" s="0" t="n">
        <v>1945</v>
      </c>
      <c r="K182" s="0" t="n">
        <v>1947</v>
      </c>
      <c r="L182" s="0" t="n">
        <v>1964</v>
      </c>
      <c r="N182" s="0" t="n">
        <v>2200</v>
      </c>
      <c r="P182" s="2" t="n">
        <v>18.5</v>
      </c>
      <c r="Q182" s="2" t="n">
        <v>30</v>
      </c>
      <c r="R182" s="2" t="n">
        <v>2</v>
      </c>
      <c r="S182" s="2" t="n">
        <v>280</v>
      </c>
      <c r="T182" s="18" t="n">
        <f aca="false">((($AB182/2)/60)*5280)/($U182*3.2*PI())</f>
        <v>230.355838685638</v>
      </c>
      <c r="U182" s="2" t="n">
        <v>1.9</v>
      </c>
      <c r="V182" s="2" t="n">
        <f aca="false">((($P182*$P182/4)*PI())*($Q182/12)*$R182*$S182*$T182)/(33000*1.1)</f>
        <v>2388.10805422648</v>
      </c>
      <c r="W182" s="0" t="n">
        <v>78.1</v>
      </c>
      <c r="X182" s="1" t="n">
        <v>49.8</v>
      </c>
      <c r="Z182" s="0" t="n">
        <v>145</v>
      </c>
      <c r="AA182" s="3" t="n">
        <f aca="false">IF(AND(W182&gt;0,Z182&gt;0),(Z182/((W182+X182)*10)),"")</f>
        <v>0.113369820172009</v>
      </c>
      <c r="AB182" s="0" t="n">
        <v>100</v>
      </c>
      <c r="AC182" s="0" t="n">
        <f aca="false">ROUND(AB182*1.6, 0)</f>
        <v>160</v>
      </c>
      <c r="AF182" s="0" t="n">
        <v>19.21</v>
      </c>
      <c r="AG182" s="0" t="n">
        <v>11.7</v>
      </c>
      <c r="AI182" s="0" t="n">
        <v>4.08</v>
      </c>
      <c r="AJ182" s="4" t="n">
        <v>0</v>
      </c>
      <c r="AK182" s="0" t="str">
        <f aca="false">CONCATENATE(VLOOKUP(AL182, 'Voxel Sizes'!$A$2:$B$18,2,FALSE()),"x",INT(AH182*15), "x", INT(AI182*15))</f>
        <v>120x0x61</v>
      </c>
      <c r="AL182" s="0" t="n">
        <f aca="false">ROUND(15*((AG182*10)/256),0)</f>
        <v>7</v>
      </c>
      <c r="AM182" s="0" t="s">
        <v>91</v>
      </c>
      <c r="AN182" s="0" t="str">
        <f aca="false">CONCATENATE(VLOOKUP(AL182,Constants!$A$2:$C$16,IF(AM182&lt;&gt;"", 3, 2), FALSE()),IF(AM182&lt;&gt;"",CONCATENATE(",",VLOOKUP(AM182,$B:$AN,39,FALSE())),""))</f>
        <v>2,3,2,2,1,2</v>
      </c>
      <c r="AV182" s="0" t="n">
        <v>1</v>
      </c>
      <c r="AX182" s="0" t="n">
        <v>30</v>
      </c>
      <c r="AY182" s="16" t="n">
        <f aca="false">IF(L182&lt;&gt;"",MAX(16,(L182-J182)+8),"")</f>
        <v>27</v>
      </c>
      <c r="BB182" s="0" t="n">
        <f aca="false">MIN(AB182/150, 1)*30</f>
        <v>20</v>
      </c>
      <c r="BC182" s="0" t="n">
        <f aca="false">MIN(N182/4000, 1)*20</f>
        <v>11</v>
      </c>
      <c r="BD182" s="0" t="n">
        <f aca="false">MIN(Z182/400,1)*20</f>
        <v>7.25</v>
      </c>
      <c r="BE182" s="3" t="n">
        <f aca="false">1-(MAX(J182-1900, 0)/750)</f>
        <v>0.94</v>
      </c>
      <c r="BF182" s="0" t="n">
        <f aca="false">((MAX($M182,1)*MIN($AJ182/300,1)))*IF(G182="Wagon",50,10)</f>
        <v>0</v>
      </c>
      <c r="BG182" s="0" t="n">
        <f aca="false">VLOOKUP($H182,Constants!$I:$K, 2, FALSE())</f>
        <v>1.15</v>
      </c>
      <c r="BH182" s="0" t="n">
        <f aca="false">VLOOKUP($H182,Constants!$I:$K, 3, FALSE())*IF(AND(G182="multiple_unit",AB182&lt;110),0.75,1)</f>
        <v>1.7</v>
      </c>
      <c r="BI182" s="0" t="n">
        <f aca="false">INT(POWER(((Constants!$G$2+$BB182+$BC182+$BD182+$BF182)*$BE182)*$BH182, 1.05))+$BA182</f>
        <v>85</v>
      </c>
      <c r="BJ182" s="0" t="n">
        <f aca="false">INT(POWER((((Constants!$G$1+$BB182+$BC182+$BD182+$BF182)*($BE182))*$BG182),IF($G182="wagon",1,1.2)))+$AZ182</f>
        <v>129</v>
      </c>
      <c r="BK182" s="17" t="n">
        <f aca="false">BI182*IF($G182="wagon",62.5,781.25)</f>
        <v>66406.25</v>
      </c>
      <c r="BL182" s="17" t="n">
        <f aca="false">BJ182*IF($G182="wagon",2.73,81.25)</f>
        <v>10481.25</v>
      </c>
      <c r="BV182" s="0" t="n">
        <v>1</v>
      </c>
      <c r="CA182" s="0" t="str">
        <f aca="false">VLOOKUP(J182,Eras!$A$2:$C$10, 2, TRUE())</f>
        <v>big4</v>
      </c>
      <c r="CB182" s="0" t="s">
        <v>474</v>
      </c>
      <c r="CC182" s="0" t="str">
        <f aca="false">CONCATENATE(CA182,"_",CB182)</f>
        <v>big4_Express</v>
      </c>
      <c r="CD182" s="0" t="str">
        <f aca="false">_xlfn.CONCAT(H182, "_",I182)</f>
        <v>steam_RAIL</v>
      </c>
      <c r="CE182" s="6" t="str">
        <f aca="false" t="array" ref="CE182:CE182">_xlfn.CONCAT("{BLACK}Length: {GOLD}", TEXT(ROUNDUP(IF(AQ182&lt;&gt;"",SUM(VALUE(_xlfn.TEXTSPLIT(AQ182, ","))), SUM(VALUE(_xlfn.TEXTSPLIT(AN182, ",")))*IF(M182, M182, 1))/16, 1), "#,##0.0"), " tiles{}")</f>
        <v>{BLACK}Length: {GOLD}0.8 tiles{}</v>
      </c>
      <c r="CF182" s="0" t="str">
        <f aca="false">VLOOKUP($CD182, Constants!$M:$N, 2, FALSE())</f>
        <v>{BLACK}Powered by: {GOLD}Steam</v>
      </c>
      <c r="CG182" s="0" t="str">
        <f aca="false">IF(M182&gt;1,_xlfn.CONCAT("{BLACK}Cars: {GOLD}", M182),"")</f>
        <v/>
      </c>
      <c r="CH182" s="0" t="s">
        <v>658</v>
      </c>
      <c r="CI182" s="0" t="str">
        <f aca="false">IF($BU182="!param_no_gameplay_units","{GREEN}Included for gameplay purposes","")</f>
        <v/>
      </c>
      <c r="CJ182" s="0" t="str">
        <f aca="false">IF(BX182="buffet","{YELLOW}25% long distance bonus for consist{}",IF(BZ182="BRAKE","{YELLOW}Speed bonus for slow wagons{}",IF(BW182&gt;190,CONCATENATE("{YELLOW}",INT((BW182-185)/1.85),"% bonus for long distance travel{}"),IF(AND(BW182&lt;180,BW182&lt;&gt;0),CONCATENATE("{YELLOW}",INT((185-BW182)/1.85),"% penalty for long distance travel{}"),""))))</f>
        <v/>
      </c>
      <c r="CK182" s="0" t="str">
        <f aca="false">_xlfn.CONCAT(CF182,IF(CF182&lt;&gt;""," ",""),CG182,IF(OR(CG182&lt;&gt;"",CF182&lt;&gt;""),"{}",""),CE182,CJ182,"{SILVER}",CH182,IF(CI182&lt;&gt;"","{}{}",""),CI182)</f>
        <v>{BLACK}Powered by: {GOLD}Steam {}{BLACK}Length: {GOLD}0.8 tiles{}{SILVER}The County Class was  Frederick Hawksworth's test of design ideas for a new Pacific. Sadly there was not enough demand for express steam locomotives in the late 1940s.</v>
      </c>
    </row>
    <row r="183" customFormat="false" ht="14.25" hidden="false" customHeight="false" outlineLevel="0" collapsed="false">
      <c r="A183" s="0" t="s">
        <v>659</v>
      </c>
      <c r="B183" s="15" t="s">
        <v>660</v>
      </c>
      <c r="C183" s="0" t="n">
        <v>168</v>
      </c>
      <c r="E183" s="0" t="n">
        <v>71</v>
      </c>
      <c r="F183" s="0" t="s">
        <v>143</v>
      </c>
      <c r="G183" s="0" t="s">
        <v>445</v>
      </c>
      <c r="H183" s="0" t="s">
        <v>446</v>
      </c>
      <c r="I183" s="0" t="s">
        <v>92</v>
      </c>
      <c r="J183" s="0" t="n">
        <v>1945</v>
      </c>
      <c r="K183" s="0" t="n">
        <v>1951</v>
      </c>
      <c r="L183" s="0" t="n">
        <v>1967</v>
      </c>
      <c r="N183" s="0" t="n">
        <v>1800</v>
      </c>
      <c r="P183" s="2" t="n">
        <v>16.375</v>
      </c>
      <c r="Q183" s="2" t="n">
        <v>24</v>
      </c>
      <c r="R183" s="2" t="n">
        <v>3</v>
      </c>
      <c r="S183" s="2" t="n">
        <v>280</v>
      </c>
      <c r="T183" s="18" t="n">
        <f aca="false">((($AB183/2)/60)*5280)/($U183*3.2*PI())</f>
        <v>234.962955459351</v>
      </c>
      <c r="U183" s="2" t="n">
        <v>1.9</v>
      </c>
      <c r="V183" s="2" t="n">
        <f aca="false">((($P183*$P183/4)*PI())*($Q183/12)*$R183*$S183*$T183)/(33000*1.1)</f>
        <v>2290.10055322967</v>
      </c>
      <c r="W183" s="0" t="n">
        <v>87.4</v>
      </c>
      <c r="X183" s="1" t="n">
        <v>48</v>
      </c>
      <c r="Z183" s="0" t="n">
        <v>138</v>
      </c>
      <c r="AA183" s="3" t="n">
        <f aca="false">IF(AND(W183&gt;0,Z183&gt;0),(Z183/((W183+X183)*10)),"")</f>
        <v>0.10192023633678</v>
      </c>
      <c r="AB183" s="0" t="n">
        <v>102</v>
      </c>
      <c r="AC183" s="0" t="n">
        <f aca="false">ROUND(AB183*1.6, 0)</f>
        <v>163</v>
      </c>
      <c r="AF183" s="0" t="n">
        <v>20.54</v>
      </c>
      <c r="AG183" s="0" t="n">
        <v>13</v>
      </c>
      <c r="AJ183" s="4" t="n">
        <v>0</v>
      </c>
      <c r="AK183" s="0" t="str">
        <f aca="false">CONCATENATE(VLOOKUP(AL183, 'Voxel Sizes'!$A$2:$B$18,2,FALSE()),"x",INT(AH183*15), "x", INT(AI183*15))</f>
        <v>136x0x0</v>
      </c>
      <c r="AL183" s="0" t="n">
        <f aca="false">ROUND(15*((AG183*10)/256),0)</f>
        <v>8</v>
      </c>
      <c r="AM183" s="0" t="s">
        <v>132</v>
      </c>
      <c r="AN183" s="0" t="str">
        <f aca="false">CONCATENATE(VLOOKUP(AL183,Constants!$A$2:$C$16,IF(AM183&lt;&gt;"", 3, 2), FALSE()),IF(AM183&lt;&gt;"",CONCATENATE(",",VLOOKUP(AM183,$B:$AN,39,FALSE())),""))</f>
        <v>2,4,2,2,1,2</v>
      </c>
      <c r="AV183" s="0" t="n">
        <v>1</v>
      </c>
      <c r="AX183" s="0" t="n">
        <v>30</v>
      </c>
      <c r="AY183" s="16" t="n">
        <f aca="false">IF(L183&lt;&gt;"",MAX(16,(L183-J183)+8),"")</f>
        <v>30</v>
      </c>
      <c r="BB183" s="0" t="n">
        <f aca="false">MIN(AB183/150, 1)*30</f>
        <v>20.4</v>
      </c>
      <c r="BC183" s="0" t="n">
        <f aca="false">MIN(N183/4000, 1)*20</f>
        <v>9</v>
      </c>
      <c r="BD183" s="0" t="n">
        <f aca="false">MIN(Z183/400,1)*20</f>
        <v>6.9</v>
      </c>
      <c r="BE183" s="3" t="n">
        <f aca="false">1-(MAX(J183-1900, 0)/750)</f>
        <v>0.94</v>
      </c>
      <c r="BF183" s="0" t="n">
        <f aca="false">((MAX($M183,1)*MIN($AJ183/300,1)))*IF(G183="Wagon",50,10)</f>
        <v>0</v>
      </c>
      <c r="BG183" s="0" t="n">
        <f aca="false">VLOOKUP($H183,Constants!$I:$K, 2, FALSE())</f>
        <v>1.15</v>
      </c>
      <c r="BH183" s="0" t="n">
        <f aca="false">VLOOKUP($H183,Constants!$I:$K, 3, FALSE())*IF(AND(G183="multiple_unit",AB183&lt;110),0.75,1)</f>
        <v>1.7</v>
      </c>
      <c r="BI183" s="0" t="n">
        <f aca="false">INT(POWER(((Constants!$G$2+$BB183+$BC183+$BD183+$BF183)*$BE183)*$BH183, 1.05))+$BA183</f>
        <v>81</v>
      </c>
      <c r="BJ183" s="0" t="n">
        <f aca="false">INT(POWER((((Constants!$G$1+$BB183+$BC183+$BD183+$BF183)*($BE183))*$BG183),IF($G183="wagon",1,1.2)))+$AZ183</f>
        <v>123</v>
      </c>
      <c r="BK183" s="17" t="n">
        <f aca="false">BI183*IF($G183="wagon",62.5,781.25)</f>
        <v>63281.25</v>
      </c>
      <c r="BL183" s="17" t="n">
        <f aca="false">BJ183*IF($G183="wagon",2.73,81.25)</f>
        <v>9993.75</v>
      </c>
      <c r="BV183" s="0" t="n">
        <v>2</v>
      </c>
      <c r="CA183" s="0" t="str">
        <f aca="false">VLOOKUP(J183,Eras!$A$2:$C$10, 2, TRUE())</f>
        <v>big4</v>
      </c>
      <c r="CB183" s="0" t="s">
        <v>439</v>
      </c>
      <c r="CC183" s="0" t="str">
        <f aca="false">CONCATENATE(CA183,"_",CB183)</f>
        <v>big4_Mixed Traffic</v>
      </c>
      <c r="CD183" s="0" t="str">
        <f aca="false">_xlfn.CONCAT(H183, "_",I183)</f>
        <v>steam_RAIL</v>
      </c>
      <c r="CE183" s="6" t="str">
        <f aca="false" t="array" ref="CE183:CE183">_xlfn.CONCAT("{BLACK}Length: {GOLD}", TEXT(ROUNDUP(IF(AQ183&lt;&gt;"",SUM(VALUE(_xlfn.TEXTSPLIT(AQ183, ","))), SUM(VALUE(_xlfn.TEXTSPLIT(AN183, ",")))*IF(M183, M183, 1))/16, 1), "#,##0.0"), " tiles{}")</f>
        <v>{BLACK}Length: {GOLD}0.9 tiles{}</v>
      </c>
      <c r="CF183" s="0" t="str">
        <f aca="false">VLOOKUP($CD183, Constants!$M:$N, 2, FALSE())</f>
        <v>{BLACK}Powered by: {GOLD}Steam</v>
      </c>
      <c r="CG183" s="0" t="str">
        <f aca="false">IF(M183&gt;1,_xlfn.CONCAT("{BLACK}Cars: {GOLD}", M183),"")</f>
        <v/>
      </c>
      <c r="CH183" s="0" t="s">
        <v>661</v>
      </c>
      <c r="CI183" s="0" t="str">
        <f aca="false">IF($BU183="!param_no_gameplay_units","{GREEN}Included for gameplay purposes","")</f>
        <v/>
      </c>
      <c r="CJ183" s="0" t="str">
        <f aca="false">IF(BX183="buffet","{YELLOW}25% long distance bonus for consist{}",IF(BZ183="BRAKE","{YELLOW}Speed bonus for slow wagons{}",IF(BW183&gt;190,CONCATENATE("{YELLOW}",INT((BW183-185)/1.85),"% bonus for long distance travel{}"),IF(AND(BW183&lt;180,BW183&lt;&gt;0),CONCATENATE("{YELLOW}",INT((185-BW183)/1.85),"% penalty for long distance travel{}"),""))))</f>
        <v/>
      </c>
      <c r="CK183" s="0" t="str">
        <f aca="false">_xlfn.CONCAT(CF183,IF(CF183&lt;&gt;""," ",""),CG183,IF(OR(CG183&lt;&gt;"",CF183&lt;&gt;""),"{}",""),CE183,CJ183,"{SILVER}",CH183,IF(CI183&lt;&gt;"","{}{}",""),CI183)</f>
        <v>{BLACK}Powered by: {GOLD}Steam {}{BLACK}Length: {GOLD}0.9 tiles{}{SILVER}Bulleid's "Light Pacific" is a smaller and lighter version of the Merchant Navy, capable of operating on more routes.</v>
      </c>
    </row>
    <row r="184" customFormat="false" ht="14.25" hidden="false" customHeight="false" outlineLevel="0" collapsed="false">
      <c r="A184" s="0" t="s">
        <v>662</v>
      </c>
      <c r="B184" s="15" t="s">
        <v>663</v>
      </c>
      <c r="C184" s="0" t="n">
        <v>169</v>
      </c>
      <c r="E184" s="0" t="n">
        <v>72</v>
      </c>
      <c r="F184" s="0" t="s">
        <v>143</v>
      </c>
      <c r="G184" s="0" t="s">
        <v>445</v>
      </c>
      <c r="H184" s="0" t="s">
        <v>446</v>
      </c>
      <c r="I184" s="0" t="s">
        <v>92</v>
      </c>
      <c r="J184" s="0" t="n">
        <v>1946</v>
      </c>
      <c r="K184" s="0" t="n">
        <v>1949</v>
      </c>
      <c r="L184" s="0" t="n">
        <v>1951</v>
      </c>
      <c r="N184" s="0" t="n">
        <v>1800</v>
      </c>
      <c r="P184" s="2" t="n">
        <v>12.25</v>
      </c>
      <c r="Q184" s="2" t="n">
        <v>15</v>
      </c>
      <c r="R184" s="2" t="n">
        <v>6</v>
      </c>
      <c r="S184" s="2" t="n">
        <v>280</v>
      </c>
      <c r="T184" s="18" t="n">
        <f aca="false">((($AB184/2)/60)*5280)/($U184*3.2*PI())</f>
        <v>262.605656101627</v>
      </c>
      <c r="U184" s="2" t="n">
        <v>1.5</v>
      </c>
      <c r="V184" s="2" t="n">
        <f aca="false">((($P184*$P184/4)*PI())*($Q184/12)*$R184*$S184*$T184)/(33000*1.1)</f>
        <v>1790.51846590909</v>
      </c>
      <c r="W184" s="0" t="n">
        <v>152</v>
      </c>
      <c r="Z184" s="0" t="n">
        <v>117</v>
      </c>
      <c r="AA184" s="3" t="n">
        <f aca="false">IF(AND(W184&gt;0,Z184&gt;0),(Z184/((W184+X184)*10)),"")</f>
        <v>0.0769736842105263</v>
      </c>
      <c r="AB184" s="0" t="n">
        <v>90</v>
      </c>
      <c r="AC184" s="0" t="n">
        <f aca="false">ROUND(AB184*1.6, 0)</f>
        <v>144</v>
      </c>
      <c r="AE184" s="0" t="n">
        <v>1</v>
      </c>
      <c r="AF184" s="0" t="n">
        <v>20.42</v>
      </c>
      <c r="AG184" s="0" t="n">
        <v>20.42</v>
      </c>
      <c r="AJ184" s="4" t="n">
        <v>0</v>
      </c>
      <c r="AK184" s="0" t="str">
        <f aca="false">CONCATENATE(VLOOKUP(AL184, 'Voxel Sizes'!$A$2:$B$18,2,FALSE()),"x",INT(AH184*15), "x", INT(AI184*15))</f>
        <v>198x0x0</v>
      </c>
      <c r="AL184" s="0" t="n">
        <f aca="false">ROUND(15*((AG184*10)/256),0)</f>
        <v>12</v>
      </c>
      <c r="AN184" s="0" t="str">
        <f aca="false">CONCATENATE(VLOOKUP(AL184,Constants!$A$2:$C$16,IF(AM184&lt;&gt;"", 3, 2), FALSE()),IF(AM184&lt;&gt;"",CONCATENATE(",",VLOOKUP(AM184,$B:$AN,39,FALSE())),""))</f>
        <v>4,4,4</v>
      </c>
      <c r="AX184" s="0" t="n">
        <v>19</v>
      </c>
      <c r="AY184" s="16" t="n">
        <f aca="false">IF(L184&lt;&gt;"",MAX(16,(L184-J184)+8),"")</f>
        <v>16</v>
      </c>
      <c r="BB184" s="0" t="n">
        <f aca="false">MIN(AB184/150, 1)*30</f>
        <v>18</v>
      </c>
      <c r="BC184" s="0" t="n">
        <f aca="false">MIN(N184/4000, 1)*20</f>
        <v>9</v>
      </c>
      <c r="BD184" s="0" t="n">
        <f aca="false">MIN(Z184/400,1)*20</f>
        <v>5.85</v>
      </c>
      <c r="BE184" s="3" t="n">
        <f aca="false">1-(MAX(J184-1900, 0)/750)</f>
        <v>0.938666666666667</v>
      </c>
      <c r="BF184" s="0" t="n">
        <f aca="false">((MAX($M184,1)*MIN($AJ184/300,1)))*IF(G184="Wagon",50,10)</f>
        <v>0</v>
      </c>
      <c r="BG184" s="0" t="n">
        <f aca="false">VLOOKUP($H184,Constants!$I:$K, 2, FALSE())</f>
        <v>1.15</v>
      </c>
      <c r="BH184" s="0" t="n">
        <f aca="false">VLOOKUP($H184,Constants!$I:$K, 3, FALSE())*IF(AND(G184="multiple_unit",AB184&lt;110),0.75,1)</f>
        <v>1.7</v>
      </c>
      <c r="BI184" s="0" t="n">
        <f aca="false">INT(POWER(((Constants!$G$2+$BB184+$BC184+$BD184+$BF184)*$BE184)*$BH184, 1.05))+$BA184</f>
        <v>74</v>
      </c>
      <c r="BJ184" s="0" t="n">
        <f aca="false">INT(POWER((((Constants!$G$1+$BB184+$BC184+$BD184+$BF184)*($BE184))*$BG184),IF($G184="wagon",1,1.2)))+$AZ184</f>
        <v>113</v>
      </c>
      <c r="BK184" s="17" t="n">
        <f aca="false">BI184*IF($G184="wagon",62.5,781.25)</f>
        <v>57812.5</v>
      </c>
      <c r="BL184" s="17" t="n">
        <f aca="false">BJ184*IF($G184="wagon",2.73,81.25)</f>
        <v>9181.25</v>
      </c>
      <c r="BV184" s="0" t="n">
        <v>3</v>
      </c>
      <c r="CA184" s="0" t="str">
        <f aca="false">VLOOKUP(J184,Eras!$A$2:$C$10, 2, TRUE())</f>
        <v>big4</v>
      </c>
      <c r="CB184" s="0" t="s">
        <v>439</v>
      </c>
      <c r="CC184" s="0" t="str">
        <f aca="false">CONCATENATE(CA184,"_",CB184)</f>
        <v>big4_Mixed Traffic</v>
      </c>
      <c r="CD184" s="0" t="str">
        <f aca="false">_xlfn.CONCAT(H184, "_",I184)</f>
        <v>steam_RAIL</v>
      </c>
      <c r="CE184" s="6" t="str">
        <f aca="false" t="array" ref="CE184:CE184">_xlfn.CONCAT("{BLACK}Length: {GOLD}", TEXT(ROUNDUP(IF(AQ184&lt;&gt;"",SUM(VALUE(_xlfn.TEXTSPLIT(AQ184, ","))), SUM(VALUE(_xlfn.TEXTSPLIT(AN184, ",")))*IF(M184, M184, 1))/16, 1), "#,##0.0"), " tiles{}")</f>
        <v>{BLACK}Length: {GOLD}0.8 tiles{}</v>
      </c>
      <c r="CF184" s="0" t="str">
        <f aca="false">VLOOKUP($CD184, Constants!$M:$N, 2, FALSE())</f>
        <v>{BLACK}Powered by: {GOLD}Steam</v>
      </c>
      <c r="CG184" s="0" t="str">
        <f aca="false">IF(M184&gt;1,_xlfn.CONCAT("{BLACK}Cars: {GOLD}", M184),"")</f>
        <v/>
      </c>
      <c r="CH184" s="0" t="s">
        <v>664</v>
      </c>
      <c r="CI184" s="0" t="str">
        <f aca="false">IF($BU184="!param_no_gameplay_units","{GREEN}Included for gameplay purposes","")</f>
        <v/>
      </c>
      <c r="CJ184" s="0" t="str">
        <f aca="false">IF(BX184="buffet","{YELLOW}25% long distance bonus for consist{}",IF(BZ184="BRAKE","{YELLOW}Speed bonus for slow wagons{}",IF(BW184&gt;190,CONCATENATE("{YELLOW}",INT((BW184-185)/1.85),"% bonus for long distance travel{}"),IF(AND(BW184&lt;180,BW184&lt;&gt;0),CONCATENATE("{YELLOW}",INT((185-BW184)/1.85),"% penalty for long distance travel{}"),""))))</f>
        <v/>
      </c>
      <c r="CK184" s="0" t="str">
        <f aca="false">_xlfn.CONCAT(CF184,IF(CF184&lt;&gt;""," ",""),CG184,IF(OR(CG184&lt;&gt;"",CF184&lt;&gt;""),"{}",""),CE184,CJ184,"{SILVER}",CH184,IF(CI184&lt;&gt;"","{}{}",""),CI184)</f>
        <v>{BLACK}Powered by: {GOLD}Steam {}{BLACK}Length: {GOLD}0.8 tiles{}{SILVER}The Leader was an attempt to make a steam locomotive as easy to operate as a diesel or electric. Complexity, poor reliability and uncomfortably hot cabs caused the project to be scrapped by 1951.</v>
      </c>
    </row>
    <row r="185" customFormat="false" ht="14.25" hidden="false" customHeight="false" outlineLevel="0" collapsed="false">
      <c r="A185" s="0" t="s">
        <v>665</v>
      </c>
      <c r="B185" s="15" t="s">
        <v>666</v>
      </c>
      <c r="C185" s="0" t="n">
        <v>170</v>
      </c>
      <c r="E185" s="0" t="n">
        <v>73</v>
      </c>
      <c r="F185" s="0" t="s">
        <v>143</v>
      </c>
      <c r="G185" s="0" t="s">
        <v>445</v>
      </c>
      <c r="H185" s="0" t="s">
        <v>446</v>
      </c>
      <c r="I185" s="0" t="s">
        <v>92</v>
      </c>
      <c r="J185" s="0" t="n">
        <v>1946</v>
      </c>
      <c r="K185" s="0" t="n">
        <v>1953</v>
      </c>
      <c r="L185" s="0" t="n">
        <v>1967</v>
      </c>
      <c r="N185" s="0" t="n">
        <v>1000</v>
      </c>
      <c r="P185" s="2" t="n">
        <v>16</v>
      </c>
      <c r="Q185" s="2" t="n">
        <v>24</v>
      </c>
      <c r="R185" s="2" t="n">
        <v>2</v>
      </c>
      <c r="S185" s="2" t="n">
        <v>200</v>
      </c>
      <c r="T185" s="18" t="n">
        <f aca="false">((($AB185/2)/60)*5280)/($U185*3.2*PI())</f>
        <v>233.427249868113</v>
      </c>
      <c r="U185" s="2" t="n">
        <v>1.5</v>
      </c>
      <c r="V185" s="2" t="n">
        <f aca="false">((($P185*$P185/4)*PI())*($Q185/12)*$R185*$S185*$T185)/(33000*1.1)</f>
        <v>1034.34343434343</v>
      </c>
      <c r="W185" s="0" t="n">
        <v>47.9</v>
      </c>
      <c r="X185" s="1" t="n">
        <v>37.7</v>
      </c>
      <c r="Z185" s="0" t="n">
        <v>77</v>
      </c>
      <c r="AA185" s="3" t="n">
        <f aca="false">IF(AND(W185&gt;0,Z185&gt;0),(Z185/((W185+X185)*10)),"")</f>
        <v>0.0899532710280374</v>
      </c>
      <c r="AB185" s="0" t="n">
        <v>80</v>
      </c>
      <c r="AC185" s="0" t="n">
        <f aca="false">ROUND(AB185*1.6, 0)</f>
        <v>128</v>
      </c>
      <c r="AF185" s="0" t="n">
        <v>16.2</v>
      </c>
      <c r="AG185" s="0" t="n">
        <f aca="false">AF185-6</f>
        <v>10.2</v>
      </c>
      <c r="AJ185" s="4" t="n">
        <v>0</v>
      </c>
      <c r="AK185" s="0" t="str">
        <f aca="false">CONCATENATE(VLOOKUP(AL185, 'Voxel Sizes'!$A$2:$B$18,2,FALSE()),"x",INT(AH185*15), "x", INT(AI185*15))</f>
        <v>102x0x0</v>
      </c>
      <c r="AL185" s="0" t="n">
        <f aca="false">ROUND(15*((AG185*10)/256),0)</f>
        <v>6</v>
      </c>
      <c r="AM185" s="0" t="s">
        <v>138</v>
      </c>
      <c r="AN185" s="0" t="str">
        <f aca="false">CONCATENATE(VLOOKUP(AL185,Constants!$A$2:$C$16,IF(AM185&lt;&gt;"", 3, 2), FALSE()),IF(AM185&lt;&gt;"",CONCATENATE(",",VLOOKUP(AM185,$B:$AN,39,FALSE())),""))</f>
        <v>2,2,2,1,2,1</v>
      </c>
      <c r="AV185" s="0" t="n">
        <v>1</v>
      </c>
      <c r="AX185" s="0" t="n">
        <v>30</v>
      </c>
      <c r="AY185" s="16" t="n">
        <f aca="false">IF(L185&lt;&gt;"",MAX(16,(L185-J185)+8),"")</f>
        <v>29</v>
      </c>
      <c r="BB185" s="0" t="n">
        <f aca="false">MIN(AB185/150, 1)*30</f>
        <v>16</v>
      </c>
      <c r="BC185" s="0" t="n">
        <f aca="false">MIN(N185/4000, 1)*20</f>
        <v>5</v>
      </c>
      <c r="BD185" s="0" t="n">
        <f aca="false">MIN(Z185/400,1)*20</f>
        <v>3.85</v>
      </c>
      <c r="BE185" s="3" t="n">
        <f aca="false">1-(MAX(J185-1900, 0)/750)</f>
        <v>0.938666666666667</v>
      </c>
      <c r="BF185" s="0" t="n">
        <f aca="false">((MAX($M185,1)*MIN($AJ185/300,1)))*IF(G185="Wagon",50,10)</f>
        <v>0</v>
      </c>
      <c r="BG185" s="0" t="n">
        <f aca="false">VLOOKUP($H185,Constants!$I:$K, 2, FALSE())</f>
        <v>1.15</v>
      </c>
      <c r="BH185" s="0" t="n">
        <f aca="false">VLOOKUP($H185,Constants!$I:$K, 3, FALSE())*IF(AND(G185="multiple_unit",AB185&lt;110),0.75,1)</f>
        <v>1.7</v>
      </c>
      <c r="BI185" s="0" t="n">
        <f aca="false">INT(POWER(((Constants!$G$2+$BB185+$BC185+$BD185+$BF185)*$BE185)*$BH185, 1.05))+$BA185</f>
        <v>57</v>
      </c>
      <c r="BJ185" s="0" t="n">
        <f aca="false">INT(POWER((((Constants!$G$1+$BB185+$BC185+$BD185+$BF185)*($BE185))*$BG185),IF($G185="wagon",1,1.2)))+$AZ185</f>
        <v>91</v>
      </c>
      <c r="BK185" s="17" t="n">
        <f aca="false">BI185*IF($G185="wagon",62.5,781.25)</f>
        <v>44531.25</v>
      </c>
      <c r="BL185" s="17" t="n">
        <f aca="false">BJ185*IF($G185="wagon",2.73,81.25)</f>
        <v>7393.75</v>
      </c>
      <c r="BV185" s="0" t="n">
        <v>4</v>
      </c>
      <c r="CA185" s="0" t="str">
        <f aca="false">VLOOKUP(J185,Eras!$A$2:$C$10, 2, TRUE())</f>
        <v>big4</v>
      </c>
      <c r="CB185" s="0" t="s">
        <v>513</v>
      </c>
      <c r="CC185" s="0" t="str">
        <f aca="false">CONCATENATE(CA185,"_",CB185)</f>
        <v>big4_Cheap</v>
      </c>
      <c r="CD185" s="0" t="str">
        <f aca="false">_xlfn.CONCAT(H185, "_",I185)</f>
        <v>steam_RAIL</v>
      </c>
      <c r="CE185" s="6" t="str">
        <f aca="false" t="array" ref="CE185:CE185">_xlfn.CONCAT("{BLACK}Length: {GOLD}", TEXT(ROUNDUP(IF(AQ185&lt;&gt;"",SUM(VALUE(_xlfn.TEXTSPLIT(AQ185, ","))), SUM(VALUE(_xlfn.TEXTSPLIT(AN185, ",")))*IF(M185, M185, 1))/16, 1), "#,##0.0"), " tiles{}")</f>
        <v>{BLACK}Length: {GOLD}0.7 tiles{}</v>
      </c>
      <c r="CF185" s="0" t="str">
        <f aca="false">VLOOKUP($CD185, Constants!$M:$N, 2, FALSE())</f>
        <v>{BLACK}Powered by: {GOLD}Steam</v>
      </c>
      <c r="CG185" s="0" t="str">
        <f aca="false">IF(M185&gt;1,_xlfn.CONCAT("{BLACK}Cars: {GOLD}", M185),"")</f>
        <v/>
      </c>
      <c r="CH185" s="0" t="s">
        <v>667</v>
      </c>
      <c r="CI185" s="0" t="str">
        <f aca="false">IF($BU185="!param_no_gameplay_units","{GREEN}Included for gameplay purposes","")</f>
        <v/>
      </c>
      <c r="CJ185" s="0" t="str">
        <f aca="false">IF(BX185="buffet","{YELLOW}25% long distance bonus for consist{}",IF(BZ185="BRAKE","{YELLOW}Speed bonus for slow wagons{}",IF(BW185&gt;190,CONCATENATE("{YELLOW}",INT((BW185-185)/1.85),"% bonus for long distance travel{}"),IF(AND(BW185&lt;180,BW185&lt;&gt;0),CONCATENATE("{YELLOW}",INT((185-BW185)/1.85),"% penalty for long distance travel{}"),""))))</f>
        <v/>
      </c>
      <c r="CK185" s="0" t="str">
        <f aca="false">_xlfn.CONCAT(CF185,IF(CF185&lt;&gt;""," ",""),CG185,IF(OR(CG185&lt;&gt;"",CF185&lt;&gt;""),"{}",""),CE185,CJ185,"{SILVER}",CH185,IF(CI185&lt;&gt;"","{}{}",""),CI185)</f>
        <v>{BLACK}Powered by: {GOLD}Steam {}{BLACK}Length: {GOLD}0.7 tiles{}{SILVER}The Ivatt Class 2 is a light, low-powered Mogul designed to replace the LMS fleet of 0-6-0 engines.</v>
      </c>
    </row>
    <row r="186" customFormat="false" ht="14.25" hidden="false" customHeight="false" outlineLevel="0" collapsed="false">
      <c r="A186" s="0" t="s">
        <v>668</v>
      </c>
      <c r="B186" s="15" t="s">
        <v>669</v>
      </c>
      <c r="C186" s="0" t="n">
        <v>171</v>
      </c>
      <c r="E186" s="0" t="n">
        <v>74</v>
      </c>
      <c r="F186" s="0" t="s">
        <v>143</v>
      </c>
      <c r="G186" s="0" t="s">
        <v>445</v>
      </c>
      <c r="H186" s="0" t="s">
        <v>670</v>
      </c>
      <c r="I186" s="0" t="s">
        <v>92</v>
      </c>
      <c r="J186" s="0" t="n">
        <v>1947</v>
      </c>
      <c r="K186" s="0" t="n">
        <v>1948</v>
      </c>
      <c r="L186" s="0" t="n">
        <v>1966</v>
      </c>
      <c r="N186" s="0" t="n">
        <v>1600</v>
      </c>
      <c r="W186" s="0" t="n">
        <v>129.7</v>
      </c>
      <c r="Z186" s="0" t="n">
        <v>184</v>
      </c>
      <c r="AA186" s="3" t="n">
        <f aca="false">IF(AND(W186&gt;0,Z186&gt;0),(Z186/((W186+X186)*10)),"")</f>
        <v>0.141865844255975</v>
      </c>
      <c r="AB186" s="0" t="n">
        <v>93</v>
      </c>
      <c r="AC186" s="0" t="n">
        <f aca="false">ROUND(AB186*1.6, 0)</f>
        <v>149</v>
      </c>
      <c r="AF186" s="0" t="n">
        <v>18.64</v>
      </c>
      <c r="AG186" s="0" t="n">
        <v>18.64</v>
      </c>
      <c r="AI186" s="0" t="n">
        <v>3.95</v>
      </c>
      <c r="AJ186" s="4" t="n">
        <v>0</v>
      </c>
      <c r="AK186" s="0" t="str">
        <f aca="false">CONCATENATE(VLOOKUP(AL186, 'Voxel Sizes'!$A$2:$B$18,2,FALSE()),"x",INT(AH186*15), "x", INT(AI186*15))</f>
        <v>186x0x59</v>
      </c>
      <c r="AL186" s="0" t="n">
        <f aca="false">ROUND(15*((AG186*10)/256),0)</f>
        <v>11</v>
      </c>
      <c r="AN186" s="0" t="str">
        <f aca="false">CONCATENATE(VLOOKUP(AL186,Constants!$A$2:$C$16,IF(AM186&lt;&gt;"", 3, 2), FALSE()),IF(AM186&lt;&gt;"",CONCATENATE(",",VLOOKUP(AM186,$B:$AN,39,FALSE())),""))</f>
        <v>4,3,4</v>
      </c>
      <c r="AX186" s="0" t="n">
        <v>26</v>
      </c>
      <c r="AY186" s="16" t="n">
        <f aca="false">IF(L186&lt;&gt;"",MAX(16,(L186-J186)+8),"")</f>
        <v>27</v>
      </c>
      <c r="BB186" s="0" t="n">
        <f aca="false">MIN(AB186/150, 1)*30</f>
        <v>18.6</v>
      </c>
      <c r="BC186" s="0" t="n">
        <f aca="false">MIN(N186/4000, 1)*20</f>
        <v>8</v>
      </c>
      <c r="BD186" s="0" t="n">
        <f aca="false">MIN(Z186/400,1)*20</f>
        <v>9.2</v>
      </c>
      <c r="BE186" s="3" t="n">
        <f aca="false">1-(MAX(J186-1900, 0)/750)</f>
        <v>0.937333333333333</v>
      </c>
      <c r="BF186" s="0" t="n">
        <f aca="false">((MAX($M186,1)*MIN($AJ186/300,1)))*IF(G186="Wagon",50,10)</f>
        <v>0</v>
      </c>
      <c r="BG186" s="0" t="n">
        <f aca="false">VLOOKUP($H186,Constants!$I:$K, 2, FALSE())</f>
        <v>1</v>
      </c>
      <c r="BH186" s="0" t="n">
        <f aca="false">VLOOKUP($H186,Constants!$I:$K, 3, FALSE())*IF(AND(G186="multiple_unit",AB186&lt;110),0.75,1)</f>
        <v>2</v>
      </c>
      <c r="BI186" s="0" t="n">
        <f aca="false">INT(POWER(((Constants!$G$2+$BB186+$BC186+$BD186+$BF186)*$BE186)*$BH186, 1.05))+$BA186</f>
        <v>95</v>
      </c>
      <c r="BJ186" s="0" t="n">
        <f aca="false">INT(POWER((((Constants!$G$1+$BB186+$BC186+$BD186+$BF186)*($BE186))*$BG186),IF($G186="wagon",1,1.2)))+$AZ186</f>
        <v>103</v>
      </c>
      <c r="BK186" s="17" t="n">
        <f aca="false">BI186*IF($G186="wagon",62.5,781.25)</f>
        <v>74218.75</v>
      </c>
      <c r="BL186" s="17" t="n">
        <f aca="false">BJ186*IF($G186="wagon",2.73,81.25)</f>
        <v>8368.75</v>
      </c>
      <c r="BV186" s="0" t="n">
        <v>5</v>
      </c>
      <c r="CA186" s="0" t="str">
        <f aca="false">VLOOKUP(J186,Eras!$A$2:$C$10, 2, TRUE())</f>
        <v>big4</v>
      </c>
      <c r="CB186" s="0" t="s">
        <v>439</v>
      </c>
      <c r="CC186" s="0" t="str">
        <f aca="false">CONCATENATE(CA186,"_",CB186)</f>
        <v>big4_Mixed Traffic</v>
      </c>
      <c r="CD186" s="0" t="str">
        <f aca="false">_xlfn.CONCAT(H186, "_",I186)</f>
        <v>diesel_RAIL</v>
      </c>
      <c r="CE186" s="6" t="str">
        <f aca="false" t="array" ref="CE186:CE186">_xlfn.CONCAT("{BLACK}Length: {GOLD}", TEXT(ROUNDUP(IF(AQ186&lt;&gt;"",SUM(VALUE(_xlfn.TEXTSPLIT(AQ186, ","))), SUM(VALUE(_xlfn.TEXTSPLIT(AN186, ",")))*IF(M186, M186, 1))/16, 1), "#,##0.0"), " tiles{}")</f>
        <v>{BLACK}Length: {GOLD}0.7 tiles{}</v>
      </c>
      <c r="CF186" s="0" t="str">
        <f aca="false">VLOOKUP($CD186, Constants!$M:$N, 2, FALSE())</f>
        <v>{BLACK}Powered by: {GOLD}Diesel</v>
      </c>
      <c r="CG186" s="0" t="str">
        <f aca="false">IF(M186&gt;1,_xlfn.CONCAT("{BLACK}Cars: {GOLD}", M186),"")</f>
        <v/>
      </c>
      <c r="CH186" s="0" t="s">
        <v>671</v>
      </c>
      <c r="CI186" s="0" t="str">
        <f aca="false">IF($BU186="!param_no_gameplay_units","{GREEN}Included for gameplay purposes","")</f>
        <v/>
      </c>
      <c r="CJ186" s="0" t="str">
        <f aca="false">IF(BX186="buffet","{YELLOW}25% long distance bonus for consist{}",IF(BZ186="BRAKE","{YELLOW}Speed bonus for slow wagons{}",IF(BW186&gt;190,CONCATENATE("{YELLOW}",INT((BW186-185)/1.85),"% bonus for long distance travel{}"),IF(AND(BW186&lt;180,BW186&lt;&gt;0),CONCATENATE("{YELLOW}",INT((185-BW186)/1.85),"% penalty for long distance travel{}"),""))))</f>
        <v/>
      </c>
      <c r="CK186" s="0" t="str">
        <f aca="false">_xlfn.CONCAT(CF186,IF(CF186&lt;&gt;""," ",""),CG186,IF(OR(CG186&lt;&gt;"",CF186&lt;&gt;""),"{}",""),CE186,CJ186,"{SILVER}",CH186,IF(CI186&lt;&gt;"","{}{}",""),CI186)</f>
        <v>{BLACK}Powered by: {GOLD}Diesel {}{BLACK}Length: {GOLD}0.7 tiles{}{SILVER}The EE 10000 is the first mainline diesel locomotive built in the UK. Two were built for the LMS.</v>
      </c>
    </row>
    <row r="187" customFormat="false" ht="14.25" hidden="false" customHeight="false" outlineLevel="0" collapsed="false">
      <c r="A187" s="0" t="s">
        <v>672</v>
      </c>
      <c r="B187" s="15" t="s">
        <v>673</v>
      </c>
      <c r="C187" s="0" t="n">
        <v>172</v>
      </c>
      <c r="E187" s="0" t="n">
        <v>75</v>
      </c>
      <c r="F187" s="0" t="s">
        <v>143</v>
      </c>
      <c r="G187" s="0" t="s">
        <v>445</v>
      </c>
      <c r="H187" s="0" t="s">
        <v>446</v>
      </c>
      <c r="I187" s="0" t="s">
        <v>92</v>
      </c>
      <c r="J187" s="0" t="n">
        <v>1948</v>
      </c>
      <c r="K187" s="0" t="n">
        <v>1949</v>
      </c>
      <c r="L187" s="0" t="n">
        <v>1966</v>
      </c>
      <c r="N187" s="0" t="n">
        <v>2700</v>
      </c>
      <c r="P187" s="2" t="n">
        <v>19</v>
      </c>
      <c r="Q187" s="2" t="n">
        <v>26</v>
      </c>
      <c r="R187" s="2" t="n">
        <v>3</v>
      </c>
      <c r="S187" s="2" t="n">
        <v>250</v>
      </c>
      <c r="T187" s="18" t="n">
        <f aca="false">((($AB187/2)/60)*5280)/($U187*3.2*PI())</f>
        <v>215.603986947149</v>
      </c>
      <c r="U187" s="2" t="n">
        <v>2.03</v>
      </c>
      <c r="V187" s="2" t="n">
        <f aca="false">((($P187*$P187/4)*PI())*($Q187/12)*$R187*$S187*$T187)/(33000*1.1)</f>
        <v>2736.53250485147</v>
      </c>
      <c r="W187" s="0" t="n">
        <v>106.9</v>
      </c>
      <c r="X187" s="1" t="n">
        <v>61.9</v>
      </c>
      <c r="Z187" s="0" t="n">
        <v>166</v>
      </c>
      <c r="AA187" s="3" t="n">
        <f aca="false">IF(AND(W187&gt;0,Z187&gt;0),(Z187/((W187+X187)*10)),"")</f>
        <v>0.0983412322274882</v>
      </c>
      <c r="AB187" s="0" t="n">
        <v>100</v>
      </c>
      <c r="AC187" s="0" t="n">
        <f aca="false">ROUND(AB187*1.6, 0)</f>
        <v>160</v>
      </c>
      <c r="AF187" s="0" t="n">
        <v>22.24</v>
      </c>
      <c r="AG187" s="0" t="n">
        <f aca="false">AF187-7.5</f>
        <v>14.74</v>
      </c>
      <c r="AI187" s="0" t="n">
        <v>3.99</v>
      </c>
      <c r="AJ187" s="4" t="n">
        <v>0</v>
      </c>
      <c r="AK187" s="0" t="str">
        <f aca="false">CONCATENATE(VLOOKUP(AL187, 'Voxel Sizes'!$A$2:$B$18,2,FALSE()),"x",INT(AH187*15), "x", INT(AI187*15))</f>
        <v>152x0x59</v>
      </c>
      <c r="AL187" s="0" t="n">
        <f aca="false">ROUND(15*((AG187*10)/256),0)</f>
        <v>9</v>
      </c>
      <c r="AM187" s="0" t="s">
        <v>128</v>
      </c>
      <c r="AN187" s="0" t="str">
        <f aca="false">CONCATENATE(VLOOKUP(AL187,Constants!$A$2:$C$16,IF(AM187&lt;&gt;"", 3, 2), FALSE()),IF(AM187&lt;&gt;"",CONCATENATE(",",VLOOKUP(AM187,$B:$AN,39,FALSE())),""))</f>
        <v>2,5,2,2,1,2</v>
      </c>
      <c r="AV187" s="0" t="n">
        <v>1</v>
      </c>
      <c r="AX187" s="0" t="n">
        <v>32</v>
      </c>
      <c r="AY187" s="16" t="n">
        <f aca="false">IF(L187&lt;&gt;"",MAX(16,(L187-J187)+8),"")</f>
        <v>26</v>
      </c>
      <c r="BB187" s="0" t="n">
        <f aca="false">MIN(AB187/150, 1)*30</f>
        <v>20</v>
      </c>
      <c r="BC187" s="0" t="n">
        <f aca="false">MIN(N187/4000, 1)*20</f>
        <v>13.5</v>
      </c>
      <c r="BD187" s="0" t="n">
        <f aca="false">MIN(Z187/400,1)*20</f>
        <v>8.3</v>
      </c>
      <c r="BE187" s="3" t="n">
        <f aca="false">1-(MAX(J187-1900, 0)/750)</f>
        <v>0.936</v>
      </c>
      <c r="BF187" s="0" t="n">
        <f aca="false">((MAX($M187,1)*MIN($AJ187/300,1)))*IF(G187="Wagon",50,10)</f>
        <v>0</v>
      </c>
      <c r="BG187" s="0" t="n">
        <f aca="false">VLOOKUP($H187,Constants!$I:$K, 2, FALSE())</f>
        <v>1.15</v>
      </c>
      <c r="BH187" s="0" t="n">
        <f aca="false">VLOOKUP($H187,Constants!$I:$K, 3, FALSE())*IF(AND(G187="multiple_unit",AB187&lt;110),0.75,1)</f>
        <v>1.7</v>
      </c>
      <c r="BI187" s="0" t="n">
        <f aca="false">INT(POWER(((Constants!$G$2+$BB187+$BC187+$BD187+$BF187)*$BE187)*$BH187, 1.05))+$BA187</f>
        <v>92</v>
      </c>
      <c r="BJ187" s="0" t="n">
        <f aca="false">INT(POWER((((Constants!$G$1+$BB187+$BC187+$BD187+$BF187)*($BE187))*$BG187),IF($G187="wagon",1,1.2)))+$AZ187</f>
        <v>139</v>
      </c>
      <c r="BK187" s="17" t="n">
        <f aca="false">BI187*IF($G187="wagon",62.5,781.25)</f>
        <v>71875</v>
      </c>
      <c r="BL187" s="17" t="n">
        <f aca="false">BJ187*IF($G187="wagon",2.73,81.25)</f>
        <v>11293.75</v>
      </c>
      <c r="BV187" s="0" t="n">
        <v>6</v>
      </c>
      <c r="CA187" s="0" t="str">
        <f aca="false">VLOOKUP(J187,Eras!$A$2:$C$10, 2, TRUE())</f>
        <v>ebr</v>
      </c>
      <c r="CB187" s="0" t="s">
        <v>474</v>
      </c>
      <c r="CC187" s="0" t="str">
        <f aca="false">CONCATENATE(CA187,"_",CB187)</f>
        <v>ebr_Express</v>
      </c>
      <c r="CD187" s="0" t="str">
        <f aca="false">_xlfn.CONCAT(H187, "_",I187)</f>
        <v>steam_RAIL</v>
      </c>
      <c r="CE187" s="6" t="str">
        <f aca="false" t="array" ref="CE187:CE187">_xlfn.CONCAT("{BLACK}Length: {GOLD}", TEXT(ROUNDUP(IF(AQ187&lt;&gt;"",SUM(VALUE(_xlfn.TEXTSPLIT(AQ187, ","))), SUM(VALUE(_xlfn.TEXTSPLIT(AN187, ",")))*IF(M187, M187, 1))/16, 1), "#,##0.0"), " tiles{}")</f>
        <v>{BLACK}Length: {GOLD}0.9 tiles{}</v>
      </c>
      <c r="CF187" s="0" t="str">
        <f aca="false">VLOOKUP($CD187, Constants!$M:$N, 2, FALSE())</f>
        <v>{BLACK}Powered by: {GOLD}Steam</v>
      </c>
      <c r="CG187" s="0" t="str">
        <f aca="false">IF(M187&gt;1,_xlfn.CONCAT("{BLACK}Cars: {GOLD}", M187),"")</f>
        <v/>
      </c>
      <c r="CH187" s="0" t="s">
        <v>674</v>
      </c>
      <c r="CI187" s="0" t="str">
        <f aca="false">IF($BU187="!param_no_gameplay_units","{GREEN}Included for gameplay purposes","")</f>
        <v/>
      </c>
      <c r="CJ187" s="0" t="str">
        <f aca="false">IF(BX187="buffet","{YELLOW}25% long distance bonus for consist{}",IF(BZ187="BRAKE","{YELLOW}Speed bonus for slow wagons{}",IF(BW187&gt;190,CONCATENATE("{YELLOW}",INT((BW187-185)/1.85),"% bonus for long distance travel{}"),IF(AND(BW187&lt;180,BW187&lt;&gt;0),CONCATENATE("{YELLOW}",INT((185-BW187)/1.85),"% penalty for long distance travel{}"),""))))</f>
        <v/>
      </c>
      <c r="CK187" s="0" t="str">
        <f aca="false">_xlfn.CONCAT(CF187,IF(CF187&lt;&gt;""," ",""),CG187,IF(OR(CG187&lt;&gt;"",CF187&lt;&gt;""),"{}",""),CE187,CJ187,"{SILVER}",CH187,IF(CI187&lt;&gt;"","{}{}",""),CI187)</f>
        <v>{BLACK}Powered by: {GOLD}Steam {}{BLACK}Length: {GOLD}0.9 tiles{}{SILVER}The Peppercorn A1 is designed for hauling heavy passenger trains of 12 or more carriages. A continuation of the series, 'Tornado', was built in 2008.</v>
      </c>
    </row>
    <row r="188" customFormat="false" ht="14.25" hidden="false" customHeight="false" outlineLevel="0" collapsed="false">
      <c r="A188" s="0" t="s">
        <v>675</v>
      </c>
      <c r="B188" s="15" t="s">
        <v>676</v>
      </c>
      <c r="C188" s="0" t="n">
        <v>173</v>
      </c>
      <c r="E188" s="0" t="n">
        <v>76</v>
      </c>
      <c r="F188" s="0" t="s">
        <v>143</v>
      </c>
      <c r="G188" s="0" t="s">
        <v>445</v>
      </c>
      <c r="H188" s="0" t="s">
        <v>529</v>
      </c>
      <c r="I188" s="0" t="s">
        <v>530</v>
      </c>
      <c r="J188" s="0" t="n">
        <v>1950</v>
      </c>
      <c r="K188" s="0" t="n">
        <v>1953</v>
      </c>
      <c r="L188" s="0" t="n">
        <v>1981</v>
      </c>
      <c r="N188" s="0" t="n">
        <v>1300</v>
      </c>
      <c r="W188" s="0" t="n">
        <v>89.3</v>
      </c>
      <c r="Z188" s="0" t="n">
        <v>200</v>
      </c>
      <c r="AA188" s="3" t="n">
        <f aca="false">IF(AND(W188&gt;0,Z188&gt;0),(Z188/((W188+X188)*10)),"")</f>
        <v>0.223964165733483</v>
      </c>
      <c r="AB188" s="0" t="n">
        <v>65</v>
      </c>
      <c r="AC188" s="0" t="n">
        <f aca="false">ROUND(AB188*1.6, 0)</f>
        <v>104</v>
      </c>
      <c r="AF188" s="0" t="n">
        <v>15.34</v>
      </c>
      <c r="AG188" s="0" t="n">
        <v>15.34</v>
      </c>
      <c r="AJ188" s="4" t="n">
        <v>0</v>
      </c>
      <c r="AK188" s="0" t="str">
        <f aca="false">CONCATENATE(VLOOKUP(AL188, 'Voxel Sizes'!$A$2:$B$18,2,FALSE()),"x",INT(AH188*15), "x", INT(AI188*15))</f>
        <v>152x0x0</v>
      </c>
      <c r="AL188" s="0" t="n">
        <f aca="false">ROUND(15*((AG188*10)/256),0)</f>
        <v>9</v>
      </c>
      <c r="AN188" s="0" t="str">
        <f aca="false">CONCATENATE(VLOOKUP(AL188,Constants!$A$2:$C$16,IF(AM188&lt;&gt;"", 3, 2), FALSE()),IF(AM188&lt;&gt;"",CONCATENATE(",",VLOOKUP(AM188,$B:$AN,39,FALSE())),""))</f>
        <v>2,5,2</v>
      </c>
      <c r="AX188" s="0" t="n">
        <v>30</v>
      </c>
      <c r="AY188" s="16" t="n">
        <f aca="false">IF(L188&lt;&gt;"",MAX(16,(L188-J188)+8),"")</f>
        <v>39</v>
      </c>
      <c r="BB188" s="0" t="n">
        <f aca="false">MIN(AB188/150, 1)*30</f>
        <v>13</v>
      </c>
      <c r="BC188" s="0" t="n">
        <f aca="false">MIN(N188/4000, 1)*20</f>
        <v>6.5</v>
      </c>
      <c r="BD188" s="0" t="n">
        <f aca="false">MIN(Z188/400,1)*20</f>
        <v>10</v>
      </c>
      <c r="BE188" s="3" t="n">
        <f aca="false">1-(MAX(J188-1900, 0)/750)</f>
        <v>0.933333333333333</v>
      </c>
      <c r="BF188" s="0" t="n">
        <f aca="false">((MAX($M188,1)*MIN($AJ188/300,1)))*IF(G188="Wagon",50,10)</f>
        <v>0</v>
      </c>
      <c r="BG188" s="0" t="n">
        <f aca="false">VLOOKUP($H188,Constants!$I:$K, 2, FALSE())</f>
        <v>0.85</v>
      </c>
      <c r="BH188" s="0" t="n">
        <f aca="false">VLOOKUP($H188,Constants!$I:$K, 3, FALSE())*IF(AND(G188="multiple_unit",AB188&lt;110),0.75,1)</f>
        <v>2.3</v>
      </c>
      <c r="BI188" s="0" t="n">
        <f aca="false">INT(POWER(((Constants!$G$2+$BB188+$BC188+$BD188+$BF188)*$BE188)*$BH188, 1.05))+$BA188</f>
        <v>91</v>
      </c>
      <c r="BJ188" s="0" t="n">
        <f aca="false">INT(POWER((((Constants!$G$1+$BB188+$BC188+$BD188+$BF188)*($BE188))*$BG188),IF($G188="wagon",1,1.2)))+$AZ188</f>
        <v>72</v>
      </c>
      <c r="BK188" s="17" t="n">
        <f aca="false">BI188*IF($G188="wagon",62.5,781.25)</f>
        <v>71093.75</v>
      </c>
      <c r="BL188" s="17" t="n">
        <f aca="false">BJ188*IF($G188="wagon",2.73,81.25)</f>
        <v>5850</v>
      </c>
      <c r="BV188" s="0" t="n">
        <v>7</v>
      </c>
      <c r="CA188" s="0" t="str">
        <f aca="false">VLOOKUP(J188,Eras!$A$2:$C$10, 2, TRUE())</f>
        <v>ebr</v>
      </c>
      <c r="CB188" s="0" t="s">
        <v>531</v>
      </c>
      <c r="CC188" s="0" t="str">
        <f aca="false">CONCATENATE(CA188,"_",CB188)</f>
        <v>ebr_Freight (Electric)</v>
      </c>
      <c r="CD188" s="0" t="str">
        <f aca="false">_xlfn.CONCAT(H188, "_",I188)</f>
        <v>electric_ELRL</v>
      </c>
      <c r="CE188" s="6" t="str">
        <f aca="false" t="array" ref="CE188:CE188">_xlfn.CONCAT("{BLACK}Length: {GOLD}", TEXT(ROUNDUP(IF(AQ188&lt;&gt;"",SUM(VALUE(_xlfn.TEXTSPLIT(AQ188, ","))), SUM(VALUE(_xlfn.TEXTSPLIT(AN188, ",")))*IF(M188, M188, 1))/16, 1), "#,##0.0"), " tiles{}")</f>
        <v>{BLACK}Length: {GOLD}0.6 tiles{}</v>
      </c>
      <c r="CF188" s="0" t="str">
        <f aca="false">VLOOKUP($CD188, Constants!$M:$N, 2, FALSE())</f>
        <v>{BLACK}Powered by: {GOLD}25kV AC</v>
      </c>
      <c r="CG188" s="0" t="str">
        <f aca="false">IF(M188&gt;1,_xlfn.CONCAT("{BLACK}Cars: {GOLD}", M188),"")</f>
        <v/>
      </c>
      <c r="CH188" s="0" t="s">
        <v>677</v>
      </c>
      <c r="CI188" s="0" t="str">
        <f aca="false">IF($BU188="!param_no_gameplay_units","{GREEN}Included for gameplay purposes","")</f>
        <v/>
      </c>
      <c r="CJ188" s="0" t="str">
        <f aca="false">IF(BX188="buffet","{YELLOW}25% long distance bonus for consist{}",IF(BZ188="BRAKE","{YELLOW}Speed bonus for slow wagons{}",IF(BW188&gt;190,CONCATENATE("{YELLOW}",INT((BW188-185)/1.85),"% bonus for long distance travel{}"),IF(AND(BW188&lt;180,BW188&lt;&gt;0),CONCATENATE("{YELLOW}",INT((185-BW188)/1.85),"% penalty for long distance travel{}"),""))))</f>
        <v/>
      </c>
      <c r="CK188" s="0" t="str">
        <f aca="false">_xlfn.CONCAT(CF188,IF(CF188&lt;&gt;""," ",""),CG188,IF(OR(CG188&lt;&gt;"",CF188&lt;&gt;""),"{}",""),CE188,CJ188,"{SILVER}",CH188,IF(CI188&lt;&gt;"","{}{}",""),CI188)</f>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89" customFormat="false" ht="14.25" hidden="false" customHeight="false" outlineLevel="0" collapsed="false">
      <c r="A189" s="0" t="s">
        <v>678</v>
      </c>
      <c r="B189" s="15" t="s">
        <v>679</v>
      </c>
      <c r="C189" s="0" t="n">
        <v>174</v>
      </c>
      <c r="E189" s="0" t="n">
        <v>77</v>
      </c>
      <c r="F189" s="0" t="s">
        <v>143</v>
      </c>
      <c r="G189" s="0" t="s">
        <v>445</v>
      </c>
      <c r="H189" s="0" t="s">
        <v>446</v>
      </c>
      <c r="I189" s="0" t="s">
        <v>92</v>
      </c>
      <c r="J189" s="0" t="n">
        <v>1951</v>
      </c>
      <c r="K189" s="0" t="n">
        <v>1952</v>
      </c>
      <c r="L189" s="0" t="n">
        <v>1966</v>
      </c>
      <c r="N189" s="0" t="n">
        <v>1500</v>
      </c>
      <c r="P189" s="2" t="n">
        <v>19.5</v>
      </c>
      <c r="Q189" s="2" t="n">
        <v>28</v>
      </c>
      <c r="R189" s="2" t="n">
        <v>2</v>
      </c>
      <c r="S189" s="2" t="n">
        <v>225</v>
      </c>
      <c r="T189" s="18" t="n">
        <f aca="false">((($AB189/2)/60)*5280)/($U189*3.2*PI())</f>
        <v>184.28467094851</v>
      </c>
      <c r="U189" s="2" t="n">
        <v>1.9</v>
      </c>
      <c r="V189" s="2" t="n">
        <f aca="false">((($P189*$P189/4)*PI())*($Q189/12)*$R189*$S189*$T189)/(33000*1.1)</f>
        <v>1591.95574162679</v>
      </c>
      <c r="W189" s="0" t="n">
        <v>89.92</v>
      </c>
      <c r="X189" s="1" t="n">
        <v>14.38</v>
      </c>
      <c r="Z189" s="0" t="n">
        <v>122</v>
      </c>
      <c r="AA189" s="3" t="n">
        <f aca="false">IF(AND(W189&gt;0,Z189&gt;0),(Z189/((W189+X189)*10)),"")</f>
        <v>0.116970278044104</v>
      </c>
      <c r="AB189" s="0" t="n">
        <v>80</v>
      </c>
      <c r="AC189" s="0" t="n">
        <f aca="false">ROUND(AB189*1.6, 0)</f>
        <v>128</v>
      </c>
      <c r="AF189" s="0" t="n">
        <v>20.96</v>
      </c>
      <c r="AG189" s="0" t="n">
        <f aca="false">AF189-7.5</f>
        <v>13.46</v>
      </c>
      <c r="AI189" s="0" t="n">
        <v>3.98</v>
      </c>
      <c r="AJ189" s="4" t="n">
        <v>0</v>
      </c>
      <c r="AK189" s="0" t="str">
        <f aca="false">CONCATENATE(VLOOKUP(AL189, 'Voxel Sizes'!$A$2:$B$18,2,FALSE()),"x",INT(AH189*15), "x", INT(AI189*15))</f>
        <v>136x0x59</v>
      </c>
      <c r="AL189" s="0" t="n">
        <f aca="false">ROUND(15*((AG189*10)/256),0)</f>
        <v>8</v>
      </c>
      <c r="AM189" s="0" t="s">
        <v>122</v>
      </c>
      <c r="AN189" s="0" t="str">
        <f aca="false">CONCATENATE(VLOOKUP(AL189,Constants!$A$2:$C$16,IF(AM189&lt;&gt;"", 3, 2), FALSE()),IF(AM189&lt;&gt;"",CONCATENATE(",",VLOOKUP(AM189,$B:$AN,39,FALSE())),""))</f>
        <v>2,4,2,2,1,2</v>
      </c>
      <c r="AV189" s="0" t="n">
        <v>1</v>
      </c>
      <c r="AX189" s="0" t="n">
        <v>30</v>
      </c>
      <c r="AY189" s="16" t="n">
        <f aca="false">IF(L189&lt;&gt;"",MAX(16,(L189-J189)+8),"")</f>
        <v>23</v>
      </c>
      <c r="BB189" s="0" t="n">
        <f aca="false">MIN(AB189/150, 1)*30</f>
        <v>16</v>
      </c>
      <c r="BC189" s="0" t="n">
        <f aca="false">MIN(N189/4000, 1)*20</f>
        <v>7.5</v>
      </c>
      <c r="BD189" s="0" t="n">
        <f aca="false">MIN(Z189/400,1)*20</f>
        <v>6.1</v>
      </c>
      <c r="BE189" s="3" t="n">
        <f aca="false">1-(MAX(J189-1900, 0)/750)</f>
        <v>0.932</v>
      </c>
      <c r="BF189" s="0" t="n">
        <f aca="false">((MAX($M189,1)*MIN($AJ189/300,1)))*IF(G189="Wagon",50,10)</f>
        <v>0</v>
      </c>
      <c r="BG189" s="0" t="n">
        <f aca="false">VLOOKUP($H189,Constants!$I:$K, 2, FALSE())</f>
        <v>1.15</v>
      </c>
      <c r="BH189" s="0" t="n">
        <f aca="false">VLOOKUP($H189,Constants!$I:$K, 3, FALSE())*IF(AND(G189="multiple_unit",AB189&lt;110),0.75,1)</f>
        <v>1.7</v>
      </c>
      <c r="BI189" s="0" t="n">
        <f aca="false">INT(POWER(((Constants!$G$2+$BB189+$BC189+$BD189+$BF189)*$BE189)*$BH189, 1.05))+$BA189</f>
        <v>66</v>
      </c>
      <c r="BJ189" s="0" t="n">
        <f aca="false">INT(POWER((((Constants!$G$1+$BB189+$BC189+$BD189+$BF189)*($BE189))*$BG189),IF($G189="wagon",1,1.2)))+$AZ189</f>
        <v>103</v>
      </c>
      <c r="BK189" s="17" t="n">
        <f aca="false">BI189*IF($G189="wagon",62.5,781.25)</f>
        <v>51562.5</v>
      </c>
      <c r="BL189" s="17" t="n">
        <f aca="false">BJ189*IF($G189="wagon",2.73,81.25)</f>
        <v>8368.75</v>
      </c>
      <c r="BV189" s="0" t="n">
        <v>8</v>
      </c>
      <c r="CA189" s="0" t="str">
        <f aca="false">VLOOKUP(J189,Eras!$A$2:$C$10, 2, TRUE())</f>
        <v>ebr</v>
      </c>
      <c r="CB189" s="0" t="s">
        <v>439</v>
      </c>
      <c r="CC189" s="0" t="str">
        <f aca="false">CONCATENATE(CA189,"_",CB189)</f>
        <v>ebr_Mixed Traffic</v>
      </c>
      <c r="CD189" s="0" t="str">
        <f aca="false">_xlfn.CONCAT(H189, "_",I189)</f>
        <v>steam_RAIL</v>
      </c>
      <c r="CE189" s="6" t="str">
        <f aca="false" t="array" ref="CE189:CE189">_xlfn.CONCAT("{BLACK}Length: {GOLD}", TEXT(ROUNDUP(IF(AQ189&lt;&gt;"",SUM(VALUE(_xlfn.TEXTSPLIT(AQ189, ","))), SUM(VALUE(_xlfn.TEXTSPLIT(AN189, ",")))*IF(M189, M189, 1))/16, 1), "#,##0.0"), " tiles{}")</f>
        <v>{BLACK}Length: {GOLD}0.9 tiles{}</v>
      </c>
      <c r="CF189" s="0" t="str">
        <f aca="false">VLOOKUP($CD189, Constants!$M:$N, 2, FALSE())</f>
        <v>{BLACK}Powered by: {GOLD}Steam</v>
      </c>
      <c r="CG189" s="0" t="str">
        <f aca="false">IF(M189&gt;1,_xlfn.CONCAT("{BLACK}Cars: {GOLD}", M189),"")</f>
        <v/>
      </c>
      <c r="CH189" s="0" t="s">
        <v>680</v>
      </c>
      <c r="CI189" s="0" t="str">
        <f aca="false">IF($BU189="!param_no_gameplay_units","{GREEN}Included for gameplay purposes","")</f>
        <v/>
      </c>
      <c r="CJ189" s="0" t="str">
        <f aca="false">IF(BX189="buffet","{YELLOW}25% long distance bonus for consist{}",IF(BZ189="BRAKE","{YELLOW}Speed bonus for slow wagons{}",IF(BW189&gt;190,CONCATENATE("{YELLOW}",INT((BW189-185)/1.85),"% bonus for long distance travel{}"),IF(AND(BW189&lt;180,BW189&lt;&gt;0),CONCATENATE("{YELLOW}",INT((185-BW189)/1.85),"% penalty for long distance travel{}"),""))))</f>
        <v/>
      </c>
      <c r="CK189" s="0" t="str">
        <f aca="false">_xlfn.CONCAT(CF189,IF(CF189&lt;&gt;""," ",""),CG189,IF(OR(CG189&lt;&gt;"",CF189&lt;&gt;""),"{}",""),CE189,CJ189,"{SILVER}",CH189,IF(CI189&lt;&gt;"","{}{}",""),CI189)</f>
        <v>{BLACK}Powered by: {GOLD}Steam {}{BLACK}Length: {GOLD}0.9 tiles{}{SILVER}The Class 6 is a lighter version of the Class 7 "Britannia", with a smaller boiler. Only 10 were produced due to steel shortages.</v>
      </c>
    </row>
    <row r="190" customFormat="false" ht="14.25" hidden="false" customHeight="false" outlineLevel="0" collapsed="false">
      <c r="A190" s="0" t="s">
        <v>681</v>
      </c>
      <c r="B190" s="15" t="s">
        <v>682</v>
      </c>
      <c r="C190" s="0" t="n">
        <v>175</v>
      </c>
      <c r="E190" s="0" t="n">
        <v>78</v>
      </c>
      <c r="F190" s="0" t="s">
        <v>143</v>
      </c>
      <c r="G190" s="0" t="s">
        <v>445</v>
      </c>
      <c r="H190" s="0" t="s">
        <v>446</v>
      </c>
      <c r="I190" s="0" t="s">
        <v>92</v>
      </c>
      <c r="J190" s="0" t="n">
        <v>1951</v>
      </c>
      <c r="K190" s="0" t="n">
        <v>1954</v>
      </c>
      <c r="L190" s="0" t="n">
        <v>1968</v>
      </c>
      <c r="N190" s="0" t="n">
        <v>2000</v>
      </c>
      <c r="P190" s="2" t="n">
        <v>20</v>
      </c>
      <c r="Q190" s="2" t="n">
        <v>28</v>
      </c>
      <c r="R190" s="2" t="n">
        <v>2</v>
      </c>
      <c r="S190" s="2" t="n">
        <v>250</v>
      </c>
      <c r="T190" s="18" t="n">
        <f aca="false">((($AB190/2)/60)*5280)/($U190*3.2*PI())</f>
        <v>207.320254817074</v>
      </c>
      <c r="U190" s="2" t="n">
        <v>1.9</v>
      </c>
      <c r="V190" s="2" t="n">
        <f aca="false">((($P190*$P190/4)*PI())*($Q190/12)*$R190*$S190*$T190)/(33000*1.1)</f>
        <v>2093.3014354067</v>
      </c>
      <c r="W190" s="0" t="n">
        <v>95.5</v>
      </c>
      <c r="X190" s="1" t="n">
        <v>50</v>
      </c>
      <c r="Z190" s="0" t="n">
        <v>143</v>
      </c>
      <c r="AA190" s="3" t="n">
        <f aca="false">IF(AND(W190&gt;0,Z190&gt;0),(Z190/((W190+X190)*10)),"")</f>
        <v>0.0982817869415808</v>
      </c>
      <c r="AB190" s="0" t="n">
        <v>90</v>
      </c>
      <c r="AC190" s="0" t="n">
        <f aca="false">ROUND(AB190*1.6, 0)</f>
        <v>144</v>
      </c>
      <c r="AF190" s="0" t="n">
        <v>20.96</v>
      </c>
      <c r="AG190" s="0" t="n">
        <f aca="false">AF190-7.5</f>
        <v>13.46</v>
      </c>
      <c r="AI190" s="0" t="n">
        <v>3.98</v>
      </c>
      <c r="AJ190" s="4" t="n">
        <v>0</v>
      </c>
      <c r="AK190" s="0" t="str">
        <f aca="false">CONCATENATE(VLOOKUP(AL190, 'Voxel Sizes'!$A$2:$B$18,2,FALSE()),"x",INT(AH190*15), "x", INT(AI190*15))</f>
        <v>136x0x59</v>
      </c>
      <c r="AL190" s="0" t="n">
        <f aca="false">ROUND(15*((AG190*10)/256),0)</f>
        <v>8</v>
      </c>
      <c r="AM190" s="0" t="s">
        <v>122</v>
      </c>
      <c r="AN190" s="0" t="str">
        <f aca="false">CONCATENATE(VLOOKUP(AL190,Constants!$A$2:$C$16,IF(AM190&lt;&gt;"", 3, 2), FALSE()),IF(AM190&lt;&gt;"",CONCATENATE(",",VLOOKUP(AM190,$B:$AN,39,FALSE())),""))</f>
        <v>2,4,2,2,1,2</v>
      </c>
      <c r="AV190" s="0" t="n">
        <v>1</v>
      </c>
      <c r="AX190" s="0" t="n">
        <v>30</v>
      </c>
      <c r="AY190" s="16" t="n">
        <f aca="false">IF(L190&lt;&gt;"",MAX(16,(L190-J190)+8),"")</f>
        <v>25</v>
      </c>
      <c r="BB190" s="0" t="n">
        <f aca="false">MIN(AB190/150, 1)*30</f>
        <v>18</v>
      </c>
      <c r="BC190" s="0" t="n">
        <f aca="false">MIN(N190/4000, 1)*20</f>
        <v>10</v>
      </c>
      <c r="BD190" s="0" t="n">
        <f aca="false">MIN(Z190/400,1)*20</f>
        <v>7.15</v>
      </c>
      <c r="BE190" s="3" t="n">
        <f aca="false">1-(MAX(J190-1900, 0)/750)</f>
        <v>0.932</v>
      </c>
      <c r="BF190" s="0" t="n">
        <f aca="false">((MAX($M190,1)*MIN($AJ190/300,1)))*IF(G190="Wagon",50,10)</f>
        <v>0</v>
      </c>
      <c r="BG190" s="0" t="n">
        <f aca="false">VLOOKUP($H190,Constants!$I:$K, 2, FALSE())</f>
        <v>1.15</v>
      </c>
      <c r="BH190" s="0" t="n">
        <f aca="false">VLOOKUP($H190,Constants!$I:$K, 3, FALSE())*IF(AND(G190="multiple_unit",AB190&lt;110),0.75,1)</f>
        <v>1.7</v>
      </c>
      <c r="BI190" s="0" t="n">
        <f aca="false">INT(POWER(((Constants!$G$2+$BB190+$BC190+$BD190+$BF190)*$BE190)*$BH190, 1.05))+$BA190</f>
        <v>78</v>
      </c>
      <c r="BJ190" s="0" t="n">
        <f aca="false">INT(POWER((((Constants!$G$1+$BB190+$BC190+$BD190+$BF190)*($BE190))*$BG190),IF($G190="wagon",1,1.2)))+$AZ190</f>
        <v>119</v>
      </c>
      <c r="BK190" s="17" t="n">
        <f aca="false">BI190*IF($G190="wagon",62.5,781.25)</f>
        <v>60937.5</v>
      </c>
      <c r="BL190" s="17" t="n">
        <f aca="false">BJ190*IF($G190="wagon",2.73,81.25)</f>
        <v>9668.75</v>
      </c>
      <c r="BV190" s="0" t="n">
        <v>9</v>
      </c>
      <c r="CA190" s="0" t="str">
        <f aca="false">VLOOKUP(J190,Eras!$A$2:$C$10, 2, TRUE())</f>
        <v>ebr</v>
      </c>
      <c r="CB190" s="0" t="s">
        <v>439</v>
      </c>
      <c r="CC190" s="0" t="str">
        <f aca="false">CONCATENATE(CA190,"_",CB190)</f>
        <v>ebr_Mixed Traffic</v>
      </c>
      <c r="CD190" s="0" t="str">
        <f aca="false">_xlfn.CONCAT(H190, "_",I190)</f>
        <v>steam_RAIL</v>
      </c>
      <c r="CE190" s="6" t="str">
        <f aca="false" t="array" ref="CE190:CE190">_xlfn.CONCAT("{BLACK}Length: {GOLD}", TEXT(ROUNDUP(IF(AQ190&lt;&gt;"",SUM(VALUE(_xlfn.TEXTSPLIT(AQ190, ","))), SUM(VALUE(_xlfn.TEXTSPLIT(AN190, ",")))*IF(M190, M190, 1))/16, 1), "#,##0.0"), " tiles{}")</f>
        <v>{BLACK}Length: {GOLD}0.9 tiles{}</v>
      </c>
      <c r="CF190" s="0" t="str">
        <f aca="false">VLOOKUP($CD190, Constants!$M:$N, 2, FALSE())</f>
        <v>{BLACK}Powered by: {GOLD}Steam</v>
      </c>
      <c r="CG190" s="0" t="str">
        <f aca="false">IF(M190&gt;1,_xlfn.CONCAT("{BLACK}Cars: {GOLD}", M190),"")</f>
        <v/>
      </c>
      <c r="CH190" s="0" t="s">
        <v>683</v>
      </c>
      <c r="CI190" s="0" t="str">
        <f aca="false">IF($BU190="!param_no_gameplay_units","{GREEN}Included for gameplay purposes","")</f>
        <v/>
      </c>
      <c r="CJ190" s="0" t="str">
        <f aca="false">IF(BX190="buffet","{YELLOW}25% long distance bonus for consist{}",IF(BZ190="BRAKE","{YELLOW}Speed bonus for slow wagons{}",IF(BW190&gt;190,CONCATENATE("{YELLOW}",INT((BW190-185)/1.85),"% bonus for long distance travel{}"),IF(AND(BW190&lt;180,BW190&lt;&gt;0),CONCATENATE("{YELLOW}",INT((185-BW190)/1.85),"% penalty for long distance travel{}"),""))))</f>
        <v/>
      </c>
      <c r="CK190" s="0" t="str">
        <f aca="false">_xlfn.CONCAT(CF190,IF(CF190&lt;&gt;""," ",""),CG190,IF(OR(CG190&lt;&gt;"",CF190&lt;&gt;""),"{}",""),CE190,CJ190,"{SILVER}",CH190,IF(CI190&lt;&gt;"","{}{}",""),CI190)</f>
        <v>{BLACK}Powered by: {GOLD}Steam {}{BLACK}Length: {GOLD}0.9 tiles{}{SILVER}The Class 7 combines the best features of pre-BR designs from the Big Four, with the aim of reducing maintenance costs.</v>
      </c>
    </row>
    <row r="191" customFormat="false" ht="14.25" hidden="false" customHeight="false" outlineLevel="0" collapsed="false">
      <c r="A191" s="0" t="s">
        <v>684</v>
      </c>
      <c r="B191" s="15" t="s">
        <v>685</v>
      </c>
      <c r="C191" s="0" t="n">
        <v>176</v>
      </c>
      <c r="E191" s="0" t="n">
        <v>79</v>
      </c>
      <c r="F191" s="0" t="s">
        <v>143</v>
      </c>
      <c r="G191" s="0" t="s">
        <v>445</v>
      </c>
      <c r="H191" s="0" t="s">
        <v>670</v>
      </c>
      <c r="I191" s="0" t="s">
        <v>92</v>
      </c>
      <c r="J191" s="0" t="n">
        <v>1952</v>
      </c>
      <c r="K191" s="0" t="n">
        <v>1962</v>
      </c>
      <c r="N191" s="0" t="n">
        <v>350</v>
      </c>
      <c r="W191" s="0" t="n">
        <v>49.8</v>
      </c>
      <c r="Z191" s="0" t="n">
        <v>160</v>
      </c>
      <c r="AA191" s="3" t="n">
        <f aca="false">IF(AND(W191&gt;0,Z191&gt;0),(Z191/((W191+X191)*10)),"")</f>
        <v>0.321285140562249</v>
      </c>
      <c r="AB191" s="0" t="n">
        <v>20</v>
      </c>
      <c r="AC191" s="0" t="n">
        <f aca="false">ROUND(AB191*1.6, 0)</f>
        <v>32</v>
      </c>
      <c r="AF191" s="0" t="n">
        <v>8.92</v>
      </c>
      <c r="AG191" s="0" t="n">
        <v>9.5</v>
      </c>
      <c r="AH191" s="0" t="n">
        <v>2.59</v>
      </c>
      <c r="AI191" s="0" t="n">
        <v>3.87</v>
      </c>
      <c r="AJ191" s="4" t="n">
        <v>0</v>
      </c>
      <c r="AK191" s="0" t="str">
        <f aca="false">CONCATENATE(VLOOKUP(AL191, 'Voxel Sizes'!$A$2:$B$18,2,FALSE()),"x",INT(AH191*15), "x", INT(AI191*15))</f>
        <v>102x38x58</v>
      </c>
      <c r="AL191" s="0" t="n">
        <f aca="false">ROUND(15*((AG191*10)/256),0)</f>
        <v>6</v>
      </c>
      <c r="AN191" s="0" t="str">
        <f aca="false">CONCATENATE(VLOOKUP(AL191,Constants!$A$2:$C$16,IF(AM191&lt;&gt;"", 3, 2), FALSE()),IF(AM191&lt;&gt;"",CONCATENATE(",",VLOOKUP(AM191,$B:$AN,39,FALSE())),""))</f>
        <v>2,2,2</v>
      </c>
      <c r="AV191" s="0" t="n">
        <v>1</v>
      </c>
      <c r="AX191" s="0" t="n">
        <v>42</v>
      </c>
      <c r="AY191" s="16" t="str">
        <f aca="false">IF(L191&lt;&gt;"",MAX(16,(L191-J191)+8),"")</f>
        <v/>
      </c>
      <c r="BA191" s="0" t="n">
        <v>-10</v>
      </c>
      <c r="BB191" s="0" t="n">
        <f aca="false">MIN(AB191/150, 1)*30</f>
        <v>4</v>
      </c>
      <c r="BC191" s="0" t="n">
        <f aca="false">MIN(N191/4000, 1)*20</f>
        <v>1.75</v>
      </c>
      <c r="BD191" s="0" t="n">
        <f aca="false">MIN(Z191/400,1)*20</f>
        <v>8</v>
      </c>
      <c r="BE191" s="3" t="n">
        <f aca="false">1-(MAX(J191-1900, 0)/750)</f>
        <v>0.930666666666667</v>
      </c>
      <c r="BF191" s="0" t="n">
        <f aca="false">((MAX($M191,1)*MIN($AJ191/300,1)))*IF(G191="Wagon",50,10)</f>
        <v>0</v>
      </c>
      <c r="BG191" s="0" t="n">
        <f aca="false">VLOOKUP($H191,Constants!$I:$K, 2, FALSE())</f>
        <v>1</v>
      </c>
      <c r="BH191" s="0" t="n">
        <f aca="false">VLOOKUP($H191,Constants!$I:$K, 3, FALSE())*IF(AND(G191="multiple_unit",AB191&lt;110),0.75,1)</f>
        <v>2</v>
      </c>
      <c r="BI191" s="0" t="n">
        <f aca="false">INT(POWER(((Constants!$G$2+$BB191+$BC191+$BD191+$BF191)*$BE191)*$BH191, 1.05))+$BA191</f>
        <v>31</v>
      </c>
      <c r="BJ191" s="0" t="n">
        <f aca="false">INT(POWER((((Constants!$G$1+$BB191+$BC191+$BD191+$BF191)*($BE191))*$BG191),IF($G191="wagon",1,1.2)))+$AZ191</f>
        <v>51</v>
      </c>
      <c r="BK191" s="17" t="n">
        <f aca="false">BI191*IF($G191="wagon",62.5,781.25)</f>
        <v>24218.75</v>
      </c>
      <c r="BL191" s="17" t="n">
        <f aca="false">BJ191*IF($G191="wagon",2.73,81.25)</f>
        <v>4143.75</v>
      </c>
      <c r="BV191" s="0" t="n">
        <v>10</v>
      </c>
      <c r="CA191" s="0" t="str">
        <f aca="false">VLOOKUP(J191,Eras!$A$2:$C$10, 2, TRUE())</f>
        <v>ebr</v>
      </c>
      <c r="CB191" s="0" t="s">
        <v>513</v>
      </c>
      <c r="CC191" s="0" t="str">
        <f aca="false">CONCATENATE(CA191,"_",CB191)</f>
        <v>ebr_Cheap</v>
      </c>
      <c r="CD191" s="0" t="str">
        <f aca="false">_xlfn.CONCAT(H191, "_",I191)</f>
        <v>diesel_RAIL</v>
      </c>
      <c r="CE191" s="6" t="str">
        <f aca="false" t="array" ref="CE191:CE191">_xlfn.CONCAT("{BLACK}Length: {GOLD}", TEXT(ROUNDUP(IF(AQ191&lt;&gt;"",SUM(VALUE(_xlfn.TEXTSPLIT(AQ191, ","))), SUM(VALUE(_xlfn.TEXTSPLIT(AN191, ",")))*IF(M191, M191, 1))/16, 1), "#,##0.0"), " tiles{}")</f>
        <v>{BLACK}Length: {GOLD}0.4 tiles{}</v>
      </c>
      <c r="CF191" s="0" t="str">
        <f aca="false">VLOOKUP($CD191, Constants!$M:$N, 2, FALSE())</f>
        <v>{BLACK}Powered by: {GOLD}Diesel</v>
      </c>
      <c r="CG191" s="0" t="str">
        <f aca="false">IF(M191&gt;1,_xlfn.CONCAT("{BLACK}Cars: {GOLD}", M191),"")</f>
        <v/>
      </c>
      <c r="CH191" s="0" t="s">
        <v>686</v>
      </c>
      <c r="CI191" s="0" t="str">
        <f aca="false">IF($BU191="!param_no_gameplay_units","{GREEN}Included for gameplay purposes","")</f>
        <v/>
      </c>
      <c r="CJ191" s="0" t="str">
        <f aca="false">IF(BX191="buffet","{YELLOW}25% long distance bonus for consist{}",IF(BZ191="BRAKE","{YELLOW}Speed bonus for slow wagons{}",IF(BW191&gt;190,CONCATENATE("{YELLOW}",INT((BW191-185)/1.85),"% bonus for long distance travel{}"),IF(AND(BW191&lt;180,BW191&lt;&gt;0),CONCATENATE("{YELLOW}",INT((185-BW191)/1.85),"% penalty for long distance travel{}"),""))))</f>
        <v/>
      </c>
      <c r="CK191" s="0" t="str">
        <f aca="false">_xlfn.CONCAT(CF191,IF(CF191&lt;&gt;""," ",""),CG191,IF(OR(CG191&lt;&gt;"",CF191&lt;&gt;""),"{}",""),CE191,CJ191,"{SILVER}",CH191,IF(CI191&lt;&gt;"","{}{}",""),CI191)</f>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92" customFormat="false" ht="14.25" hidden="false" customHeight="false" outlineLevel="0" collapsed="false">
      <c r="A192" s="0" t="s">
        <v>687</v>
      </c>
      <c r="B192" s="15" t="s">
        <v>688</v>
      </c>
      <c r="C192" s="0" t="n">
        <v>177</v>
      </c>
      <c r="E192" s="0" t="n">
        <v>80</v>
      </c>
      <c r="F192" s="0" t="s">
        <v>143</v>
      </c>
      <c r="G192" s="0" t="s">
        <v>445</v>
      </c>
      <c r="H192" s="0" t="s">
        <v>529</v>
      </c>
      <c r="I192" s="0" t="s">
        <v>530</v>
      </c>
      <c r="J192" s="0" t="n">
        <v>1953</v>
      </c>
      <c r="K192" s="0" t="n">
        <v>1954</v>
      </c>
      <c r="L192" s="0" t="n">
        <v>1968</v>
      </c>
      <c r="N192" s="0" t="n">
        <v>2490</v>
      </c>
      <c r="W192" s="0" t="n">
        <v>104.1</v>
      </c>
      <c r="Z192" s="0" t="n">
        <v>200</v>
      </c>
      <c r="AA192" s="3" t="n">
        <f aca="false">IF(AND(W192&gt;0,Z192&gt;0),(Z192/((W192+X192)*10)),"")</f>
        <v>0.192122958693564</v>
      </c>
      <c r="AB192" s="0" t="n">
        <v>90</v>
      </c>
      <c r="AC192" s="0" t="n">
        <f aca="false">ROUND(AB192*1.6, 0)</f>
        <v>144</v>
      </c>
      <c r="AF192" s="0" t="n">
        <v>17.98</v>
      </c>
      <c r="AG192" s="0" t="n">
        <v>17.98</v>
      </c>
      <c r="AJ192" s="4" t="n">
        <v>0</v>
      </c>
      <c r="AK192" s="0" t="str">
        <f aca="false">CONCATENATE(VLOOKUP(AL192, 'Voxel Sizes'!$A$2:$B$18,2,FALSE()),"x",INT(AH192*15), "x", INT(AI192*15))</f>
        <v>186x0x0</v>
      </c>
      <c r="AL192" s="0" t="n">
        <f aca="false">ROUND(15*((AG192*10)/256),0)</f>
        <v>11</v>
      </c>
      <c r="AN192" s="0" t="str">
        <f aca="false">CONCATENATE(VLOOKUP(AL192,Constants!$A$2:$C$16,IF(AM192&lt;&gt;"", 3, 2), FALSE()),IF(AM192&lt;&gt;"",CONCATENATE(",",VLOOKUP(AM192,$B:$AN,39,FALSE())),""))</f>
        <v>4,3,4</v>
      </c>
      <c r="AX192" s="0" t="n">
        <v>25</v>
      </c>
      <c r="AY192" s="16" t="n">
        <f aca="false">IF(L192&lt;&gt;"",MAX(16,(L192-J192)+8),"")</f>
        <v>23</v>
      </c>
      <c r="BB192" s="0" t="n">
        <f aca="false">MIN(AB192/150, 1)*30</f>
        <v>18</v>
      </c>
      <c r="BC192" s="0" t="n">
        <f aca="false">MIN(N192/4000, 1)*20</f>
        <v>12.45</v>
      </c>
      <c r="BD192" s="0" t="n">
        <f aca="false">MIN(Z192/400,1)*20</f>
        <v>10</v>
      </c>
      <c r="BE192" s="3" t="n">
        <f aca="false">1-(MAX(J192-1900, 0)/750)</f>
        <v>0.929333333333333</v>
      </c>
      <c r="BF192" s="0" t="n">
        <f aca="false">((MAX($M192,1)*MIN($AJ192/300,1)))*IF(G192="Wagon",50,10)</f>
        <v>0</v>
      </c>
      <c r="BG192" s="0" t="n">
        <f aca="false">VLOOKUP($H192,Constants!$I:$K, 2, FALSE())</f>
        <v>0.85</v>
      </c>
      <c r="BH192" s="0" t="n">
        <f aca="false">VLOOKUP($H192,Constants!$I:$K, 3, FALSE())*IF(AND(G192="multiple_unit",AB192&lt;110),0.75,1)</f>
        <v>2.3</v>
      </c>
      <c r="BI192" s="0" t="n">
        <f aca="false">INT(POWER(((Constants!$G$2+$BB192+$BC192+$BD192+$BF192)*$BE192)*$BH192, 1.05))+$BA192</f>
        <v>122</v>
      </c>
      <c r="BJ192" s="0" t="n">
        <f aca="false">INT(POWER((((Constants!$G$1+$BB192+$BC192+$BD192+$BF192)*($BE192))*$BG192),IF($G192="wagon",1,1.2)))+$AZ192</f>
        <v>93</v>
      </c>
      <c r="BK192" s="17" t="n">
        <f aca="false">BI192*IF($G192="wagon",62.5,781.25)</f>
        <v>95312.5</v>
      </c>
      <c r="BL192" s="17" t="n">
        <f aca="false">BJ192*IF($G192="wagon",2.73,81.25)</f>
        <v>7556.25</v>
      </c>
      <c r="BV192" s="0" t="n">
        <v>11</v>
      </c>
      <c r="CA192" s="0" t="str">
        <f aca="false">VLOOKUP(J192,Eras!$A$2:$C$10, 2, TRUE())</f>
        <v>ebr</v>
      </c>
      <c r="CB192" s="0" t="s">
        <v>689</v>
      </c>
      <c r="CC192" s="0" t="str">
        <f aca="false">CONCATENATE(CA192,"_",CB192)</f>
        <v>ebr_Express (Electric)</v>
      </c>
      <c r="CD192" s="0" t="str">
        <f aca="false">_xlfn.CONCAT(H192, "_",I192)</f>
        <v>electric_ELRL</v>
      </c>
      <c r="CE192" s="6" t="str">
        <f aca="false" t="array" ref="CE192:CE192">_xlfn.CONCAT("{BLACK}Length: {GOLD}", TEXT(ROUNDUP(IF(AQ192&lt;&gt;"",SUM(VALUE(_xlfn.TEXTSPLIT(AQ192, ","))), SUM(VALUE(_xlfn.TEXTSPLIT(AN192, ",")))*IF(M192, M192, 1))/16, 1), "#,##0.0"), " tiles{}")</f>
        <v>{BLACK}Length: {GOLD}0.7 tiles{}</v>
      </c>
      <c r="CF192" s="0" t="str">
        <f aca="false">VLOOKUP($CD192, Constants!$M:$N, 2, FALSE())</f>
        <v>{BLACK}Powered by: {GOLD}25kV AC</v>
      </c>
      <c r="CG192" s="0" t="str">
        <f aca="false">IF(M192&gt;1,_xlfn.CONCAT("{BLACK}Cars: {GOLD}", M192),"")</f>
        <v/>
      </c>
      <c r="CH192" s="0" t="s">
        <v>690</v>
      </c>
      <c r="CI192" s="0" t="str">
        <f aca="false">IF($BU192="!param_no_gameplay_units","{GREEN}Included for gameplay purposes","")</f>
        <v/>
      </c>
      <c r="CJ192" s="0" t="str">
        <f aca="false">IF(BX192="buffet","{YELLOW}25% long distance bonus for consist{}",IF(BZ192="BRAKE","{YELLOW}Speed bonus for slow wagons{}",IF(BW192&gt;190,CONCATENATE("{YELLOW}",INT((BW192-185)/1.85),"% bonus for long distance travel{}"),IF(AND(BW192&lt;180,BW192&lt;&gt;0),CONCATENATE("{YELLOW}",INT((185-BW192)/1.85),"% penalty for long distance travel{}"),""))))</f>
        <v/>
      </c>
      <c r="CK192" s="0" t="str">
        <f aca="false">_xlfn.CONCAT(CF192,IF(CF192&lt;&gt;""," ",""),CG192,IF(OR(CG192&lt;&gt;"",CF192&lt;&gt;""),"{}",""),CE192,CJ192,"{SILVER}",CH192,IF(CI192&lt;&gt;"","{}{}",""),CI192)</f>
        <v>{BLACK}Powered by: {GOLD}25kV AC {}{BLACK}Length: {GOLD}0.7 tiles{}{SILVER}The Class 77  is a larger version of the earlier Class 76, designed to haul passenger services on the Woodhead Line.</v>
      </c>
    </row>
    <row r="193" customFormat="false" ht="14.25" hidden="false" customHeight="false" outlineLevel="0" collapsed="false">
      <c r="A193" s="0" t="s">
        <v>691</v>
      </c>
      <c r="B193" s="15" t="s">
        <v>692</v>
      </c>
      <c r="C193" s="0" t="n">
        <v>178</v>
      </c>
      <c r="E193" s="0" t="n">
        <v>81</v>
      </c>
      <c r="F193" s="0" t="s">
        <v>143</v>
      </c>
      <c r="G193" s="0" t="s">
        <v>445</v>
      </c>
      <c r="H193" s="0" t="s">
        <v>446</v>
      </c>
      <c r="I193" s="0" t="s">
        <v>92</v>
      </c>
      <c r="J193" s="0" t="n">
        <v>1954</v>
      </c>
      <c r="K193" s="0" t="n">
        <v>1960</v>
      </c>
      <c r="L193" s="0" t="n">
        <v>1968</v>
      </c>
      <c r="N193" s="0" t="n">
        <v>2500</v>
      </c>
      <c r="P193" s="2" t="n">
        <v>20</v>
      </c>
      <c r="Q193" s="2" t="n">
        <v>28</v>
      </c>
      <c r="R193" s="2" t="n">
        <v>2</v>
      </c>
      <c r="S193" s="2" t="n">
        <v>250</v>
      </c>
      <c r="T193" s="18" t="n">
        <f aca="false">((($AB193/2)/60)*5280)/($U193*3.2*PI())</f>
        <v>262.605656101627</v>
      </c>
      <c r="U193" s="2" t="n">
        <v>1.5</v>
      </c>
      <c r="V193" s="2" t="n">
        <f aca="false">((($P193*$P193/4)*PI())*($Q193/12)*$R193*$S193*$T193)/(33000*1.1)</f>
        <v>2651.51515151515</v>
      </c>
      <c r="W193" s="0" t="n">
        <v>90</v>
      </c>
      <c r="X193" s="1" t="n">
        <v>51</v>
      </c>
      <c r="Z193" s="0" t="n">
        <v>176</v>
      </c>
      <c r="AA193" s="3" t="n">
        <f aca="false">IF(AND(W193&gt;0,Z193&gt;0),(Z193/((W193+X193)*10)),"")</f>
        <v>0.124822695035461</v>
      </c>
      <c r="AB193" s="0" t="n">
        <v>90</v>
      </c>
      <c r="AC193" s="0" t="n">
        <f aca="false">ROUND(AB193*1.6, 0)</f>
        <v>144</v>
      </c>
      <c r="AF193" s="0" t="n">
        <v>20.17</v>
      </c>
      <c r="AG193" s="0" t="n">
        <v>15</v>
      </c>
      <c r="AJ193" s="4" t="n">
        <v>0</v>
      </c>
      <c r="AK193" s="0" t="str">
        <f aca="false">CONCATENATE(VLOOKUP(AL193, 'Voxel Sizes'!$A$2:$B$18,2,FALSE()),"x",INT(AH193*15), "x", INT(AI193*15))</f>
        <v>152x0x0</v>
      </c>
      <c r="AL193" s="0" t="n">
        <f aca="false">ROUND(15*((AG193*10)/256),0)</f>
        <v>9</v>
      </c>
      <c r="AM193" s="0" t="s">
        <v>122</v>
      </c>
      <c r="AN193" s="0" t="str">
        <f aca="false">CONCATENATE(VLOOKUP(AL193,Constants!$A$2:$C$16,IF(AM193&lt;&gt;"", 3, 2), FALSE()),IF(AM193&lt;&gt;"",CONCATENATE(",",VLOOKUP(AM193,$B:$AN,39,FALSE())),""))</f>
        <v>2,5,2,2,1,2</v>
      </c>
      <c r="AV193" s="0" t="n">
        <v>1</v>
      </c>
      <c r="AX193" s="0" t="n">
        <v>33</v>
      </c>
      <c r="AY193" s="16" t="n">
        <f aca="false">IF(L193&lt;&gt;"",MAX(16,(L193-J193)+8),"")</f>
        <v>22</v>
      </c>
      <c r="BB193" s="0" t="n">
        <f aca="false">MIN(AB193/150, 1)*30</f>
        <v>18</v>
      </c>
      <c r="BC193" s="0" t="n">
        <f aca="false">MIN(N193/4000, 1)*20</f>
        <v>12.5</v>
      </c>
      <c r="BD193" s="0" t="n">
        <f aca="false">MIN(Z193/400,1)*20</f>
        <v>8.8</v>
      </c>
      <c r="BE193" s="3" t="n">
        <f aca="false">1-(MAX(J193-1900, 0)/750)</f>
        <v>0.928</v>
      </c>
      <c r="BF193" s="0" t="n">
        <f aca="false">((MAX($M193,1)*MIN($AJ193/300,1)))*IF(G193="Wagon",50,10)</f>
        <v>0</v>
      </c>
      <c r="BG193" s="0" t="n">
        <f aca="false">VLOOKUP($H193,Constants!$I:$K, 2, FALSE())</f>
        <v>1.15</v>
      </c>
      <c r="BH193" s="0" t="n">
        <f aca="false">VLOOKUP($H193,Constants!$I:$K, 3, FALSE())*IF(AND(G193="multiple_unit",AB193&lt;110),0.75,1)</f>
        <v>1.7</v>
      </c>
      <c r="BI193" s="0" t="n">
        <f aca="false">INT(POWER(((Constants!$G$2+$BB193+$BC193+$BD193+$BF193)*$BE193)*$BH193, 1.05))+$BA193</f>
        <v>86</v>
      </c>
      <c r="BJ193" s="0" t="n">
        <f aca="false">INT(POWER((((Constants!$G$1+$BB193+$BC193+$BD193+$BF193)*($BE193))*$BG193),IF($G193="wagon",1,1.2)))+$AZ193</f>
        <v>130</v>
      </c>
      <c r="BK193" s="17" t="n">
        <f aca="false">BI193*IF($G193="wagon",62.5,781.25)</f>
        <v>67187.5</v>
      </c>
      <c r="BL193" s="17" t="n">
        <f aca="false">BJ193*IF($G193="wagon",2.73,81.25)</f>
        <v>10562.5</v>
      </c>
      <c r="BV193" s="0" t="n">
        <v>12</v>
      </c>
      <c r="CA193" s="0" t="str">
        <f aca="false">VLOOKUP(J193,Eras!$A$2:$C$10, 2, TRUE())</f>
        <v>ebr</v>
      </c>
      <c r="CB193" s="0" t="s">
        <v>478</v>
      </c>
      <c r="CC193" s="0" t="str">
        <f aca="false">CONCATENATE(CA193,"_",CB193)</f>
        <v>ebr_Freight</v>
      </c>
      <c r="CD193" s="0" t="str">
        <f aca="false">_xlfn.CONCAT(H193, "_",I193)</f>
        <v>steam_RAIL</v>
      </c>
      <c r="CE193" s="6" t="str">
        <f aca="false" t="array" ref="CE193:CE193">_xlfn.CONCAT("{BLACK}Length: {GOLD}", TEXT(ROUNDUP(IF(AQ193&lt;&gt;"",SUM(VALUE(_xlfn.TEXTSPLIT(AQ193, ","))), SUM(VALUE(_xlfn.TEXTSPLIT(AN193, ",")))*IF(M193, M193, 1))/16, 1), "#,##0.0"), " tiles{}")</f>
        <v>{BLACK}Length: {GOLD}0.9 tiles{}</v>
      </c>
      <c r="CF193" s="0" t="str">
        <f aca="false">VLOOKUP($CD193, Constants!$M:$N, 2, FALSE())</f>
        <v>{BLACK}Powered by: {GOLD}Steam</v>
      </c>
      <c r="CG193" s="0" t="str">
        <f aca="false">IF(M193&gt;1,_xlfn.CONCAT("{BLACK}Cars: {GOLD}", M193),"")</f>
        <v/>
      </c>
      <c r="CH193" s="0" t="s">
        <v>693</v>
      </c>
      <c r="CI193" s="0" t="str">
        <f aca="false">IF($BU193="!param_no_gameplay_units","{GREEN}Included for gameplay purposes","")</f>
        <v/>
      </c>
      <c r="CJ193" s="0" t="str">
        <f aca="false">IF(BX193="buffet","{YELLOW}25% long distance bonus for consist{}",IF(BZ193="BRAKE","{YELLOW}Speed bonus for slow wagons{}",IF(BW193&gt;190,CONCATENATE("{YELLOW}",INT((BW193-185)/1.85),"% bonus for long distance travel{}"),IF(AND(BW193&lt;180,BW193&lt;&gt;0),CONCATENATE("{YELLOW}",INT((185-BW193)/1.85),"% penalty for long distance travel{}"),""))))</f>
        <v/>
      </c>
      <c r="CK193" s="0" t="str">
        <f aca="false">_xlfn.CONCAT(CF193,IF(CF193&lt;&gt;""," ",""),CG193,IF(OR(CG193&lt;&gt;"",CF193&lt;&gt;""),"{}",""),CE193,CJ193,"{SILVER}",CH193,IF(CI193&lt;&gt;"","{}{}",""),CI193)</f>
        <v>{BLACK}Powered by: {GOLD}Steam {}{BLACK}Length: {GOLD}0.9 tiles{}{SILVER}The 9F class included the last steam locomotive ever to be built by British Railways, "Evening Star"</v>
      </c>
    </row>
    <row r="194" customFormat="false" ht="14.25" hidden="false" customHeight="false" outlineLevel="0" collapsed="false">
      <c r="A194" s="0" t="s">
        <v>694</v>
      </c>
      <c r="B194" s="15" t="s">
        <v>695</v>
      </c>
      <c r="C194" s="0" t="n">
        <v>179</v>
      </c>
      <c r="E194" s="0" t="n">
        <v>82</v>
      </c>
      <c r="F194" s="0" t="s">
        <v>143</v>
      </c>
      <c r="G194" s="0" t="s">
        <v>445</v>
      </c>
      <c r="H194" s="0" t="s">
        <v>670</v>
      </c>
      <c r="I194" s="0" t="s">
        <v>92</v>
      </c>
      <c r="J194" s="0" t="n">
        <v>1955</v>
      </c>
      <c r="K194" s="0" t="n">
        <v>1962</v>
      </c>
      <c r="L194" s="0" t="n">
        <v>1982</v>
      </c>
      <c r="N194" s="0" t="n">
        <v>3300</v>
      </c>
      <c r="W194" s="0" t="n">
        <v>108</v>
      </c>
      <c r="Z194" s="0" t="n">
        <v>233</v>
      </c>
      <c r="AA194" s="3" t="n">
        <f aca="false">IF(AND(W194&gt;0,Z194&gt;0),(Z194/((W194+X194)*10)),"")</f>
        <v>0.215740740740741</v>
      </c>
      <c r="AB194" s="0" t="n">
        <v>106</v>
      </c>
      <c r="AC194" s="0" t="n">
        <f aca="false">ROUND(AB194*1.6, 0)</f>
        <v>170</v>
      </c>
      <c r="AF194" s="0" t="n">
        <v>21.18</v>
      </c>
      <c r="AG194" s="0" t="n">
        <v>21.18</v>
      </c>
      <c r="AI194" s="0" t="n">
        <v>3.91</v>
      </c>
      <c r="AJ194" s="4" t="n">
        <v>0</v>
      </c>
      <c r="AK194" s="0" t="str">
        <f aca="false">CONCATENATE(VLOOKUP(AL194, 'Voxel Sizes'!$A$2:$B$18,2,FALSE()),"x",INT(AH194*15), "x", INT(AI194*15))</f>
        <v>198x0x58</v>
      </c>
      <c r="AL194" s="0" t="n">
        <f aca="false">ROUND(15*((AG194*10)/256),0)</f>
        <v>12</v>
      </c>
      <c r="AN194" s="0" t="str">
        <f aca="false">CONCATENATE(VLOOKUP(AL194,Constants!$A$2:$C$16,IF(AM194&lt;&gt;"", 3, 2), FALSE()),IF(AM194&lt;&gt;"",CONCATENATE(",",VLOOKUP(AM194,$B:$AN,39,FALSE())),""))</f>
        <v>4,4,4</v>
      </c>
      <c r="AX194" s="0" t="n">
        <v>26</v>
      </c>
      <c r="AY194" s="16" t="n">
        <f aca="false">IF(L194&lt;&gt;"",MAX(16,(L194-J194)+8),"")</f>
        <v>35</v>
      </c>
      <c r="BB194" s="0" t="n">
        <f aca="false">MIN(AB194/150, 1)*30</f>
        <v>21.2</v>
      </c>
      <c r="BC194" s="0" t="n">
        <f aca="false">MIN(N194/4000, 1)*20</f>
        <v>16.5</v>
      </c>
      <c r="BD194" s="0" t="n">
        <f aca="false">MIN(Z194/400,1)*20</f>
        <v>11.65</v>
      </c>
      <c r="BE194" s="3" t="n">
        <f aca="false">1-(MAX(J194-1900, 0)/750)</f>
        <v>0.926666666666667</v>
      </c>
      <c r="BF194" s="0" t="n">
        <f aca="false">((MAX($M194,1)*MIN($AJ194/300,1)))*IF(G194="Wagon",50,10)</f>
        <v>0</v>
      </c>
      <c r="BG194" s="0" t="n">
        <f aca="false">VLOOKUP($H194,Constants!$I:$K, 2, FALSE())</f>
        <v>1</v>
      </c>
      <c r="BH194" s="0" t="n">
        <f aca="false">VLOOKUP($H194,Constants!$I:$K, 3, FALSE())*IF(AND(G194="multiple_unit",AB194&lt;110),0.75,1)</f>
        <v>2</v>
      </c>
      <c r="BI194" s="0" t="n">
        <f aca="false">INT(POWER(((Constants!$G$2+$BB194+$BC194+$BD194+$BF194)*$BE194)*$BH194, 1.05))+$BA194</f>
        <v>126</v>
      </c>
      <c r="BJ194" s="0" t="n">
        <f aca="false">INT(POWER((((Constants!$G$1+$BB194+$BC194+$BD194+$BF194)*($BE194))*$BG194),IF($G194="wagon",1,1.2)))+$AZ194</f>
        <v>135</v>
      </c>
      <c r="BK194" s="17" t="n">
        <f aca="false">BI194*IF($G194="wagon",62.5,781.25)</f>
        <v>98437.5</v>
      </c>
      <c r="BL194" s="17" t="n">
        <f aca="false">BJ194*IF($G194="wagon",2.73,81.25)</f>
        <v>10968.75</v>
      </c>
      <c r="BV194" s="0" t="n">
        <v>1</v>
      </c>
      <c r="CA194" s="0" t="str">
        <f aca="false">VLOOKUP(J194,Eras!$A$2:$C$10, 2, TRUE())</f>
        <v>dsl</v>
      </c>
      <c r="CB194" s="0" t="s">
        <v>474</v>
      </c>
      <c r="CC194" s="0" t="str">
        <f aca="false">CONCATENATE(CA194,"_",CB194)</f>
        <v>dsl_Express</v>
      </c>
      <c r="CD194" s="0" t="str">
        <f aca="false">_xlfn.CONCAT(H194, "_",I194)</f>
        <v>diesel_RAIL</v>
      </c>
      <c r="CE194" s="6" t="str">
        <f aca="false" t="array" ref="CE194:CE194">_xlfn.CONCAT("{BLACK}Length: {GOLD}", TEXT(ROUNDUP(IF(AQ194&lt;&gt;"",SUM(VALUE(_xlfn.TEXTSPLIT(AQ194, ","))), SUM(VALUE(_xlfn.TEXTSPLIT(AN194, ",")))*IF(M194, M194, 1))/16, 1), "#,##0.0"), " tiles{}")</f>
        <v>{BLACK}Length: {GOLD}0.8 tiles{}</v>
      </c>
      <c r="CF194" s="0" t="str">
        <f aca="false">VLOOKUP($CD194, Constants!$M:$N, 2, FALSE())</f>
        <v>{BLACK}Powered by: {GOLD}Diesel</v>
      </c>
      <c r="CG194" s="0" t="str">
        <f aca="false">IF(M194&gt;1,_xlfn.CONCAT("{BLACK}Cars: {GOLD}", M194),"")</f>
        <v/>
      </c>
      <c r="CH194" s="0" t="s">
        <v>696</v>
      </c>
      <c r="CI194" s="0" t="str">
        <f aca="false">IF($BU194="!param_no_gameplay_units","{GREEN}Included for gameplay purposes","")</f>
        <v/>
      </c>
      <c r="CJ194" s="0" t="str">
        <f aca="false">IF(BX194="buffet","{YELLOW}25% long distance bonus for consist{}",IF(BZ194="BRAKE","{YELLOW}Speed bonus for slow wagons{}",IF(BW194&gt;190,CONCATENATE("{YELLOW}",INT((BW194-185)/1.85),"% bonus for long distance travel{}"),IF(AND(BW194&lt;180,BW194&lt;&gt;0),CONCATENATE("{YELLOW}",INT((185-BW194)/1.85),"% penalty for long distance travel{}"),""))))</f>
        <v/>
      </c>
      <c r="CK194" s="0" t="str">
        <f aca="false">_xlfn.CONCAT(CF194,IF(CF194&lt;&gt;""," ",""),CG194,IF(OR(CG194&lt;&gt;"",CF194&lt;&gt;""),"{}",""),CE194,CJ194,"{SILVER}",CH194,IF(CI194&lt;&gt;"","{}{}",""),CI194)</f>
        <v>{BLACK}Powered by: {GOLD}Diesel {}{BLACK}Length: {GOLD}0.8 tiles{}{SILVER}The Class 55 uses two Napier Deltic marine engines to create a high speed express diesel locomotive.</v>
      </c>
    </row>
    <row r="195" customFormat="false" ht="14.25" hidden="false" customHeight="false" outlineLevel="0" collapsed="false">
      <c r="A195" s="0" t="s">
        <v>697</v>
      </c>
      <c r="B195" s="15" t="s">
        <v>698</v>
      </c>
      <c r="C195" s="0" t="n">
        <v>180</v>
      </c>
      <c r="E195" s="0" t="n">
        <v>83</v>
      </c>
      <c r="F195" s="0" t="s">
        <v>143</v>
      </c>
      <c r="G195" s="0" t="s">
        <v>445</v>
      </c>
      <c r="H195" s="0" t="s">
        <v>670</v>
      </c>
      <c r="I195" s="0" t="s">
        <v>92</v>
      </c>
      <c r="J195" s="0" t="n">
        <v>1957</v>
      </c>
      <c r="K195" s="0" t="n">
        <v>1962</v>
      </c>
      <c r="L195" s="0" t="n">
        <v>2017</v>
      </c>
      <c r="N195" s="0" t="n">
        <v>1250</v>
      </c>
      <c r="W195" s="0" t="n">
        <v>108.4</v>
      </c>
      <c r="Z195" s="0" t="n">
        <v>160</v>
      </c>
      <c r="AA195" s="3" t="n">
        <f aca="false">IF(AND(W195&gt;0,Z195&gt;0),(Z195/((W195+X195)*10)),"")</f>
        <v>0.14760147601476</v>
      </c>
      <c r="AB195" s="0" t="n">
        <v>80</v>
      </c>
      <c r="AC195" s="0" t="n">
        <f aca="false">ROUND(AB195*1.6, 0)</f>
        <v>128</v>
      </c>
      <c r="AF195" s="0" t="n">
        <v>17.3</v>
      </c>
      <c r="AG195" s="0" t="n">
        <v>17.3</v>
      </c>
      <c r="AI195" s="0" t="n">
        <v>3.84</v>
      </c>
      <c r="AJ195" s="4" t="n">
        <v>0</v>
      </c>
      <c r="AK195" s="0" t="str">
        <f aca="false">CONCATENATE(VLOOKUP(AL195, 'Voxel Sizes'!$A$2:$B$18,2,FALSE()),"x",INT(AH195*15), "x", INT(AI195*15))</f>
        <v>164x0x57</v>
      </c>
      <c r="AL195" s="0" t="n">
        <f aca="false">ROUND(15*((AG195*10)/256),0)</f>
        <v>10</v>
      </c>
      <c r="AN195" s="0" t="str">
        <f aca="false">CONCATENATE(VLOOKUP(AL195,Constants!$A$2:$C$16,IF(AM195&lt;&gt;"", 3, 2), FALSE()),IF(AM195&lt;&gt;"",CONCATENATE(",",VLOOKUP(AM195,$B:$AN,39,FALSE())),""))</f>
        <v>4,2,4</v>
      </c>
      <c r="AX195" s="0" t="n">
        <v>30</v>
      </c>
      <c r="AY195" s="16" t="n">
        <f aca="false">IF(L195&lt;&gt;"",MAX(16,(L195-J195)+8),"")</f>
        <v>68</v>
      </c>
      <c r="BB195" s="0" t="n">
        <f aca="false">MIN(AB195/150, 1)*30</f>
        <v>16</v>
      </c>
      <c r="BC195" s="0" t="n">
        <f aca="false">MIN(N195/4000, 1)*20</f>
        <v>6.25</v>
      </c>
      <c r="BD195" s="0" t="n">
        <f aca="false">MIN(Z195/400,1)*20</f>
        <v>8</v>
      </c>
      <c r="BE195" s="3" t="n">
        <f aca="false">1-(MAX(J195-1900, 0)/750)</f>
        <v>0.924</v>
      </c>
      <c r="BF195" s="0" t="n">
        <f aca="false">((MAX($M195,1)*MIN($AJ195/300,1)))*IF(G195="Wagon",50,10)</f>
        <v>0</v>
      </c>
      <c r="BG195" s="0" t="n">
        <f aca="false">VLOOKUP($H195,Constants!$I:$K, 2, FALSE())</f>
        <v>1</v>
      </c>
      <c r="BH195" s="0" t="n">
        <f aca="false">VLOOKUP($H195,Constants!$I:$K, 3, FALSE())*IF(AND(G195="multiple_unit",AB195&lt;110),0.75,1)</f>
        <v>2</v>
      </c>
      <c r="BI195" s="0" t="n">
        <f aca="false">INT(POWER(((Constants!$G$2+$BB195+$BC195+$BD195+$BF195)*$BE195)*$BH195, 1.05))+$BA195</f>
        <v>80</v>
      </c>
      <c r="BJ195" s="0" t="n">
        <f aca="false">INT(POWER((((Constants!$G$1+$BB195+$BC195+$BD195+$BF195)*($BE195))*$BG195),IF($G195="wagon",1,1.2)))+$AZ195</f>
        <v>88</v>
      </c>
      <c r="BK195" s="17" t="n">
        <f aca="false">BI195*IF($G195="wagon",62.5,781.25)</f>
        <v>62500</v>
      </c>
      <c r="BL195" s="17" t="n">
        <f aca="false">BJ195*IF($G195="wagon",2.73,81.25)</f>
        <v>7150</v>
      </c>
      <c r="BV195" s="0" t="n">
        <v>3</v>
      </c>
      <c r="CA195" s="0" t="str">
        <f aca="false">VLOOKUP(J195,Eras!$A$2:$C$10, 2, TRUE())</f>
        <v>dsl</v>
      </c>
      <c r="CB195" s="0" t="s">
        <v>478</v>
      </c>
      <c r="CC195" s="0" t="str">
        <f aca="false">CONCATENATE(CA195,"_",CB195)</f>
        <v>dsl_Freight</v>
      </c>
      <c r="CD195" s="0" t="str">
        <f aca="false">_xlfn.CONCAT(H195, "_",I195)</f>
        <v>diesel_RAIL</v>
      </c>
      <c r="CE195" s="6" t="str">
        <f aca="false" t="array" ref="CE195:CE195">_xlfn.CONCAT("{BLACK}Length: {GOLD}", TEXT(ROUNDUP(IF(AQ195&lt;&gt;"",SUM(VALUE(_xlfn.TEXTSPLIT(AQ195, ","))), SUM(VALUE(_xlfn.TEXTSPLIT(AN195, ",")))*IF(M195, M195, 1))/16, 1), "#,##0.0"), " tiles{}")</f>
        <v>{BLACK}Length: {GOLD}0.7 tiles{}</v>
      </c>
      <c r="CF195" s="0" t="str">
        <f aca="false">VLOOKUP($CD195, Constants!$M:$N, 2, FALSE())</f>
        <v>{BLACK}Powered by: {GOLD}Diesel</v>
      </c>
      <c r="CG195" s="0" t="str">
        <f aca="false">IF(M195&gt;1,_xlfn.CONCAT("{BLACK}Cars: {GOLD}", M195),"")</f>
        <v/>
      </c>
      <c r="CH195" s="0" t="s">
        <v>699</v>
      </c>
      <c r="CI195" s="0" t="str">
        <f aca="false">IF($BU195="!param_no_gameplay_units","{GREEN}Included for gameplay purposes","")</f>
        <v/>
      </c>
      <c r="CJ195" s="0" t="str">
        <f aca="false">IF(BX195="buffet","{YELLOW}25% long distance bonus for consist{}",IF(BZ195="BRAKE","{YELLOW}Speed bonus for slow wagons{}",IF(BW195&gt;190,CONCATENATE("{YELLOW}",INT((BW195-185)/1.85),"% bonus for long distance travel{}"),IF(AND(BW195&lt;180,BW195&lt;&gt;0),CONCATENATE("{YELLOW}",INT((185-BW195)/1.85),"% penalty for long distance travel{}"),""))))</f>
        <v/>
      </c>
      <c r="CK195" s="0" t="str">
        <f aca="false">_xlfn.CONCAT(CF195,IF(CF195&lt;&gt;""," ",""),CG195,IF(OR(CG195&lt;&gt;"",CF195&lt;&gt;""),"{}",""),CE195,CJ195,"{SILVER}",CH195,IF(CI195&lt;&gt;"","{}{}",""),CI195)</f>
        <v>{BLACK}Powered by: {GOLD}Diesel {}{BLACK}Length: {GOLD}0.7 tiles{}{SILVER}The Class 31 (Brush Type 2) was part of BR's pilot scheme to test replacing steam locomotives with diesel traction. It had many nicknames including "Ped", "Gargoyle" and "Gurgler"</v>
      </c>
    </row>
    <row r="196" customFormat="false" ht="14.25" hidden="false" customHeight="false" outlineLevel="0" collapsed="false">
      <c r="A196" s="0" t="s">
        <v>700</v>
      </c>
      <c r="B196" s="15" t="s">
        <v>701</v>
      </c>
      <c r="C196" s="0" t="n">
        <v>181</v>
      </c>
      <c r="E196" s="0" t="n">
        <v>84</v>
      </c>
      <c r="F196" s="0" t="s">
        <v>143</v>
      </c>
      <c r="G196" s="0" t="s">
        <v>445</v>
      </c>
      <c r="H196" s="0" t="s">
        <v>670</v>
      </c>
      <c r="I196" s="0" t="s">
        <v>92</v>
      </c>
      <c r="J196" s="0" t="n">
        <v>1957</v>
      </c>
      <c r="K196" s="0" t="n">
        <v>1968</v>
      </c>
      <c r="N196" s="0" t="n">
        <v>1000</v>
      </c>
      <c r="W196" s="0" t="n">
        <v>73</v>
      </c>
      <c r="Z196" s="0" t="n">
        <v>186</v>
      </c>
      <c r="AA196" s="3" t="n">
        <f aca="false">IF(AND(W196&gt;0,Z196&gt;0),(Z196/((W196+X196)*10)),"")</f>
        <v>0.254794520547945</v>
      </c>
      <c r="AB196" s="0" t="n">
        <v>75</v>
      </c>
      <c r="AC196" s="0" t="n">
        <f aca="false">ROUND(AB196*1.6, 0)</f>
        <v>120</v>
      </c>
      <c r="AF196" s="0" t="n">
        <v>14.25</v>
      </c>
      <c r="AG196" s="0" t="n">
        <v>14.25</v>
      </c>
      <c r="AH196" s="0" t="n">
        <v>2.67</v>
      </c>
      <c r="AI196" s="0" t="n">
        <v>3.85</v>
      </c>
      <c r="AJ196" s="4" t="n">
        <v>0</v>
      </c>
      <c r="AK196" s="0" t="str">
        <f aca="false">CONCATENATE(VLOOKUP(AL196, 'Voxel Sizes'!$A$2:$B$18,2,FALSE()),"x",INT(AH196*15), "x", INT(AI196*15))</f>
        <v>136x40x57</v>
      </c>
      <c r="AL196" s="0" t="n">
        <f aca="false">ROUND(15*((AG196*10)/256),0)</f>
        <v>8</v>
      </c>
      <c r="AN196" s="0" t="str">
        <f aca="false">CONCATENATE(VLOOKUP(AL196,Constants!$A$2:$C$16,IF(AM196&lt;&gt;"", 3, 2), FALSE()),IF(AM196&lt;&gt;"",CONCATENATE(",",VLOOKUP(AM196,$B:$AN,39,FALSE())),""))</f>
        <v>2,4,2</v>
      </c>
      <c r="AX196" s="0" t="n">
        <v>33</v>
      </c>
      <c r="AY196" s="16" t="str">
        <f aca="false">IF(L196&lt;&gt;"",MAX(16,(L196-J196)+8),"")</f>
        <v/>
      </c>
      <c r="BB196" s="0" t="n">
        <f aca="false">MIN(AB196/150, 1)*30</f>
        <v>15</v>
      </c>
      <c r="BC196" s="0" t="n">
        <f aca="false">MIN(N196/4000, 1)*20</f>
        <v>5</v>
      </c>
      <c r="BD196" s="0" t="n">
        <f aca="false">MIN(Z196/400,1)*20</f>
        <v>9.3</v>
      </c>
      <c r="BE196" s="3" t="n">
        <f aca="false">1-(MAX(J196-1900, 0)/750)</f>
        <v>0.924</v>
      </c>
      <c r="BF196" s="0" t="n">
        <f aca="false">((MAX($M196,1)*MIN($AJ196/300,1)))*IF(G196="Wagon",50,10)</f>
        <v>0</v>
      </c>
      <c r="BG196" s="0" t="n">
        <f aca="false">VLOOKUP($H196,Constants!$I:$K, 2, FALSE())</f>
        <v>1</v>
      </c>
      <c r="BH196" s="0" t="n">
        <f aca="false">VLOOKUP($H196,Constants!$I:$K, 3, FALSE())*IF(AND(G196="multiple_unit",AB196&lt;110),0.75,1)</f>
        <v>2</v>
      </c>
      <c r="BI196" s="0" t="n">
        <f aca="false">INT(POWER(((Constants!$G$2+$BB196+$BC196+$BD196+$BF196)*$BE196)*$BH196, 1.05))+$BA196</f>
        <v>78</v>
      </c>
      <c r="BJ196" s="0" t="n">
        <f aca="false">INT(POWER((((Constants!$G$1+$BB196+$BC196+$BD196+$BF196)*($BE196))*$BG196),IF($G196="wagon",1,1.2)))+$AZ196</f>
        <v>85</v>
      </c>
      <c r="BK196" s="17" t="n">
        <f aca="false">BI196*IF($G196="wagon",62.5,781.25)</f>
        <v>60937.5</v>
      </c>
      <c r="BL196" s="17" t="n">
        <f aca="false">BJ196*IF($G196="wagon",2.73,81.25)</f>
        <v>6906.25</v>
      </c>
      <c r="BM196" s="0" t="n">
        <v>2</v>
      </c>
      <c r="BV196" s="0" t="n">
        <v>4</v>
      </c>
      <c r="CA196" s="0" t="str">
        <f aca="false">VLOOKUP(J196,Eras!$A$2:$C$10, 2, TRUE())</f>
        <v>dsl</v>
      </c>
      <c r="CB196" s="0" t="s">
        <v>439</v>
      </c>
      <c r="CC196" s="0" t="str">
        <f aca="false">CONCATENATE(CA196,"_",CB196)</f>
        <v>dsl_Mixed Traffic</v>
      </c>
      <c r="CD196" s="0" t="str">
        <f aca="false">_xlfn.CONCAT(H196, "_",I196)</f>
        <v>diesel_RAIL</v>
      </c>
      <c r="CE196" s="6" t="str">
        <f aca="false" t="array" ref="CE196:CE196">_xlfn.CONCAT("{BLACK}Length: {GOLD}", TEXT(ROUNDUP(IF(AQ196&lt;&gt;"",SUM(VALUE(_xlfn.TEXTSPLIT(AQ196, ","))), SUM(VALUE(_xlfn.TEXTSPLIT(AN196, ",")))*IF(M196, M196, 1))/16, 1), "#,##0.0"), " tiles{}")</f>
        <v>{BLACK}Length: {GOLD}0.5 tiles{}</v>
      </c>
      <c r="CF196" s="0" t="str">
        <f aca="false">VLOOKUP($CD196, Constants!$M:$N, 2, FALSE())</f>
        <v>{BLACK}Powered by: {GOLD}Diesel</v>
      </c>
      <c r="CG196" s="0" t="str">
        <f aca="false">IF(M196&gt;1,_xlfn.CONCAT("{BLACK}Cars: {GOLD}", M196),"")</f>
        <v/>
      </c>
      <c r="CH196" s="0" t="s">
        <v>702</v>
      </c>
      <c r="CI196" s="0" t="str">
        <f aca="false">IF($BU196="!param_no_gameplay_units","{GREEN}Included for gameplay purposes","")</f>
        <v/>
      </c>
      <c r="CJ196" s="0" t="str">
        <f aca="false">IF(BX196="buffet","{YELLOW}25% long distance bonus for consist{}",IF(BZ196="BRAKE","{YELLOW}Speed bonus for slow wagons{}",IF(BW196&gt;190,CONCATENATE("{YELLOW}",INT((BW196-185)/1.85),"% bonus for long distance travel{}"),IF(AND(BW196&lt;180,BW196&lt;&gt;0),CONCATENATE("{YELLOW}",INT((185-BW196)/1.85),"% penalty for long distance travel{}"),""))))</f>
        <v/>
      </c>
      <c r="CK196" s="0" t="str">
        <f aca="false">_xlfn.CONCAT(CF196,IF(CF196&lt;&gt;""," ",""),CG196,IF(OR(CG196&lt;&gt;"",CF196&lt;&gt;""),"{}",""),CE196,CJ196,"{SILVER}",CH196,IF(CI196&lt;&gt;"","{}{}",""),CI196)</f>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97" customFormat="false" ht="14.25" hidden="false" customHeight="false" outlineLevel="0" collapsed="false">
      <c r="A197" s="0" t="s">
        <v>703</v>
      </c>
      <c r="B197" s="15" t="s">
        <v>704</v>
      </c>
      <c r="C197" s="0" t="n">
        <v>182</v>
      </c>
      <c r="E197" s="0" t="n">
        <v>85</v>
      </c>
      <c r="F197" s="0" t="s">
        <v>143</v>
      </c>
      <c r="G197" s="0" t="s">
        <v>445</v>
      </c>
      <c r="H197" s="0" t="s">
        <v>705</v>
      </c>
      <c r="I197" s="0" t="s">
        <v>92</v>
      </c>
      <c r="J197" s="0" t="n">
        <v>1958</v>
      </c>
      <c r="K197" s="0" t="n">
        <v>1961</v>
      </c>
      <c r="L197" s="0" t="n">
        <v>1966</v>
      </c>
      <c r="N197" s="0" t="n">
        <v>2750</v>
      </c>
      <c r="W197" s="0" t="n">
        <v>81</v>
      </c>
      <c r="X197" s="1" t="n">
        <v>45</v>
      </c>
      <c r="Z197" s="0" t="n">
        <v>169</v>
      </c>
      <c r="AA197" s="3" t="n">
        <f aca="false">IF(AND(W197&gt;0,Z197&gt;0),(Z197/((W197+X197)*10)),"")</f>
        <v>0.134126984126984</v>
      </c>
      <c r="AB197" s="0" t="n">
        <v>90</v>
      </c>
      <c r="AC197" s="0" t="n">
        <f aca="false">ROUND(AB197*1.6, 0)</f>
        <v>144</v>
      </c>
      <c r="AF197" s="0" t="n">
        <v>20.74</v>
      </c>
      <c r="AG197" s="0" t="n">
        <v>14</v>
      </c>
      <c r="AJ197" s="4" t="n">
        <v>0</v>
      </c>
      <c r="AK197" s="0" t="str">
        <f aca="false">CONCATENATE(VLOOKUP(AL197, 'Voxel Sizes'!$A$2:$B$18,2,FALSE()),"x",INT(AH197*15), "x", INT(AI197*15))</f>
        <v>136x0x0</v>
      </c>
      <c r="AL197" s="0" t="n">
        <f aca="false">ROUND(15*((AG197*10)/256),0)</f>
        <v>8</v>
      </c>
      <c r="AM197" s="0" t="s">
        <v>140</v>
      </c>
      <c r="AN197" s="0" t="str">
        <f aca="false">CONCATENATE(VLOOKUP(AL197,Constants!$A$2:$C$16,IF(AM197&lt;&gt;"", 3, 2), FALSE()),IF(AM197&lt;&gt;"",CONCATENATE(",",VLOOKUP(AM197,$B:$AN,39,FALSE())),""))</f>
        <v>2,4,2,2,1,2</v>
      </c>
      <c r="AV197" s="0" t="n">
        <v>1</v>
      </c>
      <c r="AX197" s="0" t="n">
        <v>9</v>
      </c>
      <c r="AY197" s="16" t="n">
        <f aca="false">IF(L197&lt;&gt;"",MAX(16,(L197-J197)+8),"")</f>
        <v>16</v>
      </c>
      <c r="BB197" s="0" t="n">
        <f aca="false">MIN(AB197/150, 1)*30</f>
        <v>18</v>
      </c>
      <c r="BC197" s="0" t="n">
        <f aca="false">MIN(N197/4000, 1)*20</f>
        <v>13.75</v>
      </c>
      <c r="BD197" s="0" t="n">
        <f aca="false">MIN(Z197/400,1)*20</f>
        <v>8.45</v>
      </c>
      <c r="BE197" s="3" t="n">
        <f aca="false">1-(MAX(J197-1900, 0)/750)</f>
        <v>0.922666666666667</v>
      </c>
      <c r="BF197" s="0" t="n">
        <f aca="false">((MAX($M197,1)*MIN($AJ197/300,1)))*IF(G197="Wagon",50,10)</f>
        <v>0</v>
      </c>
      <c r="BG197" s="0" t="n">
        <f aca="false">VLOOKUP($H197,Constants!$I:$K, 2, FALSE())</f>
        <v>1</v>
      </c>
      <c r="BH197" s="0" t="n">
        <f aca="false">VLOOKUP($H197,Constants!$I:$K, 3, FALSE())*IF(AND(G197="multiple_unit",AB197&lt;110),0.75,1)</f>
        <v>2</v>
      </c>
      <c r="BI197" s="0" t="n">
        <f aca="false">INT(POWER(((Constants!$G$2+$BB197+$BC197+$BD197+$BF197)*$BE197)*$BH197, 1.05))+$BA197</f>
        <v>104</v>
      </c>
      <c r="BJ197" s="0" t="n">
        <f aca="false">INT(POWER((((Constants!$G$1+$BB197+$BC197+$BD197+$BF197)*($BE197))*$BG197),IF($G197="wagon",1,1.2)))+$AZ197</f>
        <v>111</v>
      </c>
      <c r="BK197" s="17" t="n">
        <f aca="false">BI197*IF($G197="wagon",62.5,781.25)</f>
        <v>81250</v>
      </c>
      <c r="BL197" s="17" t="n">
        <f aca="false">BJ197*IF($G197="wagon",2.73,81.25)</f>
        <v>9018.75</v>
      </c>
      <c r="BV197" s="0" t="n">
        <v>5</v>
      </c>
      <c r="CA197" s="0" t="str">
        <f aca="false">VLOOKUP(J197,Eras!$A$2:$C$10, 2, TRUE())</f>
        <v>dsl</v>
      </c>
      <c r="CB197" s="0" t="s">
        <v>474</v>
      </c>
      <c r="CC197" s="0" t="str">
        <f aca="false">CONCATENATE(CA197,"_",CB197)</f>
        <v>dsl_Express</v>
      </c>
      <c r="CD197" s="0" t="str">
        <f aca="false">_xlfn.CONCAT(H197, "_",I197)</f>
        <v>gas_turbine_RAIL</v>
      </c>
      <c r="CE197" s="6" t="str">
        <f aca="false" t="array" ref="CE197:CE197">_xlfn.CONCAT("{BLACK}Length: {GOLD}", TEXT(ROUNDUP(IF(AQ197&lt;&gt;"",SUM(VALUE(_xlfn.TEXTSPLIT(AQ197, ","))), SUM(VALUE(_xlfn.TEXTSPLIT(AN197, ",")))*IF(M197, M197, 1))/16, 1), "#,##0.0"), " tiles{}")</f>
        <v>{BLACK}Length: {GOLD}0.9 tiles{}</v>
      </c>
      <c r="CF197" s="0" t="str">
        <f aca="false">VLOOKUP($CD197, Constants!$M:$N, 2, FALSE())</f>
        <v>{BLACK}Powered by: {GOLD}Gas Turbine</v>
      </c>
      <c r="CG197" s="0" t="str">
        <f aca="false">IF(M197&gt;1,_xlfn.CONCAT("{BLACK}Cars: {GOLD}", M197),"")</f>
        <v/>
      </c>
      <c r="CH197" s="0" t="s">
        <v>706</v>
      </c>
      <c r="CI197" s="0" t="str">
        <f aca="false">IF($BU197="!param_no_gameplay_units","{GREEN}Included for gameplay purposes","")</f>
        <v/>
      </c>
      <c r="CJ197" s="0" t="str">
        <f aca="false">IF(BX197="buffet","{YELLOW}25% long distance bonus for consist{}",IF(BZ197="BRAKE","{YELLOW}Speed bonus for slow wagons{}",IF(BW197&gt;190,CONCATENATE("{YELLOW}",INT((BW197-185)/1.85),"% bonus for long distance travel{}"),IF(AND(BW197&lt;180,BW197&lt;&gt;0),CONCATENATE("{YELLOW}",INT((185-BW197)/1.85),"% penalty for long distance travel{}"),""))))</f>
        <v/>
      </c>
      <c r="CK197" s="0" t="str">
        <f aca="false">_xlfn.CONCAT(CF197,IF(CF197&lt;&gt;""," ",""),CG197,IF(OR(CG197&lt;&gt;"",CF197&lt;&gt;""),"{}",""),CE197,CJ197,"{SILVER}",CH197,IF(CI197&lt;&gt;"","{}{}",""),CI197)</f>
        <v>{BLACK}Powered by: {GOLD}Gas Turbine {}{BLACK}Length: {GOLD}0.9 tiles{}{SILVER}The GT3 was part of a programme to test gas turbine locomotives. It used a conventional steam driving wheel arrangement to keep the design simple.</v>
      </c>
    </row>
    <row r="198" customFormat="false" ht="14.25" hidden="false" customHeight="false" outlineLevel="0" collapsed="false">
      <c r="A198" s="0" t="s">
        <v>707</v>
      </c>
      <c r="B198" s="15" t="s">
        <v>708</v>
      </c>
      <c r="C198" s="0" t="n">
        <v>183</v>
      </c>
      <c r="E198" s="0" t="n">
        <v>86</v>
      </c>
      <c r="F198" s="0" t="s">
        <v>143</v>
      </c>
      <c r="G198" s="0" t="s">
        <v>445</v>
      </c>
      <c r="H198" s="0" t="s">
        <v>670</v>
      </c>
      <c r="I198" s="0" t="s">
        <v>92</v>
      </c>
      <c r="J198" s="0" t="n">
        <v>1958</v>
      </c>
      <c r="K198" s="0" t="n">
        <v>1961</v>
      </c>
      <c r="L198" s="0" t="n">
        <v>1972</v>
      </c>
      <c r="N198" s="0" t="n">
        <f aca="false">1035*2</f>
        <v>2070</v>
      </c>
      <c r="W198" s="0" t="n">
        <v>79.3</v>
      </c>
      <c r="Z198" s="0" t="n">
        <v>214</v>
      </c>
      <c r="AA198" s="3" t="n">
        <f aca="false">IF(AND(W198&gt;0,Z198&gt;0),(Z198/((W198+X198)*10)),"")</f>
        <v>0.269861286254729</v>
      </c>
      <c r="AB198" s="0" t="n">
        <v>90</v>
      </c>
      <c r="AC198" s="0" t="n">
        <f aca="false">ROUND(AB198*1.6, 0)</f>
        <v>144</v>
      </c>
      <c r="AF198" s="0" t="n">
        <v>18.29</v>
      </c>
      <c r="AG198" s="0" t="n">
        <v>18.29</v>
      </c>
      <c r="AI198" s="0" t="n">
        <v>3.67</v>
      </c>
      <c r="AJ198" s="4" t="n">
        <v>0</v>
      </c>
      <c r="AK198" s="0" t="str">
        <f aca="false">CONCATENATE(VLOOKUP(AL198, 'Voxel Sizes'!$A$2:$B$18,2,FALSE()),"x",INT(AH198*15), "x", INT(AI198*15))</f>
        <v>186x0x55</v>
      </c>
      <c r="AL198" s="0" t="n">
        <f aca="false">ROUND(15*((AG198*10)/256),0)</f>
        <v>11</v>
      </c>
      <c r="AN198" s="0" t="str">
        <f aca="false">CONCATENATE(VLOOKUP(AL198,Constants!$A$2:$C$16,IF(AM198&lt;&gt;"", 3, 2), FALSE()),IF(AM198&lt;&gt;"",CONCATENATE(",",VLOOKUP(AM198,$B:$AN,39,FALSE())),""))</f>
        <v>4,3,4</v>
      </c>
      <c r="AX198" s="0" t="n">
        <v>32</v>
      </c>
      <c r="AY198" s="16" t="n">
        <f aca="false">IF(L198&lt;&gt;"",MAX(16,(L198-J198)+8),"")</f>
        <v>22</v>
      </c>
      <c r="BB198" s="0" t="n">
        <f aca="false">MIN(AB198/150, 1)*30</f>
        <v>18</v>
      </c>
      <c r="BC198" s="0" t="n">
        <f aca="false">MIN(N198/4000, 1)*20</f>
        <v>10.35</v>
      </c>
      <c r="BD198" s="0" t="n">
        <f aca="false">MIN(Z198/400,1)*20</f>
        <v>10.7</v>
      </c>
      <c r="BE198" s="3" t="n">
        <f aca="false">1-(MAX(J198-1900, 0)/750)</f>
        <v>0.922666666666667</v>
      </c>
      <c r="BF198" s="0" t="n">
        <f aca="false">((MAX($M198,1)*MIN($AJ198/300,1)))*IF(G198="Wagon",50,10)</f>
        <v>0</v>
      </c>
      <c r="BG198" s="0" t="n">
        <f aca="false">VLOOKUP($H198,Constants!$I:$K, 2, FALSE())</f>
        <v>1</v>
      </c>
      <c r="BH198" s="0" t="n">
        <f aca="false">VLOOKUP($H198,Constants!$I:$K, 3, FALSE())*IF(AND(G198="multiple_unit",AB198&lt;110),0.75,1)</f>
        <v>2</v>
      </c>
      <c r="BI198" s="0" t="n">
        <f aca="false">INT(POWER(((Constants!$G$2+$BB198+$BC198+$BD198+$BF198)*$BE198)*$BH198, 1.05))+$BA198</f>
        <v>101</v>
      </c>
      <c r="BJ198" s="0" t="n">
        <f aca="false">INT(POWER((((Constants!$G$1+$BB198+$BC198+$BD198+$BF198)*($BE198))*$BG198),IF($G198="wagon",1,1.2)))+$AZ198</f>
        <v>108</v>
      </c>
      <c r="BK198" s="17" t="n">
        <f aca="false">BI198*IF($G198="wagon",62.5,781.25)</f>
        <v>78906.25</v>
      </c>
      <c r="BL198" s="17" t="n">
        <f aca="false">BJ198*IF($G198="wagon",2.73,81.25)</f>
        <v>8775</v>
      </c>
      <c r="BV198" s="0" t="n">
        <v>6</v>
      </c>
      <c r="CA198" s="0" t="str">
        <f aca="false">VLOOKUP(J198,Eras!$A$2:$C$10, 2, TRUE())</f>
        <v>dsl</v>
      </c>
      <c r="CB198" s="0" t="s">
        <v>535</v>
      </c>
      <c r="CC198" s="0" t="str">
        <f aca="false">CONCATENATE(CA198,"_",CB198)</f>
        <v>dsl_Passenger</v>
      </c>
      <c r="CD198" s="0" t="str">
        <f aca="false">_xlfn.CONCAT(H198, "_",I198)</f>
        <v>diesel_RAIL</v>
      </c>
      <c r="CE198" s="6" t="str">
        <f aca="false" t="array" ref="CE198:CE198">_xlfn.CONCAT("{BLACK}Length: {GOLD}", TEXT(ROUNDUP(IF(AQ198&lt;&gt;"",SUM(VALUE(_xlfn.TEXTSPLIT(AQ198, ","))), SUM(VALUE(_xlfn.TEXTSPLIT(AN198, ",")))*IF(M198, M198, 1))/16, 1), "#,##0.0"), " tiles{}")</f>
        <v>{BLACK}Length: {GOLD}0.7 tiles{}</v>
      </c>
      <c r="CF198" s="0" t="str">
        <f aca="false">VLOOKUP($CD198, Constants!$M:$N, 2, FALSE())</f>
        <v>{BLACK}Powered by: {GOLD}Diesel</v>
      </c>
      <c r="CG198" s="0" t="str">
        <f aca="false">IF(M198&gt;1,_xlfn.CONCAT("{BLACK}Cars: {GOLD}", M198),"")</f>
        <v/>
      </c>
      <c r="CH198" s="0" t="s">
        <v>709</v>
      </c>
      <c r="CI198" s="0" t="str">
        <f aca="false">IF($BU198="!param_no_gameplay_units","{GREEN}Included for gameplay purposes","")</f>
        <v/>
      </c>
      <c r="CJ198" s="0" t="str">
        <f aca="false">IF(BX198="buffet","{YELLOW}25% long distance bonus for consist{}",IF(BZ198="BRAKE","{YELLOW}Speed bonus for slow wagons{}",IF(BW198&gt;190,CONCATENATE("{YELLOW}",INT((BW198-185)/1.85),"% bonus for long distance travel{}"),IF(AND(BW198&lt;180,BW198&lt;&gt;0),CONCATENATE("{YELLOW}",INT((185-BW198)/1.85),"% penalty for long distance travel{}"),""))))</f>
        <v/>
      </c>
      <c r="CK198" s="0" t="str">
        <f aca="false">_xlfn.CONCAT(CF198,IF(CF198&lt;&gt;""," ",""),CG198,IF(OR(CG198&lt;&gt;"",CF198&lt;&gt;""),"{}",""),CE198,CJ198,"{SILVER}",CH198,IF(CI198&lt;&gt;"","{}{}",""),CI198)</f>
        <v>{BLACK}Powered by: {GOLD}Diesel {}{BLACK}Length: {GOLD}0.7 tiles{}{SILVER}The Class 42 is based on the German V200 design, scaled down to fit the smaller British loading gauge and built under licence by British manufacturers.</v>
      </c>
    </row>
    <row r="199" customFormat="false" ht="14.25" hidden="false" customHeight="false" outlineLevel="0" collapsed="false">
      <c r="A199" s="0" t="s">
        <v>710</v>
      </c>
      <c r="B199" s="15" t="s">
        <v>711</v>
      </c>
      <c r="C199" s="0" t="n">
        <v>184</v>
      </c>
      <c r="E199" s="0" t="n">
        <v>87</v>
      </c>
      <c r="F199" s="0" t="s">
        <v>143</v>
      </c>
      <c r="G199" s="0" t="s">
        <v>445</v>
      </c>
      <c r="H199" s="0" t="s">
        <v>670</v>
      </c>
      <c r="I199" s="0" t="s">
        <v>92</v>
      </c>
      <c r="J199" s="0" t="n">
        <v>1958</v>
      </c>
      <c r="K199" s="0" t="n">
        <v>1962</v>
      </c>
      <c r="L199" s="0" t="n">
        <v>1985</v>
      </c>
      <c r="N199" s="0" t="n">
        <v>2000</v>
      </c>
      <c r="W199" s="0" t="n">
        <v>135</v>
      </c>
      <c r="Z199" s="0" t="n">
        <v>231</v>
      </c>
      <c r="AA199" s="3" t="n">
        <f aca="false">IF(AND(W199&gt;0,Z199&gt;0),(Z199/((W199+X199)*10)),"")</f>
        <v>0.171111111111111</v>
      </c>
      <c r="AB199" s="0" t="n">
        <v>90</v>
      </c>
      <c r="AC199" s="0" t="n">
        <f aca="false">ROUND(AB199*1.6, 0)</f>
        <v>144</v>
      </c>
      <c r="AF199" s="0" t="n">
        <v>21.18</v>
      </c>
      <c r="AG199" s="0" t="n">
        <v>21.18</v>
      </c>
      <c r="AI199" s="0" t="n">
        <v>3.91</v>
      </c>
      <c r="AJ199" s="4" t="n">
        <v>0</v>
      </c>
      <c r="AK199" s="0" t="str">
        <f aca="false">CONCATENATE(VLOOKUP(AL199, 'Voxel Sizes'!$A$2:$B$18,2,FALSE()),"x",INT(AH199*15), "x", INT(AI199*15))</f>
        <v>198x0x58</v>
      </c>
      <c r="AL199" s="0" t="n">
        <f aca="false">ROUND(15*((AG199*10)/256),0)</f>
        <v>12</v>
      </c>
      <c r="AN199" s="0" t="str">
        <f aca="false">CONCATENATE(VLOOKUP(AL199,Constants!$A$2:$C$16,IF(AM199&lt;&gt;"", 3, 2), FALSE()),IF(AM199&lt;&gt;"",CONCATENATE(",",VLOOKUP(AM199,$B:$AN,39,FALSE())),""))</f>
        <v>4,4,4</v>
      </c>
      <c r="AX199" s="0" t="n">
        <v>29</v>
      </c>
      <c r="AY199" s="16" t="n">
        <f aca="false">IF(L199&lt;&gt;"",MAX(16,(L199-J199)+8),"")</f>
        <v>35</v>
      </c>
      <c r="BB199" s="0" t="n">
        <f aca="false">MIN(AB199/150, 1)*30</f>
        <v>18</v>
      </c>
      <c r="BC199" s="0" t="n">
        <f aca="false">MIN(N199/4000, 1)*20</f>
        <v>10</v>
      </c>
      <c r="BD199" s="0" t="n">
        <f aca="false">MIN(Z199/400,1)*20</f>
        <v>11.55</v>
      </c>
      <c r="BE199" s="3" t="n">
        <f aca="false">1-(MAX(J199-1900, 0)/750)</f>
        <v>0.922666666666667</v>
      </c>
      <c r="BF199" s="0" t="n">
        <f aca="false">((MAX($M199,1)*MIN($AJ199/300,1)))*IF(G199="Wagon",50,10)</f>
        <v>0</v>
      </c>
      <c r="BG199" s="0" t="n">
        <f aca="false">VLOOKUP($H199,Constants!$I:$K, 2, FALSE())</f>
        <v>1</v>
      </c>
      <c r="BH199" s="0" t="n">
        <f aca="false">VLOOKUP($H199,Constants!$I:$K, 3, FALSE())*IF(AND(G199="multiple_unit",AB199&lt;110),0.75,1)</f>
        <v>2</v>
      </c>
      <c r="BI199" s="0" t="n">
        <f aca="false">INT(POWER(((Constants!$G$2+$BB199+$BC199+$BD199+$BF199)*$BE199)*$BH199, 1.05))+$BA199</f>
        <v>102</v>
      </c>
      <c r="BJ199" s="0" t="n">
        <f aca="false">INT(POWER((((Constants!$G$1+$BB199+$BC199+$BD199+$BF199)*($BE199))*$BG199),IF($G199="wagon",1,1.2)))+$AZ199</f>
        <v>110</v>
      </c>
      <c r="BK199" s="17" t="n">
        <f aca="false">BI199*IF($G199="wagon",62.5,781.25)</f>
        <v>79687.5</v>
      </c>
      <c r="BL199" s="17" t="n">
        <f aca="false">BJ199*IF($G199="wagon",2.73,81.25)</f>
        <v>8937.5</v>
      </c>
      <c r="BV199" s="0" t="n">
        <v>7</v>
      </c>
      <c r="CA199" s="0" t="str">
        <f aca="false">VLOOKUP(J199,Eras!$A$2:$C$10, 2, TRUE())</f>
        <v>dsl</v>
      </c>
      <c r="CB199" s="0" t="s">
        <v>474</v>
      </c>
      <c r="CC199" s="0" t="str">
        <f aca="false">CONCATENATE(CA199,"_",CB199)</f>
        <v>dsl_Express</v>
      </c>
      <c r="CD199" s="0" t="str">
        <f aca="false">_xlfn.CONCAT(H199, "_",I199)</f>
        <v>diesel_RAIL</v>
      </c>
      <c r="CE199" s="6" t="str">
        <f aca="false" t="array" ref="CE199:CE199">_xlfn.CONCAT("{BLACK}Length: {GOLD}", TEXT(ROUNDUP(IF(AQ199&lt;&gt;"",SUM(VALUE(_xlfn.TEXTSPLIT(AQ199, ","))), SUM(VALUE(_xlfn.TEXTSPLIT(AN199, ",")))*IF(M199, M199, 1))/16, 1), "#,##0.0"), " tiles{}")</f>
        <v>{BLACK}Length: {GOLD}0.8 tiles{}</v>
      </c>
      <c r="CF199" s="0" t="str">
        <f aca="false">VLOOKUP($CD199, Constants!$M:$N, 2, FALSE())</f>
        <v>{BLACK}Powered by: {GOLD}Diesel</v>
      </c>
      <c r="CG199" s="0" t="str">
        <f aca="false">IF(M199&gt;1,_xlfn.CONCAT("{BLACK}Cars: {GOLD}", M199),"")</f>
        <v/>
      </c>
      <c r="CH199" s="0" t="s">
        <v>712</v>
      </c>
      <c r="CI199" s="0" t="str">
        <f aca="false">IF($BU199="!param_no_gameplay_units","{GREEN}Included for gameplay purposes","")</f>
        <v/>
      </c>
      <c r="CJ199" s="0" t="str">
        <f aca="false">IF(BX199="buffet","{YELLOW}25% long distance bonus for consist{}",IF(BZ199="BRAKE","{YELLOW}Speed bonus for slow wagons{}",IF(BW199&gt;190,CONCATENATE("{YELLOW}",INT((BW199-185)/1.85),"% bonus for long distance travel{}"),IF(AND(BW199&lt;180,BW199&lt;&gt;0),CONCATENATE("{YELLOW}",INT((185-BW199)/1.85),"% penalty for long distance travel{}"),""))))</f>
        <v/>
      </c>
      <c r="CK199" s="0" t="str">
        <f aca="false">_xlfn.CONCAT(CF199,IF(CF199&lt;&gt;""," ",""),CG199,IF(OR(CG199&lt;&gt;"",CF199&lt;&gt;""),"{}",""),CE199,CJ199,"{SILVER}",CH199,IF(CI199&lt;&gt;"","{}{}",""),CI199)</f>
        <v>{BLACK}Powered by: {GOLD}Diesel {}{BLACK}Length: {GOLD}0.8 tiles{}{SILVER}Initially unwanted due to the small improvement in performance over the Class 7 Britannia, the Class 40 (English Electric Type 4) found its home on the West Coast Main Line.</v>
      </c>
    </row>
    <row r="200" customFormat="false" ht="14.25" hidden="false" customHeight="false" outlineLevel="0" collapsed="false">
      <c r="A200" s="0" t="s">
        <v>713</v>
      </c>
      <c r="B200" s="15" t="s">
        <v>714</v>
      </c>
      <c r="C200" s="0" t="n">
        <v>185</v>
      </c>
      <c r="E200" s="0" t="n">
        <v>88</v>
      </c>
      <c r="F200" s="0" t="s">
        <v>143</v>
      </c>
      <c r="G200" s="0" t="s">
        <v>445</v>
      </c>
      <c r="H200" s="0" t="s">
        <v>670</v>
      </c>
      <c r="I200" s="0" t="s">
        <v>92</v>
      </c>
      <c r="J200" s="0" t="n">
        <v>1958</v>
      </c>
      <c r="K200" s="0" t="n">
        <v>1959</v>
      </c>
      <c r="L200" s="0" t="n">
        <v>1968</v>
      </c>
      <c r="N200" s="0" t="n">
        <v>1200</v>
      </c>
      <c r="W200" s="0" t="n">
        <v>98.6</v>
      </c>
      <c r="Z200" s="0" t="n">
        <v>222</v>
      </c>
      <c r="AA200" s="3" t="n">
        <f aca="false">IF(AND(W200&gt;0,Z200&gt;0),(Z200/((W200+X200)*10)),"")</f>
        <v>0.225152129817444</v>
      </c>
      <c r="AB200" s="0" t="n">
        <v>75</v>
      </c>
      <c r="AC200" s="0" t="n">
        <f aca="false">ROUND(AB200*1.6, 0)</f>
        <v>120</v>
      </c>
      <c r="AF200" s="0" t="n">
        <v>17.26</v>
      </c>
      <c r="AG200" s="0" t="n">
        <v>17.26</v>
      </c>
      <c r="AI200" s="0" t="n">
        <v>3.7</v>
      </c>
      <c r="AJ200" s="4" t="n">
        <v>0</v>
      </c>
      <c r="AK200" s="0" t="str">
        <f aca="false">CONCATENATE(VLOOKUP(AL200, 'Voxel Sizes'!$A$2:$B$18,2,FALSE()),"x",INT(AH200*15), "x", INT(AI200*15))</f>
        <v>164x0x55</v>
      </c>
      <c r="AL200" s="0" t="n">
        <f aca="false">ROUND(15*((AG200*10)/256),0)</f>
        <v>10</v>
      </c>
      <c r="AN200" s="0" t="str">
        <f aca="false">CONCATENATE(VLOOKUP(AL200,Constants!$A$2:$C$16,IF(AM200&lt;&gt;"", 3, 2), FALSE()),IF(AM200&lt;&gt;"",CONCATENATE(",",VLOOKUP(AM200,$B:$AN,39,FALSE())),""))</f>
        <v>4,2,4</v>
      </c>
      <c r="AX200" s="0" t="n">
        <v>21</v>
      </c>
      <c r="AY200" s="16" t="n">
        <f aca="false">IF(L200&lt;&gt;"",MAX(16,(L200-J200)+8),"")</f>
        <v>18</v>
      </c>
      <c r="BB200" s="0" t="n">
        <f aca="false">MIN(AB200/150, 1)*30</f>
        <v>15</v>
      </c>
      <c r="BC200" s="0" t="n">
        <f aca="false">MIN(N200/4000, 1)*20</f>
        <v>6</v>
      </c>
      <c r="BD200" s="0" t="n">
        <f aca="false">MIN(Z200/400,1)*20</f>
        <v>11.1</v>
      </c>
      <c r="BE200" s="3" t="n">
        <f aca="false">1-(MAX(J200-1900, 0)/750)</f>
        <v>0.922666666666667</v>
      </c>
      <c r="BF200" s="0" t="n">
        <f aca="false">((MAX($M200,1)*MIN($AJ200/300,1)))*IF(G200="Wagon",50,10)</f>
        <v>0</v>
      </c>
      <c r="BG200" s="0" t="n">
        <f aca="false">VLOOKUP($H200,Constants!$I:$K, 2, FALSE())</f>
        <v>1</v>
      </c>
      <c r="BH200" s="0" t="n">
        <f aca="false">VLOOKUP($H200,Constants!$I:$K, 3, FALSE())*IF(AND(G200="multiple_unit",AB200&lt;110),0.75,1)</f>
        <v>2</v>
      </c>
      <c r="BI200" s="0" t="n">
        <f aca="false">INT(POWER(((Constants!$G$2+$BB200+$BC200+$BD200+$BF200)*$BE200)*$BH200, 1.05))+$BA200</f>
        <v>84</v>
      </c>
      <c r="BJ200" s="0" t="n">
        <f aca="false">INT(POWER((((Constants!$G$1+$BB200+$BC200+$BD200+$BF200)*($BE200))*$BG200),IF($G200="wagon",1,1.2)))+$AZ200</f>
        <v>92</v>
      </c>
      <c r="BK200" s="17" t="n">
        <f aca="false">BI200*IF($G200="wagon",62.5,781.25)</f>
        <v>65625</v>
      </c>
      <c r="BL200" s="17" t="n">
        <f aca="false">BJ200*IF($G200="wagon",2.73,81.25)</f>
        <v>7475</v>
      </c>
      <c r="BV200" s="0" t="n">
        <v>8</v>
      </c>
      <c r="CA200" s="0" t="str">
        <f aca="false">VLOOKUP(J200,Eras!$A$2:$C$10, 2, TRUE())</f>
        <v>dsl</v>
      </c>
      <c r="CB200" s="0" t="s">
        <v>439</v>
      </c>
      <c r="CC200" s="0" t="str">
        <f aca="false">CONCATENATE(CA200,"_",CB200)</f>
        <v>dsl_Mixed Traffic</v>
      </c>
      <c r="CD200" s="0" t="str">
        <f aca="false">_xlfn.CONCAT(H200, "_",I200)</f>
        <v>diesel_RAIL</v>
      </c>
      <c r="CE200" s="6" t="str">
        <f aca="false" t="array" ref="CE200:CE200">_xlfn.CONCAT("{BLACK}Length: {GOLD}", TEXT(ROUNDUP(IF(AQ200&lt;&gt;"",SUM(VALUE(_xlfn.TEXTSPLIT(AQ200, ","))), SUM(VALUE(_xlfn.TEXTSPLIT(AN200, ",")))*IF(M200, M200, 1))/16, 1), "#,##0.0"), " tiles{}")</f>
        <v>{BLACK}Length: {GOLD}0.7 tiles{}</v>
      </c>
      <c r="CF200" s="0" t="str">
        <f aca="false">VLOOKUP($CD200, Constants!$M:$N, 2, FALSE())</f>
        <v>{BLACK}Powered by: {GOLD}Diesel</v>
      </c>
      <c r="CG200" s="0" t="str">
        <f aca="false">IF(M200&gt;1,_xlfn.CONCAT("{BLACK}Cars: {GOLD}", M200),"")</f>
        <v/>
      </c>
      <c r="CH200" s="0" t="s">
        <v>715</v>
      </c>
      <c r="CI200" s="0" t="str">
        <f aca="false">IF($BU200="!param_no_gameplay_units","{GREEN}Included for gameplay purposes","")</f>
        <v/>
      </c>
      <c r="CJ200" s="0" t="str">
        <f aca="false">IF(BX200="buffet","{YELLOW}25% long distance bonus for consist{}",IF(BZ200="BRAKE","{YELLOW}Speed bonus for slow wagons{}",IF(BW200&gt;190,CONCATENATE("{YELLOW}",INT((BW200-185)/1.85),"% bonus for long distance travel{}"),IF(AND(BW200&lt;180,BW200&lt;&gt;0),CONCATENATE("{YELLOW}",INT((185-BW200)/1.85),"% penalty for long distance travel{}"),""))))</f>
        <v/>
      </c>
      <c r="CK200" s="0" t="str">
        <f aca="false">_xlfn.CONCAT(CF200,IF(CF200&lt;&gt;""," ",""),CG200,IF(OR(CG200&lt;&gt;"",CF200&lt;&gt;""),"{}",""),CE200,CJ200,"{SILVER}",CH200,IF(CI200&lt;&gt;"","{}{}",""),CI200)</f>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201" customFormat="false" ht="14.25" hidden="false" customHeight="false" outlineLevel="0" collapsed="false">
      <c r="A201" s="0" t="s">
        <v>716</v>
      </c>
      <c r="B201" s="15" t="s">
        <v>717</v>
      </c>
      <c r="C201" s="0" t="n">
        <v>186</v>
      </c>
      <c r="E201" s="0" t="n">
        <v>89</v>
      </c>
      <c r="F201" s="0" t="s">
        <v>143</v>
      </c>
      <c r="G201" s="0" t="s">
        <v>445</v>
      </c>
      <c r="H201" s="0" t="s">
        <v>529</v>
      </c>
      <c r="I201" s="0" t="s">
        <v>641</v>
      </c>
      <c r="J201" s="0" t="n">
        <v>1958</v>
      </c>
      <c r="K201" s="0" t="n">
        <v>1960</v>
      </c>
      <c r="L201" s="0" t="n">
        <v>1977</v>
      </c>
      <c r="N201" s="0" t="n">
        <v>2300</v>
      </c>
      <c r="W201" s="0" t="n">
        <v>78.24</v>
      </c>
      <c r="Z201" s="0" t="n">
        <v>195</v>
      </c>
      <c r="AA201" s="3" t="n">
        <f aca="false">IF(AND(W201&gt;0,Z201&gt;0),(Z201/((W201+X201)*10)),"")</f>
        <v>0.249233128834356</v>
      </c>
      <c r="AB201" s="0" t="n">
        <v>90</v>
      </c>
      <c r="AC201" s="0" t="n">
        <f aca="false">ROUND(AB201*1.6, 0)</f>
        <v>144</v>
      </c>
      <c r="AF201" s="0" t="n">
        <v>16.36</v>
      </c>
      <c r="AG201" s="0" t="n">
        <v>16.36</v>
      </c>
      <c r="AJ201" s="4" t="n">
        <v>0</v>
      </c>
      <c r="AK201" s="0" t="str">
        <f aca="false">CONCATENATE(VLOOKUP(AL201, 'Voxel Sizes'!$A$2:$B$18,2,FALSE()),"x",INT(AH201*15), "x", INT(AI201*15))</f>
        <v>164x0x0</v>
      </c>
      <c r="AL201" s="0" t="n">
        <f aca="false">ROUND(15*((AG201*10)/256),0)</f>
        <v>10</v>
      </c>
      <c r="AN201" s="0" t="str">
        <f aca="false">CONCATENATE(VLOOKUP(AL201,Constants!$A$2:$C$16,IF(AM201&lt;&gt;"", 3, 2), FALSE()),IF(AM201&lt;&gt;"",CONCATENATE(",",VLOOKUP(AM201,$B:$AN,39,FALSE())),""))</f>
        <v>4,2,4</v>
      </c>
      <c r="AX201" s="0" t="n">
        <v>32</v>
      </c>
      <c r="AY201" s="16" t="n">
        <f aca="false">IF(L201&lt;&gt;"",MAX(16,(L201-J201)+8),"")</f>
        <v>27</v>
      </c>
      <c r="BB201" s="0" t="n">
        <f aca="false">MIN(AB201/150, 1)*30</f>
        <v>18</v>
      </c>
      <c r="BC201" s="0" t="n">
        <f aca="false">MIN(N201/4000, 1)*20</f>
        <v>11.5</v>
      </c>
      <c r="BD201" s="0" t="n">
        <f aca="false">MIN(Z201/400,1)*20</f>
        <v>9.75</v>
      </c>
      <c r="BE201" s="3" t="n">
        <f aca="false">1-(MAX(J201-1900, 0)/750)</f>
        <v>0.922666666666667</v>
      </c>
      <c r="BF201" s="0" t="n">
        <f aca="false">((MAX($M201,1)*MIN($AJ201/300,1)))*IF(G201="Wagon",50,10)</f>
        <v>0</v>
      </c>
      <c r="BG201" s="0" t="n">
        <f aca="false">VLOOKUP($H201,Constants!$I:$K, 2, FALSE())</f>
        <v>0.85</v>
      </c>
      <c r="BH201" s="0" t="n">
        <f aca="false">VLOOKUP($H201,Constants!$I:$K, 3, FALSE())*IF(AND(G201="multiple_unit",AB201&lt;110),0.75,1)</f>
        <v>2.3</v>
      </c>
      <c r="BI201" s="0" t="n">
        <f aca="false">INT(POWER(((Constants!$G$2+$BB201+$BC201+$BD201+$BF201)*$BE201)*$BH201, 1.05))+$BA201</f>
        <v>117</v>
      </c>
      <c r="BJ201" s="0" t="n">
        <f aca="false">INT(POWER((((Constants!$G$1+$BB201+$BC201+$BD201+$BF201)*($BE201))*$BG201),IF($G201="wagon",1,1.2)))+$AZ201</f>
        <v>90</v>
      </c>
      <c r="BK201" s="17" t="n">
        <f aca="false">BI201*IF($G201="wagon",62.5,781.25)</f>
        <v>91406.25</v>
      </c>
      <c r="BL201" s="17" t="n">
        <f aca="false">BJ201*IF($G201="wagon",2.73,81.25)</f>
        <v>7312.5</v>
      </c>
      <c r="BV201" s="0" t="n">
        <v>9</v>
      </c>
      <c r="CA201" s="0" t="str">
        <f aca="false">VLOOKUP(J201,Eras!$A$2:$C$10, 2, TRUE())</f>
        <v>dsl</v>
      </c>
      <c r="CB201" s="0" t="s">
        <v>642</v>
      </c>
      <c r="CC201" s="0" t="str">
        <f aca="false">CONCATENATE(CA201,"_",CB201)</f>
        <v>dsl_MT (Electric)</v>
      </c>
      <c r="CD201" s="0" t="str">
        <f aca="false">_xlfn.CONCAT(H201, "_",I201)</f>
        <v>electric_THIRD_RAIL</v>
      </c>
      <c r="CE201" s="6" t="str">
        <f aca="false" t="array" ref="CE201:CE201">_xlfn.CONCAT("{BLACK}Length: {GOLD}", TEXT(ROUNDUP(IF(AQ201&lt;&gt;"",SUM(VALUE(_xlfn.TEXTSPLIT(AQ201, ","))), SUM(VALUE(_xlfn.TEXTSPLIT(AN201, ",")))*IF(M201, M201, 1))/16, 1), "#,##0.0"), " tiles{}")</f>
        <v>{BLACK}Length: {GOLD}0.7 tiles{}</v>
      </c>
      <c r="CF201" s="0" t="str">
        <f aca="false">VLOOKUP($CD201, Constants!$M:$N, 2, FALSE())</f>
        <v>{BLACK}Powered by: {GOLD}750V DC</v>
      </c>
      <c r="CG201" s="0" t="str">
        <f aca="false">IF(M201&gt;1,_xlfn.CONCAT("{BLACK}Cars: {GOLD}", M201),"")</f>
        <v/>
      </c>
      <c r="CH201" s="0" t="s">
        <v>718</v>
      </c>
      <c r="CI201" s="0" t="str">
        <f aca="false">IF($BU201="!param_no_gameplay_units","{GREEN}Included for gameplay purposes","")</f>
        <v/>
      </c>
      <c r="CJ201" s="0" t="str">
        <f aca="false">IF(BX201="buffet","{YELLOW}25% long distance bonus for consist{}",IF(BZ201="BRAKE","{YELLOW}Speed bonus for slow wagons{}",IF(BW201&gt;190,CONCATENATE("{YELLOW}",INT((BW201-185)/1.85),"% bonus for long distance travel{}"),IF(AND(BW201&lt;180,BW201&lt;&gt;0),CONCATENATE("{YELLOW}",INT((185-BW201)/1.85),"% penalty for long distance travel{}"),""))))</f>
        <v/>
      </c>
      <c r="CK201" s="0" t="str">
        <f aca="false">_xlfn.CONCAT(CF201,IF(CF201&lt;&gt;""," ",""),CG201,IF(OR(CG201&lt;&gt;"",CF201&lt;&gt;""),"{}",""),CE201,CJ201,"{SILVER}",CH201,IF(CI201&lt;&gt;"","{}{}",""),CI201)</f>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202" customFormat="false" ht="14.25" hidden="false" customHeight="false" outlineLevel="0" collapsed="false">
      <c r="A202" s="0" t="s">
        <v>719</v>
      </c>
      <c r="B202" s="15" t="s">
        <v>720</v>
      </c>
      <c r="C202" s="0" t="n">
        <v>187</v>
      </c>
      <c r="E202" s="0" t="n">
        <v>90</v>
      </c>
      <c r="F202" s="0" t="s">
        <v>143</v>
      </c>
      <c r="G202" s="0" t="s">
        <v>445</v>
      </c>
      <c r="H202" s="0" t="s">
        <v>670</v>
      </c>
      <c r="I202" s="0" t="s">
        <v>92</v>
      </c>
      <c r="J202" s="0" t="n">
        <v>1958</v>
      </c>
      <c r="K202" s="0" t="n">
        <v>1959</v>
      </c>
      <c r="L202" s="0" t="n">
        <v>1994</v>
      </c>
      <c r="N202" s="0" t="n">
        <v>1160</v>
      </c>
      <c r="W202" s="0" t="n">
        <v>78.7</v>
      </c>
      <c r="Z202" s="0" t="n">
        <v>187</v>
      </c>
      <c r="AA202" s="3" t="n">
        <f aca="false">IF(AND(W202&gt;0,Z202&gt;0),(Z202/((W202+X202)*10)),"")</f>
        <v>0.237611181702668</v>
      </c>
      <c r="AB202" s="0" t="n">
        <v>80</v>
      </c>
      <c r="AC202" s="0" t="n">
        <f aca="false">ROUND(AB202*1.6, 0)</f>
        <v>128</v>
      </c>
      <c r="AF202" s="0" t="n">
        <v>15.47</v>
      </c>
      <c r="AG202" s="0" t="n">
        <v>15.47</v>
      </c>
      <c r="AI202" s="0" t="n">
        <v>3.86</v>
      </c>
      <c r="AJ202" s="4" t="n">
        <v>0</v>
      </c>
      <c r="AK202" s="0" t="str">
        <f aca="false">CONCATENATE(VLOOKUP(AL202, 'Voxel Sizes'!$A$2:$B$18,2,FALSE()),"x",INT(AH202*15), "x", INT(AI202*15))</f>
        <v>152x0x57</v>
      </c>
      <c r="AL202" s="0" t="n">
        <f aca="false">ROUND(15*((AG202*10)/256),0)</f>
        <v>9</v>
      </c>
      <c r="AN202" s="0" t="str">
        <f aca="false">CONCATENATE(VLOOKUP(AL202,Constants!$A$2:$C$16,IF(AM202&lt;&gt;"", 3, 2), FALSE()),IF(AM202&lt;&gt;"",CONCATENATE(",",VLOOKUP(AM202,$B:$AN,39,FALSE())),""))</f>
        <v>2,5,2</v>
      </c>
      <c r="AX202" s="0" t="n">
        <v>30</v>
      </c>
      <c r="AY202" s="16" t="n">
        <f aca="false">IF(L202&lt;&gt;"",MAX(16,(L202-J202)+8),"")</f>
        <v>44</v>
      </c>
      <c r="BB202" s="0" t="n">
        <f aca="false">MIN(AB202/150, 1)*30</f>
        <v>16</v>
      </c>
      <c r="BC202" s="0" t="n">
        <f aca="false">MIN(N202/4000, 1)*20</f>
        <v>5.8</v>
      </c>
      <c r="BD202" s="0" t="n">
        <f aca="false">MIN(Z202/400,1)*20</f>
        <v>9.35</v>
      </c>
      <c r="BE202" s="3" t="n">
        <f aca="false">1-(MAX(J202-1900, 0)/750)</f>
        <v>0.922666666666667</v>
      </c>
      <c r="BF202" s="0" t="n">
        <f aca="false">((MAX($M202,1)*MIN($AJ202/300,1)))*IF(G202="Wagon",50,10)</f>
        <v>0</v>
      </c>
      <c r="BG202" s="0" t="n">
        <f aca="false">VLOOKUP($H202,Constants!$I:$K, 2, FALSE())</f>
        <v>1</v>
      </c>
      <c r="BH202" s="0" t="n">
        <f aca="false">VLOOKUP($H202,Constants!$I:$K, 3, FALSE())*IF(AND(G202="multiple_unit",AB202&lt;110),0.75,1)</f>
        <v>2</v>
      </c>
      <c r="BI202" s="0" t="n">
        <f aca="false">INT(POWER(((Constants!$G$2+$BB202+$BC202+$BD202+$BF202)*$BE202)*$BH202, 1.05))+$BA202</f>
        <v>82</v>
      </c>
      <c r="BJ202" s="0" t="n">
        <f aca="false">INT(POWER((((Constants!$G$1+$BB202+$BC202+$BD202+$BF202)*($BE202))*$BG202),IF($G202="wagon",1,1.2)))+$AZ202</f>
        <v>90</v>
      </c>
      <c r="BK202" s="17" t="n">
        <f aca="false">BI202*IF($G202="wagon",62.5,781.25)</f>
        <v>64062.5</v>
      </c>
      <c r="BL202" s="17" t="n">
        <f aca="false">BJ202*IF($G202="wagon",2.73,81.25)</f>
        <v>7312.5</v>
      </c>
      <c r="BV202" s="0" t="n">
        <v>10</v>
      </c>
      <c r="CA202" s="0" t="str">
        <f aca="false">VLOOKUP(J202,Eras!$A$2:$C$10, 2, TRUE())</f>
        <v>dsl</v>
      </c>
      <c r="CB202" s="0" t="s">
        <v>439</v>
      </c>
      <c r="CC202" s="0" t="str">
        <f aca="false">CONCATENATE(CA202,"_",CB202)</f>
        <v>dsl_Mixed Traffic</v>
      </c>
      <c r="CD202" s="0" t="str">
        <f aca="false">_xlfn.CONCAT(H202, "_",I202)</f>
        <v>diesel_RAIL</v>
      </c>
      <c r="CE202" s="6" t="str">
        <f aca="false" t="array" ref="CE202:CE202">_xlfn.CONCAT("{BLACK}Length: {GOLD}", TEXT(ROUNDUP(IF(AQ202&lt;&gt;"",SUM(VALUE(_xlfn.TEXTSPLIT(AQ202, ","))), SUM(VALUE(_xlfn.TEXTSPLIT(AN202, ",")))*IF(M202, M202, 1))/16, 1), "#,##0.0"), " tiles{}")</f>
        <v>{BLACK}Length: {GOLD}0.6 tiles{}</v>
      </c>
      <c r="CF202" s="0" t="str">
        <f aca="false">VLOOKUP($CD202, Constants!$M:$N, 2, FALSE())</f>
        <v>{BLACK}Powered by: {GOLD}Diesel</v>
      </c>
      <c r="CG202" s="0" t="str">
        <f aca="false">IF(M202&gt;1,_xlfn.CONCAT("{BLACK}Cars: {GOLD}", M202),"")</f>
        <v/>
      </c>
      <c r="CH202" s="0" t="s">
        <v>721</v>
      </c>
      <c r="CI202" s="0" t="str">
        <f aca="false">IF($BU202="!param_no_gameplay_units","{GREEN}Included for gameplay purposes","")</f>
        <v/>
      </c>
      <c r="CJ202" s="0" t="str">
        <f aca="false">IF(BX202="buffet","{YELLOW}25% long distance bonus for consist{}",IF(BZ202="BRAKE","{YELLOW}Speed bonus for slow wagons{}",IF(BW202&gt;190,CONCATENATE("{YELLOW}",INT((BW202-185)/1.85),"% bonus for long distance travel{}"),IF(AND(BW202&lt;180,BW202&lt;&gt;0),CONCATENATE("{YELLOW}",INT((185-BW202)/1.85),"% penalty for long distance travel{}"),""))))</f>
        <v/>
      </c>
      <c r="CK202" s="0" t="str">
        <f aca="false">_xlfn.CONCAT(CF202,IF(CF202&lt;&gt;""," ",""),CG202,IF(OR(CG202&lt;&gt;"",CF202&lt;&gt;""),"{}",""),CE202,CJ202,"{SILVER}",CH202,IF(CI202&lt;&gt;"","{}{}",""),CI202)</f>
        <v>{BLACK}Powered by: {GOLD}Diesel {}{BLACK}Length: {GOLD}0.6 tiles{}{SILVER}The Class 26 "Teacup" (so named for its idling sound) was an early Type 2 locomotive, small diesels with engine output between 800 and 1,250 hp.</v>
      </c>
    </row>
    <row r="203" customFormat="false" ht="14.25" hidden="false" customHeight="false" outlineLevel="0" collapsed="false">
      <c r="A203" s="0" t="s">
        <v>722</v>
      </c>
      <c r="B203" s="15" t="s">
        <v>723</v>
      </c>
      <c r="C203" s="0" t="n">
        <v>188</v>
      </c>
      <c r="E203" s="0" t="n">
        <v>91</v>
      </c>
      <c r="F203" s="0" t="s">
        <v>143</v>
      </c>
      <c r="G203" s="0" t="s">
        <v>445</v>
      </c>
      <c r="H203" s="0" t="s">
        <v>670</v>
      </c>
      <c r="I203" s="0" t="s">
        <v>92</v>
      </c>
      <c r="J203" s="0" t="n">
        <v>1959</v>
      </c>
      <c r="K203" s="0" t="n">
        <v>1959</v>
      </c>
      <c r="L203" s="0" t="n">
        <v>1971</v>
      </c>
      <c r="N203" s="0" t="n">
        <v>1100</v>
      </c>
      <c r="W203" s="0" t="n">
        <v>75.2</v>
      </c>
      <c r="Z203" s="0" t="n">
        <v>209</v>
      </c>
      <c r="AA203" s="3" t="n">
        <f aca="false">IF(AND(W203&gt;0,Z203&gt;0),(Z203/((W203+X203)*10)),"")</f>
        <v>0.277925531914894</v>
      </c>
      <c r="AB203" s="0" t="n">
        <v>75</v>
      </c>
      <c r="AC203" s="0" t="n">
        <f aca="false">ROUND(AB203*1.6, 0)</f>
        <v>120</v>
      </c>
      <c r="AF203" s="0" t="n">
        <v>16</v>
      </c>
      <c r="AG203" s="0" t="n">
        <v>16</v>
      </c>
      <c r="AI203" s="0" t="n">
        <v>3.86</v>
      </c>
      <c r="AJ203" s="4" t="n">
        <v>0</v>
      </c>
      <c r="AK203" s="0" t="str">
        <f aca="false">CONCATENATE(VLOOKUP(AL203, 'Voxel Sizes'!$A$2:$B$18,2,FALSE()),"x",INT(AH203*15), "x", INT(AI203*15))</f>
        <v>152x0x57</v>
      </c>
      <c r="AL203" s="0" t="n">
        <f aca="false">ROUND(15*((AG203*10)/256),0)</f>
        <v>9</v>
      </c>
      <c r="AN203" s="0" t="str">
        <f aca="false">CONCATENATE(VLOOKUP(AL203,Constants!$A$2:$C$16,IF(AM203&lt;&gt;"", 3, 2), FALSE()),IF(AM203&lt;&gt;"",CONCATENATE(",",VLOOKUP(AM203,$B:$AN,39,FALSE())),""))</f>
        <v>2,5,2</v>
      </c>
      <c r="AX203" s="0" t="n">
        <v>26</v>
      </c>
      <c r="AY203" s="16" t="n">
        <f aca="false">IF(L203&lt;&gt;"",MAX(16,(L203-J203)+8),"")</f>
        <v>20</v>
      </c>
      <c r="BB203" s="0" t="n">
        <f aca="false">MIN(AB203/150, 1)*30</f>
        <v>15</v>
      </c>
      <c r="BC203" s="0" t="n">
        <f aca="false">MIN(N203/4000, 1)*20</f>
        <v>5.5</v>
      </c>
      <c r="BD203" s="0" t="n">
        <f aca="false">MIN(Z203/400,1)*20</f>
        <v>10.45</v>
      </c>
      <c r="BE203" s="3" t="n">
        <f aca="false">1-(MAX(J203-1900, 0)/750)</f>
        <v>0.921333333333333</v>
      </c>
      <c r="BF203" s="0" t="n">
        <f aca="false">((MAX($M203,1)*MIN($AJ203/300,1)))*IF(G203="Wagon",50,10)</f>
        <v>0</v>
      </c>
      <c r="BG203" s="0" t="n">
        <f aca="false">VLOOKUP($H203,Constants!$I:$K, 2, FALSE())</f>
        <v>1</v>
      </c>
      <c r="BH203" s="0" t="n">
        <f aca="false">VLOOKUP($H203,Constants!$I:$K, 3, FALSE())*IF(AND(G203="multiple_unit",AB203&lt;110),0.75,1)</f>
        <v>2</v>
      </c>
      <c r="BI203" s="0" t="n">
        <f aca="false">INT(POWER(((Constants!$G$2+$BB203+$BC203+$BD203+$BF203)*$BE203)*$BH203, 1.05))+$BA203</f>
        <v>81</v>
      </c>
      <c r="BJ203" s="0" t="n">
        <f aca="false">INT(POWER((((Constants!$G$1+$BB203+$BC203+$BD203+$BF203)*($BE203))*$BG203),IF($G203="wagon",1,1.2)))+$AZ203</f>
        <v>89</v>
      </c>
      <c r="BK203" s="17" t="n">
        <f aca="false">BI203*IF($G203="wagon",62.5,781.25)</f>
        <v>63281.25</v>
      </c>
      <c r="BL203" s="17" t="n">
        <f aca="false">BJ203*IF($G203="wagon",2.73,81.25)</f>
        <v>7231.25</v>
      </c>
      <c r="BV203" s="0" t="n">
        <v>11</v>
      </c>
      <c r="CA203" s="0" t="str">
        <f aca="false">VLOOKUP(J203,Eras!$A$2:$C$10, 2, TRUE())</f>
        <v>dsl</v>
      </c>
      <c r="CB203" s="0" t="s">
        <v>439</v>
      </c>
      <c r="CC203" s="0" t="str">
        <f aca="false">CONCATENATE(CA203,"_",CB203)</f>
        <v>dsl_Mixed Traffic</v>
      </c>
      <c r="CD203" s="0" t="str">
        <f aca="false">_xlfn.CONCAT(H203, "_",I203)</f>
        <v>diesel_RAIL</v>
      </c>
      <c r="CE203" s="6" t="str">
        <f aca="false" t="array" ref="CE203:CE203">_xlfn.CONCAT("{BLACK}Length: {GOLD}", TEXT(ROUNDUP(IF(AQ203&lt;&gt;"",SUM(VALUE(_xlfn.TEXTSPLIT(AQ203, ","))), SUM(VALUE(_xlfn.TEXTSPLIT(AN203, ",")))*IF(M203, M203, 1))/16, 1), "#,##0.0"), " tiles{}")</f>
        <v>{BLACK}Length: {GOLD}0.6 tiles{}</v>
      </c>
      <c r="CF203" s="0" t="str">
        <f aca="false">VLOOKUP($CD203, Constants!$M:$N, 2, FALSE())</f>
        <v>{BLACK}Powered by: {GOLD}Diesel</v>
      </c>
      <c r="CG203" s="0" t="str">
        <f aca="false">IF(M203&gt;1,_xlfn.CONCAT("{BLACK}Cars: {GOLD}", M203),"")</f>
        <v/>
      </c>
      <c r="CH203" s="0" t="s">
        <v>724</v>
      </c>
      <c r="CI203" s="0" t="str">
        <f aca="false">IF($BU203="!param_no_gameplay_units","{GREEN}Included for gameplay purposes","")</f>
        <v/>
      </c>
      <c r="CJ203" s="0" t="str">
        <f aca="false">IF(BX203="buffet","{YELLOW}25% long distance bonus for consist{}",IF(BZ203="BRAKE","{YELLOW}Speed bonus for slow wagons{}",IF(BW203&gt;190,CONCATENATE("{YELLOW}",INT((BW203-185)/1.85),"% bonus for long distance travel{}"),IF(AND(BW203&lt;180,BW203&lt;&gt;0),CONCATENATE("{YELLOW}",INT((185-BW203)/1.85),"% penalty for long distance travel{}"),""))))</f>
        <v/>
      </c>
      <c r="CK203" s="0" t="str">
        <f aca="false">_xlfn.CONCAT(CF203,IF(CF203&lt;&gt;""," ",""),CG203,IF(OR(CG203&lt;&gt;"",CF203&lt;&gt;""),"{}",""),CE203,CJ203,"{SILVER}",CH203,IF(CI203&lt;&gt;"","{}{}",""),CI203)</f>
        <v>{BLACK}Powered by: {GOLD}Diesel {}{BLACK}Length: {GOLD}0.6 tiles{}{SILVER}The Class 23 uses a smaller version of the Napier Deltic engine fitted to the Class 55, leading to its nickname of "Baby Deltic".</v>
      </c>
    </row>
    <row r="204" customFormat="false" ht="14.25" hidden="false" customHeight="false" outlineLevel="0" collapsed="false">
      <c r="A204" s="0" t="s">
        <v>725</v>
      </c>
      <c r="B204" s="15" t="s">
        <v>726</v>
      </c>
      <c r="C204" s="0" t="n">
        <v>189</v>
      </c>
      <c r="E204" s="0" t="n">
        <v>92</v>
      </c>
      <c r="F204" s="0" t="s">
        <v>143</v>
      </c>
      <c r="G204" s="0" t="s">
        <v>445</v>
      </c>
      <c r="H204" s="0" t="s">
        <v>529</v>
      </c>
      <c r="I204" s="0" t="s">
        <v>530</v>
      </c>
      <c r="J204" s="0" t="n">
        <v>1959</v>
      </c>
      <c r="K204" s="0" t="n">
        <v>1964</v>
      </c>
      <c r="L204" s="0" t="n">
        <v>1991</v>
      </c>
      <c r="N204" s="0" t="n">
        <f aca="false">4*847</f>
        <v>3388</v>
      </c>
      <c r="W204" s="0" t="n">
        <v>80.9</v>
      </c>
      <c r="Z204" s="0" t="n">
        <v>222</v>
      </c>
      <c r="AA204" s="3" t="n">
        <f aca="false">IF(AND(W204&gt;0,Z204&gt;0),(Z204/((W204+X204)*10)),"")</f>
        <v>0.274412855377009</v>
      </c>
      <c r="AB204" s="0" t="n">
        <v>100</v>
      </c>
      <c r="AC204" s="0" t="n">
        <f aca="false">ROUND(AB204*1.6, 0)</f>
        <v>160</v>
      </c>
      <c r="AF204" s="0" t="n">
        <v>17.22</v>
      </c>
      <c r="AG204" s="0" t="n">
        <v>17.22</v>
      </c>
      <c r="AI204" s="0" t="n">
        <v>3.77</v>
      </c>
      <c r="AJ204" s="4" t="n">
        <v>0</v>
      </c>
      <c r="AK204" s="0" t="str">
        <f aca="false">CONCATENATE(VLOOKUP(AL204, 'Voxel Sizes'!$A$2:$B$18,2,FALSE()),"x",INT(AH204*15), "x", INT(AI204*15))</f>
        <v>164x0x56</v>
      </c>
      <c r="AL204" s="0" t="n">
        <f aca="false">ROUND(15*((AG204*10)/256),0)</f>
        <v>10</v>
      </c>
      <c r="AN204" s="0" t="str">
        <f aca="false">CONCATENATE(VLOOKUP(AL204,Constants!$A$2:$C$16,IF(AM204&lt;&gt;"", 3, 2), FALSE()),IF(AM204&lt;&gt;"",CONCATENATE(",",VLOOKUP(AM204,$B:$AN,39,FALSE())),""))</f>
        <v>4,2,4</v>
      </c>
      <c r="AX204" s="0" t="n">
        <v>27</v>
      </c>
      <c r="AY204" s="16" t="n">
        <f aca="false">IF(L204&lt;&gt;"",MAX(16,(L204-J204)+8),"")</f>
        <v>40</v>
      </c>
      <c r="BB204" s="0" t="n">
        <f aca="false">MIN(AB204/150, 1)*30</f>
        <v>20</v>
      </c>
      <c r="BC204" s="0" t="n">
        <f aca="false">MIN(N204/4000, 1)*20</f>
        <v>16.94</v>
      </c>
      <c r="BD204" s="0" t="n">
        <f aca="false">MIN(Z204/400,1)*20</f>
        <v>11.1</v>
      </c>
      <c r="BE204" s="3" t="n">
        <f aca="false">1-(MAX(J204-1900, 0)/750)</f>
        <v>0.921333333333333</v>
      </c>
      <c r="BF204" s="0" t="n">
        <f aca="false">((MAX($M204,1)*MIN($AJ204/300,1)))*IF(G204="Wagon",50,10)</f>
        <v>0</v>
      </c>
      <c r="BG204" s="0" t="n">
        <f aca="false">VLOOKUP($H204,Constants!$I:$K, 2, FALSE())</f>
        <v>0.85</v>
      </c>
      <c r="BH204" s="0" t="n">
        <f aca="false">VLOOKUP($H204,Constants!$I:$K, 3, FALSE())*IF(AND(G204="multiple_unit",AB204&lt;110),0.75,1)</f>
        <v>2.3</v>
      </c>
      <c r="BI204" s="0" t="n">
        <f aca="false">INT(POWER(((Constants!$G$2+$BB204+$BC204+$BD204+$BF204)*$BE204)*$BH204, 1.05))+$BA204</f>
        <v>142</v>
      </c>
      <c r="BJ204" s="0" t="n">
        <f aca="false">INT(POWER((((Constants!$G$1+$BB204+$BC204+$BD204+$BF204)*($BE204))*$BG204),IF($G204="wagon",1,1.2)))+$AZ204</f>
        <v>107</v>
      </c>
      <c r="BK204" s="17" t="n">
        <f aca="false">BI204*IF($G204="wagon",62.5,781.25)</f>
        <v>110937.5</v>
      </c>
      <c r="BL204" s="17" t="n">
        <f aca="false">BJ204*IF($G204="wagon",2.73,81.25)</f>
        <v>8693.75</v>
      </c>
      <c r="BV204" s="0" t="n">
        <v>12</v>
      </c>
      <c r="CA204" s="0" t="str">
        <f aca="false">VLOOKUP(J204,Eras!$A$2:$C$10, 2, TRUE())</f>
        <v>dsl</v>
      </c>
      <c r="CB204" s="0" t="s">
        <v>689</v>
      </c>
      <c r="CC204" s="0" t="str">
        <f aca="false">CONCATENATE(CA204,"_",CB204)</f>
        <v>dsl_Express (Electric)</v>
      </c>
      <c r="CD204" s="0" t="str">
        <f aca="false">_xlfn.CONCAT(H204, "_",I204)</f>
        <v>electric_ELRL</v>
      </c>
      <c r="CE204" s="6" t="str">
        <f aca="false" t="array" ref="CE204:CE204">_xlfn.CONCAT("{BLACK}Length: {GOLD}", TEXT(ROUNDUP(IF(AQ204&lt;&gt;"",SUM(VALUE(_xlfn.TEXTSPLIT(AQ204, ","))), SUM(VALUE(_xlfn.TEXTSPLIT(AN204, ",")))*IF(M204, M204, 1))/16, 1), "#,##0.0"), " tiles{}")</f>
        <v>{BLACK}Length: {GOLD}0.7 tiles{}</v>
      </c>
      <c r="CF204" s="0" t="str">
        <f aca="false">VLOOKUP($CD204, Constants!$M:$N, 2, FALSE())</f>
        <v>{BLACK}Powered by: {GOLD}25kV AC</v>
      </c>
      <c r="CG204" s="0" t="str">
        <f aca="false">IF(M204&gt;1,_xlfn.CONCAT("{BLACK}Cars: {GOLD}", M204),"")</f>
        <v/>
      </c>
      <c r="CH204" s="0" t="s">
        <v>727</v>
      </c>
      <c r="CI204" s="0" t="str">
        <f aca="false">IF($BU204="!param_no_gameplay_units","{GREEN}Included for gameplay purposes","")</f>
        <v/>
      </c>
      <c r="CJ204" s="0" t="str">
        <f aca="false">IF(BX204="buffet","{YELLOW}25% long distance bonus for consist{}",IF(BZ204="BRAKE","{YELLOW}Speed bonus for slow wagons{}",IF(BW204&gt;190,CONCATENATE("{YELLOW}",INT((BW204-185)/1.85),"% bonus for long distance travel{}"),IF(AND(BW204&lt;180,BW204&lt;&gt;0),CONCATENATE("{YELLOW}",INT((185-BW204)/1.85),"% penalty for long distance travel{}"),""))))</f>
        <v/>
      </c>
      <c r="CK204" s="0" t="str">
        <f aca="false">_xlfn.CONCAT(CF204,IF(CF204&lt;&gt;""," ",""),CG204,IF(OR(CG204&lt;&gt;"",CF204&lt;&gt;""),"{}",""),CE204,CJ204,"{SILVER}",CH204,IF(CI204&lt;&gt;"","{}{}",""),CI204)</f>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205" customFormat="false" ht="14.25" hidden="false" customHeight="false" outlineLevel="0" collapsed="false">
      <c r="A205" s="0" t="s">
        <v>728</v>
      </c>
      <c r="B205" s="15" t="s">
        <v>729</v>
      </c>
      <c r="C205" s="0" t="n">
        <v>190</v>
      </c>
      <c r="E205" s="0" t="n">
        <v>93</v>
      </c>
      <c r="F205" s="0" t="s">
        <v>143</v>
      </c>
      <c r="G205" s="0" t="s">
        <v>445</v>
      </c>
      <c r="H205" s="0" t="s">
        <v>670</v>
      </c>
      <c r="I205" s="0" t="s">
        <v>92</v>
      </c>
      <c r="J205" s="0" t="n">
        <v>1960</v>
      </c>
      <c r="K205" s="0" t="n">
        <v>1965</v>
      </c>
      <c r="N205" s="0" t="n">
        <v>1750</v>
      </c>
      <c r="W205" s="0" t="n">
        <v>102</v>
      </c>
      <c r="Z205" s="0" t="n">
        <v>247</v>
      </c>
      <c r="AA205" s="3" t="n">
        <f aca="false">IF(AND(W205&gt;0,Z205&gt;0),(Z205/((W205+X205)*10)),"")</f>
        <v>0.242156862745098</v>
      </c>
      <c r="AB205" s="0" t="n">
        <v>90</v>
      </c>
      <c r="AC205" s="0" t="n">
        <f aca="false">ROUND(AB205*1.6, 0)</f>
        <v>144</v>
      </c>
      <c r="AF205" s="0" t="n">
        <v>18.75</v>
      </c>
      <c r="AG205" s="0" t="n">
        <v>18.75</v>
      </c>
      <c r="AH205" s="0" t="n">
        <v>2.71</v>
      </c>
      <c r="AI205" s="0" t="n">
        <v>3.89</v>
      </c>
      <c r="AJ205" s="4" t="n">
        <v>0</v>
      </c>
      <c r="AK205" s="0" t="str">
        <f aca="false">CONCATENATE(VLOOKUP(AL205, 'Voxel Sizes'!$A$2:$B$18,2,FALSE()),"x",INT(AH205*15), "x", INT(AI205*15))</f>
        <v>186x40x58</v>
      </c>
      <c r="AL205" s="0" t="n">
        <f aca="false">ROUND(15*((AG205*10)/256),0)</f>
        <v>11</v>
      </c>
      <c r="AN205" s="0" t="str">
        <f aca="false">CONCATENATE(VLOOKUP(AL205,Constants!$A$2:$C$16,IF(AM205&lt;&gt;"", 3, 2), FALSE()),IF(AM205&lt;&gt;"",CONCATENATE(",",VLOOKUP(AM205,$B:$AN,39,FALSE())),""))</f>
        <v>4,3,4</v>
      </c>
      <c r="AX205" s="0" t="n">
        <v>42</v>
      </c>
      <c r="AY205" s="16" t="str">
        <f aca="false">IF(L205&lt;&gt;"",MAX(16,(L205-J205)+8),"")</f>
        <v/>
      </c>
      <c r="BB205" s="0" t="n">
        <f aca="false">MIN(AB205/150, 1)*30</f>
        <v>18</v>
      </c>
      <c r="BC205" s="0" t="n">
        <f aca="false">MIN(N205/4000, 1)*20</f>
        <v>8.75</v>
      </c>
      <c r="BD205" s="0" t="n">
        <f aca="false">MIN(Z205/400,1)*20</f>
        <v>12.35</v>
      </c>
      <c r="BE205" s="3" t="n">
        <f aca="false">1-(MAX(J205-1900, 0)/750)</f>
        <v>0.92</v>
      </c>
      <c r="BF205" s="0" t="n">
        <f aca="false">((MAX($M205,1)*MIN($AJ205/300,1)))*IF(G205="Wagon",50,10)</f>
        <v>0</v>
      </c>
      <c r="BG205" s="0" t="n">
        <f aca="false">VLOOKUP($H205,Constants!$I:$K, 2, FALSE())</f>
        <v>1</v>
      </c>
      <c r="BH205" s="0" t="n">
        <f aca="false">VLOOKUP($H205,Constants!$I:$K, 3, FALSE())*IF(AND(G205="multiple_unit",AB205&lt;110),0.75,1)</f>
        <v>2</v>
      </c>
      <c r="BI205" s="0" t="n">
        <f aca="false">INT(POWER(((Constants!$G$2+$BB205+$BC205+$BD205+$BF205)*$BE205)*$BH205, 1.05))+$BA205</f>
        <v>101</v>
      </c>
      <c r="BJ205" s="0" t="n">
        <f aca="false">INT(POWER((((Constants!$G$1+$BB205+$BC205+$BD205+$BF205)*($BE205))*$BG205),IF($G205="wagon",1,1.2)))+$AZ205</f>
        <v>108</v>
      </c>
      <c r="BK205" s="17" t="n">
        <f aca="false">BI205*IF($G205="wagon",62.5,781.25)</f>
        <v>78906.25</v>
      </c>
      <c r="BL205" s="17" t="n">
        <f aca="false">BJ205*IF($G205="wagon",2.73,81.25)</f>
        <v>8775</v>
      </c>
      <c r="BV205" s="0" t="n">
        <v>1</v>
      </c>
      <c r="CA205" s="0" t="str">
        <f aca="false">VLOOKUP(J205,Eras!$A$2:$C$10, 2, TRUE())</f>
        <v>dsl</v>
      </c>
      <c r="CB205" s="0" t="s">
        <v>478</v>
      </c>
      <c r="CC205" s="0" t="str">
        <f aca="false">CONCATENATE(CA205,"_",CB205)</f>
        <v>dsl_Freight</v>
      </c>
      <c r="CD205" s="0" t="str">
        <f aca="false">_xlfn.CONCAT(H205, "_",I205)</f>
        <v>diesel_RAIL</v>
      </c>
      <c r="CE205" s="6" t="str">
        <f aca="false" t="array" ref="CE205:CE205">_xlfn.CONCAT("{BLACK}Length: {GOLD}", TEXT(ROUNDUP(IF(AQ205&lt;&gt;"",SUM(VALUE(_xlfn.TEXTSPLIT(AQ205, ","))), SUM(VALUE(_xlfn.TEXTSPLIT(AN205, ",")))*IF(M205, M205, 1))/16, 1), "#,##0.0"), " tiles{}")</f>
        <v>{BLACK}Length: {GOLD}0.7 tiles{}</v>
      </c>
      <c r="CF205" s="0" t="str">
        <f aca="false">VLOOKUP($CD205, Constants!$M:$N, 2, FALSE())</f>
        <v>{BLACK}Powered by: {GOLD}Diesel</v>
      </c>
      <c r="CG205" s="0" t="str">
        <f aca="false">IF(M205&gt;1,_xlfn.CONCAT("{BLACK}Cars: {GOLD}", M205),"")</f>
        <v/>
      </c>
      <c r="CH205" s="0" t="s">
        <v>730</v>
      </c>
      <c r="CI205" s="0" t="str">
        <f aca="false">IF($BU205="!param_no_gameplay_units","{GREEN}Included for gameplay purposes","")</f>
        <v/>
      </c>
      <c r="CJ205" s="0" t="str">
        <f aca="false">IF(BX205="buffet","{YELLOW}25% long distance bonus for consist{}",IF(BZ205="BRAKE","{YELLOW}Speed bonus for slow wagons{}",IF(BW205&gt;190,CONCATENATE("{YELLOW}",INT((BW205-185)/1.85),"% bonus for long distance travel{}"),IF(AND(BW205&lt;180,BW205&lt;&gt;0),CONCATENATE("{YELLOW}",INT((185-BW205)/1.85),"% penalty for long distance travel{}"),""))))</f>
        <v/>
      </c>
      <c r="CK205" s="0" t="str">
        <f aca="false">_xlfn.CONCAT(CF205,IF(CF205&lt;&gt;""," ",""),CG205,IF(OR(CG205&lt;&gt;"",CF205&lt;&gt;""),"{}",""),CE205,CJ205,"{SILVER}",CH205,IF(CI205&lt;&gt;"","{}{}",""),CI205)</f>
        <v>{BLACK}Powered by: {GOLD}Diesel {}{BLACK}Length: {GOLD}0.7 tiles{}{SILVER}The Class 37 (English Electric Type 3) is widely used, especially in Scotland where the high power, low axle load and lack of need for electrification make it ideal for hauling long trains in the Highlands.</v>
      </c>
    </row>
    <row r="206" customFormat="false" ht="14.25" hidden="false" customHeight="false" outlineLevel="0" collapsed="false">
      <c r="A206" s="0" t="s">
        <v>731</v>
      </c>
      <c r="B206" s="15" t="s">
        <v>732</v>
      </c>
      <c r="C206" s="0" t="n">
        <v>191</v>
      </c>
      <c r="E206" s="0" t="n">
        <v>94</v>
      </c>
      <c r="F206" s="0" t="s">
        <v>143</v>
      </c>
      <c r="G206" s="0" t="s">
        <v>445</v>
      </c>
      <c r="H206" s="0" t="s">
        <v>670</v>
      </c>
      <c r="I206" s="0" t="s">
        <v>92</v>
      </c>
      <c r="J206" s="0" t="n">
        <v>1960</v>
      </c>
      <c r="K206" s="0" t="n">
        <v>1962</v>
      </c>
      <c r="L206" s="0" t="n">
        <v>1989</v>
      </c>
      <c r="N206" s="0" t="n">
        <v>2500</v>
      </c>
      <c r="W206" s="0" t="n">
        <v>135</v>
      </c>
      <c r="Z206" s="0" t="n">
        <v>245</v>
      </c>
      <c r="AA206" s="3" t="n">
        <f aca="false">IF(AND(W206&gt;0,Z206&gt;0),(Z206/((W206+X206)*10)),"")</f>
        <v>0.181481481481482</v>
      </c>
      <c r="AB206" s="0" t="n">
        <v>90</v>
      </c>
      <c r="AC206" s="0" t="n">
        <f aca="false">ROUND(AB206*1.6, 0)</f>
        <v>144</v>
      </c>
      <c r="AF206" s="0" t="n">
        <v>20.7</v>
      </c>
      <c r="AG206" s="0" t="n">
        <v>20.7</v>
      </c>
      <c r="AI206" s="0" t="n">
        <v>3.91</v>
      </c>
      <c r="AJ206" s="4" t="n">
        <v>0</v>
      </c>
      <c r="AK206" s="0" t="str">
        <f aca="false">CONCATENATE(VLOOKUP(AL206, 'Voxel Sizes'!$A$2:$B$18,2,FALSE()),"x",INT(AH206*15), "x", INT(AI206*15))</f>
        <v>198x0x58</v>
      </c>
      <c r="AL206" s="0" t="n">
        <f aca="false">ROUND(15*((AG206*10)/256),0)</f>
        <v>12</v>
      </c>
      <c r="AN206" s="0" t="str">
        <f aca="false">CONCATENATE(VLOOKUP(AL206,Constants!$A$2:$C$16,IF(AM206&lt;&gt;"", 3, 2), FALSE()),IF(AM206&lt;&gt;"",CONCATENATE(",",VLOOKUP(AM206,$B:$AN,39,FALSE())),""))</f>
        <v>4,4,4</v>
      </c>
      <c r="AX206" s="0" t="n">
        <v>30</v>
      </c>
      <c r="AY206" s="16" t="n">
        <f aca="false">IF(L206&lt;&gt;"",MAX(16,(L206-J206)+8),"")</f>
        <v>37</v>
      </c>
      <c r="BB206" s="0" t="n">
        <f aca="false">MIN(AB206/150, 1)*30</f>
        <v>18</v>
      </c>
      <c r="BC206" s="0" t="n">
        <f aca="false">MIN(N206/4000, 1)*20</f>
        <v>12.5</v>
      </c>
      <c r="BD206" s="0" t="n">
        <f aca="false">MIN(Z206/400,1)*20</f>
        <v>12.25</v>
      </c>
      <c r="BE206" s="3" t="n">
        <f aca="false">1-(MAX(J206-1900, 0)/750)</f>
        <v>0.92</v>
      </c>
      <c r="BF206" s="0" t="n">
        <f aca="false">((MAX($M206,1)*MIN($AJ206/300,1)))*IF(G206="Wagon",50,10)</f>
        <v>0</v>
      </c>
      <c r="BG206" s="0" t="n">
        <f aca="false">VLOOKUP($H206,Constants!$I:$K, 2, FALSE())</f>
        <v>1</v>
      </c>
      <c r="BH206" s="0" t="n">
        <f aca="false">VLOOKUP($H206,Constants!$I:$K, 3, FALSE())*IF(AND(G206="multiple_unit",AB206&lt;110),0.75,1)</f>
        <v>2</v>
      </c>
      <c r="BI206" s="0" t="n">
        <f aca="false">INT(POWER(((Constants!$G$2+$BB206+$BC206+$BD206+$BF206)*$BE206)*$BH206, 1.05))+$BA206</f>
        <v>109</v>
      </c>
      <c r="BJ206" s="0" t="n">
        <f aca="false">INT(POWER((((Constants!$G$1+$BB206+$BC206+$BD206+$BF206)*($BE206))*$BG206),IF($G206="wagon",1,1.2)))+$AZ206</f>
        <v>117</v>
      </c>
      <c r="BK206" s="17" t="n">
        <f aca="false">BI206*IF($G206="wagon",62.5,781.25)</f>
        <v>85156.25</v>
      </c>
      <c r="BL206" s="17" t="n">
        <f aca="false">BJ206*IF($G206="wagon",2.73,81.25)</f>
        <v>9506.25</v>
      </c>
      <c r="BV206" s="0" t="n">
        <v>2</v>
      </c>
      <c r="CA206" s="0" t="str">
        <f aca="false">VLOOKUP(J206,Eras!$A$2:$C$10, 2, TRUE())</f>
        <v>dsl</v>
      </c>
      <c r="CB206" s="0" t="s">
        <v>474</v>
      </c>
      <c r="CC206" s="0" t="str">
        <f aca="false">CONCATENATE(CA206,"_",CB206)</f>
        <v>dsl_Express</v>
      </c>
      <c r="CD206" s="0" t="str">
        <f aca="false">_xlfn.CONCAT(H206, "_",I206)</f>
        <v>diesel_RAIL</v>
      </c>
      <c r="CE206" s="6" t="str">
        <f aca="false" t="array" ref="CE206:CE206">_xlfn.CONCAT("{BLACK}Length: {GOLD}", TEXT(ROUNDUP(IF(AQ206&lt;&gt;"",SUM(VALUE(_xlfn.TEXTSPLIT(AQ206, ","))), SUM(VALUE(_xlfn.TEXTSPLIT(AN206, ",")))*IF(M206, M206, 1))/16, 1), "#,##0.0"), " tiles{}")</f>
        <v>{BLACK}Length: {GOLD}0.8 tiles{}</v>
      </c>
      <c r="CF206" s="0" t="str">
        <f aca="false">VLOOKUP($CD206, Constants!$M:$N, 2, FALSE())</f>
        <v>{BLACK}Powered by: {GOLD}Diesel</v>
      </c>
      <c r="CG206" s="0" t="str">
        <f aca="false">IF(M206&gt;1,_xlfn.CONCAT("{BLACK}Cars: {GOLD}", M206),"")</f>
        <v/>
      </c>
      <c r="CH206" s="0" t="s">
        <v>733</v>
      </c>
      <c r="CI206" s="0" t="str">
        <f aca="false">IF($BU206="!param_no_gameplay_units","{GREEN}Included for gameplay purposes","")</f>
        <v/>
      </c>
      <c r="CJ206" s="0" t="str">
        <f aca="false">IF(BX206="buffet","{YELLOW}25% long distance bonus for consist{}",IF(BZ206="BRAKE","{YELLOW}Speed bonus for slow wagons{}",IF(BW206&gt;190,CONCATENATE("{YELLOW}",INT((BW206-185)/1.85),"% bonus for long distance travel{}"),IF(AND(BW206&lt;180,BW206&lt;&gt;0),CONCATENATE("{YELLOW}",INT((185-BW206)/1.85),"% penalty for long distance travel{}"),""))))</f>
        <v/>
      </c>
      <c r="CK206" s="0" t="str">
        <f aca="false">_xlfn.CONCAT(CF206,IF(CF206&lt;&gt;""," ",""),CG206,IF(OR(CG206&lt;&gt;"",CF206&lt;&gt;""),"{}",""),CE206,CJ206,"{SILVER}",CH206,IF(CI206&lt;&gt;"","{}{}",""),CI206)</f>
        <v>{BLACK}Powered by: {GOLD}Diesel {}{BLACK}Length: {GOLD}0.8 tiles{}{SILVER}The Sulzer Peaks served express passenger trains on the Midland Main Line until the introduction of the HST.</v>
      </c>
    </row>
    <row r="207" customFormat="false" ht="14.25" hidden="false" customHeight="false" outlineLevel="0" collapsed="false">
      <c r="A207" s="0" t="s">
        <v>734</v>
      </c>
      <c r="B207" s="15" t="s">
        <v>735</v>
      </c>
      <c r="C207" s="0" t="n">
        <v>192</v>
      </c>
      <c r="E207" s="0" t="n">
        <v>95</v>
      </c>
      <c r="F207" s="0" t="s">
        <v>143</v>
      </c>
      <c r="G207" s="0" t="s">
        <v>445</v>
      </c>
      <c r="H207" s="0" t="s">
        <v>670</v>
      </c>
      <c r="I207" s="0" t="s">
        <v>92</v>
      </c>
      <c r="J207" s="0" t="n">
        <v>1960</v>
      </c>
      <c r="K207" s="0" t="n">
        <v>1962</v>
      </c>
      <c r="N207" s="0" t="n">
        <v>1550</v>
      </c>
      <c r="W207" s="0" t="n">
        <v>74.2</v>
      </c>
      <c r="Z207" s="0" t="n">
        <v>200</v>
      </c>
      <c r="AA207" s="3" t="n">
        <f aca="false">IF(AND(W207&gt;0,Z207&gt;0),(Z207/((W207+X207)*10)),"")</f>
        <v>0.269541778975741</v>
      </c>
      <c r="AB207" s="0" t="n">
        <v>85</v>
      </c>
      <c r="AC207" s="0" t="n">
        <f aca="false">ROUND(AB207*1.6, 0)</f>
        <v>136</v>
      </c>
      <c r="AF207" s="0" t="n">
        <v>15.47</v>
      </c>
      <c r="AG207" s="0" t="n">
        <v>15.47</v>
      </c>
      <c r="AI207" s="0" t="n">
        <v>3.86</v>
      </c>
      <c r="AJ207" s="4" t="n">
        <v>0</v>
      </c>
      <c r="AK207" s="0" t="str">
        <f aca="false">CONCATENATE(VLOOKUP(AL207, 'Voxel Sizes'!$A$2:$B$18,2,FALSE()),"x",INT(AH207*15), "x", INT(AI207*15))</f>
        <v>152x0x57</v>
      </c>
      <c r="AL207" s="0" t="n">
        <f aca="false">ROUND(15*((AG207*10)/256),0)</f>
        <v>9</v>
      </c>
      <c r="AN207" s="0" t="str">
        <f aca="false">CONCATENATE(VLOOKUP(AL207,Constants!$A$2:$C$16,IF(AM207&lt;&gt;"", 3, 2), FALSE()),IF(AM207&lt;&gt;"",CONCATENATE(",",VLOOKUP(AM207,$B:$AN,39,FALSE())),""))</f>
        <v>2,5,2</v>
      </c>
      <c r="AX207" s="0" t="n">
        <v>30</v>
      </c>
      <c r="AY207" s="16" t="str">
        <f aca="false">IF(L207&lt;&gt;"",MAX(16,(L207-J207)+8),"")</f>
        <v/>
      </c>
      <c r="BB207" s="0" t="n">
        <f aca="false">MIN(AB207/150, 1)*30</f>
        <v>17</v>
      </c>
      <c r="BC207" s="0" t="n">
        <f aca="false">MIN(N207/4000, 1)*20</f>
        <v>7.75</v>
      </c>
      <c r="BD207" s="0" t="n">
        <f aca="false">MIN(Z207/400,1)*20</f>
        <v>10</v>
      </c>
      <c r="BE207" s="3" t="n">
        <f aca="false">1-(MAX(J207-1900, 0)/750)</f>
        <v>0.92</v>
      </c>
      <c r="BF207" s="0" t="n">
        <f aca="false">((MAX($M207,1)*MIN($AJ207/300,1)))*IF(G207="Wagon",50,10)</f>
        <v>0</v>
      </c>
      <c r="BG207" s="0" t="n">
        <f aca="false">VLOOKUP($H207,Constants!$I:$K, 2, FALSE())</f>
        <v>1</v>
      </c>
      <c r="BH207" s="0" t="n">
        <f aca="false">VLOOKUP($H207,Constants!$I:$K, 3, FALSE())*IF(AND(G207="multiple_unit",AB207&lt;110),0.75,1)</f>
        <v>2</v>
      </c>
      <c r="BI207" s="0" t="n">
        <f aca="false">INT(POWER(((Constants!$G$2+$BB207+$BC207+$BD207+$BF207)*$BE207)*$BH207, 1.05))+$BA207</f>
        <v>90</v>
      </c>
      <c r="BJ207" s="0" t="n">
        <f aca="false">INT(POWER((((Constants!$G$1+$BB207+$BC207+$BD207+$BF207)*($BE207))*$BG207),IF($G207="wagon",1,1.2)))+$AZ207</f>
        <v>98</v>
      </c>
      <c r="BK207" s="17" t="n">
        <f aca="false">BI207*IF($G207="wagon",62.5,781.25)</f>
        <v>70312.5</v>
      </c>
      <c r="BL207" s="17" t="n">
        <f aca="false">BJ207*IF($G207="wagon",2.73,81.25)</f>
        <v>7962.5</v>
      </c>
      <c r="BV207" s="0" t="n">
        <v>3</v>
      </c>
      <c r="CA207" s="0" t="str">
        <f aca="false">VLOOKUP(J207,Eras!$A$2:$C$10, 2, TRUE())</f>
        <v>dsl</v>
      </c>
      <c r="CB207" s="0" t="s">
        <v>439</v>
      </c>
      <c r="CC207" s="0" t="str">
        <f aca="false">CONCATENATE(CA207,"_",CB207)</f>
        <v>dsl_Mixed Traffic</v>
      </c>
      <c r="CD207" s="0" t="str">
        <f aca="false">_xlfn.CONCAT(H207, "_",I207)</f>
        <v>diesel_RAIL</v>
      </c>
      <c r="CE207" s="6" t="str">
        <f aca="false" t="array" ref="CE207:CE207">_xlfn.CONCAT("{BLACK}Length: {GOLD}", TEXT(ROUNDUP(IF(AQ207&lt;&gt;"",SUM(VALUE(_xlfn.TEXTSPLIT(AQ207, ","))), SUM(VALUE(_xlfn.TEXTSPLIT(AN207, ",")))*IF(M207, M207, 1))/16, 1), "#,##0.0"), " tiles{}")</f>
        <v>{BLACK}Length: {GOLD}0.6 tiles{}</v>
      </c>
      <c r="CF207" s="0" t="str">
        <f aca="false">VLOOKUP($CD207, Constants!$M:$N, 2, FALSE())</f>
        <v>{BLACK}Powered by: {GOLD}Diesel</v>
      </c>
      <c r="CG207" s="0" t="str">
        <f aca="false">IF(M207&gt;1,_xlfn.CONCAT("{BLACK}Cars: {GOLD}", M207),"")</f>
        <v/>
      </c>
      <c r="CH207" s="0" t="s">
        <v>736</v>
      </c>
      <c r="CI207" s="0" t="str">
        <f aca="false">IF($BU207="!param_no_gameplay_units","{GREEN}Included for gameplay purposes","")</f>
        <v/>
      </c>
      <c r="CJ207" s="0" t="str">
        <f aca="false">IF(BX207="buffet","{YELLOW}25% long distance bonus for consist{}",IF(BZ207="BRAKE","{YELLOW}Speed bonus for slow wagons{}",IF(BW207&gt;190,CONCATENATE("{YELLOW}",INT((BW207-185)/1.85),"% bonus for long distance travel{}"),IF(AND(BW207&lt;180,BW207&lt;&gt;0),CONCATENATE("{YELLOW}",INT((185-BW207)/1.85),"% penalty for long distance travel{}"),""))))</f>
        <v/>
      </c>
      <c r="CK207" s="0" t="str">
        <f aca="false">_xlfn.CONCAT(CF207,IF(CF207&lt;&gt;""," ",""),CG207,IF(OR(CG207&lt;&gt;"",CF207&lt;&gt;""),"{}",""),CE207,CJ207,"{SILVER}",CH207,IF(CI207&lt;&gt;"","{}{}",""),CI207)</f>
        <v>{BLACK}Powered by: {GOLD}Diesel {}{BLACK}Length: {GOLD}0.6 tiles{}{SILVER}The Class 33 was built without carriage heating, using the space for an 8 cylinder engine. This meant it was used for tourist-loaded passenger trains in summer, and freight in winter.</v>
      </c>
    </row>
    <row r="208" customFormat="false" ht="14.25" hidden="false" customHeight="false" outlineLevel="0" collapsed="false">
      <c r="A208" s="0" t="s">
        <v>737</v>
      </c>
      <c r="B208" s="15" t="s">
        <v>738</v>
      </c>
      <c r="C208" s="0" t="n">
        <v>193</v>
      </c>
      <c r="E208" s="0" t="n">
        <v>96</v>
      </c>
      <c r="F208" s="0" t="s">
        <v>143</v>
      </c>
      <c r="G208" s="0" t="s">
        <v>445</v>
      </c>
      <c r="H208" s="0" t="s">
        <v>670</v>
      </c>
      <c r="I208" s="0" t="s">
        <v>92</v>
      </c>
      <c r="J208" s="0" t="n">
        <v>1961</v>
      </c>
      <c r="K208" s="0" t="n">
        <v>1964</v>
      </c>
      <c r="L208" s="0" t="n">
        <v>1975</v>
      </c>
      <c r="N208" s="0" t="n">
        <v>1700</v>
      </c>
      <c r="W208" s="0" t="n">
        <v>76.2</v>
      </c>
      <c r="Z208" s="0" t="n">
        <v>207</v>
      </c>
      <c r="AA208" s="3" t="n">
        <f aca="false">IF(AND(W208&gt;0,Z208&gt;0),(Z208/((W208+X208)*10)),"")</f>
        <v>0.271653543307087</v>
      </c>
      <c r="AB208" s="0" t="n">
        <v>90</v>
      </c>
      <c r="AC208" s="0" t="n">
        <f aca="false">ROUND(AB208*1.6, 0)</f>
        <v>144</v>
      </c>
      <c r="AF208" s="0" t="n">
        <v>15.76</v>
      </c>
      <c r="AG208" s="0" t="n">
        <v>15.76</v>
      </c>
      <c r="AI208" s="0" t="n">
        <v>3.91</v>
      </c>
      <c r="AJ208" s="4" t="n">
        <v>0</v>
      </c>
      <c r="AK208" s="0" t="str">
        <f aca="false">CONCATENATE(VLOOKUP(AL208, 'Voxel Sizes'!$A$2:$B$18,2,FALSE()),"x",INT(AH208*15), "x", INT(AI208*15))</f>
        <v>152x0x58</v>
      </c>
      <c r="AL208" s="0" t="n">
        <f aca="false">ROUND(15*((AG208*10)/256),0)</f>
        <v>9</v>
      </c>
      <c r="AN208" s="0" t="str">
        <f aca="false">CONCATENATE(VLOOKUP(AL208,Constants!$A$2:$C$16,IF(AM208&lt;&gt;"", 3, 2), FALSE()),IF(AM208&lt;&gt;"",CONCATENATE(",",VLOOKUP(AM208,$B:$AN,39,FALSE())),""))</f>
        <v>2,5,2</v>
      </c>
      <c r="AX208" s="0" t="n">
        <v>30</v>
      </c>
      <c r="AY208" s="16" t="n">
        <f aca="false">IF(L208&lt;&gt;"",MAX(16,(L208-J208)+8),"")</f>
        <v>22</v>
      </c>
      <c r="BB208" s="0" t="n">
        <f aca="false">MIN(AB208/150, 1)*30</f>
        <v>18</v>
      </c>
      <c r="BC208" s="0" t="n">
        <f aca="false">MIN(N208/4000, 1)*20</f>
        <v>8.5</v>
      </c>
      <c r="BD208" s="0" t="n">
        <f aca="false">MIN(Z208/400,1)*20</f>
        <v>10.35</v>
      </c>
      <c r="BE208" s="3" t="n">
        <f aca="false">1-(MAX(J208-1900, 0)/750)</f>
        <v>0.918666666666667</v>
      </c>
      <c r="BF208" s="0" t="n">
        <f aca="false">((MAX($M208,1)*MIN($AJ208/300,1)))*IF(G208="Wagon",50,10)</f>
        <v>0</v>
      </c>
      <c r="BG208" s="0" t="n">
        <f aca="false">VLOOKUP($H208,Constants!$I:$K, 2, FALSE())</f>
        <v>1</v>
      </c>
      <c r="BH208" s="0" t="n">
        <f aca="false">VLOOKUP($H208,Constants!$I:$K, 3, FALSE())*IF(AND(G208="multiple_unit",AB208&lt;110),0.75,1)</f>
        <v>2</v>
      </c>
      <c r="BI208" s="0" t="n">
        <f aca="false">INT(POWER(((Constants!$G$2+$BB208+$BC208+$BD208+$BF208)*$BE208)*$BH208, 1.05))+$BA208</f>
        <v>95</v>
      </c>
      <c r="BJ208" s="0" t="n">
        <f aca="false">INT(POWER((((Constants!$G$1+$BB208+$BC208+$BD208+$BF208)*($BE208))*$BG208),IF($G208="wagon",1,1.2)))+$AZ208</f>
        <v>103</v>
      </c>
      <c r="BK208" s="17" t="n">
        <f aca="false">BI208*IF($G208="wagon",62.5,781.25)</f>
        <v>74218.75</v>
      </c>
      <c r="BL208" s="17" t="n">
        <f aca="false">BJ208*IF($G208="wagon",2.73,81.25)</f>
        <v>8368.75</v>
      </c>
      <c r="BV208" s="0" t="n">
        <v>4</v>
      </c>
      <c r="CA208" s="0" t="str">
        <f aca="false">VLOOKUP(J208,Eras!$A$2:$C$10, 2, TRUE())</f>
        <v>dsl</v>
      </c>
      <c r="CB208" s="0" t="s">
        <v>439</v>
      </c>
      <c r="CC208" s="0" t="str">
        <f aca="false">CONCATENATE(CA208,"_",CB208)</f>
        <v>dsl_Mixed Traffic</v>
      </c>
      <c r="CD208" s="0" t="str">
        <f aca="false">_xlfn.CONCAT(H208, "_",I208)</f>
        <v>diesel_RAIL</v>
      </c>
      <c r="CE208" s="6" t="str">
        <f aca="false" t="array" ref="CE208:CE208">_xlfn.CONCAT("{BLACK}Length: {GOLD}", TEXT(ROUNDUP(IF(AQ208&lt;&gt;"",SUM(VALUE(_xlfn.TEXTSPLIT(AQ208, ","))), SUM(VALUE(_xlfn.TEXTSPLIT(AN208, ",")))*IF(M208, M208, 1))/16, 1), "#,##0.0"), " tiles{}")</f>
        <v>{BLACK}Length: {GOLD}0.6 tiles{}</v>
      </c>
      <c r="CF208" s="0" t="str">
        <f aca="false">VLOOKUP($CD208, Constants!$M:$N, 2, FALSE())</f>
        <v>{BLACK}Powered by: {GOLD}Diesel</v>
      </c>
      <c r="CG208" s="0" t="str">
        <f aca="false">IF(M208&gt;1,_xlfn.CONCAT("{BLACK}Cars: {GOLD}", M208),"")</f>
        <v/>
      </c>
      <c r="CH208" s="0" t="s">
        <v>739</v>
      </c>
      <c r="CI208" s="0" t="str">
        <f aca="false">IF($BU208="!param_no_gameplay_units","{GREEN}Included for gameplay purposes","")</f>
        <v/>
      </c>
      <c r="CJ208" s="0" t="str">
        <f aca="false">IF(BX208="buffet","{YELLOW}25% long distance bonus for consist{}",IF(BZ208="BRAKE","{YELLOW}Speed bonus for slow wagons{}",IF(BW208&gt;190,CONCATENATE("{YELLOW}",INT((BW208-185)/1.85),"% bonus for long distance travel{}"),IF(AND(BW208&lt;180,BW208&lt;&gt;0),CONCATENATE("{YELLOW}",INT((185-BW208)/1.85),"% penalty for long distance travel{}"),""))))</f>
        <v/>
      </c>
      <c r="CK208" s="0" t="str">
        <f aca="false">_xlfn.CONCAT(CF208,IF(CF208&lt;&gt;""," ",""),CG208,IF(OR(CG208&lt;&gt;"",CF208&lt;&gt;""),"{}",""),CE208,CJ208,"{SILVER}",CH208,IF(CI208&lt;&gt;"","{}{}",""),CI208)</f>
        <v>{BLACK}Powered by: {GOLD}Diesel {}{BLACK}Length: {GOLD}0.6 tiles{}{SILVER}The Hymeks were named for their hydraulic transmission. Sadly this also caused their early withdrawal, with BR viewing diesel-hydraulics as non-standard.</v>
      </c>
    </row>
    <row r="209" customFormat="false" ht="14.25" hidden="false" customHeight="false" outlineLevel="0" collapsed="false">
      <c r="A209" s="0" t="s">
        <v>740</v>
      </c>
      <c r="B209" s="15" t="s">
        <v>741</v>
      </c>
      <c r="C209" s="0" t="n">
        <v>194</v>
      </c>
      <c r="E209" s="0" t="n">
        <v>97</v>
      </c>
      <c r="F209" s="0" t="s">
        <v>143</v>
      </c>
      <c r="G209" s="0" t="s">
        <v>445</v>
      </c>
      <c r="H209" s="0" t="s">
        <v>670</v>
      </c>
      <c r="I209" s="0" t="s">
        <v>92</v>
      </c>
      <c r="J209" s="0" t="n">
        <v>1961</v>
      </c>
      <c r="K209" s="0" t="n">
        <v>1964</v>
      </c>
      <c r="L209" s="0" t="n">
        <v>1977</v>
      </c>
      <c r="N209" s="0" t="n">
        <v>2000</v>
      </c>
      <c r="W209" s="0" t="n">
        <v>110</v>
      </c>
      <c r="Z209" s="0" t="n">
        <v>297</v>
      </c>
      <c r="AA209" s="3" t="n">
        <f aca="false">IF(AND(W209&gt;0,Z209&gt;0),(Z209/((W209+X209)*10)),"")</f>
        <v>0.27</v>
      </c>
      <c r="AB209" s="0" t="n">
        <v>90</v>
      </c>
      <c r="AC209" s="0" t="n">
        <f aca="false">ROUND(AB209*1.6, 0)</f>
        <v>144</v>
      </c>
      <c r="AF209" s="0" t="n">
        <v>20.73</v>
      </c>
      <c r="AG209" s="0" t="n">
        <v>20.73</v>
      </c>
      <c r="AI209" s="0" t="n">
        <v>3.96</v>
      </c>
      <c r="AJ209" s="4" t="n">
        <v>0</v>
      </c>
      <c r="AK209" s="0" t="str">
        <f aca="false">CONCATENATE(VLOOKUP(AL209, 'Voxel Sizes'!$A$2:$B$18,2,FALSE()),"x",INT(AH209*15), "x", INT(AI209*15))</f>
        <v>198x0x59</v>
      </c>
      <c r="AL209" s="0" t="n">
        <f aca="false">ROUND(15*((AG209*10)/256),0)</f>
        <v>12</v>
      </c>
      <c r="AN209" s="0" t="str">
        <f aca="false">CONCATENATE(VLOOKUP(AL209,Constants!$A$2:$C$16,IF(AM209&lt;&gt;"", 3, 2), FALSE()),IF(AM209&lt;&gt;"",CONCATENATE(",",VLOOKUP(AM209,$B:$AN,39,FALSE())),""))</f>
        <v>4,4,4</v>
      </c>
      <c r="AX209" s="0" t="n">
        <v>30</v>
      </c>
      <c r="AY209" s="16" t="n">
        <f aca="false">IF(L209&lt;&gt;"",MAX(16,(L209-J209)+8),"")</f>
        <v>24</v>
      </c>
      <c r="BB209" s="0" t="n">
        <f aca="false">MIN(AB209/150, 1)*30</f>
        <v>18</v>
      </c>
      <c r="BC209" s="0" t="n">
        <f aca="false">MIN(N209/4000, 1)*20</f>
        <v>10</v>
      </c>
      <c r="BD209" s="0" t="n">
        <f aca="false">MIN(Z209/400,1)*20</f>
        <v>14.85</v>
      </c>
      <c r="BE209" s="3" t="n">
        <f aca="false">1-(MAX(J209-1900, 0)/750)</f>
        <v>0.918666666666667</v>
      </c>
      <c r="BF209" s="0" t="n">
        <f aca="false">((MAX($M209,1)*MIN($AJ209/300,1)))*IF(G209="Wagon",50,10)</f>
        <v>0</v>
      </c>
      <c r="BG209" s="0" t="n">
        <f aca="false">VLOOKUP($H209,Constants!$I:$K, 2, FALSE())</f>
        <v>1</v>
      </c>
      <c r="BH209" s="0" t="n">
        <f aca="false">VLOOKUP($H209,Constants!$I:$K, 3, FALSE())*IF(AND(G209="multiple_unit",AB209&lt;110),0.75,1)</f>
        <v>2</v>
      </c>
      <c r="BI209" s="0" t="n">
        <f aca="false">INT(POWER(((Constants!$G$2+$BB209+$BC209+$BD209+$BF209)*$BE209)*$BH209, 1.05))+$BA209</f>
        <v>109</v>
      </c>
      <c r="BJ209" s="0" t="n">
        <f aca="false">INT(POWER((((Constants!$G$1+$BB209+$BC209+$BD209+$BF209)*($BE209))*$BG209),IF($G209="wagon",1,1.2)))+$AZ209</f>
        <v>117</v>
      </c>
      <c r="BK209" s="17" t="n">
        <f aca="false">BI209*IF($G209="wagon",62.5,781.25)</f>
        <v>85156.25</v>
      </c>
      <c r="BL209" s="17" t="n">
        <f aca="false">BJ209*IF($G209="wagon",2.73,81.25)</f>
        <v>9506.25</v>
      </c>
      <c r="BV209" s="0" t="n">
        <v>5</v>
      </c>
      <c r="CA209" s="0" t="str">
        <f aca="false">VLOOKUP(J209,Eras!$A$2:$C$10, 2, TRUE())</f>
        <v>dsl</v>
      </c>
      <c r="CB209" s="0" t="s">
        <v>439</v>
      </c>
      <c r="CC209" s="0" t="str">
        <f aca="false">CONCATENATE(CA209,"_",CB209)</f>
        <v>dsl_Mixed Traffic</v>
      </c>
      <c r="CD209" s="0" t="str">
        <f aca="false">_xlfn.CONCAT(H209, "_",I209)</f>
        <v>diesel_RAIL</v>
      </c>
      <c r="CE209" s="6" t="str">
        <f aca="false" t="array" ref="CE209:CE209">_xlfn.CONCAT("{BLACK}Length: {GOLD}", TEXT(ROUNDUP(IF(AQ209&lt;&gt;"",SUM(VALUE(_xlfn.TEXTSPLIT(AQ209, ","))), SUM(VALUE(_xlfn.TEXTSPLIT(AN209, ",")))*IF(M209, M209, 1))/16, 1), "#,##0.0"), " tiles{}")</f>
        <v>{BLACK}Length: {GOLD}0.8 tiles{}</v>
      </c>
      <c r="CF209" s="0" t="str">
        <f aca="false">VLOOKUP($CD209, Constants!$M:$N, 2, FALSE())</f>
        <v>{BLACK}Powered by: {GOLD}Diesel</v>
      </c>
      <c r="CG209" s="0" t="str">
        <f aca="false">IF(M209&gt;1,_xlfn.CONCAT("{BLACK}Cars: {GOLD}", M209),"")</f>
        <v/>
      </c>
      <c r="CH209" s="0" t="s">
        <v>742</v>
      </c>
      <c r="CI209" s="0" t="str">
        <f aca="false">IF($BU209="!param_no_gameplay_units","{GREEN}Included for gameplay purposes","")</f>
        <v/>
      </c>
      <c r="CJ209" s="0" t="str">
        <f aca="false">IF(BX209="buffet","{YELLOW}25% long distance bonus for consist{}",IF(BZ209="BRAKE","{YELLOW}Speed bonus for slow wagons{}",IF(BW209&gt;190,CONCATENATE("{YELLOW}",INT((BW209-185)/1.85),"% bonus for long distance travel{}"),IF(AND(BW209&lt;180,BW209&lt;&gt;0),CONCATENATE("{YELLOW}",INT((185-BW209)/1.85),"% penalty for long distance travel{}"),""))))</f>
        <v/>
      </c>
      <c r="CK209" s="0" t="str">
        <f aca="false">_xlfn.CONCAT(CF209,IF(CF209&lt;&gt;""," ",""),CG209,IF(OR(CG209&lt;&gt;"",CF209&lt;&gt;""),"{}",""),CE209,CJ209,"{SILVER}",CH209,IF(CI209&lt;&gt;"","{}{}",""),CI209)</f>
        <v>{BLACK}Powered by: {GOLD}Diesel {}{BLACK}Length: {GOLD}0.8 tiles{}{SILVER}The Class 52 was the most powerful of the Western Region's diesel-hydraulic locomotives, pushing the limits of what 1960s transmission technology could achieve.</v>
      </c>
    </row>
    <row r="210" customFormat="false" ht="14.25" hidden="false" customHeight="false" outlineLevel="0" collapsed="false">
      <c r="A210" s="0" t="s">
        <v>743</v>
      </c>
      <c r="B210" s="15" t="s">
        <v>744</v>
      </c>
      <c r="C210" s="0" t="n">
        <v>195</v>
      </c>
      <c r="E210" s="0" t="n">
        <v>98</v>
      </c>
      <c r="F210" s="0" t="s">
        <v>143</v>
      </c>
      <c r="G210" s="0" t="s">
        <v>445</v>
      </c>
      <c r="H210" s="0" t="s">
        <v>670</v>
      </c>
      <c r="I210" s="0" t="s">
        <v>92</v>
      </c>
      <c r="J210" s="0" t="n">
        <v>1961</v>
      </c>
      <c r="K210" s="0" t="n">
        <v>1967</v>
      </c>
      <c r="L210" s="0" t="n">
        <v>1987</v>
      </c>
      <c r="N210" s="0" t="n">
        <v>1250</v>
      </c>
      <c r="W210" s="0" t="n">
        <v>74.2</v>
      </c>
      <c r="Z210" s="0" t="n">
        <v>170</v>
      </c>
      <c r="AA210" s="3" t="n">
        <f aca="false">IF(AND(W210&gt;0,Z210&gt;0),(Z210/((W210+X210)*10)),"")</f>
        <v>0.22911051212938</v>
      </c>
      <c r="AB210" s="0" t="n">
        <v>90</v>
      </c>
      <c r="AC210" s="0" t="n">
        <f aca="false">ROUND(AB210*1.6, 0)</f>
        <v>144</v>
      </c>
      <c r="AF210" s="0" t="n">
        <v>15.39</v>
      </c>
      <c r="AG210" s="0" t="n">
        <v>15.39</v>
      </c>
      <c r="AI210" s="0" t="n">
        <v>3.86</v>
      </c>
      <c r="AJ210" s="4" t="n">
        <v>0</v>
      </c>
      <c r="AK210" s="0" t="str">
        <f aca="false">CONCATENATE(VLOOKUP(AL210, 'Voxel Sizes'!$A$2:$B$18,2,FALSE()),"x",INT(AH210*15), "x", INT(AI210*15))</f>
        <v>152x0x57</v>
      </c>
      <c r="AL210" s="0" t="n">
        <f aca="false">ROUND(15*((AG210*10)/256),0)</f>
        <v>9</v>
      </c>
      <c r="AN210" s="0" t="str">
        <f aca="false">CONCATENATE(VLOOKUP(AL210,Constants!$A$2:$C$16,IF(AM210&lt;&gt;"", 3, 2), FALSE()),IF(AM210&lt;&gt;"",CONCATENATE(",",VLOOKUP(AM210,$B:$AN,39,FALSE())),""))</f>
        <v>2,5,2</v>
      </c>
      <c r="AX210" s="0" t="n">
        <v>40</v>
      </c>
      <c r="AY210" s="16" t="n">
        <f aca="false">IF(L210&lt;&gt;"",MAX(16,(L210-J210)+8),"")</f>
        <v>34</v>
      </c>
      <c r="BB210" s="0" t="n">
        <f aca="false">MIN(AB210/150, 1)*30</f>
        <v>18</v>
      </c>
      <c r="BC210" s="0" t="n">
        <f aca="false">MIN(N210/4000, 1)*20</f>
        <v>6.25</v>
      </c>
      <c r="BD210" s="0" t="n">
        <f aca="false">MIN(Z210/400,1)*20</f>
        <v>8.5</v>
      </c>
      <c r="BE210" s="3" t="n">
        <f aca="false">1-(MAX(J210-1900, 0)/750)</f>
        <v>0.918666666666667</v>
      </c>
      <c r="BF210" s="0" t="n">
        <f aca="false">((MAX($M210,1)*MIN($AJ210/300,1)))*IF(G210="Wagon",50,10)</f>
        <v>0</v>
      </c>
      <c r="BG210" s="0" t="n">
        <f aca="false">VLOOKUP($H210,Constants!$I:$K, 2, FALSE())</f>
        <v>1</v>
      </c>
      <c r="BH210" s="0" t="n">
        <f aca="false">VLOOKUP($H210,Constants!$I:$K, 3, FALSE())*IF(AND(G210="multiple_unit",AB210&lt;110),0.75,1)</f>
        <v>2</v>
      </c>
      <c r="BI210" s="0" t="n">
        <f aca="false">INT(POWER(((Constants!$G$2+$BB210+$BC210+$BD210+$BF210)*$BE210)*$BH210, 1.05))+$BA210</f>
        <v>85</v>
      </c>
      <c r="BJ210" s="0" t="n">
        <f aca="false">INT(POWER((((Constants!$G$1+$BB210+$BC210+$BD210+$BF210)*($BE210))*$BG210),IF($G210="wagon",1,1.2)))+$AZ210</f>
        <v>93</v>
      </c>
      <c r="BK210" s="17" t="n">
        <f aca="false">BI210*IF($G210="wagon",62.5,781.25)</f>
        <v>66406.25</v>
      </c>
      <c r="BL210" s="17" t="n">
        <f aca="false">BJ210*IF($G210="wagon",2.73,81.25)</f>
        <v>7556.25</v>
      </c>
      <c r="BV210" s="0" t="n">
        <v>6</v>
      </c>
      <c r="CA210" s="0" t="str">
        <f aca="false">VLOOKUP(J210,Eras!$A$2:$C$10, 2, TRUE())</f>
        <v>dsl</v>
      </c>
      <c r="CB210" s="0" t="s">
        <v>478</v>
      </c>
      <c r="CC210" s="0" t="str">
        <f aca="false">CONCATENATE(CA210,"_",CB210)</f>
        <v>dsl_Freight</v>
      </c>
      <c r="CD210" s="0" t="str">
        <f aca="false">_xlfn.CONCAT(H210, "_",I210)</f>
        <v>diesel_RAIL</v>
      </c>
      <c r="CE210" s="6" t="str">
        <f aca="false" t="array" ref="CE210:CE210">_xlfn.CONCAT("{BLACK}Length: {GOLD}", TEXT(ROUNDUP(IF(AQ210&lt;&gt;"",SUM(VALUE(_xlfn.TEXTSPLIT(AQ210, ","))), SUM(VALUE(_xlfn.TEXTSPLIT(AN210, ",")))*IF(M210, M210, 1))/16, 1), "#,##0.0"), " tiles{}")</f>
        <v>{BLACK}Length: {GOLD}0.6 tiles{}</v>
      </c>
      <c r="CF210" s="0" t="str">
        <f aca="false">VLOOKUP($CD210, Constants!$M:$N, 2, FALSE())</f>
        <v>{BLACK}Powered by: {GOLD}Diesel</v>
      </c>
      <c r="CG210" s="0" t="str">
        <f aca="false">IF(M210&gt;1,_xlfn.CONCAT("{BLACK}Cars: {GOLD}", M210),"")</f>
        <v/>
      </c>
      <c r="CH210" s="0" t="s">
        <v>745</v>
      </c>
      <c r="CI210" s="0" t="str">
        <f aca="false">IF($BU210="!param_no_gameplay_units","{GREEN}Included for gameplay purposes","")</f>
        <v/>
      </c>
      <c r="CJ210" s="0" t="str">
        <f aca="false">IF(BX210="buffet","{YELLOW}25% long distance bonus for consist{}",IF(BZ210="BRAKE","{YELLOW}Speed bonus for slow wagons{}",IF(BW210&gt;190,CONCATENATE("{YELLOW}",INT((BW210-185)/1.85),"% bonus for long distance travel{}"),IF(AND(BW210&lt;180,BW210&lt;&gt;0),CONCATENATE("{YELLOW}",INT((185-BW210)/1.85),"% penalty for long distance travel{}"),""))))</f>
        <v/>
      </c>
      <c r="CK210" s="0" t="str">
        <f aca="false">_xlfn.CONCAT(CF210,IF(CF210&lt;&gt;""," ",""),CG210,IF(OR(CG210&lt;&gt;"",CF210&lt;&gt;""),"{}",""),CE210,CJ210,"{SILVER}",CH210,IF(CI210&lt;&gt;"","{}{}",""),CI210)</f>
        <v>{BLACK}Powered by: {GOLD}Diesel {}{BLACK}Length: {GOLD}0.6 tiles{}{SILVER}The Class 25 locomotives became known as "Rats" because they were found all over the British Rail network.</v>
      </c>
    </row>
    <row r="211" customFormat="false" ht="14.25" hidden="false" customHeight="false" outlineLevel="0" collapsed="false">
      <c r="A211" s="0" t="s">
        <v>746</v>
      </c>
      <c r="B211" s="15" t="s">
        <v>747</v>
      </c>
      <c r="C211" s="0" t="n">
        <v>196</v>
      </c>
      <c r="E211" s="0" t="n">
        <v>99</v>
      </c>
      <c r="F211" s="0" t="s">
        <v>143</v>
      </c>
      <c r="G211" s="0" t="s">
        <v>445</v>
      </c>
      <c r="H211" s="0" t="s">
        <v>670</v>
      </c>
      <c r="I211" s="0" t="s">
        <v>92</v>
      </c>
      <c r="J211" s="0" t="n">
        <v>1962</v>
      </c>
      <c r="K211" s="0" t="n">
        <v>1968</v>
      </c>
      <c r="N211" s="0" t="n">
        <v>2750</v>
      </c>
      <c r="W211" s="0" t="n">
        <v>114</v>
      </c>
      <c r="Z211" s="0" t="n">
        <v>245</v>
      </c>
      <c r="AA211" s="3" t="n">
        <f aca="false">IF(AND(W211&gt;0,Z211&gt;0),(Z211/((W211+X211)*10)),"")</f>
        <v>0.214912280701754</v>
      </c>
      <c r="AB211" s="0" t="n">
        <v>95</v>
      </c>
      <c r="AC211" s="0" t="n">
        <f aca="false">ROUND(AB211*1.6, 0)</f>
        <v>152</v>
      </c>
      <c r="AF211" s="0" t="n">
        <v>19.38</v>
      </c>
      <c r="AG211" s="0" t="n">
        <v>19.38</v>
      </c>
      <c r="AI211" s="0" t="n">
        <v>3.9</v>
      </c>
      <c r="AJ211" s="4" t="n">
        <v>0</v>
      </c>
      <c r="AK211" s="0" t="str">
        <f aca="false">CONCATENATE(VLOOKUP(AL211, 'Voxel Sizes'!$A$2:$B$18,2,FALSE()),"x",INT(AH211*15), "x", INT(AI211*15))</f>
        <v>186x0x58</v>
      </c>
      <c r="AL211" s="0" t="n">
        <f aca="false">ROUND(15*((AG211*10)/256),0)</f>
        <v>11</v>
      </c>
      <c r="AN211" s="0" t="str">
        <f aca="false">CONCATENATE(VLOOKUP(AL211,Constants!$A$2:$C$16,IF(AM211&lt;&gt;"", 3, 2), FALSE()),IF(AM211&lt;&gt;"",CONCATENATE(",",VLOOKUP(AM211,$B:$AN,39,FALSE())),""))</f>
        <v>4,3,4</v>
      </c>
      <c r="AX211" s="0" t="n">
        <v>33</v>
      </c>
      <c r="AY211" s="16" t="str">
        <f aca="false">IF(L211&lt;&gt;"",MAX(16,(L211-J211)+8),"")</f>
        <v/>
      </c>
      <c r="BB211" s="0" t="n">
        <f aca="false">MIN(AB211/150, 1)*30</f>
        <v>19</v>
      </c>
      <c r="BC211" s="0" t="n">
        <f aca="false">MIN(N211/4000, 1)*20</f>
        <v>13.75</v>
      </c>
      <c r="BD211" s="0" t="n">
        <f aca="false">MIN(Z211/400,1)*20</f>
        <v>12.25</v>
      </c>
      <c r="BE211" s="3" t="n">
        <f aca="false">1-(MAX(J211-1900, 0)/750)</f>
        <v>0.917333333333333</v>
      </c>
      <c r="BF211" s="0" t="n">
        <f aca="false">((MAX($M211,1)*MIN($AJ211/300,1)))*IF(G211="Wagon",50,10)</f>
        <v>0</v>
      </c>
      <c r="BG211" s="0" t="n">
        <f aca="false">VLOOKUP($H211,Constants!$I:$K, 2, FALSE())</f>
        <v>1</v>
      </c>
      <c r="BH211" s="0" t="n">
        <f aca="false">VLOOKUP($H211,Constants!$I:$K, 3, FALSE())*IF(AND(G211="multiple_unit",AB211&lt;110),0.75,1)</f>
        <v>2</v>
      </c>
      <c r="BI211" s="0" t="n">
        <f aca="false">INT(POWER(((Constants!$G$2+$BB211+$BC211+$BD211+$BF211)*$BE211)*$BH211, 1.05))+$BA211</f>
        <v>114</v>
      </c>
      <c r="BJ211" s="0" t="n">
        <f aca="false">INT(POWER((((Constants!$G$1+$BB211+$BC211+$BD211+$BF211)*($BE211))*$BG211),IF($G211="wagon",1,1.2)))+$AZ211</f>
        <v>122</v>
      </c>
      <c r="BK211" s="17" t="n">
        <f aca="false">BI211*IF($G211="wagon",62.5,781.25)</f>
        <v>89062.5</v>
      </c>
      <c r="BL211" s="17" t="n">
        <f aca="false">BJ211*IF($G211="wagon",2.73,81.25)</f>
        <v>9912.5</v>
      </c>
      <c r="BV211" s="0" t="n">
        <v>7</v>
      </c>
      <c r="CA211" s="0" t="str">
        <f aca="false">VLOOKUP(J211,Eras!$A$2:$C$10, 2, TRUE())</f>
        <v>dsl</v>
      </c>
      <c r="CB211" s="0" t="s">
        <v>478</v>
      </c>
      <c r="CC211" s="0" t="str">
        <f aca="false">CONCATENATE(CA211,"_",CB211)</f>
        <v>dsl_Freight</v>
      </c>
      <c r="CD211" s="0" t="str">
        <f aca="false">_xlfn.CONCAT(H211, "_",I211)</f>
        <v>diesel_RAIL</v>
      </c>
      <c r="CE211" s="6" t="str">
        <f aca="false" t="array" ref="CE211:CE211">_xlfn.CONCAT("{BLACK}Length: {GOLD}", TEXT(ROUNDUP(IF(AQ211&lt;&gt;"",SUM(VALUE(_xlfn.TEXTSPLIT(AQ211, ","))), SUM(VALUE(_xlfn.TEXTSPLIT(AN211, ",")))*IF(M211, M211, 1))/16, 1), "#,##0.0"), " tiles{}")</f>
        <v>{BLACK}Length: {GOLD}0.7 tiles{}</v>
      </c>
      <c r="CF211" s="0" t="str">
        <f aca="false">VLOOKUP($CD211, Constants!$M:$N, 2, FALSE())</f>
        <v>{BLACK}Powered by: {GOLD}Diesel</v>
      </c>
      <c r="CG211" s="0" t="str">
        <f aca="false">IF(M211&gt;1,_xlfn.CONCAT("{BLACK}Cars: {GOLD}", M211),"")</f>
        <v/>
      </c>
      <c r="CH211" s="0" t="s">
        <v>748</v>
      </c>
      <c r="CI211" s="0" t="str">
        <f aca="false">IF($BU211="!param_no_gameplay_units","{GREEN}Included for gameplay purposes","")</f>
        <v/>
      </c>
      <c r="CJ211" s="0" t="str">
        <f aca="false">IF(BX211="buffet","{YELLOW}25% long distance bonus for consist{}",IF(BZ211="BRAKE","{YELLOW}Speed bonus for slow wagons{}",IF(BW211&gt;190,CONCATENATE("{YELLOW}",INT((BW211-185)/1.85),"% bonus for long distance travel{}"),IF(AND(BW211&lt;180,BW211&lt;&gt;0),CONCATENATE("{YELLOW}",INT((185-BW211)/1.85),"% penalty for long distance travel{}"),""))))</f>
        <v/>
      </c>
      <c r="CK211" s="0" t="str">
        <f aca="false">_xlfn.CONCAT(CF211,IF(CF211&lt;&gt;""," ",""),CG211,IF(OR(CG211&lt;&gt;"",CF211&lt;&gt;""),"{}",""),CE211,CJ211,"{SILVER}",CH211,IF(CI211&lt;&gt;"","{}{}",""),CI211)</f>
        <v>{BLACK}Powered by: {GOLD}Diesel {}{BLACK}Length: {GOLD}0.7 tiles{}{SILVER}The Class 47 diesel-electric arose from BR's desire for a lighter Type 4 (over 2000hp) locomotive, without using the diesel-hydraulic technology favoured by the Western Region.</v>
      </c>
    </row>
    <row r="212" customFormat="false" ht="14.25" hidden="false" customHeight="false" outlineLevel="0" collapsed="false">
      <c r="A212" s="0" t="s">
        <v>749</v>
      </c>
      <c r="B212" s="15" t="s">
        <v>750</v>
      </c>
      <c r="C212" s="0" t="n">
        <v>197</v>
      </c>
      <c r="E212" s="0" t="n">
        <v>100</v>
      </c>
      <c r="F212" s="0" t="s">
        <v>143</v>
      </c>
      <c r="G212" s="0" t="s">
        <v>445</v>
      </c>
      <c r="H212" s="0" t="s">
        <v>670</v>
      </c>
      <c r="I212" s="0" t="s">
        <v>92</v>
      </c>
      <c r="J212" s="0" t="n">
        <v>1962</v>
      </c>
      <c r="K212" s="0" t="n">
        <v>1965</v>
      </c>
      <c r="L212" s="0" t="n">
        <v>1971</v>
      </c>
      <c r="N212" s="0" t="n">
        <v>900</v>
      </c>
      <c r="W212" s="0" t="n">
        <v>69</v>
      </c>
      <c r="Z212" s="0" t="n">
        <v>178</v>
      </c>
      <c r="AA212" s="3" t="n">
        <f aca="false">IF(AND(W212&gt;0,Z212&gt;0),(Z212/((W212+X212)*10)),"")</f>
        <v>0.257971014492754</v>
      </c>
      <c r="AB212" s="0" t="n">
        <v>60</v>
      </c>
      <c r="AC212" s="0" t="n">
        <f aca="false">ROUND(AB212*1.6, 0)</f>
        <v>96</v>
      </c>
      <c r="AF212" s="0" t="n">
        <v>15.4</v>
      </c>
      <c r="AG212" s="0" t="n">
        <v>15.4</v>
      </c>
      <c r="AI212" s="0" t="n">
        <v>3.86</v>
      </c>
      <c r="AJ212" s="4" t="n">
        <v>0</v>
      </c>
      <c r="AK212" s="0" t="str">
        <f aca="false">CONCATENATE(VLOOKUP(AL212, 'Voxel Sizes'!$A$2:$B$18,2,FALSE()),"x",INT(AH212*15), "x", INT(AI212*15))</f>
        <v>152x0x57</v>
      </c>
      <c r="AL212" s="0" t="n">
        <f aca="false">ROUND(15*((AG212*10)/256),0)</f>
        <v>9</v>
      </c>
      <c r="AN212" s="0" t="str">
        <f aca="false">CONCATENATE(VLOOKUP(AL212,Constants!$A$2:$C$16,IF(AM212&lt;&gt;"", 3, 2), FALSE()),IF(AM212&lt;&gt;"",CONCATENATE(",",VLOOKUP(AM212,$B:$AN,39,FALSE())),""))</f>
        <v>2,5,2</v>
      </c>
      <c r="AX212" s="0" t="n">
        <v>14</v>
      </c>
      <c r="AY212" s="16" t="n">
        <f aca="false">IF(L212&lt;&gt;"",MAX(16,(L212-J212)+8),"")</f>
        <v>17</v>
      </c>
      <c r="BB212" s="0" t="n">
        <f aca="false">MIN(AB212/150, 1)*30</f>
        <v>12</v>
      </c>
      <c r="BC212" s="0" t="n">
        <f aca="false">MIN(N212/4000, 1)*20</f>
        <v>4.5</v>
      </c>
      <c r="BD212" s="0" t="n">
        <f aca="false">MIN(Z212/400,1)*20</f>
        <v>8.9</v>
      </c>
      <c r="BE212" s="3" t="n">
        <f aca="false">1-(MAX(J212-1900, 0)/750)</f>
        <v>0.917333333333333</v>
      </c>
      <c r="BF212" s="0" t="n">
        <f aca="false">((MAX($M212,1)*MIN($AJ212/300,1)))*IF(G212="Wagon",50,10)</f>
        <v>0</v>
      </c>
      <c r="BG212" s="0" t="n">
        <f aca="false">VLOOKUP($H212,Constants!$I:$K, 2, FALSE())</f>
        <v>1</v>
      </c>
      <c r="BH212" s="0" t="n">
        <f aca="false">VLOOKUP($H212,Constants!$I:$K, 3, FALSE())*IF(AND(G212="multiple_unit",AB212&lt;110),0.75,1)</f>
        <v>2</v>
      </c>
      <c r="BI212" s="0" t="n">
        <f aca="false">INT(POWER(((Constants!$G$2+$BB212+$BC212+$BD212+$BF212)*$BE212)*$BH212, 1.05))+$BA212</f>
        <v>68</v>
      </c>
      <c r="BJ212" s="0" t="n">
        <f aca="false">INT(POWER((((Constants!$G$1+$BB212+$BC212+$BD212+$BF212)*($BE212))*$BG212),IF($G212="wagon",1,1.2)))+$AZ212</f>
        <v>76</v>
      </c>
      <c r="BK212" s="17" t="n">
        <f aca="false">BI212*IF($G212="wagon",62.5,781.25)</f>
        <v>53125</v>
      </c>
      <c r="BL212" s="17" t="n">
        <f aca="false">BJ212*IF($G212="wagon",2.73,81.25)</f>
        <v>6175</v>
      </c>
      <c r="BV212" s="0" t="n">
        <v>8</v>
      </c>
      <c r="CA212" s="0" t="str">
        <f aca="false">VLOOKUP(J212,Eras!$A$2:$C$10, 2, TRUE())</f>
        <v>dsl</v>
      </c>
      <c r="CB212" s="0" t="s">
        <v>513</v>
      </c>
      <c r="CC212" s="0" t="str">
        <f aca="false">CONCATENATE(CA212,"_",CB212)</f>
        <v>dsl_Cheap</v>
      </c>
      <c r="CD212" s="0" t="str">
        <f aca="false">_xlfn.CONCAT(H212, "_",I212)</f>
        <v>diesel_RAIL</v>
      </c>
      <c r="CE212" s="6" t="str">
        <f aca="false" t="array" ref="CE212:CE212">_xlfn.CONCAT("{BLACK}Length: {GOLD}", TEXT(ROUNDUP(IF(AQ212&lt;&gt;"",SUM(VALUE(_xlfn.TEXTSPLIT(AQ212, ","))), SUM(VALUE(_xlfn.TEXTSPLIT(AN212, ",")))*IF(M212, M212, 1))/16, 1), "#,##0.0"), " tiles{}")</f>
        <v>{BLACK}Length: {GOLD}0.6 tiles{}</v>
      </c>
      <c r="CF212" s="0" t="str">
        <f aca="false">VLOOKUP($CD212, Constants!$M:$N, 2, FALSE())</f>
        <v>{BLACK}Powered by: {GOLD}Diesel</v>
      </c>
      <c r="CG212" s="0" t="str">
        <f aca="false">IF(M212&gt;1,_xlfn.CONCAT("{BLACK}Cars: {GOLD}", M212),"")</f>
        <v/>
      </c>
      <c r="CH212" s="0" t="s">
        <v>751</v>
      </c>
      <c r="CI212" s="0" t="str">
        <f aca="false">IF($BU212="!param_no_gameplay_units","{GREEN}Included for gameplay purposes","")</f>
        <v/>
      </c>
      <c r="CJ212" s="0" t="str">
        <f aca="false">IF(BX212="buffet","{YELLOW}25% long distance bonus for consist{}",IF(BZ212="BRAKE","{YELLOW}Speed bonus for slow wagons{}",IF(BW212&gt;190,CONCATENATE("{YELLOW}",INT((BW212-185)/1.85),"% bonus for long distance travel{}"),IF(AND(BW212&lt;180,BW212&lt;&gt;0),CONCATENATE("{YELLOW}",INT((185-BW212)/1.85),"% penalty for long distance travel{}"),""))))</f>
        <v/>
      </c>
      <c r="CK212" s="0" t="str">
        <f aca="false">_xlfn.CONCAT(CF212,IF(CF212&lt;&gt;""," ",""),CG212,IF(OR(CG212&lt;&gt;"",CF212&lt;&gt;""),"{}",""),CE212,CJ212,"{SILVER}",CH212,IF(CI212&lt;&gt;"","{}{}",""),CI212)</f>
        <v>{BLACK}Powered by: {GOLD}Diesel {}{BLACK}Length: {GOLD}0.6 tiles{}{SILVER}The Class 17 attempted to solve the problems of visibility from a single cab. It had an unsuccessful life beset by engine reliability problems, and all examples were withdrawn early.</v>
      </c>
    </row>
    <row r="213" customFormat="false" ht="14.25" hidden="false" customHeight="false" outlineLevel="0" collapsed="false">
      <c r="A213" s="0" t="s">
        <v>752</v>
      </c>
      <c r="B213" s="15" t="s">
        <v>753</v>
      </c>
      <c r="C213" s="0" t="n">
        <v>198</v>
      </c>
      <c r="E213" s="0" t="n">
        <v>101</v>
      </c>
      <c r="F213" s="0" t="s">
        <v>143</v>
      </c>
      <c r="G213" s="0" t="s">
        <v>445</v>
      </c>
      <c r="H213" s="0" t="s">
        <v>670</v>
      </c>
      <c r="I213" s="0" t="s">
        <v>92</v>
      </c>
      <c r="J213" s="0" t="n">
        <v>1964</v>
      </c>
      <c r="K213" s="0" t="n">
        <v>1965</v>
      </c>
      <c r="L213" s="0" t="n">
        <v>1984</v>
      </c>
      <c r="N213" s="0" t="n">
        <v>650</v>
      </c>
      <c r="W213" s="0" t="n">
        <v>48.5</v>
      </c>
      <c r="Z213" s="0" t="n">
        <v>137</v>
      </c>
      <c r="AA213" s="3" t="n">
        <f aca="false">IF(AND(W213&gt;0,Z213&gt;0),(Z213/((W213+X213)*10)),"")</f>
        <v>0.282474226804124</v>
      </c>
      <c r="AB213" s="0" t="n">
        <v>40</v>
      </c>
      <c r="AC213" s="0" t="n">
        <f aca="false">ROUND(AB213*1.6, 0)</f>
        <v>64</v>
      </c>
      <c r="AF213" s="0" t="n">
        <v>10.3</v>
      </c>
      <c r="AG213" s="0" t="n">
        <v>10.3</v>
      </c>
      <c r="AJ213" s="4" t="n">
        <v>0</v>
      </c>
      <c r="AK213" s="0" t="str">
        <f aca="false">CONCATENATE(VLOOKUP(AL213, 'Voxel Sizes'!$A$2:$B$18,2,FALSE()),"x",INT(AH213*15), "x", INT(AI213*15))</f>
        <v>102x0x0</v>
      </c>
      <c r="AL213" s="0" t="n">
        <f aca="false">ROUND(15*((AG213*10)/256),0)</f>
        <v>6</v>
      </c>
      <c r="AN213" s="0" t="str">
        <f aca="false">CONCATENATE(VLOOKUP(AL213,Constants!$A$2:$C$16,IF(AM213&lt;&gt;"", 3, 2), FALSE()),IF(AM213&lt;&gt;"",CONCATENATE(",",VLOOKUP(AM213,$B:$AN,39,FALSE())),""))</f>
        <v>2,2,2</v>
      </c>
      <c r="AV213" s="0" t="n">
        <v>1</v>
      </c>
      <c r="AX213" s="0" t="n">
        <v>18</v>
      </c>
      <c r="AY213" s="16" t="n">
        <f aca="false">IF(L213&lt;&gt;"",MAX(16,(L213-J213)+8),"")</f>
        <v>28</v>
      </c>
      <c r="BB213" s="0" t="n">
        <f aca="false">MIN(AB213/150, 1)*30</f>
        <v>8</v>
      </c>
      <c r="BC213" s="0" t="n">
        <f aca="false">MIN(N213/4000, 1)*20</f>
        <v>3.25</v>
      </c>
      <c r="BD213" s="0" t="n">
        <f aca="false">MIN(Z213/400,1)*20</f>
        <v>6.85</v>
      </c>
      <c r="BE213" s="3" t="n">
        <f aca="false">1-(MAX(J213-1900, 0)/750)</f>
        <v>0.914666666666667</v>
      </c>
      <c r="BF213" s="0" t="n">
        <f aca="false">((MAX($M213,1)*MIN($AJ213/300,1)))*IF(G213="Wagon",50,10)</f>
        <v>0</v>
      </c>
      <c r="BG213" s="0" t="n">
        <f aca="false">VLOOKUP($H213,Constants!$I:$K, 2, FALSE())</f>
        <v>1</v>
      </c>
      <c r="BH213" s="0" t="n">
        <f aca="false">VLOOKUP($H213,Constants!$I:$K, 3, FALSE())*IF(AND(G213="multiple_unit",AB213&lt;110),0.75,1)</f>
        <v>2</v>
      </c>
      <c r="BI213" s="0" t="n">
        <f aca="false">INT(POWER(((Constants!$G$2+$BB213+$BC213+$BD213+$BF213)*$BE213)*$BH213, 1.05))+$BA213</f>
        <v>50</v>
      </c>
      <c r="BJ213" s="0" t="n">
        <f aca="false">INT(POWER((((Constants!$G$1+$BB213+$BC213+$BD213+$BF213)*($BE213))*$BG213),IF($G213="wagon",1,1.2)))+$AZ213</f>
        <v>59</v>
      </c>
      <c r="BK213" s="17" t="n">
        <f aca="false">BI213*IF($G213="wagon",62.5,781.25)</f>
        <v>39062.5</v>
      </c>
      <c r="BL213" s="17" t="n">
        <f aca="false">BJ213*IF($G213="wagon",2.73,81.25)</f>
        <v>4793.75</v>
      </c>
      <c r="BV213" s="0" t="n">
        <v>9</v>
      </c>
      <c r="CA213" s="0" t="str">
        <f aca="false">VLOOKUP(J213,Eras!$A$2:$C$10, 2, TRUE())</f>
        <v>dsl</v>
      </c>
      <c r="CB213" s="0" t="s">
        <v>513</v>
      </c>
      <c r="CC213" s="0" t="str">
        <f aca="false">CONCATENATE(CA213,"_",CB213)</f>
        <v>dsl_Cheap</v>
      </c>
      <c r="CD213" s="0" t="str">
        <f aca="false">_xlfn.CONCAT(H213, "_",I213)</f>
        <v>diesel_RAIL</v>
      </c>
      <c r="CE213" s="6" t="str">
        <f aca="false" t="array" ref="CE213:CE213">_xlfn.CONCAT("{BLACK}Length: {GOLD}", TEXT(ROUNDUP(IF(AQ213&lt;&gt;"",SUM(VALUE(_xlfn.TEXTSPLIT(AQ213, ","))), SUM(VALUE(_xlfn.TEXTSPLIT(AN213, ",")))*IF(M213, M213, 1))/16, 1), "#,##0.0"), " tiles{}")</f>
        <v>{BLACK}Length: {GOLD}0.4 tiles{}</v>
      </c>
      <c r="CF213" s="0" t="str">
        <f aca="false">VLOOKUP($CD213, Constants!$M:$N, 2, FALSE())</f>
        <v>{BLACK}Powered by: {GOLD}Diesel</v>
      </c>
      <c r="CG213" s="0" t="str">
        <f aca="false">IF(M213&gt;1,_xlfn.CONCAT("{BLACK}Cars: {GOLD}", M213),"")</f>
        <v/>
      </c>
      <c r="CH213" s="0" t="s">
        <v>754</v>
      </c>
      <c r="CI213" s="0" t="str">
        <f aca="false">IF($BU213="!param_no_gameplay_units","{GREEN}Included for gameplay purposes","")</f>
        <v/>
      </c>
      <c r="CJ213" s="0" t="str">
        <f aca="false">IF(BX213="buffet","{YELLOW}25% long distance bonus for consist{}",IF(BZ213="BRAKE","{YELLOW}Speed bonus for slow wagons{}",IF(BW213&gt;190,CONCATENATE("{YELLOW}",INT((BW213-185)/1.85),"% bonus for long distance travel{}"),IF(AND(BW213&lt;180,BW213&lt;&gt;0),CONCATENATE("{YELLOW}",INT((185-BW213)/1.85),"% penalty for long distance travel{}"),""))))</f>
        <v/>
      </c>
      <c r="CK213" s="0" t="str">
        <f aca="false">_xlfn.CONCAT(CF213,IF(CF213&lt;&gt;""," ",""),CG213,IF(OR(CG213&lt;&gt;"",CF213&lt;&gt;""),"{}",""),CE213,CJ213,"{SILVER}",CH213,IF(CI213&lt;&gt;"","{}{}",""),CI213)</f>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214" customFormat="false" ht="14.25" hidden="false" customHeight="false" outlineLevel="0" collapsed="false">
      <c r="A214" s="0" t="s">
        <v>755</v>
      </c>
      <c r="B214" s="15" t="s">
        <v>756</v>
      </c>
      <c r="C214" s="0" t="n">
        <v>199</v>
      </c>
      <c r="E214" s="0" t="n">
        <v>102</v>
      </c>
      <c r="F214" s="0" t="s">
        <v>143</v>
      </c>
      <c r="G214" s="0" t="s">
        <v>445</v>
      </c>
      <c r="H214" s="0" t="s">
        <v>757</v>
      </c>
      <c r="I214" s="0" t="s">
        <v>92</v>
      </c>
      <c r="J214" s="0" t="n">
        <v>1965</v>
      </c>
      <c r="K214" s="0" t="n">
        <v>1967</v>
      </c>
      <c r="N214" s="0" t="n">
        <v>1420</v>
      </c>
      <c r="O214" s="1" t="n">
        <v>600</v>
      </c>
      <c r="W214" s="0" t="n">
        <v>76.3</v>
      </c>
      <c r="Z214" s="0" t="n">
        <v>186</v>
      </c>
      <c r="AA214" s="3" t="n">
        <f aca="false">IF(AND(W214&gt;0,Z214&gt;0),(Z214/((W214+X214)*10)),"")</f>
        <v>0.243774574049803</v>
      </c>
      <c r="AB214" s="0" t="n">
        <v>80</v>
      </c>
      <c r="AC214" s="0" t="n">
        <f aca="false">ROUND(AB214*1.6, 0)</f>
        <v>128</v>
      </c>
      <c r="AF214" s="0" t="n">
        <v>16.36</v>
      </c>
      <c r="AG214" s="0" t="n">
        <v>16.36</v>
      </c>
      <c r="AJ214" s="4" t="n">
        <v>0</v>
      </c>
      <c r="AK214" s="0" t="str">
        <f aca="false">CONCATENATE(VLOOKUP(AL214, 'Voxel Sizes'!$A$2:$B$18,2,FALSE()),"x",INT(AH214*15), "x", INT(AI214*15))</f>
        <v>164x0x0</v>
      </c>
      <c r="AL214" s="0" t="n">
        <f aca="false">ROUND(15*((AG214*10)/256),0)</f>
        <v>10</v>
      </c>
      <c r="AN214" s="0" t="str">
        <f aca="false">CONCATENATE(VLOOKUP(AL214,Constants!$A$2:$C$16,IF(AM214&lt;&gt;"", 3, 2), FALSE()),IF(AM214&lt;&gt;"",CONCATENATE(",",VLOOKUP(AM214,$B:$AN,39,FALSE())),""))</f>
        <v>4,2,4</v>
      </c>
      <c r="AX214" s="0" t="n">
        <v>33</v>
      </c>
      <c r="AY214" s="16" t="str">
        <f aca="false">IF(L214&lt;&gt;"",MAX(16,(L214-J214)+8),"")</f>
        <v/>
      </c>
      <c r="BB214" s="0" t="n">
        <f aca="false">MIN(AB214/150, 1)*30</f>
        <v>16</v>
      </c>
      <c r="BC214" s="0" t="n">
        <f aca="false">MIN(N214/4000, 1)*20</f>
        <v>7.1</v>
      </c>
      <c r="BD214" s="0" t="n">
        <f aca="false">MIN(Z214/400,1)*20</f>
        <v>9.3</v>
      </c>
      <c r="BE214" s="3" t="n">
        <f aca="false">1-(MAX(J214-1900, 0)/750)</f>
        <v>0.913333333333333</v>
      </c>
      <c r="BF214" s="0" t="n">
        <f aca="false">((MAX($M214,1)*MIN($AJ214/300,1)))*IF(G214="Wagon",50,10)</f>
        <v>0</v>
      </c>
      <c r="BG214" s="0" t="n">
        <f aca="false">VLOOKUP($H214,Constants!$I:$K, 2, FALSE())</f>
        <v>0.9</v>
      </c>
      <c r="BH214" s="0" t="n">
        <f aca="false">VLOOKUP($H214,Constants!$I:$K, 3, FALSE())*IF(AND(G214="multiple_unit",AB214&lt;110),0.75,1)</f>
        <v>2.5</v>
      </c>
      <c r="BI214" s="0" t="n">
        <f aca="false">INT(POWER(((Constants!$G$2+$BB214+$BC214+$BD214+$BF214)*$BE214)*$BH214, 1.05))+$BA214</f>
        <v>106</v>
      </c>
      <c r="BJ214" s="0" t="n">
        <f aca="false">INT(POWER((((Constants!$G$1+$BB214+$BC214+$BD214+$BF214)*($BE214))*$BG214),IF($G214="wagon",1,1.2)))+$AZ214</f>
        <v>81</v>
      </c>
      <c r="BK214" s="17" t="n">
        <f aca="false">BI214*IF($G214="wagon",62.5,781.25)</f>
        <v>82812.5</v>
      </c>
      <c r="BL214" s="17" t="n">
        <f aca="false">BJ214*IF($G214="wagon",2.73,81.25)</f>
        <v>6581.25</v>
      </c>
      <c r="BV214" s="0" t="n">
        <v>10</v>
      </c>
      <c r="CA214" s="0" t="str">
        <f aca="false">VLOOKUP(J214,Eras!$A$2:$C$10, 2, TRUE())</f>
        <v>dsl</v>
      </c>
      <c r="CC214" s="0" t="str">
        <f aca="false">CONCATENATE(CA214,"_",CB214)</f>
        <v>dsl_</v>
      </c>
      <c r="CD214" s="0" t="str">
        <f aca="false">_xlfn.CONCAT(H214, "_",I214)</f>
        <v>dual_power_RAIL</v>
      </c>
      <c r="CE214" s="6" t="str">
        <f aca="false" t="array" ref="CE214:CE214">_xlfn.CONCAT("{BLACK}Length: {GOLD}", TEXT(ROUNDUP(IF(AQ214&lt;&gt;"",SUM(VALUE(_xlfn.TEXTSPLIT(AQ214, ","))), SUM(VALUE(_xlfn.TEXTSPLIT(AN214, ",")))*IF(M214, M214, 1))/16, 1), "#,##0.0"), " tiles{}")</f>
        <v>{BLACK}Length: {GOLD}0.7 tiles{}</v>
      </c>
      <c r="CF214" s="0" t="str">
        <f aca="false">VLOOKUP($CD214, Constants!$M:$N, 2, FALSE())</f>
        <v>{BLACK}Powered by: {GOLD}750V DC / Diesel</v>
      </c>
      <c r="CG214" s="0" t="str">
        <f aca="false">IF(M214&gt;1,_xlfn.CONCAT("{BLACK}Cars: {GOLD}", M214),"")</f>
        <v/>
      </c>
      <c r="CH214" s="0" t="s">
        <v>758</v>
      </c>
      <c r="CI214" s="0" t="str">
        <f aca="false">IF($BU214="!param_no_gameplay_units","{GREEN}Included for gameplay purposes","")</f>
        <v/>
      </c>
      <c r="CJ214" s="0" t="str">
        <f aca="false">IF(BX214="buffet","{YELLOW}25% long distance bonus for consist{}",IF(BZ214="BRAKE","{YELLOW}Speed bonus for slow wagons{}",IF(BW214&gt;190,CONCATENATE("{YELLOW}",INT((BW214-185)/1.85),"% bonus for long distance travel{}"),IF(AND(BW214&lt;180,BW214&lt;&gt;0),CONCATENATE("{YELLOW}",INT((185-BW214)/1.85),"% penalty for long distance travel{}"),""))))</f>
        <v/>
      </c>
      <c r="CK214" s="0" t="str">
        <f aca="false">_xlfn.CONCAT(CF214,IF(CF214&lt;&gt;""," ",""),CG214,IF(OR(CG214&lt;&gt;"",CF214&lt;&gt;""),"{}",""),CE214,CJ214,"{SILVER}",CH214,IF(CI214&lt;&gt;"","{}{}",""),CI214)</f>
        <v>{BLACK}Powered by: {GOLD}750V DC / Diesel {}{BLACK}Length: {GOLD}0.7 tiles{}{SILVER}The Class 73 is a dual-power locomotive, running at full power when connected to a third rail supply but carrying a small diesel engine for running on non-electrified track.</v>
      </c>
    </row>
    <row r="215" customFormat="false" ht="14.25" hidden="false" customHeight="false" outlineLevel="0" collapsed="false">
      <c r="A215" s="0" t="s">
        <v>759</v>
      </c>
      <c r="B215" s="15" t="s">
        <v>760</v>
      </c>
      <c r="C215" s="0" t="n">
        <v>200</v>
      </c>
      <c r="E215" s="0" t="n">
        <v>103</v>
      </c>
      <c r="F215" s="0" t="s">
        <v>143</v>
      </c>
      <c r="G215" s="0" t="s">
        <v>445</v>
      </c>
      <c r="H215" s="0" t="s">
        <v>529</v>
      </c>
      <c r="I215" s="0" t="s">
        <v>530</v>
      </c>
      <c r="J215" s="0" t="n">
        <v>1965</v>
      </c>
      <c r="K215" s="0" t="n">
        <v>1966</v>
      </c>
      <c r="N215" s="0" t="n">
        <v>3600</v>
      </c>
      <c r="W215" s="0" t="n">
        <v>82</v>
      </c>
      <c r="Z215" s="0" t="n">
        <v>267</v>
      </c>
      <c r="AA215" s="3" t="n">
        <f aca="false">IF(AND(W215&gt;0,Z215&gt;0),(Z215/((W215+X215)*10)),"")</f>
        <v>0.325609756097561</v>
      </c>
      <c r="AB215" s="0" t="n">
        <v>100</v>
      </c>
      <c r="AC215" s="0" t="n">
        <f aca="false">ROUND(AB215*1.6, 0)</f>
        <v>160</v>
      </c>
      <c r="AF215" s="0" t="n">
        <v>17.83</v>
      </c>
      <c r="AG215" s="0" t="n">
        <v>17.83</v>
      </c>
      <c r="AI215" s="0" t="n">
        <v>3.77</v>
      </c>
      <c r="AJ215" s="4" t="n">
        <v>0</v>
      </c>
      <c r="AK215" s="0" t="str">
        <f aca="false">CONCATENATE(VLOOKUP(AL215, 'Voxel Sizes'!$A$2:$B$18,2,FALSE()),"x",INT(AH215*15), "x", INT(AI215*15))</f>
        <v>164x0x56</v>
      </c>
      <c r="AL215" s="0" t="n">
        <f aca="false">ROUND(15*((AG215*10)/256),0)</f>
        <v>10</v>
      </c>
      <c r="AN215" s="0" t="str">
        <f aca="false">CONCATENATE(VLOOKUP(AL215,Constants!$A$2:$C$16,IF(AM215&lt;&gt;"", 3, 2), FALSE()),IF(AM215&lt;&gt;"",CONCATENATE(",",VLOOKUP(AM215,$B:$AN,39,FALSE())),""))</f>
        <v>4,2,4</v>
      </c>
      <c r="AX215" s="0" t="n">
        <v>37</v>
      </c>
      <c r="AY215" s="16" t="str">
        <f aca="false">IF(L215&lt;&gt;"",MAX(16,(L215-J215)+8),"")</f>
        <v/>
      </c>
      <c r="BB215" s="0" t="n">
        <f aca="false">MIN(AB215/150, 1)*30</f>
        <v>20</v>
      </c>
      <c r="BC215" s="0" t="n">
        <f aca="false">MIN(N215/4000, 1)*20</f>
        <v>18</v>
      </c>
      <c r="BD215" s="0" t="n">
        <f aca="false">MIN(Z215/400,1)*20</f>
        <v>13.35</v>
      </c>
      <c r="BE215" s="3" t="n">
        <f aca="false">1-(MAX(J215-1900, 0)/750)</f>
        <v>0.913333333333333</v>
      </c>
      <c r="BF215" s="0" t="n">
        <f aca="false">((MAX($M215,1)*MIN($AJ215/300,1)))*IF(G215="Wagon",50,10)</f>
        <v>0</v>
      </c>
      <c r="BG215" s="0" t="n">
        <f aca="false">VLOOKUP($H215,Constants!$I:$K, 2, FALSE())</f>
        <v>0.85</v>
      </c>
      <c r="BH215" s="0" t="n">
        <f aca="false">VLOOKUP($H215,Constants!$I:$K, 3, FALSE())*IF(AND(G215="multiple_unit",AB215&lt;110),0.75,1)</f>
        <v>2.3</v>
      </c>
      <c r="BI215" s="0" t="n">
        <f aca="false">INT(POWER(((Constants!$G$2+$BB215+$BC215+$BD215+$BF215)*$BE215)*$BH215, 1.05))+$BA215</f>
        <v>150</v>
      </c>
      <c r="BJ215" s="0" t="n">
        <f aca="false">INT(POWER((((Constants!$G$1+$BB215+$BC215+$BD215+$BF215)*($BE215))*$BG215),IF($G215="wagon",1,1.2)))+$AZ215</f>
        <v>113</v>
      </c>
      <c r="BK215" s="17" t="n">
        <f aca="false">BI215*IF($G215="wagon",62.5,781.25)</f>
        <v>117187.5</v>
      </c>
      <c r="BL215" s="17" t="n">
        <f aca="false">BJ215*IF($G215="wagon",2.73,81.25)</f>
        <v>9181.25</v>
      </c>
      <c r="BV215" s="0" t="n">
        <v>11</v>
      </c>
      <c r="CA215" s="0" t="str">
        <f aca="false">VLOOKUP(J215,Eras!$A$2:$C$10, 2, TRUE())</f>
        <v>dsl</v>
      </c>
      <c r="CB215" s="0" t="s">
        <v>689</v>
      </c>
      <c r="CC215" s="0" t="str">
        <f aca="false">CONCATENATE(CA215,"_",CB215)</f>
        <v>dsl_Express (Electric)</v>
      </c>
      <c r="CD215" s="0" t="str">
        <f aca="false">_xlfn.CONCAT(H215, "_",I215)</f>
        <v>electric_ELRL</v>
      </c>
      <c r="CE215" s="6" t="str">
        <f aca="false" t="array" ref="CE215:CE215">_xlfn.CONCAT("{BLACK}Length: {GOLD}", TEXT(ROUNDUP(IF(AQ215&lt;&gt;"",SUM(VALUE(_xlfn.TEXTSPLIT(AQ215, ","))), SUM(VALUE(_xlfn.TEXTSPLIT(AN215, ",")))*IF(M215, M215, 1))/16, 1), "#,##0.0"), " tiles{}")</f>
        <v>{BLACK}Length: {GOLD}0.7 tiles{}</v>
      </c>
      <c r="CF215" s="0" t="str">
        <f aca="false">VLOOKUP($CD215, Constants!$M:$N, 2, FALSE())</f>
        <v>{BLACK}Powered by: {GOLD}25kV AC</v>
      </c>
      <c r="CG215" s="0" t="str">
        <f aca="false">IF(M215&gt;1,_xlfn.CONCAT("{BLACK}Cars: {GOLD}", M215),"")</f>
        <v/>
      </c>
      <c r="CH215" s="0" t="s">
        <v>761</v>
      </c>
      <c r="CI215" s="0" t="str">
        <f aca="false">IF($BU215="!param_no_gameplay_units","{GREEN}Included for gameplay purposes","")</f>
        <v/>
      </c>
      <c r="CJ215" s="0" t="str">
        <f aca="false">IF(BX215="buffet","{YELLOW}25% long distance bonus for consist{}",IF(BZ215="BRAKE","{YELLOW}Speed bonus for slow wagons{}",IF(BW215&gt;190,CONCATENATE("{YELLOW}",INT((BW215-185)/1.85),"% bonus for long distance travel{}"),IF(AND(BW215&lt;180,BW215&lt;&gt;0),CONCATENATE("{YELLOW}",INT((185-BW215)/1.85),"% penalty for long distance travel{}"),""))))</f>
        <v/>
      </c>
      <c r="CK215" s="0" t="str">
        <f aca="false">_xlfn.CONCAT(CF215,IF(CF215&lt;&gt;""," ",""),CG215,IF(OR(CG215&lt;&gt;"",CF215&lt;&gt;""),"{}",""),CE215,CJ215,"{SILVER}",CH215,IF(CI215&lt;&gt;"","{}{}",""),CI215)</f>
        <v>{BLACK}Powered by: {GOLD}25kV AC {}{BLACK}Length: {GOLD}0.7 tiles{}{SILVER}The Class 86 (originally AL6) was BR's first standard electric locomotive, incorporating experience from prototypes such as the Class 81.</v>
      </c>
    </row>
    <row r="216" customFormat="false" ht="14.25" hidden="false" customHeight="false" outlineLevel="0" collapsed="false">
      <c r="A216" s="0" t="s">
        <v>762</v>
      </c>
      <c r="B216" s="15" t="s">
        <v>763</v>
      </c>
      <c r="C216" s="0" t="n">
        <v>201</v>
      </c>
      <c r="E216" s="0" t="n">
        <v>104</v>
      </c>
      <c r="F216" s="0" t="s">
        <v>143</v>
      </c>
      <c r="G216" s="0" t="s">
        <v>445</v>
      </c>
      <c r="H216" s="0" t="s">
        <v>670</v>
      </c>
      <c r="I216" s="0" t="s">
        <v>92</v>
      </c>
      <c r="J216" s="0" t="n">
        <v>1967</v>
      </c>
      <c r="K216" s="0" t="n">
        <v>1968</v>
      </c>
      <c r="L216" s="0" t="n">
        <v>1994</v>
      </c>
      <c r="N216" s="0" t="n">
        <v>2700</v>
      </c>
      <c r="W216" s="0" t="n">
        <v>117</v>
      </c>
      <c r="Z216" s="0" t="n">
        <v>216</v>
      </c>
      <c r="AA216" s="3" t="n">
        <f aca="false">IF(AND(W216&gt;0,Z216&gt;0),(Z216/((W216+X216)*10)),"")</f>
        <v>0.184615384615385</v>
      </c>
      <c r="AB216" s="0" t="n">
        <v>100</v>
      </c>
      <c r="AC216" s="0" t="n">
        <f aca="false">ROUND(AB216*1.6, 0)</f>
        <v>160</v>
      </c>
      <c r="AF216" s="0" t="n">
        <v>20.88</v>
      </c>
      <c r="AG216" s="0" t="n">
        <v>20.88</v>
      </c>
      <c r="AI216" s="0" t="n">
        <v>3.89</v>
      </c>
      <c r="AJ216" s="4" t="n">
        <v>0</v>
      </c>
      <c r="AK216" s="0" t="str">
        <f aca="false">CONCATENATE(VLOOKUP(AL216, 'Voxel Sizes'!$A$2:$B$18,2,FALSE()),"x",INT(AH216*15), "x", INT(AI216*15))</f>
        <v>198x0x58</v>
      </c>
      <c r="AL216" s="0" t="n">
        <f aca="false">ROUND(15*((AG216*10)/256),0)</f>
        <v>12</v>
      </c>
      <c r="AN216" s="0" t="str">
        <f aca="false">CONCATENATE(VLOOKUP(AL216,Constants!$A$2:$C$16,IF(AM216&lt;&gt;"", 3, 2), FALSE()),IF(AM216&lt;&gt;"",CONCATENATE(",",VLOOKUP(AM216,$B:$AN,39,FALSE())),""))</f>
        <v>4,4,4</v>
      </c>
      <c r="AX216" s="0" t="n">
        <v>30</v>
      </c>
      <c r="AY216" s="16" t="n">
        <f aca="false">IF(L216&lt;&gt;"",MAX(16,(L216-J216)+8),"")</f>
        <v>35</v>
      </c>
      <c r="BB216" s="0" t="n">
        <f aca="false">MIN(AB216/150, 1)*30</f>
        <v>20</v>
      </c>
      <c r="BC216" s="0" t="n">
        <f aca="false">MIN(N216/4000, 1)*20</f>
        <v>13.5</v>
      </c>
      <c r="BD216" s="0" t="n">
        <f aca="false">MIN(Z216/400,1)*20</f>
        <v>10.8</v>
      </c>
      <c r="BE216" s="3" t="n">
        <f aca="false">1-(MAX(J216-1900, 0)/750)</f>
        <v>0.910666666666667</v>
      </c>
      <c r="BF216" s="0" t="n">
        <f aca="false">((MAX($M216,1)*MIN($AJ216/300,1)))*IF(G216="Wagon",50,10)</f>
        <v>0</v>
      </c>
      <c r="BG216" s="0" t="n">
        <f aca="false">VLOOKUP($H216,Constants!$I:$K, 2, FALSE())</f>
        <v>1</v>
      </c>
      <c r="BH216" s="0" t="n">
        <f aca="false">VLOOKUP($H216,Constants!$I:$K, 3, FALSE())*IF(AND(G216="multiple_unit",AB216&lt;110),0.75,1)</f>
        <v>2</v>
      </c>
      <c r="BI216" s="0" t="n">
        <f aca="false">INT(POWER(((Constants!$G$2+$BB216+$BC216+$BD216+$BF216)*$BE216)*$BH216, 1.05))+$BA216</f>
        <v>112</v>
      </c>
      <c r="BJ216" s="0" t="n">
        <f aca="false">INT(POWER((((Constants!$G$1+$BB216+$BC216+$BD216+$BF216)*($BE216))*$BG216),IF($G216="wagon",1,1.2)))+$AZ216</f>
        <v>119</v>
      </c>
      <c r="BK216" s="17" t="n">
        <f aca="false">BI216*IF($G216="wagon",62.5,781.25)</f>
        <v>87500</v>
      </c>
      <c r="BL216" s="17" t="n">
        <f aca="false">BJ216*IF($G216="wagon",2.73,81.25)</f>
        <v>9668.75</v>
      </c>
      <c r="BV216" s="0" t="n">
        <v>12</v>
      </c>
      <c r="CA216" s="0" t="str">
        <f aca="false">VLOOKUP(J216,Eras!$A$2:$C$10, 2, TRUE())</f>
        <v>dsl</v>
      </c>
      <c r="CB216" s="0" t="s">
        <v>474</v>
      </c>
      <c r="CC216" s="0" t="str">
        <f aca="false">CONCATENATE(CA216,"_",CB216)</f>
        <v>dsl_Express</v>
      </c>
      <c r="CD216" s="0" t="str">
        <f aca="false">_xlfn.CONCAT(H216, "_",I216)</f>
        <v>diesel_RAIL</v>
      </c>
      <c r="CE216" s="6" t="str">
        <f aca="false" t="array" ref="CE216:CE216">_xlfn.CONCAT("{BLACK}Length: {GOLD}", TEXT(ROUNDUP(IF(AQ216&lt;&gt;"",SUM(VALUE(_xlfn.TEXTSPLIT(AQ216, ","))), SUM(VALUE(_xlfn.TEXTSPLIT(AN216, ",")))*IF(M216, M216, 1))/16, 1), "#,##0.0"), " tiles{}")</f>
        <v>{BLACK}Length: {GOLD}0.8 tiles{}</v>
      </c>
      <c r="CF216" s="0" t="str">
        <f aca="false">VLOOKUP($CD216, Constants!$M:$N, 2, FALSE())</f>
        <v>{BLACK}Powered by: {GOLD}Diesel</v>
      </c>
      <c r="CG216" s="0" t="str">
        <f aca="false">IF(M216&gt;1,_xlfn.CONCAT("{BLACK}Cars: {GOLD}", M216),"")</f>
        <v/>
      </c>
      <c r="CH216" s="0" t="s">
        <v>764</v>
      </c>
      <c r="CI216" s="0" t="str">
        <f aca="false">IF($BU216="!param_no_gameplay_units","{GREEN}Included for gameplay purposes","")</f>
        <v/>
      </c>
      <c r="CJ216" s="0" t="str">
        <f aca="false">IF(BX216="buffet","{YELLOW}25% long distance bonus for consist{}",IF(BZ216="BRAKE","{YELLOW}Speed bonus for slow wagons{}",IF(BW216&gt;190,CONCATENATE("{YELLOW}",INT((BW216-185)/1.85),"% bonus for long distance travel{}"),IF(AND(BW216&lt;180,BW216&lt;&gt;0),CONCATENATE("{YELLOW}",INT((185-BW216)/1.85),"% penalty for long distance travel{}"),""))))</f>
        <v/>
      </c>
      <c r="CK216" s="0" t="str">
        <f aca="false">_xlfn.CONCAT(CF216,IF(CF216&lt;&gt;""," ",""),CG216,IF(OR(CG216&lt;&gt;"",CF216&lt;&gt;""),"{}",""),CE216,CJ216,"{SILVER}",CH216,IF(CI216&lt;&gt;"","{}{}",""),CI216)</f>
        <v>{BLACK}Powered by: {GOLD}Diesel {}{BLACK}Length: {GOLD}0.8 tiles{}{SILVER}The Class 50 hauled express services on the West Coast Main Line until electrification, at which point they were used to replace diesel-hydraulic engines in the Western Region.</v>
      </c>
    </row>
    <row r="217" customFormat="false" ht="14.25" hidden="false" customHeight="false" outlineLevel="0" collapsed="false">
      <c r="A217" s="0" t="s">
        <v>765</v>
      </c>
      <c r="B217" s="15" t="s">
        <v>766</v>
      </c>
      <c r="C217" s="0" t="n">
        <v>202</v>
      </c>
      <c r="E217" s="0" t="n">
        <v>105</v>
      </c>
      <c r="F217" s="0" t="s">
        <v>143</v>
      </c>
      <c r="G217" s="0" t="s">
        <v>445</v>
      </c>
      <c r="H217" s="0" t="s">
        <v>529</v>
      </c>
      <c r="I217" s="0" t="s">
        <v>530</v>
      </c>
      <c r="J217" s="0" t="n">
        <v>1973</v>
      </c>
      <c r="K217" s="0" t="n">
        <v>1975</v>
      </c>
      <c r="L217" s="0" t="n">
        <v>2006</v>
      </c>
      <c r="N217" s="0" t="n">
        <v>5000</v>
      </c>
      <c r="W217" s="0" t="n">
        <v>81</v>
      </c>
      <c r="Z217" s="0" t="n">
        <v>258</v>
      </c>
      <c r="AA217" s="3" t="n">
        <f aca="false">IF(AND(W217&gt;0,Z217&gt;0),(Z217/((W217+X217)*10)),"")</f>
        <v>0.318518518518519</v>
      </c>
      <c r="AB217" s="0" t="n">
        <v>110</v>
      </c>
      <c r="AC217" s="0" t="n">
        <f aca="false">ROUND(AB217*1.6, 0)</f>
        <v>176</v>
      </c>
      <c r="AF217" s="0" t="n">
        <v>17.83</v>
      </c>
      <c r="AG217" s="0" t="n">
        <v>17.83</v>
      </c>
      <c r="AI217" s="0" t="n">
        <v>3.77</v>
      </c>
      <c r="AJ217" s="4" t="n">
        <v>0</v>
      </c>
      <c r="AK217" s="0" t="str">
        <f aca="false">CONCATENATE(VLOOKUP(AL217, 'Voxel Sizes'!$A$2:$B$18,2,FALSE()),"x",INT(AH217*15), "x", INT(AI217*15))</f>
        <v>164x0x56</v>
      </c>
      <c r="AL217" s="0" t="n">
        <f aca="false">ROUND(15*((AG217*10)/256),0)</f>
        <v>10</v>
      </c>
      <c r="AN217" s="0" t="str">
        <f aca="false">CONCATENATE(VLOOKUP(AL217,Constants!$A$2:$C$16,IF(AM217&lt;&gt;"", 3, 2), FALSE()),IF(AM217&lt;&gt;"",CONCATENATE(",",VLOOKUP(AM217,$B:$AN,39,FALSE())),""))</f>
        <v>4,2,4</v>
      </c>
      <c r="AX217" s="0" t="n">
        <v>30</v>
      </c>
      <c r="AY217" s="16" t="n">
        <f aca="false">IF(L217&lt;&gt;"",MAX(16,(L217-J217)+8),"")</f>
        <v>41</v>
      </c>
      <c r="BB217" s="0" t="n">
        <f aca="false">MIN(AB217/150, 1)*30</f>
        <v>22</v>
      </c>
      <c r="BC217" s="0" t="n">
        <f aca="false">MIN(N217/4000, 1)*20</f>
        <v>20</v>
      </c>
      <c r="BD217" s="0" t="n">
        <f aca="false">MIN(Z217/400,1)*20</f>
        <v>12.9</v>
      </c>
      <c r="BE217" s="3" t="n">
        <f aca="false">1-(MAX(J217-1900, 0)/750)</f>
        <v>0.902666666666667</v>
      </c>
      <c r="BF217" s="0" t="n">
        <f aca="false">((MAX($M217,1)*MIN($AJ217/300,1)))*IF(G217="Wagon",50,10)</f>
        <v>0</v>
      </c>
      <c r="BG217" s="0" t="n">
        <f aca="false">VLOOKUP($H217,Constants!$I:$K, 2, FALSE())</f>
        <v>0.85</v>
      </c>
      <c r="BH217" s="0" t="n">
        <f aca="false">VLOOKUP($H217,Constants!$I:$K, 3, FALSE())*IF(AND(G217="multiple_unit",AB217&lt;110),0.75,1)</f>
        <v>2.3</v>
      </c>
      <c r="BI217" s="0" t="n">
        <f aca="false">INT(POWER(((Constants!$G$2+$BB217+$BC217+$BD217+$BF217)*$BE217)*$BH217, 1.05))+$BA217</f>
        <v>158</v>
      </c>
      <c r="BJ217" s="0" t="n">
        <f aca="false">INT(POWER((((Constants!$G$1+$BB217+$BC217+$BD217+$BF217)*($BE217))*$BG217),IF($G217="wagon",1,1.2)))+$AZ217</f>
        <v>118</v>
      </c>
      <c r="BK217" s="17" t="n">
        <f aca="false">BI217*IF($G217="wagon",62.5,781.25)</f>
        <v>123437.5</v>
      </c>
      <c r="BL217" s="17" t="n">
        <f aca="false">BJ217*IF($G217="wagon",2.73,81.25)</f>
        <v>9587.5</v>
      </c>
      <c r="BV217" s="0" t="n">
        <v>1</v>
      </c>
      <c r="CA217" s="0" t="str">
        <f aca="false">VLOOKUP(J217,Eras!$A$2:$C$10, 2, TRUE())</f>
        <v>lbr</v>
      </c>
      <c r="CB217" s="0" t="s">
        <v>689</v>
      </c>
      <c r="CC217" s="0" t="str">
        <f aca="false">CONCATENATE(CA217,"_",CB217)</f>
        <v>lbr_Express (Electric)</v>
      </c>
      <c r="CD217" s="0" t="str">
        <f aca="false">_xlfn.CONCAT(H217, "_",I217)</f>
        <v>electric_ELRL</v>
      </c>
      <c r="CE217" s="6" t="str">
        <f aca="false" t="array" ref="CE217:CE217">_xlfn.CONCAT("{BLACK}Length: {GOLD}", TEXT(ROUNDUP(IF(AQ217&lt;&gt;"",SUM(VALUE(_xlfn.TEXTSPLIT(AQ217, ","))), SUM(VALUE(_xlfn.TEXTSPLIT(AN217, ",")))*IF(M217, M217, 1))/16, 1), "#,##0.0"), " tiles{}")</f>
        <v>{BLACK}Length: {GOLD}0.7 tiles{}</v>
      </c>
      <c r="CF217" s="0" t="str">
        <f aca="false">VLOOKUP($CD217, Constants!$M:$N, 2, FALSE())</f>
        <v>{BLACK}Powered by: {GOLD}25kV AC</v>
      </c>
      <c r="CG217" s="0" t="str">
        <f aca="false">IF(M217&gt;1,_xlfn.CONCAT("{BLACK}Cars: {GOLD}", M217),"")</f>
        <v/>
      </c>
      <c r="CH217" s="0" t="s">
        <v>767</v>
      </c>
      <c r="CI217" s="0" t="str">
        <f aca="false">IF($BU217="!param_no_gameplay_units","{GREEN}Included for gameplay purposes","")</f>
        <v/>
      </c>
      <c r="CJ217" s="0" t="str">
        <f aca="false">IF(BX217="buffet","{YELLOW}25% long distance bonus for consist{}",IF(BZ217="BRAKE","{YELLOW}Speed bonus for slow wagons{}",IF(BW217&gt;190,CONCATENATE("{YELLOW}",INT((BW217-185)/1.85),"% bonus for long distance travel{}"),IF(AND(BW217&lt;180,BW217&lt;&gt;0),CONCATENATE("{YELLOW}",INT((185-BW217)/1.85),"% penalty for long distance travel{}"),""))))</f>
        <v/>
      </c>
      <c r="CK217" s="0" t="str">
        <f aca="false">_xlfn.CONCAT(CF217,IF(CF217&lt;&gt;""," ",""),CG217,IF(OR(CG217&lt;&gt;"",CF217&lt;&gt;""),"{}",""),CE217,CJ217,"{SILVER}",CH217,IF(CI217&lt;&gt;"","{}{}",""),CI217)</f>
        <v>{BLACK}Powered by: {GOLD}25kV AC {}{BLACK}Length: {GOLD}0.7 tiles{}{SILVER}The Class 87 was a further development of the Class 86 with even more power and performance, serving as the flagship of the British Rail electric fleet.</v>
      </c>
    </row>
    <row r="218" customFormat="false" ht="14.25" hidden="false" customHeight="false" outlineLevel="0" collapsed="false">
      <c r="A218" s="0" t="s">
        <v>768</v>
      </c>
      <c r="B218" s="15" t="s">
        <v>769</v>
      </c>
      <c r="C218" s="0" t="n">
        <v>203</v>
      </c>
      <c r="E218" s="0" t="n">
        <v>106</v>
      </c>
      <c r="F218" s="0" t="s">
        <v>143</v>
      </c>
      <c r="G218" s="0" t="s">
        <v>445</v>
      </c>
      <c r="H218" s="0" t="s">
        <v>670</v>
      </c>
      <c r="I218" s="0" t="s">
        <v>92</v>
      </c>
      <c r="J218" s="0" t="n">
        <v>1975</v>
      </c>
      <c r="K218" s="0" t="n">
        <v>1982</v>
      </c>
      <c r="L218" s="0" t="n">
        <v>2021</v>
      </c>
      <c r="N218" s="0" t="n">
        <v>1770</v>
      </c>
      <c r="W218" s="0" t="n">
        <v>70.25</v>
      </c>
      <c r="Z218" s="0" t="n">
        <v>160</v>
      </c>
      <c r="AA218" s="3" t="n">
        <f aca="false">IF(AND(W218&gt;0,Z218&gt;0),(Z218/((W218+X218)*10)),"")</f>
        <v>0.227758007117438</v>
      </c>
      <c r="AB218" s="0" t="n">
        <v>125</v>
      </c>
      <c r="AC218" s="0" t="n">
        <f aca="false">ROUND(AB218*1.6, 0)</f>
        <v>200</v>
      </c>
      <c r="AF218" s="0" t="n">
        <v>17.79</v>
      </c>
      <c r="AG218" s="0" t="n">
        <v>17.79</v>
      </c>
      <c r="AJ218" s="4" t="n">
        <v>0</v>
      </c>
      <c r="AK218" s="0" t="str">
        <f aca="false">CONCATENATE(VLOOKUP(AL218, 'Voxel Sizes'!$A$2:$B$18,2,FALSE()),"x",INT(AH218*15), "x", INT(AI218*15))</f>
        <v>164x0x0</v>
      </c>
      <c r="AL218" s="0" t="n">
        <f aca="false">ROUND(15*((AG218*10)/256),0)</f>
        <v>10</v>
      </c>
      <c r="AN218" s="0" t="str">
        <f aca="false">CONCATENATE(VLOOKUP(AL218,Constants!$A$2:$C$16,IF(AM218&lt;&gt;"", 3, 2), FALSE()),IF(AM218&lt;&gt;"",CONCATENATE(",",VLOOKUP(AM218,$B:$AN,39,FALSE())),""))</f>
        <v>4,2,4</v>
      </c>
      <c r="AX218" s="0" t="n">
        <v>35</v>
      </c>
      <c r="AY218" s="16" t="n">
        <f aca="false">IF(L218&lt;&gt;"",MAX(16,(L218-J218)+8),"")</f>
        <v>54</v>
      </c>
      <c r="BB218" s="0" t="n">
        <f aca="false">MIN(AB218/150, 1)*30</f>
        <v>25</v>
      </c>
      <c r="BC218" s="0" t="n">
        <f aca="false">MIN(N218/4000, 1)*20</f>
        <v>8.85</v>
      </c>
      <c r="BD218" s="0" t="n">
        <f aca="false">MIN(Z218/400,1)*20</f>
        <v>8</v>
      </c>
      <c r="BE218" s="3" t="n">
        <f aca="false">1-(MAX(J218-1900, 0)/750)</f>
        <v>0.9</v>
      </c>
      <c r="BF218" s="0" t="n">
        <f aca="false">((MAX($M218,1)*MIN($AJ218/300,1)))*IF(G218="Wagon",50,10)</f>
        <v>0</v>
      </c>
      <c r="BG218" s="0" t="n">
        <f aca="false">VLOOKUP($H218,Constants!$I:$K, 2, FALSE())</f>
        <v>1</v>
      </c>
      <c r="BH218" s="0" t="n">
        <f aca="false">VLOOKUP($H218,Constants!$I:$K, 3, FALSE())*IF(AND(G218="multiple_unit",AB218&lt;110),0.75,1)</f>
        <v>2</v>
      </c>
      <c r="BI218" s="0" t="n">
        <f aca="false">INT(POWER(((Constants!$G$2+$BB218+$BC218+$BD218+$BF218)*$BE218)*$BH218, 1.05))+$BA218</f>
        <v>105</v>
      </c>
      <c r="BJ218" s="0" t="n">
        <f aca="false">INT(POWER((((Constants!$G$1+$BB218+$BC218+$BD218+$BF218)*($BE218))*$BG218),IF($G218="wagon",1,1.2)))+$AZ218</f>
        <v>112</v>
      </c>
      <c r="BK218" s="17" t="n">
        <f aca="false">BI218*IF($G218="wagon",62.5,781.25)</f>
        <v>82031.25</v>
      </c>
      <c r="BL218" s="17" t="n">
        <f aca="false">BJ218*IF($G218="wagon",2.73,81.25)</f>
        <v>9100</v>
      </c>
      <c r="BM218" s="0" t="n">
        <v>1</v>
      </c>
      <c r="BS218" s="0" t="n">
        <v>1</v>
      </c>
      <c r="BV218" s="0" t="n">
        <v>2</v>
      </c>
      <c r="CA218" s="0" t="str">
        <f aca="false">VLOOKUP(J218,Eras!$A$2:$C$10, 2, TRUE())</f>
        <v>lbr</v>
      </c>
      <c r="CB218" s="0" t="s">
        <v>474</v>
      </c>
      <c r="CC218" s="0" t="str">
        <f aca="false">CONCATENATE(CA218,"_",CB218)</f>
        <v>lbr_Express</v>
      </c>
      <c r="CD218" s="0" t="str">
        <f aca="false">_xlfn.CONCAT(H218, "_",I218)</f>
        <v>diesel_RAIL</v>
      </c>
      <c r="CE218" s="6" t="str">
        <f aca="false" t="array" ref="CE218:CE218">_xlfn.CONCAT("{BLACK}Length: {GOLD}", TEXT(ROUNDUP(IF(AQ218&lt;&gt;"",SUM(VALUE(_xlfn.TEXTSPLIT(AQ218, ","))), SUM(VALUE(_xlfn.TEXTSPLIT(AN218, ",")))*IF(M218, M218, 1))/16, 1), "#,##0.0"), " tiles{}")</f>
        <v>{BLACK}Length: {GOLD}0.7 tiles{}</v>
      </c>
      <c r="CF218" s="0" t="str">
        <f aca="false">VLOOKUP($CD218, Constants!$M:$N, 2, FALSE())</f>
        <v>{BLACK}Powered by: {GOLD}Diesel</v>
      </c>
      <c r="CG218" s="0" t="str">
        <f aca="false">IF(M218&gt;1,_xlfn.CONCAT("{BLACK}Cars: {GOLD}", M218),"")</f>
        <v/>
      </c>
      <c r="CH218" s="0" t="s">
        <v>770</v>
      </c>
      <c r="CI218" s="0" t="str">
        <f aca="false">IF($BU218="!param_no_gameplay_units","{GREEN}Included for gameplay purposes","")</f>
        <v/>
      </c>
      <c r="CJ218" s="0" t="str">
        <f aca="false">IF(BX218="buffet","{YELLOW}25% long distance bonus for consist{}",IF(BZ218="BRAKE","{YELLOW}Speed bonus for slow wagons{}",IF(BW218&gt;190,CONCATENATE("{YELLOW}",INT((BW218-185)/1.85),"% bonus for long distance travel{}"),IF(AND(BW218&lt;180,BW218&lt;&gt;0),CONCATENATE("{YELLOW}",INT((185-BW218)/1.85),"% penalty for long distance travel{}"),""))))</f>
        <v/>
      </c>
      <c r="CK218" s="0" t="str">
        <f aca="false">_xlfn.CONCAT(CF218,IF(CF218&lt;&gt;""," ",""),CG218,IF(OR(CG218&lt;&gt;"",CF218&lt;&gt;""),"{}",""),CE218,CJ218,"{SILVER}",CH218,IF(CI218&lt;&gt;"","{}{}",""),CI218)</f>
        <v>{BLACK}Powered by: {GOLD}Diesel {}{BLACK}Length: {GOLD}0.7 tiles{}{SILVER}The Class 43 HST is a high-speed diesel-electric locomotive, also known as the Intercity 125 for its 125mph service speed and intended use on long routes between cities.</v>
      </c>
    </row>
    <row r="219" customFormat="false" ht="14.25" hidden="false" customHeight="false" outlineLevel="0" collapsed="false">
      <c r="A219" s="0" t="s">
        <v>771</v>
      </c>
      <c r="B219" s="15" t="s">
        <v>772</v>
      </c>
      <c r="C219" s="0" t="n">
        <v>204</v>
      </c>
      <c r="E219" s="0" t="n">
        <v>107</v>
      </c>
      <c r="F219" s="0" t="s">
        <v>143</v>
      </c>
      <c r="G219" s="0" t="s">
        <v>445</v>
      </c>
      <c r="H219" s="0" t="s">
        <v>670</v>
      </c>
      <c r="I219" s="0" t="s">
        <v>92</v>
      </c>
      <c r="J219" s="0" t="n">
        <v>1976</v>
      </c>
      <c r="K219" s="0" t="n">
        <v>1984</v>
      </c>
      <c r="N219" s="0" t="n">
        <v>3250</v>
      </c>
      <c r="W219" s="0" t="n">
        <v>125</v>
      </c>
      <c r="Z219" s="0" t="n">
        <v>275</v>
      </c>
      <c r="AA219" s="3" t="n">
        <f aca="false">IF(AND(W219&gt;0,Z219&gt;0),(Z219/((W219+X219)*10)),"")</f>
        <v>0.22</v>
      </c>
      <c r="AB219" s="0" t="n">
        <v>80</v>
      </c>
      <c r="AC219" s="0" t="n">
        <f aca="false">ROUND(AB219*1.6, 0)</f>
        <v>128</v>
      </c>
      <c r="AF219" s="0" t="n">
        <v>19.35</v>
      </c>
      <c r="AG219" s="0" t="n">
        <v>19.35</v>
      </c>
      <c r="AI219" s="0" t="n">
        <v>3.89</v>
      </c>
      <c r="AJ219" s="4" t="n">
        <v>0</v>
      </c>
      <c r="AK219" s="0" t="str">
        <f aca="false">CONCATENATE(VLOOKUP(AL219, 'Voxel Sizes'!$A$2:$B$18,2,FALSE()),"x",INT(AH219*15), "x", INT(AI219*15))</f>
        <v>186x0x58</v>
      </c>
      <c r="AL219" s="0" t="n">
        <f aca="false">ROUND(15*((AG219*10)/256),0)</f>
        <v>11</v>
      </c>
      <c r="AN219" s="0" t="str">
        <f aca="false">CONCATENATE(VLOOKUP(AL219,Constants!$A$2:$C$16,IF(AM219&lt;&gt;"", 3, 2), FALSE()),IF(AM219&lt;&gt;"",CONCATENATE(",",VLOOKUP(AM219,$B:$AN,39,FALSE())),""))</f>
        <v>4,3,4</v>
      </c>
      <c r="AX219" s="0" t="n">
        <v>30</v>
      </c>
      <c r="AY219" s="16" t="str">
        <f aca="false">IF(L219&lt;&gt;"",MAX(16,(L219-J219)+8),"")</f>
        <v/>
      </c>
      <c r="BB219" s="0" t="n">
        <f aca="false">MIN(AB219/150, 1)*30</f>
        <v>16</v>
      </c>
      <c r="BC219" s="0" t="n">
        <f aca="false">MIN(N219/4000, 1)*20</f>
        <v>16.25</v>
      </c>
      <c r="BD219" s="0" t="n">
        <f aca="false">MIN(Z219/400,1)*20</f>
        <v>13.75</v>
      </c>
      <c r="BE219" s="3" t="n">
        <f aca="false">1-(MAX(J219-1900, 0)/750)</f>
        <v>0.898666666666667</v>
      </c>
      <c r="BF219" s="0" t="n">
        <f aca="false">((MAX($M219,1)*MIN($AJ219/300,1)))*IF(G219="Wagon",50,10)</f>
        <v>0</v>
      </c>
      <c r="BG219" s="0" t="n">
        <f aca="false">VLOOKUP($H219,Constants!$I:$K, 2, FALSE())</f>
        <v>1</v>
      </c>
      <c r="BH219" s="0" t="n">
        <f aca="false">VLOOKUP($H219,Constants!$I:$K, 3, FALSE())*IF(AND(G219="multiple_unit",AB219&lt;110),0.75,1)</f>
        <v>2</v>
      </c>
      <c r="BI219" s="0" t="n">
        <f aca="false">INT(POWER(((Constants!$G$2+$BB219+$BC219+$BD219+$BF219)*$BE219)*$BH219, 1.05))+$BA219</f>
        <v>114</v>
      </c>
      <c r="BJ219" s="0" t="n">
        <f aca="false">INT(POWER((((Constants!$G$1+$BB219+$BC219+$BD219+$BF219)*($BE219))*$BG219),IF($G219="wagon",1,1.2)))+$AZ219</f>
        <v>122</v>
      </c>
      <c r="BK219" s="17" t="n">
        <f aca="false">BI219*IF($G219="wagon",62.5,781.25)</f>
        <v>89062.5</v>
      </c>
      <c r="BL219" s="17" t="n">
        <f aca="false">BJ219*IF($G219="wagon",2.73,81.25)</f>
        <v>9912.5</v>
      </c>
      <c r="BV219" s="0" t="n">
        <v>3</v>
      </c>
      <c r="CA219" s="0" t="str">
        <f aca="false">VLOOKUP(J219,Eras!$A$2:$C$10, 2, TRUE())</f>
        <v>lbr</v>
      </c>
      <c r="CB219" s="0" t="s">
        <v>478</v>
      </c>
      <c r="CC219" s="0" t="str">
        <f aca="false">CONCATENATE(CA219,"_",CB219)</f>
        <v>lbr_Freight</v>
      </c>
      <c r="CD219" s="0" t="str">
        <f aca="false">_xlfn.CONCAT(H219, "_",I219)</f>
        <v>diesel_RAIL</v>
      </c>
      <c r="CE219" s="6" t="str">
        <f aca="false" t="array" ref="CE219:CE219">_xlfn.CONCAT("{BLACK}Length: {GOLD}", TEXT(ROUNDUP(IF(AQ219&lt;&gt;"",SUM(VALUE(_xlfn.TEXTSPLIT(AQ219, ","))), SUM(VALUE(_xlfn.TEXTSPLIT(AN219, ",")))*IF(M219, M219, 1))/16, 1), "#,##0.0"), " tiles{}")</f>
        <v>{BLACK}Length: {GOLD}0.7 tiles{}</v>
      </c>
      <c r="CF219" s="0" t="str">
        <f aca="false">VLOOKUP($CD219, Constants!$M:$N, 2, FALSE())</f>
        <v>{BLACK}Powered by: {GOLD}Diesel</v>
      </c>
      <c r="CG219" s="0" t="str">
        <f aca="false">IF(M219&gt;1,_xlfn.CONCAT("{BLACK}Cars: {GOLD}", M219),"")</f>
        <v/>
      </c>
      <c r="CH219" s="0" t="s">
        <v>773</v>
      </c>
      <c r="CI219" s="0" t="str">
        <f aca="false">IF($BU219="!param_no_gameplay_units","{GREEN}Included for gameplay purposes","")</f>
        <v/>
      </c>
      <c r="CJ219" s="0" t="str">
        <f aca="false">IF(BX219="buffet","{YELLOW}25% long distance bonus for consist{}",IF(BZ219="BRAKE","{YELLOW}Speed bonus for slow wagons{}",IF(BW219&gt;190,CONCATENATE("{YELLOW}",INT((BW219-185)/1.85),"% bonus for long distance travel{}"),IF(AND(BW219&lt;180,BW219&lt;&gt;0),CONCATENATE("{YELLOW}",INT((185-BW219)/1.85),"% penalty for long distance travel{}"),""))))</f>
        <v/>
      </c>
      <c r="CK219" s="0" t="str">
        <f aca="false">_xlfn.CONCAT(CF219,IF(CF219&lt;&gt;""," ",""),CG219,IF(OR(CG219&lt;&gt;"",CF219&lt;&gt;""),"{}",""),CE219,CJ219,"{SILVER}",CH219,IF(CI219&lt;&gt;"","{}{}",""),CI219)</f>
        <v>{BLACK}Powered by: {GOLD}Diesel {}{BLACK}Length: {GOLD}0.7 tiles{}{SILVER}The Class 56 is designed for heavy freight work. It contains many improvements to the electric drivetrain compared to earlier diesel-electric locomotives, making it more reliable and easier to operate.</v>
      </c>
    </row>
    <row r="220" customFormat="false" ht="14.25" hidden="false" customHeight="false" outlineLevel="0" collapsed="false">
      <c r="A220" s="0" t="s">
        <v>774</v>
      </c>
      <c r="B220" s="15" t="s">
        <v>775</v>
      </c>
      <c r="C220" s="0" t="n">
        <v>205</v>
      </c>
      <c r="E220" s="0" t="n">
        <v>108</v>
      </c>
      <c r="F220" s="0" t="s">
        <v>143</v>
      </c>
      <c r="G220" s="0" t="s">
        <v>445</v>
      </c>
      <c r="H220" s="0" t="s">
        <v>670</v>
      </c>
      <c r="I220" s="0" t="s">
        <v>92</v>
      </c>
      <c r="J220" s="0" t="n">
        <v>1983</v>
      </c>
      <c r="K220" s="0" t="n">
        <v>1987</v>
      </c>
      <c r="N220" s="0" t="n">
        <v>3300</v>
      </c>
      <c r="W220" s="0" t="n">
        <v>130</v>
      </c>
      <c r="Z220" s="0" t="n">
        <v>267</v>
      </c>
      <c r="AA220" s="3" t="n">
        <f aca="false">IF(AND(W220&gt;0,Z220&gt;0),(Z220/((W220+X220)*10)),"")</f>
        <v>0.205384615384615</v>
      </c>
      <c r="AB220" s="0" t="n">
        <v>80</v>
      </c>
      <c r="AC220" s="0" t="n">
        <f aca="false">ROUND(AB220*1.6, 0)</f>
        <v>128</v>
      </c>
      <c r="AF220" s="0" t="n">
        <v>19.13</v>
      </c>
      <c r="AG220" s="0" t="n">
        <v>19.13</v>
      </c>
      <c r="AI220" s="0" t="n">
        <v>3.91</v>
      </c>
      <c r="AJ220" s="4" t="n">
        <v>0</v>
      </c>
      <c r="AK220" s="0" t="str">
        <f aca="false">CONCATENATE(VLOOKUP(AL220, 'Voxel Sizes'!$A$2:$B$18,2,FALSE()),"x",INT(AH220*15), "x", INT(AI220*15))</f>
        <v>186x0x58</v>
      </c>
      <c r="AL220" s="0" t="n">
        <f aca="false">ROUND(15*((AG220*10)/256),0)</f>
        <v>11</v>
      </c>
      <c r="AN220" s="0" t="str">
        <f aca="false">CONCATENATE(VLOOKUP(AL220,Constants!$A$2:$C$16,IF(AM220&lt;&gt;"", 3, 2), FALSE()),IF(AM220&lt;&gt;"",CONCATENATE(",",VLOOKUP(AM220,$B:$AN,39,FALSE())),""))</f>
        <v>4,3,4</v>
      </c>
      <c r="AX220" s="0" t="n">
        <v>30</v>
      </c>
      <c r="AY220" s="16" t="str">
        <f aca="false">IF(L220&lt;&gt;"",MAX(16,(L220-J220)+8),"")</f>
        <v/>
      </c>
      <c r="BB220" s="0" t="n">
        <f aca="false">MIN(AB220/150, 1)*30</f>
        <v>16</v>
      </c>
      <c r="BC220" s="0" t="n">
        <f aca="false">MIN(N220/4000, 1)*20</f>
        <v>16.5</v>
      </c>
      <c r="BD220" s="0" t="n">
        <f aca="false">MIN(Z220/400,1)*20</f>
        <v>13.35</v>
      </c>
      <c r="BE220" s="3" t="n">
        <f aca="false">1-(MAX(J220-1900, 0)/750)</f>
        <v>0.889333333333333</v>
      </c>
      <c r="BF220" s="0" t="n">
        <f aca="false">((MAX($M220,1)*MIN($AJ220/300,1)))*IF(G220="Wagon",50,10)</f>
        <v>0</v>
      </c>
      <c r="BG220" s="0" t="n">
        <f aca="false">VLOOKUP($H220,Constants!$I:$K, 2, FALSE())</f>
        <v>1</v>
      </c>
      <c r="BH220" s="0" t="n">
        <f aca="false">VLOOKUP($H220,Constants!$I:$K, 3, FALSE())*IF(AND(G220="multiple_unit",AB220&lt;110),0.75,1)</f>
        <v>2</v>
      </c>
      <c r="BI220" s="0" t="n">
        <f aca="false">INT(POWER(((Constants!$G$2+$BB220+$BC220+$BD220+$BF220)*$BE220)*$BH220, 1.05))+$BA220</f>
        <v>113</v>
      </c>
      <c r="BJ220" s="0" t="n">
        <f aca="false">INT(POWER((((Constants!$G$1+$BB220+$BC220+$BD220+$BF220)*($BE220))*$BG220),IF($G220="wagon",1,1.2)))+$AZ220</f>
        <v>120</v>
      </c>
      <c r="BK220" s="17" t="n">
        <f aca="false">BI220*IF($G220="wagon",62.5,781.25)</f>
        <v>88281.25</v>
      </c>
      <c r="BL220" s="17" t="n">
        <f aca="false">BJ220*IF($G220="wagon",2.73,81.25)</f>
        <v>9750</v>
      </c>
      <c r="BV220" s="0" t="n">
        <v>4</v>
      </c>
      <c r="CA220" s="0" t="str">
        <f aca="false">VLOOKUP(J220,Eras!$A$2:$C$10, 2, TRUE())</f>
        <v>lbr</v>
      </c>
      <c r="CB220" s="0" t="s">
        <v>478</v>
      </c>
      <c r="CC220" s="0" t="str">
        <f aca="false">CONCATENATE(CA220,"_",CB220)</f>
        <v>lbr_Freight</v>
      </c>
      <c r="CD220" s="0" t="str">
        <f aca="false">_xlfn.CONCAT(H220, "_",I220)</f>
        <v>diesel_RAIL</v>
      </c>
      <c r="CE220" s="6" t="str">
        <f aca="false" t="array" ref="CE220:CE220">_xlfn.CONCAT("{BLACK}Length: {GOLD}", TEXT(ROUNDUP(IF(AQ220&lt;&gt;"",SUM(VALUE(_xlfn.TEXTSPLIT(AQ220, ","))), SUM(VALUE(_xlfn.TEXTSPLIT(AN220, ",")))*IF(M220, M220, 1))/16, 1), "#,##0.0"), " tiles{}")</f>
        <v>{BLACK}Length: {GOLD}0.7 tiles{}</v>
      </c>
      <c r="CF220" s="0" t="str">
        <f aca="false">VLOOKUP($CD220, Constants!$M:$N, 2, FALSE())</f>
        <v>{BLACK}Powered by: {GOLD}Diesel</v>
      </c>
      <c r="CG220" s="0" t="str">
        <f aca="false">IF(M220&gt;1,_xlfn.CONCAT("{BLACK}Cars: {GOLD}", M220),"")</f>
        <v/>
      </c>
      <c r="CH220" s="0" t="s">
        <v>776</v>
      </c>
      <c r="CI220" s="0" t="str">
        <f aca="false">IF($BU220="!param_no_gameplay_units","{GREEN}Included for gameplay purposes","")</f>
        <v/>
      </c>
      <c r="CJ220" s="0" t="str">
        <f aca="false">IF(BX220="buffet","{YELLOW}25% long distance bonus for consist{}",IF(BZ220="BRAKE","{YELLOW}Speed bonus for slow wagons{}",IF(BW220&gt;190,CONCATENATE("{YELLOW}",INT((BW220-185)/1.85),"% bonus for long distance travel{}"),IF(AND(BW220&lt;180,BW220&lt;&gt;0),CONCATENATE("{YELLOW}",INT((185-BW220)/1.85),"% penalty for long distance travel{}"),""))))</f>
        <v/>
      </c>
      <c r="CK220" s="0" t="str">
        <f aca="false">_xlfn.CONCAT(CF220,IF(CF220&lt;&gt;""," ",""),CG220,IF(OR(CG220&lt;&gt;"",CF220&lt;&gt;""),"{}",""),CE220,CJ220,"{SILVER}",CH220,IF(CI220&lt;&gt;"","{}{}",""),CI220)</f>
        <v>{BLACK}Powered by: {GOLD}Diesel {}{BLACK}Length: {GOLD}0.7 tiles{}{SILVER}The Class 58 used a modular design with replaceable modules mounted to an underframe. It was nicknamed "Bone" after the narrow central section.</v>
      </c>
    </row>
    <row r="221" customFormat="false" ht="14.25" hidden="false" customHeight="false" outlineLevel="0" collapsed="false">
      <c r="A221" s="0" t="s">
        <v>777</v>
      </c>
      <c r="B221" s="15" t="s">
        <v>778</v>
      </c>
      <c r="C221" s="0" t="n">
        <v>206</v>
      </c>
      <c r="E221" s="0" t="n">
        <v>109</v>
      </c>
      <c r="F221" s="0" t="s">
        <v>143</v>
      </c>
      <c r="G221" s="0" t="s">
        <v>445</v>
      </c>
      <c r="H221" s="0" t="s">
        <v>670</v>
      </c>
      <c r="I221" s="0" t="s">
        <v>92</v>
      </c>
      <c r="J221" s="0" t="n">
        <v>1985</v>
      </c>
      <c r="K221" s="0" t="n">
        <v>1995</v>
      </c>
      <c r="N221" s="0" t="n">
        <v>3300</v>
      </c>
      <c r="W221" s="0" t="n">
        <v>126</v>
      </c>
      <c r="Z221" s="0" t="n">
        <v>290</v>
      </c>
      <c r="AA221" s="3" t="n">
        <f aca="false">IF(AND(W221&gt;0,Z221&gt;0),(Z221/((W221+X221)*10)),"")</f>
        <v>0.23015873015873</v>
      </c>
      <c r="AB221" s="0" t="n">
        <v>75</v>
      </c>
      <c r="AC221" s="0" t="n">
        <f aca="false">ROUND(AB221*1.6, 0)</f>
        <v>120</v>
      </c>
      <c r="AF221" s="0" t="n">
        <v>21.4</v>
      </c>
      <c r="AG221" s="0" t="n">
        <v>21.4</v>
      </c>
      <c r="AI221" s="0" t="n">
        <v>3.91</v>
      </c>
      <c r="AJ221" s="4" t="n">
        <v>0</v>
      </c>
      <c r="AK221" s="0" t="str">
        <f aca="false">CONCATENATE(VLOOKUP(AL221, 'Voxel Sizes'!$A$2:$B$18,2,FALSE()),"x",INT(AH221*15), "x", INT(AI221*15))</f>
        <v>214x0x58</v>
      </c>
      <c r="AL221" s="0" t="n">
        <f aca="false">ROUND(15*((AG221*10)/256),0)</f>
        <v>13</v>
      </c>
      <c r="AN221" s="0" t="str">
        <f aca="false">CONCATENATE(VLOOKUP(AL221,Constants!$A$2:$C$16,IF(AM221&lt;&gt;"", 3, 2), FALSE()),IF(AM221&lt;&gt;"",CONCATENATE(",",VLOOKUP(AM221,$B:$AN,39,FALSE())),""))</f>
        <v>4,5,4</v>
      </c>
      <c r="AX221" s="0" t="n">
        <v>30</v>
      </c>
      <c r="AY221" s="16" t="str">
        <f aca="false">IF(L221&lt;&gt;"",MAX(16,(L221-J221)+8),"")</f>
        <v/>
      </c>
      <c r="BB221" s="0" t="n">
        <f aca="false">MIN(AB221/150, 1)*30</f>
        <v>15</v>
      </c>
      <c r="BC221" s="0" t="n">
        <f aca="false">MIN(N221/4000, 1)*20</f>
        <v>16.5</v>
      </c>
      <c r="BD221" s="0" t="n">
        <f aca="false">MIN(Z221/400,1)*20</f>
        <v>14.5</v>
      </c>
      <c r="BE221" s="3" t="n">
        <f aca="false">1-(MAX(J221-1900, 0)/750)</f>
        <v>0.886666666666667</v>
      </c>
      <c r="BF221" s="0" t="n">
        <f aca="false">((MAX($M221,1)*MIN($AJ221/300,1)))*IF(G221="Wagon",50,10)</f>
        <v>0</v>
      </c>
      <c r="BG221" s="0" t="n">
        <f aca="false">VLOOKUP($H221,Constants!$I:$K, 2, FALSE())</f>
        <v>1</v>
      </c>
      <c r="BH221" s="0" t="n">
        <f aca="false">VLOOKUP($H221,Constants!$I:$K, 3, FALSE())*IF(AND(G221="multiple_unit",AB221&lt;110),0.75,1)</f>
        <v>2</v>
      </c>
      <c r="BI221" s="0" t="n">
        <f aca="false">INT(POWER(((Constants!$G$2+$BB221+$BC221+$BD221+$BF221)*$BE221)*$BH221, 1.05))+$BA221</f>
        <v>113</v>
      </c>
      <c r="BJ221" s="0" t="n">
        <f aca="false">INT(POWER((((Constants!$G$1+$BB221+$BC221+$BD221+$BF221)*($BE221))*$BG221),IF($G221="wagon",1,1.2)))+$AZ221</f>
        <v>120</v>
      </c>
      <c r="BK221" s="17" t="n">
        <f aca="false">BI221*IF($G221="wagon",62.5,781.25)</f>
        <v>88281.25</v>
      </c>
      <c r="BL221" s="17" t="n">
        <f aca="false">BJ221*IF($G221="wagon",2.73,81.25)</f>
        <v>9750</v>
      </c>
      <c r="BV221" s="0" t="n">
        <v>5</v>
      </c>
      <c r="CA221" s="0" t="str">
        <f aca="false">VLOOKUP(J221,Eras!$A$2:$C$10, 2, TRUE())</f>
        <v>lbr</v>
      </c>
      <c r="CB221" s="0" t="s">
        <v>478</v>
      </c>
      <c r="CC221" s="0" t="str">
        <f aca="false">CONCATENATE(CA221,"_",CB221)</f>
        <v>lbr_Freight</v>
      </c>
      <c r="CD221" s="0" t="str">
        <f aca="false">_xlfn.CONCAT(H221, "_",I221)</f>
        <v>diesel_RAIL</v>
      </c>
      <c r="CE221" s="6" t="str">
        <f aca="false" t="array" ref="CE221:CE221">_xlfn.CONCAT("{BLACK}Length: {GOLD}", TEXT(ROUNDUP(IF(AQ221&lt;&gt;"",SUM(VALUE(_xlfn.TEXTSPLIT(AQ221, ","))), SUM(VALUE(_xlfn.TEXTSPLIT(AN221, ",")))*IF(M221, M221, 1))/16, 1), "#,##0.0"), " tiles{}")</f>
        <v>{BLACK}Length: {GOLD}0.9 tiles{}</v>
      </c>
      <c r="CF221" s="0" t="str">
        <f aca="false">VLOOKUP($CD221, Constants!$M:$N, 2, FALSE())</f>
        <v>{BLACK}Powered by: {GOLD}Diesel</v>
      </c>
      <c r="CG221" s="0" t="str">
        <f aca="false">IF(M221&gt;1,_xlfn.CONCAT("{BLACK}Cars: {GOLD}", M221),"")</f>
        <v/>
      </c>
      <c r="CH221" s="0" t="s">
        <v>779</v>
      </c>
      <c r="CI221" s="0" t="str">
        <f aca="false">IF($BU221="!param_no_gameplay_units","{GREEN}Included for gameplay purposes","")</f>
        <v/>
      </c>
      <c r="CJ221" s="0" t="str">
        <f aca="false">IF(BX221="buffet","{YELLOW}25% long distance bonus for consist{}",IF(BZ221="BRAKE","{YELLOW}Speed bonus for slow wagons{}",IF(BW221&gt;190,CONCATENATE("{YELLOW}",INT((BW221-185)/1.85),"% bonus for long distance travel{}"),IF(AND(BW221&lt;180,BW221&lt;&gt;0),CONCATENATE("{YELLOW}",INT((185-BW221)/1.85),"% penalty for long distance travel{}"),""))))</f>
        <v/>
      </c>
      <c r="CK221" s="0" t="str">
        <f aca="false">_xlfn.CONCAT(CF221,IF(CF221&lt;&gt;""," ",""),CG221,IF(OR(CG221&lt;&gt;"",CF221&lt;&gt;""),"{}",""),CE221,CJ221,"{SILVER}",CH221,IF(CI221&lt;&gt;"","{}{}",""),CI221)</f>
        <v>{BLACK}Powered by: {GOLD}Diesel {}{BLACK}Length: {GOLD}0.9 tiles{}{SILVER}The Class 59 is the first US-built locomotive to operate in mainland Great Britain. It is derived from the SD40, with a British cab layout.</v>
      </c>
    </row>
    <row r="222" customFormat="false" ht="14.25" hidden="false" customHeight="false" outlineLevel="0" collapsed="false">
      <c r="A222" s="0" t="s">
        <v>780</v>
      </c>
      <c r="B222" s="15" t="s">
        <v>781</v>
      </c>
      <c r="C222" s="0" t="n">
        <v>207</v>
      </c>
      <c r="E222" s="0" t="n">
        <v>110</v>
      </c>
      <c r="F222" s="0" t="s">
        <v>143</v>
      </c>
      <c r="G222" s="0" t="s">
        <v>445</v>
      </c>
      <c r="H222" s="0" t="s">
        <v>529</v>
      </c>
      <c r="I222" s="0" t="s">
        <v>530</v>
      </c>
      <c r="J222" s="0" t="n">
        <v>1986</v>
      </c>
      <c r="L222" s="0" t="n">
        <v>2001</v>
      </c>
      <c r="N222" s="0" t="n">
        <v>5850</v>
      </c>
      <c r="W222" s="0" t="n">
        <v>105</v>
      </c>
      <c r="Z222" s="0" t="n">
        <v>209</v>
      </c>
      <c r="AA222" s="3" t="n">
        <f aca="false">IF(AND(W222&gt;0,Z222&gt;0),(Z222/((W222+X222)*10)),"")</f>
        <v>0.199047619047619</v>
      </c>
      <c r="AB222" s="0" t="n">
        <v>125</v>
      </c>
      <c r="AC222" s="0" t="n">
        <f aca="false">ROUND(AB222*1.6, 0)</f>
        <v>200</v>
      </c>
      <c r="AF222" s="0" t="n">
        <v>19.79</v>
      </c>
      <c r="AG222" s="0" t="n">
        <v>19.79</v>
      </c>
      <c r="AH222" s="0" t="n">
        <v>2.73</v>
      </c>
      <c r="AI222" s="0" t="n">
        <v>3.8</v>
      </c>
      <c r="AK222" s="0" t="str">
        <f aca="false">CONCATENATE(VLOOKUP(AL222, 'Voxel Sizes'!$A$2:$B$18,2,FALSE()),"x",INT(AH222*15), "x", INT(AI222*15))</f>
        <v>198x40x57</v>
      </c>
      <c r="AL222" s="0" t="n">
        <f aca="false">ROUND(15*((AG222*10)/256),0)</f>
        <v>12</v>
      </c>
      <c r="AN222" s="0" t="str">
        <f aca="false">CONCATENATE(VLOOKUP(AL222,Constants!$A$2:$C$16,IF(AM222&lt;&gt;"", 3, 2), FALSE()),IF(AM222&lt;&gt;"",CONCATENATE(",",VLOOKUP(AM222,$B:$AN,39,FALSE())),""))</f>
        <v>4,4,4</v>
      </c>
      <c r="AX222" s="0" t="n">
        <v>24</v>
      </c>
      <c r="AY222" s="16" t="n">
        <f aca="false">IF(L222&lt;&gt;"",MAX(16,(L222-J222)+8),"")</f>
        <v>23</v>
      </c>
      <c r="AZ222" s="0" t="n">
        <v>15</v>
      </c>
      <c r="BA222" s="0" t="n">
        <v>-30</v>
      </c>
      <c r="BB222" s="0" t="n">
        <f aca="false">MIN(AB222/150, 1)*30</f>
        <v>25</v>
      </c>
      <c r="BC222" s="0" t="n">
        <f aca="false">MIN(N222/4000, 1)*20</f>
        <v>20</v>
      </c>
      <c r="BD222" s="0" t="n">
        <f aca="false">MIN(Z222/400,1)*20</f>
        <v>10.45</v>
      </c>
      <c r="BE222" s="3" t="n">
        <f aca="false">1-(MAX(J222-1900, 0)/750)</f>
        <v>0.885333333333333</v>
      </c>
      <c r="BF222" s="0" t="n">
        <f aca="false">((MAX($M222,1)*MIN($AJ222/300,1)))*IF(G222="Wagon",50,10)</f>
        <v>0</v>
      </c>
      <c r="BG222" s="0" t="n">
        <f aca="false">VLOOKUP($H222,Constants!$I:$K, 2, FALSE())</f>
        <v>0.85</v>
      </c>
      <c r="BH222" s="0" t="n">
        <f aca="false">VLOOKUP($H222,Constants!$I:$K, 3, FALSE())*IF(AND(G222="multiple_unit",AB222&lt;110),0.75,1)</f>
        <v>2.3</v>
      </c>
      <c r="BI222" s="0" t="n">
        <f aca="false">INT(POWER(((Constants!$G$2+$BB222+$BC222+$BD222+$BF222)*$BE222)*$BH222, 1.05))+$BA222</f>
        <v>126</v>
      </c>
      <c r="BJ222" s="0" t="n">
        <f aca="false">INT(POWER((((Constants!$G$1+$BB222+$BC222+$BD222+$BF222)*($BE222))*$BG222),IF($G222="wagon",1,1.2)))+$AZ222</f>
        <v>132</v>
      </c>
      <c r="BK222" s="17" t="n">
        <f aca="false">BI222*IF($G222="wagon",62.5,781.25)</f>
        <v>98437.5</v>
      </c>
      <c r="BL222" s="17" t="n">
        <f aca="false">BJ222*IF($G222="wagon",2.73,81.25)</f>
        <v>10725</v>
      </c>
      <c r="BV222" s="0" t="n">
        <v>5</v>
      </c>
      <c r="CA222" s="0" t="str">
        <f aca="false">VLOOKUP(J222,Eras!$A$2:$C$10, 2, TRUE())</f>
        <v>lbr</v>
      </c>
      <c r="CB222" s="0" t="s">
        <v>474</v>
      </c>
      <c r="CC222" s="0" t="str">
        <f aca="false">CONCATENATE(CA222,"_",CB222)</f>
        <v>lbr_Express</v>
      </c>
      <c r="CD222" s="0" t="str">
        <f aca="false">_xlfn.CONCAT(H222, "_",I222)</f>
        <v>electric_ELRL</v>
      </c>
      <c r="CE222" s="6" t="str">
        <f aca="false" t="array" ref="CE222:CE222">_xlfn.CONCAT("{BLACK}Length: {GOLD}", TEXT(ROUNDUP(IF(AQ222&lt;&gt;"",SUM(VALUE(_xlfn.TEXTSPLIT(AQ222, ","))), SUM(VALUE(_xlfn.TEXTSPLIT(AN222, ",")))*IF(M222, M222, 1))/16, 1), "#,##0.0"), " tiles{}")</f>
        <v>{BLACK}Length: {GOLD}0.8 tiles{}</v>
      </c>
      <c r="CF222" s="0" t="str">
        <f aca="false">VLOOKUP($CD222, Constants!$M:$N, 2, FALSE())</f>
        <v>{BLACK}Powered by: {GOLD}25kV AC</v>
      </c>
      <c r="CG222" s="0" t="str">
        <f aca="false">IF(M222&gt;1,_xlfn.CONCAT("{BLACK}Cars: {GOLD}", M222),"")</f>
        <v/>
      </c>
      <c r="CH222" s="0" t="s">
        <v>782</v>
      </c>
      <c r="CI222" s="0" t="str">
        <f aca="false">IF($BU222="!param_no_gameplay_units","{GREEN}Included for gameplay purposes","")</f>
        <v/>
      </c>
      <c r="CJ222" s="0" t="str">
        <f aca="false">IF(BX222="buffet","{YELLOW}25% long distance bonus for consist{}",IF(BZ222="BRAKE","{YELLOW}Speed bonus for slow wagons{}",IF(BW222&gt;190,CONCATENATE("{YELLOW}",INT((BW222-185)/1.85),"% bonus for long distance travel{}"),IF(AND(BW222&lt;180,BW222&lt;&gt;0),CONCATENATE("{YELLOW}",INT((185-BW222)/1.85),"% penalty for long distance travel{}"),""))))</f>
        <v/>
      </c>
      <c r="CK222" s="0" t="str">
        <f aca="false">_xlfn.CONCAT(CF222,IF(CF222&lt;&gt;""," ",""),CG222,IF(OR(CG222&lt;&gt;"",CF222&lt;&gt;""),"{}",""),CE222,CJ222,"{SILVER}",CH222,IF(CI222&lt;&gt;"","{}{}",""),CI222)</f>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23" customFormat="false" ht="14.25" hidden="false" customHeight="false" outlineLevel="0" collapsed="false">
      <c r="A223" s="0" t="s">
        <v>783</v>
      </c>
      <c r="B223" s="15" t="s">
        <v>784</v>
      </c>
      <c r="C223" s="0" t="n">
        <v>208</v>
      </c>
      <c r="E223" s="0" t="n">
        <v>111</v>
      </c>
      <c r="F223" s="0" t="s">
        <v>143</v>
      </c>
      <c r="G223" s="0" t="s">
        <v>445</v>
      </c>
      <c r="H223" s="0" t="s">
        <v>529</v>
      </c>
      <c r="I223" s="0" t="s">
        <v>530</v>
      </c>
      <c r="J223" s="0" t="n">
        <v>1987</v>
      </c>
      <c r="K223" s="0" t="n">
        <v>1990</v>
      </c>
      <c r="N223" s="0" t="n">
        <v>5000</v>
      </c>
      <c r="W223" s="0" t="n">
        <v>84.5</v>
      </c>
      <c r="Z223" s="0" t="n">
        <v>258</v>
      </c>
      <c r="AA223" s="3" t="n">
        <f aca="false">IF(AND(W223&gt;0,Z223&gt;0),(Z223/((W223+X223)*10)),"")</f>
        <v>0.305325443786982</v>
      </c>
      <c r="AB223" s="0" t="n">
        <v>110</v>
      </c>
      <c r="AC223" s="0" t="n">
        <f aca="false">ROUND(AB223*1.6, 0)</f>
        <v>176</v>
      </c>
      <c r="AF223" s="0" t="n">
        <v>18.75</v>
      </c>
      <c r="AG223" s="0" t="n">
        <v>18.75</v>
      </c>
      <c r="AI223" s="0" t="n">
        <v>3.96</v>
      </c>
      <c r="AJ223" s="4" t="n">
        <v>0</v>
      </c>
      <c r="AK223" s="0" t="str">
        <f aca="false">CONCATENATE(VLOOKUP(AL223, 'Voxel Sizes'!$A$2:$B$18,2,FALSE()),"x",INT(AH223*15), "x", INT(AI223*15))</f>
        <v>186x0x59</v>
      </c>
      <c r="AL223" s="0" t="n">
        <f aca="false">ROUND(15*((AG223*10)/256),0)</f>
        <v>11</v>
      </c>
      <c r="AN223" s="0" t="str">
        <f aca="false">CONCATENATE(VLOOKUP(AL223,Constants!$A$2:$C$16,IF(AM223&lt;&gt;"", 3, 2), FALSE()),IF(AM223&lt;&gt;"",CONCATENATE(",",VLOOKUP(AM223,$B:$AN,39,FALSE())),""))</f>
        <v>4,3,4</v>
      </c>
      <c r="AX223" s="0" t="n">
        <v>30</v>
      </c>
      <c r="AY223" s="16" t="str">
        <f aca="false">IF(L223&lt;&gt;"",MAX(16,(L223-J223)+8),"")</f>
        <v/>
      </c>
      <c r="BB223" s="0" t="n">
        <f aca="false">MIN(AB223/150, 1)*30</f>
        <v>22</v>
      </c>
      <c r="BC223" s="0" t="n">
        <f aca="false">MIN(N223/4000, 1)*20</f>
        <v>20</v>
      </c>
      <c r="BD223" s="0" t="n">
        <f aca="false">MIN(Z223/400,1)*20</f>
        <v>12.9</v>
      </c>
      <c r="BE223" s="3" t="n">
        <f aca="false">1-(MAX(J223-1900, 0)/750)</f>
        <v>0.884</v>
      </c>
      <c r="BF223" s="0" t="n">
        <f aca="false">((MAX($M223,1)*MIN($AJ223/300,1)))*IF(G223="Wagon",50,10)</f>
        <v>0</v>
      </c>
      <c r="BG223" s="0" t="n">
        <f aca="false">VLOOKUP($H223,Constants!$I:$K, 2, FALSE())</f>
        <v>0.85</v>
      </c>
      <c r="BH223" s="0" t="n">
        <f aca="false">VLOOKUP($H223,Constants!$I:$K, 3, FALSE())*IF(AND(G223="multiple_unit",AB223&lt;110),0.75,1)</f>
        <v>2.3</v>
      </c>
      <c r="BI223" s="0" t="n">
        <f aca="false">INT(POWER(((Constants!$G$2+$BB223+$BC223+$BD223+$BF223)*$BE223)*$BH223, 1.05))+$BA223</f>
        <v>154</v>
      </c>
      <c r="BJ223" s="0" t="n">
        <f aca="false">INT(POWER((((Constants!$G$1+$BB223+$BC223+$BD223+$BF223)*($BE223))*$BG223),IF($G223="wagon",1,1.2)))+$AZ223</f>
        <v>115</v>
      </c>
      <c r="BK223" s="17" t="n">
        <f aca="false">BI223*IF($G223="wagon",62.5,781.25)</f>
        <v>120312.5</v>
      </c>
      <c r="BL223" s="17" t="n">
        <f aca="false">BJ223*IF($G223="wagon",2.73,81.25)</f>
        <v>9343.75</v>
      </c>
      <c r="BV223" s="0" t="n">
        <v>6</v>
      </c>
      <c r="CA223" s="0" t="str">
        <f aca="false">VLOOKUP(J223,Eras!$A$2:$C$10, 2, TRUE())</f>
        <v>lbr</v>
      </c>
      <c r="CB223" s="0" t="s">
        <v>474</v>
      </c>
      <c r="CC223" s="0" t="str">
        <f aca="false">CONCATENATE(CA223,"_",CB223)</f>
        <v>lbr_Express</v>
      </c>
      <c r="CD223" s="0" t="str">
        <f aca="false">_xlfn.CONCAT(H223, "_",I223)</f>
        <v>electric_ELRL</v>
      </c>
      <c r="CE223" s="6" t="str">
        <f aca="false" t="array" ref="CE223:CE223">_xlfn.CONCAT("{BLACK}Length: {GOLD}", TEXT(ROUNDUP(IF(AQ223&lt;&gt;"",SUM(VALUE(_xlfn.TEXTSPLIT(AQ223, ","))), SUM(VALUE(_xlfn.TEXTSPLIT(AN223, ",")))*IF(M223, M223, 1))/16, 1), "#,##0.0"), " tiles{}")</f>
        <v>{BLACK}Length: {GOLD}0.7 tiles{}</v>
      </c>
      <c r="CF223" s="0" t="str">
        <f aca="false">VLOOKUP($CD223, Constants!$M:$N, 2, FALSE())</f>
        <v>{BLACK}Powered by: {GOLD}25kV AC</v>
      </c>
      <c r="CG223" s="0" t="str">
        <f aca="false">IF(M223&gt;1,_xlfn.CONCAT("{BLACK}Cars: {GOLD}", M223),"")</f>
        <v/>
      </c>
      <c r="CH223" s="0" t="s">
        <v>785</v>
      </c>
      <c r="CI223" s="0" t="str">
        <f aca="false">IF($BU223="!param_no_gameplay_units","{GREEN}Included for gameplay purposes","")</f>
        <v/>
      </c>
      <c r="CJ223" s="0" t="str">
        <f aca="false">IF(BX223="buffet","{YELLOW}25% long distance bonus for consist{}",IF(BZ223="BRAKE","{YELLOW}Speed bonus for slow wagons{}",IF(BW223&gt;190,CONCATENATE("{YELLOW}",INT((BW223-185)/1.85),"% bonus for long distance travel{}"),IF(AND(BW223&lt;180,BW223&lt;&gt;0),CONCATENATE("{YELLOW}",INT((185-BW223)/1.85),"% penalty for long distance travel{}"),""))))</f>
        <v/>
      </c>
      <c r="CK223" s="0" t="str">
        <f aca="false">_xlfn.CONCAT(CF223,IF(CF223&lt;&gt;""," ",""),CG223,IF(OR(CG223&lt;&gt;"",CF223&lt;&gt;""),"{}",""),CE223,CJ223,"{SILVER}",CH223,IF(CI223&lt;&gt;"","{}{}",""),CI223)</f>
        <v>{BLACK}Powered by: {GOLD}25kV AC {}{BLACK}Length: {GOLD}0.7 tiles{}{SILVER}The Class 90 is a powerful electric locomotive. Initially used for Intercity express services, several were also used for freight.</v>
      </c>
    </row>
    <row r="224" customFormat="false" ht="14.25" hidden="false" customHeight="false" outlineLevel="0" collapsed="false">
      <c r="A224" s="0" t="s">
        <v>786</v>
      </c>
      <c r="B224" s="15" t="s">
        <v>787</v>
      </c>
      <c r="C224" s="0" t="n">
        <v>209</v>
      </c>
      <c r="E224" s="0" t="n">
        <v>112</v>
      </c>
      <c r="F224" s="0" t="s">
        <v>143</v>
      </c>
      <c r="G224" s="0" t="s">
        <v>445</v>
      </c>
      <c r="H224" s="0" t="s">
        <v>529</v>
      </c>
      <c r="I224" s="0" t="s">
        <v>530</v>
      </c>
      <c r="J224" s="0" t="n">
        <v>1988</v>
      </c>
      <c r="K224" s="0" t="n">
        <v>1991</v>
      </c>
      <c r="N224" s="0" t="n">
        <v>6480</v>
      </c>
      <c r="W224" s="0" t="n">
        <v>81.5</v>
      </c>
      <c r="Z224" s="0" t="n">
        <v>190</v>
      </c>
      <c r="AA224" s="3" t="n">
        <f aca="false">IF(AND(W224&gt;0,Z224&gt;0),(Z224/((W224+X224)*10)),"")</f>
        <v>0.233128834355828</v>
      </c>
      <c r="AB224" s="0" t="n">
        <v>140</v>
      </c>
      <c r="AC224" s="0" t="n">
        <f aca="false">ROUND(AB224*1.6, 0)</f>
        <v>224</v>
      </c>
      <c r="AF224" s="0" t="n">
        <v>19.4</v>
      </c>
      <c r="AG224" s="0" t="n">
        <v>19.4</v>
      </c>
      <c r="AJ224" s="4" t="n">
        <v>0</v>
      </c>
      <c r="AK224" s="0" t="str">
        <f aca="false">CONCATENATE(VLOOKUP(AL224, 'Voxel Sizes'!$A$2:$B$18,2,FALSE()),"x",INT(AH224*15), "x", INT(AI224*15))</f>
        <v>186x0x0</v>
      </c>
      <c r="AL224" s="0" t="n">
        <f aca="false">ROUND(15*((AG224*10)/256),0)</f>
        <v>11</v>
      </c>
      <c r="AN224" s="0" t="str">
        <f aca="false">CONCATENATE(VLOOKUP(AL224,Constants!$A$2:$C$16,IF(AM224&lt;&gt;"", 3, 2), FALSE()),IF(AM224&lt;&gt;"",CONCATENATE(",",VLOOKUP(AM224,$B:$AN,39,FALSE())),""))</f>
        <v>4,3,4</v>
      </c>
      <c r="AX224" s="0" t="n">
        <v>27</v>
      </c>
      <c r="AY224" s="16" t="str">
        <f aca="false">IF(L224&lt;&gt;"",MAX(16,(L224-J224)+8),"")</f>
        <v/>
      </c>
      <c r="BB224" s="0" t="n">
        <f aca="false">MIN(AB224/150, 1)*30</f>
        <v>28</v>
      </c>
      <c r="BC224" s="0" t="n">
        <f aca="false">MIN(N224/4000, 1)*20</f>
        <v>20</v>
      </c>
      <c r="BD224" s="0" t="n">
        <f aca="false">MIN(Z224/400,1)*20</f>
        <v>9.5</v>
      </c>
      <c r="BE224" s="3" t="n">
        <f aca="false">1-(MAX(J224-1900, 0)/750)</f>
        <v>0.882666666666667</v>
      </c>
      <c r="BF224" s="0" t="n">
        <f aca="false">((MAX($M224,1)*MIN($AJ224/300,1)))*IF(G224="Wagon",50,10)</f>
        <v>0</v>
      </c>
      <c r="BG224" s="0" t="n">
        <f aca="false">VLOOKUP($H224,Constants!$I:$K, 2, FALSE())</f>
        <v>0.85</v>
      </c>
      <c r="BH224" s="0" t="n">
        <f aca="false">VLOOKUP($H224,Constants!$I:$K, 3, FALSE())*IF(AND(G224="multiple_unit",AB224&lt;110),0.75,1)</f>
        <v>2.3</v>
      </c>
      <c r="BI224" s="0" t="n">
        <f aca="false">INT(POWER(((Constants!$G$2+$BB224+$BC224+$BD224+$BF224)*$BE224)*$BH224, 1.05))+$BA224</f>
        <v>161</v>
      </c>
      <c r="BJ224" s="0" t="n">
        <f aca="false">INT(POWER((((Constants!$G$1+$BB224+$BC224+$BD224+$BF224)*($BE224))*$BG224),IF($G224="wagon",1,1.2)))+$AZ224</f>
        <v>120</v>
      </c>
      <c r="BK224" s="17" t="n">
        <f aca="false">BI224*IF($G224="wagon",62.5,781.25)</f>
        <v>125781.25</v>
      </c>
      <c r="BL224" s="17" t="n">
        <f aca="false">BJ224*IF($G224="wagon",2.73,81.25)</f>
        <v>9750</v>
      </c>
      <c r="BV224" s="0" t="n">
        <v>7</v>
      </c>
      <c r="CA224" s="0" t="str">
        <f aca="false">VLOOKUP(J224,Eras!$A$2:$C$10, 2, TRUE())</f>
        <v>lbr</v>
      </c>
      <c r="CB224" s="0" t="s">
        <v>689</v>
      </c>
      <c r="CC224" s="0" t="str">
        <f aca="false">CONCATENATE(CA224,"_",CB224)</f>
        <v>lbr_Express (Electric)</v>
      </c>
      <c r="CD224" s="0" t="str">
        <f aca="false">_xlfn.CONCAT(H224, "_",I224)</f>
        <v>electric_ELRL</v>
      </c>
      <c r="CE224" s="6" t="str">
        <f aca="false" t="array" ref="CE224:CE224">_xlfn.CONCAT("{BLACK}Length: {GOLD}", TEXT(ROUNDUP(IF(AQ224&lt;&gt;"",SUM(VALUE(_xlfn.TEXTSPLIT(AQ224, ","))), SUM(VALUE(_xlfn.TEXTSPLIT(AN224, ",")))*IF(M224, M224, 1))/16, 1), "#,##0.0"), " tiles{}")</f>
        <v>{BLACK}Length: {GOLD}0.7 tiles{}</v>
      </c>
      <c r="CF224" s="0" t="str">
        <f aca="false">VLOOKUP($CD224, Constants!$M:$N, 2, FALSE())</f>
        <v>{BLACK}Powered by: {GOLD}25kV AC</v>
      </c>
      <c r="CG224" s="0" t="str">
        <f aca="false">IF(M224&gt;1,_xlfn.CONCAT("{BLACK}Cars: {GOLD}", M224),"")</f>
        <v/>
      </c>
      <c r="CH224" s="0" t="s">
        <v>788</v>
      </c>
      <c r="CI224" s="0" t="str">
        <f aca="false">IF($BU224="!param_no_gameplay_units","{GREEN}Included for gameplay purposes","")</f>
        <v/>
      </c>
      <c r="CJ224" s="0" t="str">
        <f aca="false">IF(BX224="buffet","{YELLOW}25% long distance bonus for consist{}",IF(BZ224="BRAKE","{YELLOW}Speed bonus for slow wagons{}",IF(BW224&gt;190,CONCATENATE("{YELLOW}",INT((BW224-185)/1.85),"% bonus for long distance travel{}"),IF(AND(BW224&lt;180,BW224&lt;&gt;0),CONCATENATE("{YELLOW}",INT((185-BW224)/1.85),"% penalty for long distance travel{}"),""))))</f>
        <v/>
      </c>
      <c r="CK224" s="0" t="str">
        <f aca="false">_xlfn.CONCAT(CF224,IF(CF224&lt;&gt;""," ",""),CG224,IF(OR(CG224&lt;&gt;"",CF224&lt;&gt;""),"{}",""),CE224,CJ224,"{SILVER}",CH224,IF(CI224&lt;&gt;"","{}{}",""),CI224)</f>
        <v>{BLACK}Powered by: {GOLD}25kV AC {}{BLACK}Length: {GOLD}0.7 tiles{}{SILVER}The Class 91 is a high speed electric locomotive, designed for Intercity 225 services.</v>
      </c>
    </row>
    <row r="225" customFormat="false" ht="14.25" hidden="false" customHeight="false" outlineLevel="0" collapsed="false">
      <c r="A225" s="0" t="s">
        <v>789</v>
      </c>
      <c r="B225" s="15" t="s">
        <v>790</v>
      </c>
      <c r="C225" s="0" t="n">
        <v>210</v>
      </c>
      <c r="E225" s="0" t="n">
        <v>113</v>
      </c>
      <c r="F225" s="0" t="s">
        <v>143</v>
      </c>
      <c r="G225" s="0" t="s">
        <v>445</v>
      </c>
      <c r="H225" s="0" t="s">
        <v>791</v>
      </c>
      <c r="I225" s="0" t="s">
        <v>92</v>
      </c>
      <c r="J225" s="0" t="n">
        <v>1988</v>
      </c>
      <c r="K225" s="0" t="n">
        <v>1991</v>
      </c>
      <c r="N225" s="0" t="n">
        <v>100</v>
      </c>
      <c r="W225" s="0" t="n">
        <v>40</v>
      </c>
      <c r="Z225" s="0" t="n">
        <v>5</v>
      </c>
      <c r="AA225" s="3" t="n">
        <f aca="false">IF(AND(W225&gt;0,Z225&gt;0),(Z225/((W225+X225)*10)),"")</f>
        <v>0.0125</v>
      </c>
      <c r="AB225" s="0" t="n">
        <v>140</v>
      </c>
      <c r="AC225" s="0" t="n">
        <f aca="false">ROUND(AB225*1.6, 0)</f>
        <v>224</v>
      </c>
      <c r="AF225" s="0" t="n">
        <v>19.4</v>
      </c>
      <c r="AG225" s="0" t="n">
        <v>19.4</v>
      </c>
      <c r="AJ225" s="4" t="n">
        <v>36</v>
      </c>
      <c r="AK225" s="0" t="str">
        <f aca="false">CONCATENATE(VLOOKUP(AL225, 'Voxel Sizes'!$A$2:$B$18,2,FALSE()),"x",INT(AH225*15), "x", INT(AI225*15))</f>
        <v>186x0x0</v>
      </c>
      <c r="AL225" s="0" t="n">
        <f aca="false">ROUND(15*((AG225*10)/256),0)</f>
        <v>11</v>
      </c>
      <c r="AN225" s="0" t="str">
        <f aca="false">CONCATENATE(VLOOKUP(AL225,Constants!$A$2:$C$16,IF(AM225&lt;&gt;"", 3, 2), FALSE()),IF(AM225&lt;&gt;"",CONCATENATE(",",VLOOKUP(AM225,$B:$AN,39,FALSE())),""))</f>
        <v>4,3,4</v>
      </c>
      <c r="AX225" s="0" t="n">
        <v>27</v>
      </c>
      <c r="AY225" s="16" t="str">
        <f aca="false">IF(L225&lt;&gt;"",MAX(16,(L225-J225)+8),"")</f>
        <v/>
      </c>
      <c r="AZ225" s="0" t="n">
        <v>-35</v>
      </c>
      <c r="BA225" s="0" t="n">
        <v>-60</v>
      </c>
      <c r="BB225" s="0" t="n">
        <f aca="false">MIN(AB225/150, 1)*30</f>
        <v>28</v>
      </c>
      <c r="BC225" s="0" t="n">
        <f aca="false">MIN(N225/4000, 1)*20</f>
        <v>0.5</v>
      </c>
      <c r="BD225" s="0" t="n">
        <f aca="false">MIN(Z225/400,1)*20</f>
        <v>0.25</v>
      </c>
      <c r="BE225" s="3" t="n">
        <f aca="false">1-(MAX(J225-1900, 0)/750)</f>
        <v>0.882666666666667</v>
      </c>
      <c r="BF225" s="0" t="n">
        <f aca="false">((MAX($M225,1)*MIN($AJ225/300,1)))*IF(G225="Wagon",50,10)</f>
        <v>1.2</v>
      </c>
      <c r="BG225" s="0" t="n">
        <f aca="false">VLOOKUP($H225,Constants!$I:$K, 2, FALSE())</f>
        <v>0.85</v>
      </c>
      <c r="BH225" s="0" t="n">
        <f aca="false">VLOOKUP($H225,Constants!$I:$K, 3, FALSE())*IF(AND(G225="multiple_unit",AB225&lt;110),0.75,1)</f>
        <v>2.3</v>
      </c>
      <c r="BI225" s="0" t="n">
        <f aca="false">INT(POWER(((Constants!$G$2+$BB225+$BC225+$BD225+$BF225)*$BE225)*$BH225, 1.05))+$BA225</f>
        <v>27</v>
      </c>
      <c r="BJ225" s="0" t="n">
        <f aca="false">INT(POWER((((Constants!$G$1+$BB225+$BC225+$BD225+$BF225)*($BE225))*$BG225),IF($G225="wagon",1,1.2)))+$AZ225</f>
        <v>33</v>
      </c>
      <c r="BK225" s="17" t="n">
        <f aca="false">BI225*IF($G225="wagon",62.5,781.25)</f>
        <v>21093.75</v>
      </c>
      <c r="BL225" s="17" t="n">
        <f aca="false">BJ225*IF($G225="wagon",2.73,81.25)</f>
        <v>2681.25</v>
      </c>
      <c r="BM225" s="0" t="n">
        <v>1</v>
      </c>
      <c r="BN225" s="0" t="n">
        <v>1</v>
      </c>
      <c r="BV225" s="0" t="n">
        <v>7</v>
      </c>
      <c r="BZ225" s="0" t="s">
        <v>220</v>
      </c>
      <c r="CA225" s="0" t="str">
        <f aca="false">VLOOKUP(J225,Eras!$A$2:$C$10, 2, TRUE())</f>
        <v>lbr</v>
      </c>
      <c r="CB225" s="0" t="s">
        <v>689</v>
      </c>
      <c r="CC225" s="0" t="str">
        <f aca="false">CONCATENATE(CA225,"_",CB225)</f>
        <v>lbr_Express (Electric)</v>
      </c>
      <c r="CD225" s="0" t="str">
        <f aca="false">_xlfn.CONCAT(H225, "_",I225)</f>
        <v>none_RAIL</v>
      </c>
      <c r="CE225" s="6" t="str">
        <f aca="false" t="array" ref="CE225:CE225">_xlfn.CONCAT("{BLACK}Length: {GOLD}", TEXT(ROUNDUP(IF(AQ225&lt;&gt;"",SUM(VALUE(_xlfn.TEXTSPLIT(AQ225, ","))), SUM(VALUE(_xlfn.TEXTSPLIT(AN225, ",")))*IF(M225, M225, 1))/16, 1), "#,##0.0"), " tiles{}")</f>
        <v>{BLACK}Length: {GOLD}0.7 tiles{}</v>
      </c>
      <c r="CF225" s="0" t="str">
        <f aca="false">VLOOKUP($CD225, Constants!$M:$N, 2, FALSE())</f>
        <v/>
      </c>
      <c r="CG225" s="0" t="str">
        <f aca="false">IF(M225&gt;1,_xlfn.CONCAT("{BLACK}Cars: {GOLD}", M225),"")</f>
        <v/>
      </c>
      <c r="CH225" s="0" t="s">
        <v>792</v>
      </c>
      <c r="CI225" s="0" t="str">
        <f aca="false">IF($BU225="!param_no_gameplay_units","{GREEN}Included for gameplay purposes","")</f>
        <v/>
      </c>
      <c r="CJ225" s="0" t="str">
        <f aca="false">IF(BX225="buffet","{YELLOW}25% long distance bonus for consist{}",IF(BZ225="BRAKE","{YELLOW}Speed bonus for slow wagons{}",IF(BW225&gt;190,CONCATENATE("{YELLOW}",INT((BW225-185)/1.85),"% bonus for long distance travel{}"),IF(AND(BW225&lt;180,BW225&lt;&gt;0),CONCATENATE("{YELLOW}",INT((185-BW225)/1.85),"% penalty for long distance travel{}"),""))))</f>
        <v/>
      </c>
      <c r="CK225" s="0" t="str">
        <f aca="false">_xlfn.CONCAT(CF225,IF(CF225&lt;&gt;""," ",""),CG225,IF(OR(CG225&lt;&gt;"",CF225&lt;&gt;""),"{}",""),CE225,CJ225,"{SILVER}",CH225,IF(CI225&lt;&gt;"","{}{}",""),CI225)</f>
        <v>{BLACK}Length: {GOLD}0.7 tiles{}{SILVER}This driving van trailer can be used with diesel and electric locomotives, either as a leading or trailing vehicle. It is recommended for use with the Class 91.</v>
      </c>
    </row>
    <row r="226" customFormat="false" ht="14.25" hidden="false" customHeight="false" outlineLevel="0" collapsed="false">
      <c r="A226" s="0" t="s">
        <v>793</v>
      </c>
      <c r="B226" s="15" t="s">
        <v>794</v>
      </c>
      <c r="C226" s="0" t="n">
        <v>211</v>
      </c>
      <c r="E226" s="0" t="n">
        <v>114</v>
      </c>
      <c r="F226" s="0" t="s">
        <v>143</v>
      </c>
      <c r="G226" s="0" t="s">
        <v>445</v>
      </c>
      <c r="H226" s="0" t="s">
        <v>670</v>
      </c>
      <c r="I226" s="0" t="s">
        <v>92</v>
      </c>
      <c r="J226" s="0" t="n">
        <v>1989</v>
      </c>
      <c r="N226" s="0" t="n">
        <v>3100</v>
      </c>
      <c r="W226" s="0" t="n">
        <v>129</v>
      </c>
      <c r="Z226" s="0" t="n">
        <v>474</v>
      </c>
      <c r="AA226" s="3" t="n">
        <f aca="false">IF(AND(W226&gt;0,Z226&gt;0),(Z226/((W226+X226)*10)),"")</f>
        <v>0.367441860465116</v>
      </c>
      <c r="AB226" s="0" t="n">
        <v>60</v>
      </c>
      <c r="AC226" s="0" t="n">
        <f aca="false">ROUND(AB226*1.6, 0)</f>
        <v>96</v>
      </c>
      <c r="AF226" s="0" t="n">
        <v>21.34</v>
      </c>
      <c r="AG226" s="0" t="n">
        <v>21.34</v>
      </c>
      <c r="AH226" s="0" t="n">
        <v>2.64</v>
      </c>
      <c r="AI226" s="0" t="n">
        <v>3.95</v>
      </c>
      <c r="AJ226" s="4" t="n">
        <v>0</v>
      </c>
      <c r="AK226" s="0" t="str">
        <f aca="false">CONCATENATE(VLOOKUP(AL226, 'Voxel Sizes'!$A$2:$B$18,2,FALSE()),"x",INT(AH226*15), "x", INT(AI226*15))</f>
        <v>214x39x59</v>
      </c>
      <c r="AL226" s="0" t="n">
        <f aca="false">ROUND(15*((AG226*10)/256),0)</f>
        <v>13</v>
      </c>
      <c r="AN226" s="0" t="str">
        <f aca="false">CONCATENATE(VLOOKUP(AL226,Constants!$A$2:$C$16,IF(AM226&lt;&gt;"", 3, 2), FALSE()),IF(AM226&lt;&gt;"",CONCATENATE(",",VLOOKUP(AM226,$B:$AN,39,FALSE())),""))</f>
        <v>4,5,4</v>
      </c>
      <c r="AX226" s="0" t="n">
        <v>30</v>
      </c>
      <c r="AY226" s="16" t="str">
        <f aca="false">IF(L226&lt;&gt;"",MAX(16,(L226-J226)+8),"")</f>
        <v/>
      </c>
      <c r="BB226" s="0" t="n">
        <f aca="false">MIN(AB226/150, 1)*30</f>
        <v>12</v>
      </c>
      <c r="BC226" s="0" t="n">
        <f aca="false">MIN(N226/4000, 1)*20</f>
        <v>15.5</v>
      </c>
      <c r="BD226" s="0" t="n">
        <f aca="false">MIN(Z226/400,1)*20</f>
        <v>20</v>
      </c>
      <c r="BE226" s="3" t="n">
        <f aca="false">1-(MAX(J226-1900, 0)/750)</f>
        <v>0.881333333333333</v>
      </c>
      <c r="BF226" s="0" t="n">
        <f aca="false">((MAX($M226,1)*MIN($AJ226/300,1)))*IF(G226="Wagon",50,10)</f>
        <v>0</v>
      </c>
      <c r="BG226" s="0" t="n">
        <f aca="false">VLOOKUP($H226,Constants!$I:$K, 2, FALSE())</f>
        <v>1</v>
      </c>
      <c r="BH226" s="0" t="n">
        <f aca="false">VLOOKUP($H226,Constants!$I:$K, 3, FALSE())*IF(AND(G226="multiple_unit",AB226&lt;110),0.75,1)</f>
        <v>2</v>
      </c>
      <c r="BI226" s="0" t="n">
        <f aca="false">INT(POWER(((Constants!$G$2+$BB226+$BC226+$BD226+$BF226)*$BE226)*$BH226, 1.05))+$BA226</f>
        <v>116</v>
      </c>
      <c r="BJ226" s="0" t="n">
        <f aca="false">INT(POWER((((Constants!$G$1+$BB226+$BC226+$BD226+$BF226)*($BE226))*$BG226),IF($G226="wagon",1,1.2)))+$AZ226</f>
        <v>122</v>
      </c>
      <c r="BK226" s="17" t="n">
        <f aca="false">BI226*IF($G226="wagon",62.5,781.25)</f>
        <v>90625</v>
      </c>
      <c r="BL226" s="17" t="n">
        <f aca="false">BJ226*IF($G226="wagon",2.73,81.25)</f>
        <v>9912.5</v>
      </c>
      <c r="BV226" s="0" t="n">
        <v>9</v>
      </c>
      <c r="CA226" s="0" t="str">
        <f aca="false">VLOOKUP(J226,Eras!$A$2:$C$10, 2, TRUE())</f>
        <v>lbr</v>
      </c>
      <c r="CB226" s="0" t="s">
        <v>478</v>
      </c>
      <c r="CC226" s="0" t="str">
        <f aca="false">CONCATENATE(CA226,"_",CB226)</f>
        <v>lbr_Freight</v>
      </c>
      <c r="CD226" s="0" t="str">
        <f aca="false">_xlfn.CONCAT(H226, "_",I226)</f>
        <v>diesel_RAIL</v>
      </c>
      <c r="CE226" s="6" t="str">
        <f aca="false" t="array" ref="CE226:CE226">_xlfn.CONCAT("{BLACK}Length: {GOLD}", TEXT(ROUNDUP(IF(AQ226&lt;&gt;"",SUM(VALUE(_xlfn.TEXTSPLIT(AQ226, ","))), SUM(VALUE(_xlfn.TEXTSPLIT(AN226, ",")))*IF(M226, M226, 1))/16, 1), "#,##0.0"), " tiles{}")</f>
        <v>{BLACK}Length: {GOLD}0.9 tiles{}</v>
      </c>
      <c r="CF226" s="0" t="str">
        <f aca="false">VLOOKUP($CD226, Constants!$M:$N, 2, FALSE())</f>
        <v>{BLACK}Powered by: {GOLD}Diesel</v>
      </c>
      <c r="CG226" s="0" t="str">
        <f aca="false">IF(M226&gt;1,_xlfn.CONCAT("{BLACK}Cars: {GOLD}", M226),"")</f>
        <v/>
      </c>
      <c r="CH226" s="0" t="s">
        <v>795</v>
      </c>
      <c r="CI226" s="0" t="str">
        <f aca="false">IF($BU226="!param_no_gameplay_units","{GREEN}Included for gameplay purposes","")</f>
        <v/>
      </c>
      <c r="CJ226" s="0" t="str">
        <f aca="false">IF(BX226="buffet","{YELLOW}25% long distance bonus for consist{}",IF(BZ226="BRAKE","{YELLOW}Speed bonus for slow wagons{}",IF(BW226&gt;190,CONCATENATE("{YELLOW}",INT((BW226-185)/1.85),"% bonus for long distance travel{}"),IF(AND(BW226&lt;180,BW226&lt;&gt;0),CONCATENATE("{YELLOW}",INT((185-BW226)/1.85),"% penalty for long distance travel{}"),""))))</f>
        <v/>
      </c>
      <c r="CK226" s="0" t="str">
        <f aca="false">_xlfn.CONCAT(CF226,IF(CF226&lt;&gt;""," ",""),CG226,IF(OR(CG226&lt;&gt;"",CF226&lt;&gt;""),"{}",""),CE226,CJ226,"{SILVER}",CH226,IF(CI226&lt;&gt;"","{}{}",""),CI226)</f>
        <v>{BLACK}Powered by: {GOLD}Diesel {}{BLACK}Length: {GOLD}0.9 tiles{}{SILVER}The Brush Class 60 is a Type 5 diesel, designed for high power and tractive effort to haul heavy freight trains.</v>
      </c>
    </row>
    <row r="227" customFormat="false" ht="14.25" hidden="false" customHeight="false" outlineLevel="0" collapsed="false">
      <c r="A227" s="0" t="s">
        <v>796</v>
      </c>
      <c r="B227" s="15" t="s">
        <v>797</v>
      </c>
      <c r="C227" s="0" t="n">
        <v>212</v>
      </c>
      <c r="E227" s="0" t="n">
        <v>115</v>
      </c>
      <c r="F227" s="0" t="s">
        <v>143</v>
      </c>
      <c r="G227" s="0" t="s">
        <v>445</v>
      </c>
      <c r="H227" s="0" t="s">
        <v>670</v>
      </c>
      <c r="I227" s="0" t="s">
        <v>92</v>
      </c>
      <c r="J227" s="0" t="n">
        <v>1990</v>
      </c>
      <c r="N227" s="0" t="n">
        <v>1270</v>
      </c>
      <c r="W227" s="0" t="n">
        <v>90</v>
      </c>
      <c r="Z227" s="0" t="n">
        <v>170</v>
      </c>
      <c r="AA227" s="3" t="n">
        <f aca="false">IF(AND(W227&gt;0,Z227&gt;0),(Z227/((W227+X227)*10)),"")</f>
        <v>0.188888888888889</v>
      </c>
      <c r="AB227" s="0" t="n">
        <v>62</v>
      </c>
      <c r="AC227" s="0" t="n">
        <f aca="false">ROUND(AB227*1.6, 0)</f>
        <v>99</v>
      </c>
      <c r="AF227" s="0" t="n">
        <v>14.4</v>
      </c>
      <c r="AG227" s="0" t="n">
        <v>14.4</v>
      </c>
      <c r="AK227" s="0" t="str">
        <f aca="false">CONCATENATE(VLOOKUP(AL227, 'Voxel Sizes'!$A$2:$B$18,2,FALSE()),"x",INT(AH227*15), "x", INT(AI227*15))</f>
        <v>136x0x0</v>
      </c>
      <c r="AL227" s="0" t="n">
        <f aca="false">ROUND(15*((AG227*10)/256),0)</f>
        <v>8</v>
      </c>
      <c r="AN227" s="0" t="str">
        <f aca="false">CONCATENATE(VLOOKUP(AL227,Constants!$A$2:$C$16,IF(AM227&lt;&gt;"", 3, 2), FALSE()),IF(AM227&lt;&gt;"",CONCATENATE(",",VLOOKUP(AM227,$B:$AN,39,FALSE())),""))</f>
        <v>2,4,2</v>
      </c>
      <c r="AX227" s="0" t="n">
        <v>34</v>
      </c>
      <c r="AY227" s="16" t="str">
        <f aca="false">IF(L227&lt;&gt;"",MAX(16,(L227-J227)+8),"")</f>
        <v/>
      </c>
      <c r="BA227" s="0" t="n">
        <v>-16</v>
      </c>
      <c r="BB227" s="0" t="n">
        <f aca="false">MIN(AB227/150, 1)*30</f>
        <v>12.4</v>
      </c>
      <c r="BC227" s="0" t="n">
        <f aca="false">MIN(N227/4000, 1)*20</f>
        <v>6.35</v>
      </c>
      <c r="BD227" s="0" t="n">
        <f aca="false">MIN(Z227/400,1)*20</f>
        <v>8.5</v>
      </c>
      <c r="BE227" s="3" t="n">
        <f aca="false">1-(MAX(J227-1900, 0)/750)</f>
        <v>0.88</v>
      </c>
      <c r="BF227" s="0" t="n">
        <f aca="false">((MAX($M227,1)*MIN($AJ227/300,1)))*IF(G227="Wagon",50,10)</f>
        <v>0</v>
      </c>
      <c r="BG227" s="0" t="n">
        <f aca="false">VLOOKUP($H227,Constants!$I:$K, 2, FALSE())</f>
        <v>1</v>
      </c>
      <c r="BH227" s="0" t="n">
        <f aca="false">VLOOKUP($H227,Constants!$I:$K, 3, FALSE())*IF(AND(G227="multiple_unit",AB227&lt;110),0.75,1)</f>
        <v>2</v>
      </c>
      <c r="BI227" s="0" t="n">
        <f aca="false">INT(POWER(((Constants!$G$2+$BB227+$BC227+$BD227+$BF227)*$BE227)*$BH227, 1.05))+$BA227</f>
        <v>53</v>
      </c>
      <c r="BJ227" s="0" t="n">
        <f aca="false">INT(POWER((((Constants!$G$1+$BB227+$BC227+$BD227+$BF227)*($BE227))*$BG227),IF($G227="wagon",1,1.2)))+$AZ227</f>
        <v>76</v>
      </c>
      <c r="BK227" s="17" t="n">
        <f aca="false">BI227*IF($G227="wagon",62.5,781.25)</f>
        <v>41406.25</v>
      </c>
      <c r="BL227" s="17" t="n">
        <f aca="false">BJ227*IF($G227="wagon",2.73,81.25)</f>
        <v>6175</v>
      </c>
      <c r="BV227" s="0" t="n">
        <v>6</v>
      </c>
      <c r="CA227" s="0" t="str">
        <f aca="false">VLOOKUP(J227,Eras!$A$2:$C$10, 2, TRUE())</f>
        <v>lbr</v>
      </c>
      <c r="CB227" s="0" t="s">
        <v>513</v>
      </c>
      <c r="CC227" s="0" t="str">
        <f aca="false">CONCATENATE(CA227,"_",CB227)</f>
        <v>lbr_Cheap</v>
      </c>
      <c r="CD227" s="0" t="str">
        <f aca="false">_xlfn.CONCAT(H227, "_",I227)</f>
        <v>diesel_RAIL</v>
      </c>
      <c r="CE227" s="6" t="str">
        <f aca="false" t="array" ref="CE227:CE227">_xlfn.CONCAT("{BLACK}Length: {GOLD}", TEXT(ROUNDUP(IF(AQ227&lt;&gt;"",SUM(VALUE(_xlfn.TEXTSPLIT(AQ227, ","))), SUM(VALUE(_xlfn.TEXTSPLIT(AN227, ",")))*IF(M227, M227, 1))/16, 1), "#,##0.0"), " tiles{}")</f>
        <v>{BLACK}Length: {GOLD}0.5 tiles{}</v>
      </c>
      <c r="CF227" s="0" t="str">
        <f aca="false">VLOOKUP($CD227, Constants!$M:$N, 2, FALSE())</f>
        <v>{BLACK}Powered by: {GOLD}Diesel</v>
      </c>
      <c r="CH227" s="0" t="s">
        <v>798</v>
      </c>
      <c r="CI227" s="0" t="str">
        <f aca="false">IF($BU227="!param_no_gameplay_units","{GREEN}Included for gameplay purposes","")</f>
        <v/>
      </c>
      <c r="CJ227" s="0" t="str">
        <f aca="false">IF(BX227="buffet","{YELLOW}25% long distance bonus for consist{}",IF(BZ227="BRAKE","{YELLOW}Speed bonus for slow wagons{}",IF(BW227&gt;190,CONCATENATE("{YELLOW}",INT((BW227-185)/1.85),"% bonus for long distance travel{}"),IF(AND(BW227&lt;180,BW227&lt;&gt;0),CONCATENATE("{YELLOW}",INT((185-BW227)/1.85),"% penalty for long distance travel{}"),""))))</f>
        <v/>
      </c>
      <c r="CK227" s="0" t="str">
        <f aca="false">_xlfn.CONCAT(CF227,IF(CF227&lt;&gt;""," ",""),CG227,IF(OR(CG227&lt;&gt;"",CF227&lt;&gt;""),"{}",""),CE227,CJ227,"{SILVER}",CH227,IF(CI227&lt;&gt;"","{}{}",""),CI227)</f>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8" customFormat="false" ht="14.25" hidden="false" customHeight="false" outlineLevel="0" collapsed="false">
      <c r="A228" s="0" t="s">
        <v>799</v>
      </c>
      <c r="B228" s="15" t="s">
        <v>800</v>
      </c>
      <c r="C228" s="0" t="n">
        <v>213</v>
      </c>
      <c r="E228" s="0" t="n">
        <v>116</v>
      </c>
      <c r="F228" s="0" t="s">
        <v>143</v>
      </c>
      <c r="G228" s="0" t="s">
        <v>445</v>
      </c>
      <c r="H228" s="0" t="s">
        <v>801</v>
      </c>
      <c r="I228" s="0" t="s">
        <v>802</v>
      </c>
      <c r="J228" s="0" t="n">
        <v>1993</v>
      </c>
      <c r="K228" s="0" t="n">
        <v>1996</v>
      </c>
      <c r="N228" s="0" t="n">
        <v>6760</v>
      </c>
      <c r="O228" s="1" t="n">
        <v>5360</v>
      </c>
      <c r="W228" s="0" t="n">
        <v>126</v>
      </c>
      <c r="Z228" s="0" t="n">
        <v>360</v>
      </c>
      <c r="AA228" s="3" t="n">
        <f aca="false">IF(AND(W228&gt;0,Z228&gt;0),(Z228/((W228+X228)*10)),"")</f>
        <v>0.285714285714286</v>
      </c>
      <c r="AB228" s="0" t="n">
        <v>87</v>
      </c>
      <c r="AC228" s="0" t="n">
        <f aca="false">ROUND(AB228*1.6, 0)</f>
        <v>139</v>
      </c>
      <c r="AF228" s="0" t="n">
        <v>21.36</v>
      </c>
      <c r="AG228" s="0" t="n">
        <v>21.36</v>
      </c>
      <c r="AJ228" s="4" t="n">
        <v>0</v>
      </c>
      <c r="AK228" s="0" t="str">
        <f aca="false">CONCATENATE(VLOOKUP(AL228, 'Voxel Sizes'!$A$2:$B$18,2,FALSE()),"x",INT(AH228*15), "x", INT(AI228*15))</f>
        <v>214x0x0</v>
      </c>
      <c r="AL228" s="0" t="n">
        <f aca="false">ROUND(15*((AG228*10)/256),0)</f>
        <v>13</v>
      </c>
      <c r="AN228" s="0" t="str">
        <f aca="false">CONCATENATE(VLOOKUP(AL228,Constants!$A$2:$C$16,IF(AM228&lt;&gt;"", 3, 2), FALSE()),IF(AM228&lt;&gt;"",CONCATENATE(",",VLOOKUP(AM228,$B:$AN,39,FALSE())),""))</f>
        <v>4,5,4</v>
      </c>
      <c r="AS228" s="0" t="s">
        <v>800</v>
      </c>
      <c r="AX228" s="0" t="n">
        <v>24</v>
      </c>
      <c r="AY228" s="16" t="str">
        <f aca="false">IF(L228&lt;&gt;"",MAX(16,(L228-J228)+8),"")</f>
        <v/>
      </c>
      <c r="BB228" s="0" t="n">
        <f aca="false">MIN(AB228/150, 1)*30</f>
        <v>17.4</v>
      </c>
      <c r="BC228" s="0" t="n">
        <f aca="false">MIN(N228/4000, 1)*20</f>
        <v>20</v>
      </c>
      <c r="BD228" s="0" t="n">
        <f aca="false">MIN(Z228/400,1)*20</f>
        <v>18</v>
      </c>
      <c r="BE228" s="3" t="n">
        <f aca="false">1-(MAX(J228-1900, 0)/750)</f>
        <v>0.876</v>
      </c>
      <c r="BF228" s="0" t="n">
        <f aca="false">((MAX($M228,1)*MIN($AJ228/300,1)))*IF(G228="Wagon",50,10)</f>
        <v>0</v>
      </c>
      <c r="BG228" s="0" t="n">
        <f aca="false">VLOOKUP($H228,Constants!$I:$K, 2, FALSE())</f>
        <v>0.85</v>
      </c>
      <c r="BH228" s="0" t="n">
        <f aca="false">VLOOKUP($H228,Constants!$I:$K, 3, FALSE())*IF(AND(G228="multiple_unit",AB228&lt;110),0.75,1)</f>
        <v>2.4</v>
      </c>
      <c r="BI228" s="0" t="n">
        <f aca="false">INT(POWER(((Constants!$G$2+$BB228+$BC228+$BD228+$BF228)*$BE228)*$BH228, 1.05))+$BA228</f>
        <v>161</v>
      </c>
      <c r="BJ228" s="0" t="n">
        <f aca="false">INT(POWER((((Constants!$G$1+$BB228+$BC228+$BD228+$BF228)*($BE228))*$BG228),IF($G228="wagon",1,1.2)))+$AZ228</f>
        <v>115</v>
      </c>
      <c r="BK228" s="17" t="n">
        <f aca="false">BI228*IF($G228="wagon",62.5,781.25)</f>
        <v>125781.25</v>
      </c>
      <c r="BL228" s="17" t="n">
        <f aca="false">BJ228*IF($G228="wagon",2.73,81.25)</f>
        <v>9343.75</v>
      </c>
      <c r="BV228" s="0" t="n">
        <v>10</v>
      </c>
      <c r="CA228" s="0" t="str">
        <f aca="false">VLOOKUP(J228,Eras!$A$2:$C$10, 2, TRUE())</f>
        <v>lbr</v>
      </c>
      <c r="CB228" s="0" t="s">
        <v>478</v>
      </c>
      <c r="CC228" s="0" t="str">
        <f aca="false">CONCATENATE(CA228,"_",CB228)</f>
        <v>lbr_Freight</v>
      </c>
      <c r="CD228" s="0" t="str">
        <f aca="false">_xlfn.CONCAT(H228, "_",I228)</f>
        <v>dual_electric_DUAL_POWER</v>
      </c>
      <c r="CE228" s="6" t="str">
        <f aca="false" t="array" ref="CE228:CE228">_xlfn.CONCAT("{BLACK}Length: {GOLD}", TEXT(ROUNDUP(IF(AQ228&lt;&gt;"",SUM(VALUE(_xlfn.TEXTSPLIT(AQ228, ","))), SUM(VALUE(_xlfn.TEXTSPLIT(AN228, ",")))*IF(M228, M228, 1))/16, 1), "#,##0.0"), " tiles{}")</f>
        <v>{BLACK}Length: {GOLD}0.9 tiles{}</v>
      </c>
      <c r="CF228" s="0" t="str">
        <f aca="false">VLOOKUP($CD228, Constants!$M:$N, 2, FALSE())</f>
        <v>{BLACK}Powered by: {GOLD}25kV AC / 750V DC</v>
      </c>
      <c r="CG228" s="0" t="str">
        <f aca="false">IF(M228&gt;1,_xlfn.CONCAT("{BLACK}Cars: {GOLD}", M228),"")</f>
        <v/>
      </c>
      <c r="CH228" s="0" t="s">
        <v>803</v>
      </c>
      <c r="CI228" s="0" t="str">
        <f aca="false">IF($BU228="!param_no_gameplay_units","{GREEN}Included for gameplay purposes","")</f>
        <v/>
      </c>
      <c r="CJ228" s="0" t="str">
        <f aca="false">IF(BX228="buffet","{YELLOW}25% long distance bonus for consist{}",IF(BZ228="BRAKE","{YELLOW}Speed bonus for slow wagons{}",IF(BW228&gt;190,CONCATENATE("{YELLOW}",INT((BW228-185)/1.85),"% bonus for long distance travel{}"),IF(AND(BW228&lt;180,BW228&lt;&gt;0),CONCATENATE("{YELLOW}",INT((185-BW228)/1.85),"% penalty for long distance travel{}"),""))))</f>
        <v/>
      </c>
      <c r="CK228" s="0" t="str">
        <f aca="false">_xlfn.CONCAT(CF228,IF(CF228&lt;&gt;""," ",""),CG228,IF(OR(CG228&lt;&gt;"",CF228&lt;&gt;""),"{}",""),CE228,CJ228,"{SILVER}",CH228,IF(CI228&lt;&gt;"","{}{}",""),CI228)</f>
        <v>{BLACK}Powered by: {GOLD}25kV AC / 750V DC {}{BLACK}Length: {GOLD}0.9 tiles{}{SILVER}The Class 92 was designed to operate services through the Channel Tunnel. It can run on both the Southern Region third rail system and overhead wires.</v>
      </c>
    </row>
    <row r="229" customFormat="false" ht="14.25" hidden="false" customHeight="false" outlineLevel="0" collapsed="false">
      <c r="A229" s="0" t="s">
        <v>804</v>
      </c>
      <c r="B229" s="15" t="s">
        <v>805</v>
      </c>
      <c r="C229" s="0" t="n">
        <v>214</v>
      </c>
      <c r="E229" s="0" t="n">
        <v>117</v>
      </c>
      <c r="F229" s="0" t="s">
        <v>143</v>
      </c>
      <c r="G229" s="0" t="s">
        <v>445</v>
      </c>
      <c r="H229" s="0" t="s">
        <v>670</v>
      </c>
      <c r="I229" s="0" t="s">
        <v>92</v>
      </c>
      <c r="J229" s="0" t="n">
        <v>1998</v>
      </c>
      <c r="K229" s="0" t="n">
        <v>2015</v>
      </c>
      <c r="N229" s="0" t="n">
        <v>3300</v>
      </c>
      <c r="W229" s="0" t="n">
        <v>129.6</v>
      </c>
      <c r="Z229" s="0" t="n">
        <v>260</v>
      </c>
      <c r="AA229" s="3" t="n">
        <f aca="false">IF(AND(W229&gt;0,Z229&gt;0),(Z229/((W229+X229)*10)),"")</f>
        <v>0.200617283950617</v>
      </c>
      <c r="AB229" s="0" t="n">
        <v>75</v>
      </c>
      <c r="AC229" s="0" t="n">
        <f aca="false">ROUND(AB229*1.6, 0)</f>
        <v>120</v>
      </c>
      <c r="AF229" s="0" t="n">
        <v>21.4</v>
      </c>
      <c r="AG229" s="0" t="n">
        <v>21.4</v>
      </c>
      <c r="AI229" s="0" t="n">
        <v>3.9</v>
      </c>
      <c r="AJ229" s="4" t="n">
        <v>0</v>
      </c>
      <c r="AK229" s="0" t="str">
        <f aca="false">CONCATENATE(VLOOKUP(AL229, 'Voxel Sizes'!$A$2:$B$18,2,FALSE()),"x",INT(AH229*15), "x", INT(AI229*15))</f>
        <v>214x0x58</v>
      </c>
      <c r="AL229" s="0" t="n">
        <f aca="false">ROUND(15*((AG229*10)/256),0)</f>
        <v>13</v>
      </c>
      <c r="AN229" s="0" t="str">
        <f aca="false">CONCATENATE(VLOOKUP(AL229,Constants!$A$2:$C$16,IF(AM229&lt;&gt;"", 3, 2), FALSE()),IF(AM229&lt;&gt;"",CONCATENATE(",",VLOOKUP(AM229,$B:$AN,39,FALSE())),""))</f>
        <v>4,5,4</v>
      </c>
      <c r="AX229" s="0" t="n">
        <v>30</v>
      </c>
      <c r="AY229" s="16" t="str">
        <f aca="false">IF(L229&lt;&gt;"",MAX(16,(L229-J229)+8),"")</f>
        <v/>
      </c>
      <c r="BB229" s="0" t="n">
        <f aca="false">MIN(AB229/150, 1)*30</f>
        <v>15</v>
      </c>
      <c r="BC229" s="0" t="n">
        <f aca="false">MIN(N229/4000, 1)*20</f>
        <v>16.5</v>
      </c>
      <c r="BD229" s="0" t="n">
        <f aca="false">MIN(Z229/400,1)*20</f>
        <v>13</v>
      </c>
      <c r="BE229" s="3" t="n">
        <f aca="false">1-(MAX(J229-1900, 0)/750)</f>
        <v>0.869333333333333</v>
      </c>
      <c r="BF229" s="0" t="n">
        <f aca="false">((MAX($M229,1)*MIN($AJ229/300,1)))*IF(G229="Wagon",50,10)</f>
        <v>0</v>
      </c>
      <c r="BG229" s="0" t="n">
        <f aca="false">VLOOKUP($H229,Constants!$I:$K, 2, FALSE())</f>
        <v>1</v>
      </c>
      <c r="BH229" s="0" t="n">
        <f aca="false">VLOOKUP($H229,Constants!$I:$K, 3, FALSE())*IF(AND(G229="multiple_unit",AB229&lt;110),0.75,1)</f>
        <v>2</v>
      </c>
      <c r="BI229" s="0" t="n">
        <f aca="false">INT(POWER(((Constants!$G$2+$BB229+$BC229+$BD229+$BF229)*$BE229)*$BH229, 1.05))+$BA229</f>
        <v>107</v>
      </c>
      <c r="BJ229" s="0" t="n">
        <f aca="false">INT(POWER((((Constants!$G$1+$BB229+$BC229+$BD229+$BF229)*($BE229))*$BG229),IF($G229="wagon",1,1.2)))+$AZ229</f>
        <v>113</v>
      </c>
      <c r="BK229" s="17" t="n">
        <f aca="false">BI229*IF($G229="wagon",62.5,781.25)</f>
        <v>83593.75</v>
      </c>
      <c r="BL229" s="17" t="n">
        <f aca="false">BJ229*IF($G229="wagon",2.73,81.25)</f>
        <v>9181.25</v>
      </c>
      <c r="BV229" s="0" t="n">
        <v>11</v>
      </c>
      <c r="CA229" s="0" t="str">
        <f aca="false">VLOOKUP(J229,Eras!$A$2:$C$10, 2, TRUE())</f>
        <v>prv</v>
      </c>
      <c r="CB229" s="0" t="s">
        <v>478</v>
      </c>
      <c r="CC229" s="0" t="str">
        <f aca="false">CONCATENATE(CA229,"_",CB229)</f>
        <v>prv_Freight</v>
      </c>
      <c r="CD229" s="0" t="str">
        <f aca="false">_xlfn.CONCAT(H229, "_",I229)</f>
        <v>diesel_RAIL</v>
      </c>
      <c r="CE229" s="6" t="str">
        <f aca="false" t="array" ref="CE229:CE229">_xlfn.CONCAT("{BLACK}Length: {GOLD}", TEXT(ROUNDUP(IF(AQ229&lt;&gt;"",SUM(VALUE(_xlfn.TEXTSPLIT(AQ229, ","))), SUM(VALUE(_xlfn.TEXTSPLIT(AN229, ",")))*IF(M229, M229, 1))/16, 1), "#,##0.0"), " tiles{}")</f>
        <v>{BLACK}Length: {GOLD}0.9 tiles{}</v>
      </c>
      <c r="CF229" s="0" t="str">
        <f aca="false">VLOOKUP($CD229, Constants!$M:$N, 2, FALSE())</f>
        <v>{BLACK}Powered by: {GOLD}Diesel</v>
      </c>
      <c r="CG229" s="0" t="str">
        <f aca="false">IF(M229&gt;1,_xlfn.CONCAT("{BLACK}Cars: {GOLD}", M229),"")</f>
        <v/>
      </c>
      <c r="CH229" s="0" t="s">
        <v>806</v>
      </c>
      <c r="CI229" s="0" t="str">
        <f aca="false">IF($BU229="!param_no_gameplay_units","{GREEN}Included for gameplay purposes","")</f>
        <v/>
      </c>
      <c r="CJ229" s="0" t="str">
        <f aca="false">IF(BX229="buffet","{YELLOW}25% long distance bonus for consist{}",IF(BZ229="BRAKE","{YELLOW}Speed bonus for slow wagons{}",IF(BW229&gt;190,CONCATENATE("{YELLOW}",INT((BW229-185)/1.85),"% bonus for long distance travel{}"),IF(AND(BW229&lt;180,BW229&lt;&gt;0),CONCATENATE("{YELLOW}",INT((185-BW229)/1.85),"% penalty for long distance travel{}"),""))))</f>
        <v/>
      </c>
      <c r="CK229" s="0" t="str">
        <f aca="false">_xlfn.CONCAT(CF229,IF(CF229&lt;&gt;""," ",""),CG229,IF(OR(CG229&lt;&gt;"",CF229&lt;&gt;""),"{}",""),CE229,CJ229,"{SILVER}",CH229,IF(CI229&lt;&gt;"","{}{}",""),CI229)</f>
        <v>{BLACK}Powered by: {GOLD}Diesel {}{BLACK}Length: {GOLD}0.9 tiles{}{SILVER}After the successful introduction of the Class 59, EWS approached GM's Electro-Motive diesel with a huge order of 250 locomotives which would become Class 66.</v>
      </c>
    </row>
    <row r="230" customFormat="false" ht="14.25" hidden="false" customHeight="false" outlineLevel="0" collapsed="false">
      <c r="A230" s="0" t="s">
        <v>807</v>
      </c>
      <c r="B230" s="15" t="s">
        <v>808</v>
      </c>
      <c r="C230" s="0" t="n">
        <v>215</v>
      </c>
      <c r="E230" s="0" t="n">
        <v>118</v>
      </c>
      <c r="F230" s="0" t="s">
        <v>143</v>
      </c>
      <c r="G230" s="0" t="s">
        <v>445</v>
      </c>
      <c r="H230" s="0" t="s">
        <v>670</v>
      </c>
      <c r="I230" s="0" t="s">
        <v>92</v>
      </c>
      <c r="J230" s="0" t="n">
        <v>1998</v>
      </c>
      <c r="K230" s="0" t="n">
        <v>2004</v>
      </c>
      <c r="N230" s="0" t="n">
        <v>3000</v>
      </c>
      <c r="W230" s="0" t="n">
        <v>120.6</v>
      </c>
      <c r="Z230" s="0" t="n">
        <v>250</v>
      </c>
      <c r="AA230" s="3" t="n">
        <f aca="false">IF(AND(W230&gt;0,Z230&gt;0),(Z230/((W230+X230)*10)),"")</f>
        <v>0.207296849087894</v>
      </c>
      <c r="AB230" s="0" t="n">
        <v>95</v>
      </c>
      <c r="AC230" s="0" t="n">
        <f aca="false">ROUND(AB230*1.6, 0)</f>
        <v>152</v>
      </c>
      <c r="AF230" s="0" t="n">
        <v>19.38</v>
      </c>
      <c r="AG230" s="0" t="n">
        <v>19.38</v>
      </c>
      <c r="AI230" s="0" t="n">
        <v>3.9</v>
      </c>
      <c r="AJ230" s="4" t="n">
        <v>0</v>
      </c>
      <c r="AK230" s="0" t="str">
        <f aca="false">CONCATENATE(VLOOKUP(AL230, 'Voxel Sizes'!$A$2:$B$18,2,FALSE()),"x",INT(AH230*15), "x", INT(AI230*15))</f>
        <v>186x0x58</v>
      </c>
      <c r="AL230" s="0" t="n">
        <f aca="false">ROUND(15*((AG230*10)/256),0)</f>
        <v>11</v>
      </c>
      <c r="AN230" s="0" t="str">
        <f aca="false">CONCATENATE(VLOOKUP(AL230,Constants!$A$2:$C$16,IF(AM230&lt;&gt;"", 3, 2), FALSE()),IF(AM230&lt;&gt;"",CONCATENATE(",",VLOOKUP(AM230,$B:$AN,39,FALSE())),""))</f>
        <v>4,3,4</v>
      </c>
      <c r="AX230" s="0" t="n">
        <v>30</v>
      </c>
      <c r="AY230" s="16" t="str">
        <f aca="false">IF(L230&lt;&gt;"",MAX(16,(L230-J230)+8),"")</f>
        <v/>
      </c>
      <c r="BB230" s="0" t="n">
        <f aca="false">MIN(AB230/150, 1)*30</f>
        <v>19</v>
      </c>
      <c r="BC230" s="0" t="n">
        <f aca="false">MIN(N230/4000, 1)*20</f>
        <v>15</v>
      </c>
      <c r="BD230" s="0" t="n">
        <f aca="false">MIN(Z230/400,1)*20</f>
        <v>12.5</v>
      </c>
      <c r="BE230" s="3" t="n">
        <f aca="false">1-(MAX(J230-1900, 0)/750)</f>
        <v>0.869333333333333</v>
      </c>
      <c r="BF230" s="0" t="n">
        <f aca="false">((MAX($M230,1)*MIN($AJ230/300,1)))*IF(G230="Wagon",50,10)</f>
        <v>0</v>
      </c>
      <c r="BG230" s="0" t="n">
        <f aca="false">VLOOKUP($H230,Constants!$I:$K, 2, FALSE())</f>
        <v>1</v>
      </c>
      <c r="BH230" s="0" t="n">
        <f aca="false">VLOOKUP($H230,Constants!$I:$K, 3, FALSE())*IF(AND(G230="multiple_unit",AB230&lt;110),0.75,1)</f>
        <v>2</v>
      </c>
      <c r="BI230" s="0" t="n">
        <f aca="false">INT(POWER(((Constants!$G$2+$BB230+$BC230+$BD230+$BF230)*$BE230)*$BH230, 1.05))+$BA230</f>
        <v>112</v>
      </c>
      <c r="BJ230" s="0" t="n">
        <f aca="false">INT(POWER((((Constants!$G$1+$BB230+$BC230+$BD230+$BF230)*($BE230))*$BG230),IF($G230="wagon",1,1.2)))+$AZ230</f>
        <v>118</v>
      </c>
      <c r="BK230" s="17" t="n">
        <f aca="false">BI230*IF($G230="wagon",62.5,781.25)</f>
        <v>87500</v>
      </c>
      <c r="BL230" s="17" t="n">
        <f aca="false">BJ230*IF($G230="wagon",2.73,81.25)</f>
        <v>9587.5</v>
      </c>
      <c r="BV230" s="0" t="n">
        <v>12</v>
      </c>
      <c r="CA230" s="0" t="str">
        <f aca="false">VLOOKUP(J230,Eras!$A$2:$C$10, 2, TRUE())</f>
        <v>prv</v>
      </c>
      <c r="CB230" s="0" t="s">
        <v>478</v>
      </c>
      <c r="CC230" s="0" t="str">
        <f aca="false">CONCATENATE(CA230,"_",CB230)</f>
        <v>prv_Freight</v>
      </c>
      <c r="CD230" s="0" t="str">
        <f aca="false">_xlfn.CONCAT(H230, "_",I230)</f>
        <v>diesel_RAIL</v>
      </c>
      <c r="CE230" s="6" t="str">
        <f aca="false" t="array" ref="CE230:CE230">_xlfn.CONCAT("{BLACK}Length: {GOLD}", TEXT(ROUNDUP(IF(AQ230&lt;&gt;"",SUM(VALUE(_xlfn.TEXTSPLIT(AQ230, ","))), SUM(VALUE(_xlfn.TEXTSPLIT(AN230, ",")))*IF(M230, M230, 1))/16, 1), "#,##0.0"), " tiles{}")</f>
        <v>{BLACK}Length: {GOLD}0.7 tiles{}</v>
      </c>
      <c r="CF230" s="0" t="str">
        <f aca="false">VLOOKUP($CD230, Constants!$M:$N, 2, FALSE())</f>
        <v>{BLACK}Powered by: {GOLD}Diesel</v>
      </c>
      <c r="CG230" s="0" t="str">
        <f aca="false">IF(M230&gt;1,_xlfn.CONCAT("{BLACK}Cars: {GOLD}", M230),"")</f>
        <v/>
      </c>
      <c r="CH230" s="0" t="s">
        <v>809</v>
      </c>
      <c r="CI230" s="0" t="str">
        <f aca="false">IF($BU230="!param_no_gameplay_units","{GREEN}Included for gameplay purposes","")</f>
        <v/>
      </c>
      <c r="CJ230" s="0" t="str">
        <f aca="false">IF(BX230="buffet","{YELLOW}25% long distance bonus for consist{}",IF(BZ230="BRAKE","{YELLOW}Speed bonus for slow wagons{}",IF(BW230&gt;190,CONCATENATE("{YELLOW}",INT((BW230-185)/1.85),"% bonus for long distance travel{}"),IF(AND(BW230&lt;180,BW230&lt;&gt;0),CONCATENATE("{YELLOW}",INT((185-BW230)/1.85),"% penalty for long distance travel{}"),""))))</f>
        <v/>
      </c>
      <c r="CK230" s="0" t="str">
        <f aca="false">_xlfn.CONCAT(CF230,IF(CF230&lt;&gt;""," ",""),CG230,IF(OR(CG230&lt;&gt;"",CF230&lt;&gt;""),"{}",""),CE230,CJ230,"{SILVER}",CH230,IF(CI230&lt;&gt;"","{}{}",""),CI230)</f>
        <v>{BLACK}Powered by: {GOLD}Diesel {}{BLACK}Length: {GOLD}0.7 tiles{}{SILVER}The Class 57 is a re-engineered locomotive using Class 47 bodyshells and parts, giving rise to its "Bodysnatcher" nickname.</v>
      </c>
    </row>
    <row r="231" customFormat="false" ht="14.25" hidden="false" customHeight="false" outlineLevel="0" collapsed="false">
      <c r="A231" s="0" t="s">
        <v>810</v>
      </c>
      <c r="B231" s="15" t="s">
        <v>811</v>
      </c>
      <c r="C231" s="0" t="n">
        <v>216</v>
      </c>
      <c r="E231" s="0" t="n">
        <v>119</v>
      </c>
      <c r="F231" s="0" t="s">
        <v>143</v>
      </c>
      <c r="G231" s="0" t="s">
        <v>445</v>
      </c>
      <c r="H231" s="0" t="s">
        <v>670</v>
      </c>
      <c r="I231" s="0" t="s">
        <v>92</v>
      </c>
      <c r="J231" s="0" t="n">
        <v>1999</v>
      </c>
      <c r="K231" s="0" t="n">
        <v>2000</v>
      </c>
      <c r="N231" s="0" t="n">
        <v>3200</v>
      </c>
      <c r="W231" s="0" t="n">
        <v>88</v>
      </c>
      <c r="Z231" s="0" t="n">
        <v>144</v>
      </c>
      <c r="AA231" s="3" t="n">
        <f aca="false">IF(AND(W231&gt;0,Z231&gt;0),(Z231/((W231+X231)*10)),"")</f>
        <v>0.163636363636364</v>
      </c>
      <c r="AB231" s="0" t="n">
        <v>125</v>
      </c>
      <c r="AC231" s="0" t="n">
        <f aca="false">ROUND(AB231*1.6, 0)</f>
        <v>200</v>
      </c>
      <c r="AF231" s="0" t="n">
        <v>19.71</v>
      </c>
      <c r="AG231" s="0" t="n">
        <v>19.71</v>
      </c>
      <c r="AI231" s="0" t="n">
        <v>3.93</v>
      </c>
      <c r="AJ231" s="4" t="n">
        <v>0</v>
      </c>
      <c r="AK231" s="0" t="str">
        <f aca="false">CONCATENATE(VLOOKUP(AL231, 'Voxel Sizes'!$A$2:$B$18,2,FALSE()),"x",INT(AH231*15), "x", INT(AI231*15))</f>
        <v>198x0x58</v>
      </c>
      <c r="AL231" s="0" t="n">
        <f aca="false">ROUND(15*((AG231*10)/256),0)</f>
        <v>12</v>
      </c>
      <c r="AN231" s="0" t="str">
        <f aca="false">CONCATENATE(VLOOKUP(AL231,Constants!$A$2:$C$16,IF(AM231&lt;&gt;"", 3, 2), FALSE()),IF(AM231&lt;&gt;"",CONCATENATE(",",VLOOKUP(AM231,$B:$AN,39,FALSE())),""))</f>
        <v>4,4,4</v>
      </c>
      <c r="AX231" s="0" t="n">
        <v>30</v>
      </c>
      <c r="AY231" s="16" t="str">
        <f aca="false">IF(L231&lt;&gt;"",MAX(16,(L231-J231)+8),"")</f>
        <v/>
      </c>
      <c r="BB231" s="0" t="n">
        <f aca="false">MIN(AB231/150, 1)*30</f>
        <v>25</v>
      </c>
      <c r="BC231" s="0" t="n">
        <f aca="false">MIN(N231/4000, 1)*20</f>
        <v>16</v>
      </c>
      <c r="BD231" s="0" t="n">
        <f aca="false">MIN(Z231/400,1)*20</f>
        <v>7.2</v>
      </c>
      <c r="BE231" s="3" t="n">
        <f aca="false">1-(MAX(J231-1900, 0)/750)</f>
        <v>0.868</v>
      </c>
      <c r="BF231" s="0" t="n">
        <f aca="false">((MAX($M231,1)*MIN($AJ231/300,1)))*IF(G231="Wagon",50,10)</f>
        <v>0</v>
      </c>
      <c r="BG231" s="0" t="n">
        <f aca="false">VLOOKUP($H231,Constants!$I:$K, 2, FALSE())</f>
        <v>1</v>
      </c>
      <c r="BH231" s="0" t="n">
        <f aca="false">VLOOKUP($H231,Constants!$I:$K, 3, FALSE())*IF(AND(G231="multiple_unit",AB231&lt;110),0.75,1)</f>
        <v>2</v>
      </c>
      <c r="BI231" s="0" t="n">
        <f aca="false">INT(POWER(((Constants!$G$2+$BB231+$BC231+$BD231+$BF231)*$BE231)*$BH231, 1.05))+$BA231</f>
        <v>115</v>
      </c>
      <c r="BJ231" s="0" t="n">
        <f aca="false">INT(POWER((((Constants!$G$1+$BB231+$BC231+$BD231+$BF231)*($BE231))*$BG231),IF($G231="wagon",1,1.2)))+$AZ231</f>
        <v>122</v>
      </c>
      <c r="BK231" s="17" t="n">
        <f aca="false">BI231*IF($G231="wagon",62.5,781.25)</f>
        <v>89843.75</v>
      </c>
      <c r="BL231" s="17" t="n">
        <f aca="false">BJ231*IF($G231="wagon",2.73,81.25)</f>
        <v>9912.5</v>
      </c>
      <c r="BV231" s="0" t="n">
        <v>1</v>
      </c>
      <c r="CA231" s="0" t="str">
        <f aca="false">VLOOKUP(J231,Eras!$A$2:$C$10, 2, TRUE())</f>
        <v>prv</v>
      </c>
      <c r="CB231" s="0" t="s">
        <v>478</v>
      </c>
      <c r="CC231" s="0" t="str">
        <f aca="false">CONCATENATE(CA231,"_",CB231)</f>
        <v>prv_Freight</v>
      </c>
      <c r="CD231" s="0" t="str">
        <f aca="false">_xlfn.CONCAT(H231, "_",I231)</f>
        <v>diesel_RAIL</v>
      </c>
      <c r="CE231" s="6" t="str">
        <f aca="false" t="array" ref="CE231:CE231">_xlfn.CONCAT("{BLACK}Length: {GOLD}", TEXT(ROUNDUP(IF(AQ231&lt;&gt;"",SUM(VALUE(_xlfn.TEXTSPLIT(AQ231, ","))), SUM(VALUE(_xlfn.TEXTSPLIT(AN231, ",")))*IF(M231, M231, 1))/16, 1), "#,##0.0"), " tiles{}")</f>
        <v>{BLACK}Length: {GOLD}0.8 tiles{}</v>
      </c>
      <c r="CF231" s="0" t="str">
        <f aca="false">VLOOKUP($CD231, Constants!$M:$N, 2, FALSE())</f>
        <v>{BLACK}Powered by: {GOLD}Diesel</v>
      </c>
      <c r="CG231" s="0" t="str">
        <f aca="false">IF(M231&gt;1,_xlfn.CONCAT("{BLACK}Cars: {GOLD}", M231),"")</f>
        <v/>
      </c>
      <c r="CH231" s="0" t="s">
        <v>812</v>
      </c>
      <c r="CI231" s="0" t="str">
        <f aca="false">IF($BU231="!param_no_gameplay_units","{GREEN}Included for gameplay purposes","")</f>
        <v/>
      </c>
      <c r="CJ231" s="0" t="str">
        <f aca="false">IF(BX231="buffet","{YELLOW}25% long distance bonus for consist{}",IF(BZ231="BRAKE","{YELLOW}Speed bonus for slow wagons{}",IF(BW231&gt;190,CONCATENATE("{YELLOW}",INT((BW231-185)/1.85),"% bonus for long distance travel{}"),IF(AND(BW231&lt;180,BW231&lt;&gt;0),CONCATENATE("{YELLOW}",INT((185-BW231)/1.85),"% penalty for long distance travel{}"),""))))</f>
        <v/>
      </c>
      <c r="CK231" s="0" t="str">
        <f aca="false">_xlfn.CONCAT(CF231,IF(CF231&lt;&gt;""," ",""),CG231,IF(OR(CG231&lt;&gt;"",CF231&lt;&gt;""),"{}",""),CE231,CJ231,"{SILVER}",CH231,IF(CI231&lt;&gt;"","{}{}",""),CI231)</f>
        <v>{BLACK}Powered by: {GOLD}Diesel {}{BLACK}Length: {GOLD}0.8 tiles{}{SILVER}The Class 67 is a high speed freight locomotive designed for mail service. It uses EMD engines, generators and traction motors.</v>
      </c>
    </row>
    <row r="232" customFormat="false" ht="14.25" hidden="false" customHeight="false" outlineLevel="0" collapsed="false">
      <c r="A232" s="0" t="s">
        <v>813</v>
      </c>
      <c r="B232" s="15" t="s">
        <v>814</v>
      </c>
      <c r="C232" s="0" t="n">
        <v>217</v>
      </c>
      <c r="E232" s="0" t="n">
        <v>120</v>
      </c>
      <c r="F232" s="0" t="s">
        <v>143</v>
      </c>
      <c r="G232" s="0" t="s">
        <v>445</v>
      </c>
      <c r="H232" s="0" t="s">
        <v>670</v>
      </c>
      <c r="I232" s="0" t="s">
        <v>92</v>
      </c>
      <c r="J232" s="0" t="n">
        <v>2008</v>
      </c>
      <c r="K232" s="0" t="n">
        <v>2017</v>
      </c>
      <c r="N232" s="0" t="n">
        <v>3690</v>
      </c>
      <c r="W232" s="0" t="n">
        <v>129</v>
      </c>
      <c r="Z232" s="0" t="n">
        <v>330</v>
      </c>
      <c r="AA232" s="3" t="n">
        <f aca="false">IF(AND(W232&gt;0,Z232&gt;0),(Z232/((W232+X232)*10)),"")</f>
        <v>0.255813953488372</v>
      </c>
      <c r="AB232" s="0" t="n">
        <v>75</v>
      </c>
      <c r="AC232" s="0" t="n">
        <f aca="false">ROUND(AB232*1.6, 0)</f>
        <v>120</v>
      </c>
      <c r="AF232" s="0" t="n">
        <v>21.27</v>
      </c>
      <c r="AG232" s="0" t="n">
        <v>21.27</v>
      </c>
      <c r="AI232" s="0" t="n">
        <v>3.91</v>
      </c>
      <c r="AJ232" s="4" t="n">
        <v>0</v>
      </c>
      <c r="AK232" s="0" t="str">
        <f aca="false">CONCATENATE(VLOOKUP(AL232, 'Voxel Sizes'!$A$2:$B$18,2,FALSE()),"x",INT(AH232*15), "x", INT(AI232*15))</f>
        <v>198x0x58</v>
      </c>
      <c r="AL232" s="0" t="n">
        <f aca="false">ROUND(15*((AG232*10)/256),0)</f>
        <v>12</v>
      </c>
      <c r="AN232" s="0" t="str">
        <f aca="false">CONCATENATE(VLOOKUP(AL232,Constants!$A$2:$C$16,IF(AM232&lt;&gt;"", 3, 2), FALSE()),IF(AM232&lt;&gt;"",CONCATENATE(",",VLOOKUP(AM232,$B:$AN,39,FALSE())),""))</f>
        <v>4,4,4</v>
      </c>
      <c r="AX232" s="0" t="n">
        <v>30</v>
      </c>
      <c r="AY232" s="16" t="str">
        <f aca="false">IF(L232&lt;&gt;"",MAX(16,(L232-J232)+8),"")</f>
        <v/>
      </c>
      <c r="BB232" s="0" t="n">
        <f aca="false">MIN(AB232/150, 1)*30</f>
        <v>15</v>
      </c>
      <c r="BC232" s="0" t="n">
        <f aca="false">MIN(N232/4000, 1)*20</f>
        <v>18.45</v>
      </c>
      <c r="BD232" s="0" t="n">
        <f aca="false">MIN(Z232/400,1)*20</f>
        <v>16.5</v>
      </c>
      <c r="BE232" s="3" t="n">
        <f aca="false">1-(MAX(J232-1900, 0)/750)</f>
        <v>0.856</v>
      </c>
      <c r="BF232" s="0" t="n">
        <f aca="false">((MAX($M232,1)*MIN($AJ232/300,1)))*IF(G232="Wagon",50,10)</f>
        <v>0</v>
      </c>
      <c r="BG232" s="0" t="n">
        <f aca="false">VLOOKUP($H232,Constants!$I:$K, 2, FALSE())</f>
        <v>1</v>
      </c>
      <c r="BH232" s="0" t="n">
        <f aca="false">VLOOKUP($H232,Constants!$I:$K, 3, FALSE())*IF(AND(G232="multiple_unit",AB232&lt;110),0.75,1)</f>
        <v>2</v>
      </c>
      <c r="BI232" s="0" t="n">
        <f aca="false">INT(POWER(((Constants!$G$2+$BB232+$BC232+$BD232+$BF232)*$BE232)*$BH232, 1.05))+$BA232</f>
        <v>118</v>
      </c>
      <c r="BJ232" s="0" t="n">
        <f aca="false">INT(POWER((((Constants!$G$1+$BB232+$BC232+$BD232+$BF232)*($BE232))*$BG232),IF($G232="wagon",1,1.2)))+$AZ232</f>
        <v>124</v>
      </c>
      <c r="BK232" s="17" t="n">
        <f aca="false">BI232*IF($G232="wagon",62.5,781.25)</f>
        <v>92187.5</v>
      </c>
      <c r="BL232" s="17" t="n">
        <f aca="false">BJ232*IF($G232="wagon",2.73,81.25)</f>
        <v>10075</v>
      </c>
      <c r="BV232" s="0" t="n">
        <v>2</v>
      </c>
      <c r="CA232" s="0" t="str">
        <f aca="false">VLOOKUP(J232,Eras!$A$2:$C$10, 2, TRUE())</f>
        <v>mod</v>
      </c>
      <c r="CB232" s="0" t="s">
        <v>478</v>
      </c>
      <c r="CC232" s="0" t="str">
        <f aca="false">CONCATENATE(CA232,"_",CB232)</f>
        <v>mod_Freight</v>
      </c>
      <c r="CD232" s="0" t="str">
        <f aca="false">_xlfn.CONCAT(H232, "_",I232)</f>
        <v>diesel_RAIL</v>
      </c>
      <c r="CE232" s="6" t="str">
        <f aca="false" t="array" ref="CE232:CE232">_xlfn.CONCAT("{BLACK}Length: {GOLD}", TEXT(ROUNDUP(IF(AQ232&lt;&gt;"",SUM(VALUE(_xlfn.TEXTSPLIT(AQ232, ","))), SUM(VALUE(_xlfn.TEXTSPLIT(AN232, ",")))*IF(M232, M232, 1))/16, 1), "#,##0.0"), " tiles{}")</f>
        <v>{BLACK}Length: {GOLD}0.8 tiles{}</v>
      </c>
      <c r="CF232" s="0" t="str">
        <f aca="false">VLOOKUP($CD232, Constants!$M:$N, 2, FALSE())</f>
        <v>{BLACK}Powered by: {GOLD}Diesel</v>
      </c>
      <c r="CG232" s="0" t="str">
        <f aca="false">IF(M232&gt;1,_xlfn.CONCAT("{BLACK}Cars: {GOLD}", M232),"")</f>
        <v/>
      </c>
      <c r="CH232" s="0" t="s">
        <v>815</v>
      </c>
      <c r="CI232" s="0" t="str">
        <f aca="false">IF($BU232="!param_no_gameplay_units","{GREEN}Included for gameplay purposes","")</f>
        <v/>
      </c>
      <c r="CJ232" s="0" t="str">
        <f aca="false">IF(BX232="buffet","{YELLOW}25% long distance bonus for consist{}",IF(BZ232="BRAKE","{YELLOW}Speed bonus for slow wagons{}",IF(BW232&gt;190,CONCATENATE("{YELLOW}",INT((BW232-185)/1.85),"% bonus for long distance travel{}"),IF(AND(BW232&lt;180,BW232&lt;&gt;0),CONCATENATE("{YELLOW}",INT((185-BW232)/1.85),"% penalty for long distance travel{}"),""))))</f>
        <v/>
      </c>
      <c r="CK232" s="0" t="str">
        <f aca="false">_xlfn.CONCAT(CF232,IF(CF232&lt;&gt;""," ",""),CG232,IF(OR(CG232&lt;&gt;"",CF232&lt;&gt;""),"{}",""),CE232,CJ232,"{SILVER}",CH232,IF(CI232&lt;&gt;"","{}{}",""),CI232)</f>
        <v>{BLACK}Powered by: {GOLD}Diesel {}{BLACK}Length: {GOLD}0.8 tiles{}{SILVER}The General Electric Class 70 is designed with crash safety in mind, hence the bonnet-like structure at each end.</v>
      </c>
    </row>
    <row r="233" customFormat="false" ht="14.25" hidden="false" customHeight="false" outlineLevel="0" collapsed="false">
      <c r="A233" s="0" t="s">
        <v>816</v>
      </c>
      <c r="B233" s="15" t="s">
        <v>817</v>
      </c>
      <c r="C233" s="0" t="n">
        <v>218</v>
      </c>
      <c r="E233" s="0" t="n">
        <v>121</v>
      </c>
      <c r="F233" s="0" t="s">
        <v>143</v>
      </c>
      <c r="G233" s="0" t="s">
        <v>445</v>
      </c>
      <c r="H233" s="0" t="s">
        <v>670</v>
      </c>
      <c r="I233" s="0" t="s">
        <v>92</v>
      </c>
      <c r="J233" s="0" t="n">
        <v>2013</v>
      </c>
      <c r="K233" s="0" t="n">
        <v>2016</v>
      </c>
      <c r="N233" s="0" t="n">
        <v>3800</v>
      </c>
      <c r="W233" s="0" t="n">
        <v>85</v>
      </c>
      <c r="Z233" s="0" t="n">
        <v>317</v>
      </c>
      <c r="AA233" s="3" t="n">
        <f aca="false">IF(AND(W233&gt;0,Z233&gt;0),(Z233/((W233+X233)*10)),"")</f>
        <v>0.372941176470588</v>
      </c>
      <c r="AB233" s="0" t="n">
        <v>100</v>
      </c>
      <c r="AC233" s="0" t="n">
        <f aca="false">ROUND(AB233*1.6, 0)</f>
        <v>160</v>
      </c>
      <c r="AF233" s="0" t="n">
        <v>20.5</v>
      </c>
      <c r="AG233" s="0" t="n">
        <v>20.5</v>
      </c>
      <c r="AJ233" s="4" t="n">
        <v>0</v>
      </c>
      <c r="AK233" s="0" t="str">
        <f aca="false">CONCATENATE(VLOOKUP(AL233, 'Voxel Sizes'!$A$2:$B$18,2,FALSE()),"x",INT(AH233*15), "x", INT(AI233*15))</f>
        <v>198x0x0</v>
      </c>
      <c r="AL233" s="0" t="n">
        <f aca="false">ROUND(15*((AG233*10)/256),0)</f>
        <v>12</v>
      </c>
      <c r="AN233" s="0" t="str">
        <f aca="false">CONCATENATE(VLOOKUP(AL233,Constants!$A$2:$C$16,IF(AM233&lt;&gt;"", 3, 2), FALSE()),IF(AM233&lt;&gt;"",CONCATENATE(",",VLOOKUP(AM233,$B:$AN,39,FALSE())),""))</f>
        <v>4,4,4</v>
      </c>
      <c r="AX233" s="0" t="n">
        <v>30</v>
      </c>
      <c r="AY233" s="16" t="str">
        <f aca="false">IF(L233&lt;&gt;"",MAX(16,(L233-J233)+8),"")</f>
        <v/>
      </c>
      <c r="BB233" s="0" t="n">
        <f aca="false">MIN(AB233/150, 1)*30</f>
        <v>20</v>
      </c>
      <c r="BC233" s="0" t="n">
        <f aca="false">MIN(N233/4000, 1)*20</f>
        <v>19</v>
      </c>
      <c r="BD233" s="0" t="n">
        <f aca="false">MIN(Z233/400,1)*20</f>
        <v>15.85</v>
      </c>
      <c r="BE233" s="3" t="n">
        <f aca="false">1-(MAX(J233-1900, 0)/750)</f>
        <v>0.849333333333333</v>
      </c>
      <c r="BF233" s="0" t="n">
        <f aca="false">((MAX($M233,1)*MIN($AJ233/300,1)))*IF(G233="Wagon",50,10)</f>
        <v>0</v>
      </c>
      <c r="BG233" s="0" t="n">
        <f aca="false">VLOOKUP($H233,Constants!$I:$K, 2, FALSE())</f>
        <v>1</v>
      </c>
      <c r="BH233" s="0" t="n">
        <f aca="false">VLOOKUP($H233,Constants!$I:$K, 3, FALSE())*IF(AND(G233="multiple_unit",AB233&lt;110),0.75,1)</f>
        <v>2</v>
      </c>
      <c r="BI233" s="0" t="n">
        <f aca="false">INT(POWER(((Constants!$G$2+$BB233+$BC233+$BD233+$BF233)*$BE233)*$BH233, 1.05))+$BA233</f>
        <v>128</v>
      </c>
      <c r="BJ233" s="0" t="n">
        <f aca="false">INT(POWER((((Constants!$G$1+$BB233+$BC233+$BD233+$BF233)*($BE233))*$BG233),IF($G233="wagon",1,1.2)))+$AZ233</f>
        <v>134</v>
      </c>
      <c r="BK233" s="17" t="n">
        <f aca="false">BI233*IF($G233="wagon",62.5,781.25)</f>
        <v>100000</v>
      </c>
      <c r="BL233" s="17" t="n">
        <f aca="false">BJ233*IF($G233="wagon",2.73,81.25)</f>
        <v>10887.5</v>
      </c>
      <c r="BV233" s="0" t="n">
        <v>3</v>
      </c>
      <c r="CA233" s="0" t="str">
        <f aca="false">VLOOKUP(J233,Eras!$A$2:$C$10, 2, TRUE())</f>
        <v>mod</v>
      </c>
      <c r="CB233" s="0" t="s">
        <v>439</v>
      </c>
      <c r="CC233" s="0" t="str">
        <f aca="false">CONCATENATE(CA233,"_",CB233)</f>
        <v>mod_Mixed Traffic</v>
      </c>
      <c r="CD233" s="0" t="str">
        <f aca="false">_xlfn.CONCAT(H233, "_",I233)</f>
        <v>diesel_RAIL</v>
      </c>
      <c r="CE233" s="6" t="str">
        <f aca="false" t="array" ref="CE233:CE233">_xlfn.CONCAT("{BLACK}Length: {GOLD}", TEXT(ROUNDUP(IF(AQ233&lt;&gt;"",SUM(VALUE(_xlfn.TEXTSPLIT(AQ233, ","))), SUM(VALUE(_xlfn.TEXTSPLIT(AN233, ",")))*IF(M233, M233, 1))/16, 1), "#,##0.0"), " tiles{}")</f>
        <v>{BLACK}Length: {GOLD}0.8 tiles{}</v>
      </c>
      <c r="CF233" s="0" t="str">
        <f aca="false">VLOOKUP($CD233, Constants!$M:$N, 2, FALSE())</f>
        <v>{BLACK}Powered by: {GOLD}Diesel</v>
      </c>
      <c r="CG233" s="0" t="str">
        <f aca="false">IF(M233&gt;1,_xlfn.CONCAT("{BLACK}Cars: {GOLD}", M233),"")</f>
        <v/>
      </c>
      <c r="CH233" s="0" t="s">
        <v>818</v>
      </c>
      <c r="CI233" s="0" t="str">
        <f aca="false">IF($BU233="!param_no_gameplay_units","{GREEN}Included for gameplay purposes","")</f>
        <v/>
      </c>
      <c r="CJ233" s="0" t="str">
        <f aca="false">IF(BX233="buffet","{YELLOW}25% long distance bonus for consist{}",IF(BZ233="BRAKE","{YELLOW}Speed bonus for slow wagons{}",IF(BW233&gt;190,CONCATENATE("{YELLOW}",INT((BW233-185)/1.85),"% bonus for long distance travel{}"),IF(AND(BW233&lt;180,BW233&lt;&gt;0),CONCATENATE("{YELLOW}",INT((185-BW233)/1.85),"% penalty for long distance travel{}"),""))))</f>
        <v/>
      </c>
      <c r="CK233" s="0" t="str">
        <f aca="false">_xlfn.CONCAT(CF233,IF(CF233&lt;&gt;""," ",""),CG233,IF(OR(CG233&lt;&gt;"",CF233&lt;&gt;""),"{}",""),CE233,CJ233,"{SILVER}",CH233,IF(CI233&lt;&gt;"","{}{}",""),CI233)</f>
        <v>{BLACK}Powered by: {GOLD}Diesel {}{BLACK}Length: {GOLD}0.8 tiles{}{SILVER}The Class 68 is a modern mixed traffic disel locomotive with a powerful 16-cylinder Caterpillar engine.</v>
      </c>
    </row>
    <row r="234" customFormat="false" ht="14.25" hidden="false" customHeight="false" outlineLevel="0" collapsed="false">
      <c r="A234" s="0" t="s">
        <v>819</v>
      </c>
      <c r="B234" s="15" t="s">
        <v>820</v>
      </c>
      <c r="C234" s="0" t="n">
        <v>219</v>
      </c>
      <c r="E234" s="0" t="n">
        <v>122</v>
      </c>
      <c r="F234" s="0" t="s">
        <v>143</v>
      </c>
      <c r="G234" s="0" t="s">
        <v>445</v>
      </c>
      <c r="H234" s="0" t="s">
        <v>757</v>
      </c>
      <c r="I234" s="0" t="s">
        <v>530</v>
      </c>
      <c r="J234" s="0" t="n">
        <v>2015</v>
      </c>
      <c r="K234" s="0" t="n">
        <v>2016</v>
      </c>
      <c r="N234" s="0" t="n">
        <v>5400</v>
      </c>
      <c r="O234" s="1" t="n">
        <v>940</v>
      </c>
      <c r="W234" s="0" t="n">
        <v>86</v>
      </c>
      <c r="Z234" s="0" t="n">
        <v>317</v>
      </c>
      <c r="AA234" s="3" t="n">
        <f aca="false">IF(AND(W234&gt;0,Z234&gt;0),(Z234/((W234+X234)*10)),"")</f>
        <v>0.368604651162791</v>
      </c>
      <c r="AB234" s="0" t="n">
        <v>100</v>
      </c>
      <c r="AC234" s="0" t="n">
        <f aca="false">ROUND(AB234*1.6, 0)</f>
        <v>160</v>
      </c>
      <c r="AF234" s="0" t="n">
        <v>20.5</v>
      </c>
      <c r="AG234" s="0" t="n">
        <v>20.5</v>
      </c>
      <c r="AJ234" s="4" t="n">
        <v>0</v>
      </c>
      <c r="AK234" s="0" t="str">
        <f aca="false">CONCATENATE(VLOOKUP(AL234, 'Voxel Sizes'!$A$2:$B$18,2,FALSE()),"x",INT(AH234*15), "x", INT(AI234*15))</f>
        <v>198x0x0</v>
      </c>
      <c r="AL234" s="0" t="n">
        <f aca="false">ROUND(15*((AG234*10)/256),0)</f>
        <v>12</v>
      </c>
      <c r="AN234" s="0" t="str">
        <f aca="false">CONCATENATE(VLOOKUP(AL234,Constants!$A$2:$C$16,IF(AM234&lt;&gt;"", 3, 2), FALSE()),IF(AM234&lt;&gt;"",CONCATENATE(",",VLOOKUP(AM234,$B:$AN,39,FALSE())),""))</f>
        <v>4,4,4</v>
      </c>
      <c r="AS234" s="0" t="s">
        <v>820</v>
      </c>
      <c r="AX234" s="0" t="n">
        <v>30</v>
      </c>
      <c r="AY234" s="16" t="str">
        <f aca="false">IF(L234&lt;&gt;"",MAX(16,(L234-J234)+8),"")</f>
        <v/>
      </c>
      <c r="BB234" s="0" t="n">
        <f aca="false">MIN(AB234/150, 1)*30</f>
        <v>20</v>
      </c>
      <c r="BC234" s="0" t="n">
        <f aca="false">MIN(N234/4000, 1)*20</f>
        <v>20</v>
      </c>
      <c r="BD234" s="0" t="n">
        <f aca="false">MIN(Z234/400,1)*20</f>
        <v>15.85</v>
      </c>
      <c r="BE234" s="3" t="n">
        <f aca="false">1-(MAX(J234-1900, 0)/750)</f>
        <v>0.846666666666667</v>
      </c>
      <c r="BF234" s="0" t="n">
        <f aca="false">((MAX($M234,1)*MIN($AJ234/300,1)))*IF(G234="Wagon",50,10)</f>
        <v>0</v>
      </c>
      <c r="BG234" s="0" t="n">
        <f aca="false">VLOOKUP($H234,Constants!$I:$K, 2, FALSE())</f>
        <v>0.9</v>
      </c>
      <c r="BH234" s="0" t="n">
        <f aca="false">VLOOKUP($H234,Constants!$I:$K, 3, FALSE())*IF(AND(G234="multiple_unit",AB234&lt;110),0.75,1)</f>
        <v>2.5</v>
      </c>
      <c r="BI234" s="0" t="n">
        <f aca="false">INT(POWER(((Constants!$G$2+$BB234+$BC234+$BD234+$BF234)*$BE234)*$BH234, 1.05))+$BA234</f>
        <v>164</v>
      </c>
      <c r="BJ234" s="0" t="n">
        <f aca="false">INT(POWER((((Constants!$G$1+$BB234+$BC234+$BD234+$BF234)*($BE234))*$BG234),IF($G234="wagon",1,1.2)))+$AZ234</f>
        <v>119</v>
      </c>
      <c r="BK234" s="17" t="n">
        <f aca="false">BI234*IF($G234="wagon",62.5,781.25)</f>
        <v>128125</v>
      </c>
      <c r="BL234" s="17" t="n">
        <f aca="false">BJ234*IF($G234="wagon",2.73,81.25)</f>
        <v>9668.75</v>
      </c>
      <c r="BV234" s="0" t="n">
        <v>4</v>
      </c>
      <c r="CA234" s="0" t="str">
        <f aca="false">VLOOKUP(J234,Eras!$A$2:$C$10, 2, TRUE())</f>
        <v>mod</v>
      </c>
      <c r="CB234" s="0" t="s">
        <v>531</v>
      </c>
      <c r="CC234" s="0" t="str">
        <f aca="false">CONCATENATE(CA234,"_",CB234)</f>
        <v>mod_Freight (Electric)</v>
      </c>
      <c r="CD234" s="0" t="str">
        <f aca="false">_xlfn.CONCAT(H234, "_",I234)</f>
        <v>dual_power_ELRL</v>
      </c>
      <c r="CE234" s="6" t="str">
        <f aca="false" t="array" ref="CE234:CE234">_xlfn.CONCAT("{BLACK}Length: {GOLD}", TEXT(ROUNDUP(IF(AQ234&lt;&gt;"",SUM(VALUE(_xlfn.TEXTSPLIT(AQ234, ","))), SUM(VALUE(_xlfn.TEXTSPLIT(AN234, ",")))*IF(M234, M234, 1))/16, 1), "#,##0.0"), " tiles{}")</f>
        <v>{BLACK}Length: {GOLD}0.8 tiles{}</v>
      </c>
      <c r="CF234" s="0" t="str">
        <f aca="false">VLOOKUP($CD234, Constants!$M:$N, 2, FALSE())</f>
        <v>{BLACK}Powered by: {GOLD}25kV AC / Diesel</v>
      </c>
      <c r="CG234" s="0" t="str">
        <f aca="false">IF(M234&gt;1,_xlfn.CONCAT("{BLACK}Cars: {GOLD}", M234),"")</f>
        <v/>
      </c>
      <c r="CH234" s="0" t="s">
        <v>821</v>
      </c>
      <c r="CI234" s="0" t="str">
        <f aca="false">IF($BU234="!param_no_gameplay_units","{GREEN}Included for gameplay purposes","")</f>
        <v/>
      </c>
      <c r="CJ234" s="0" t="str">
        <f aca="false">IF(BX234="buffet","{YELLOW}25% long distance bonus for consist{}",IF(BZ234="BRAKE","{YELLOW}Speed bonus for slow wagons{}",IF(BW234&gt;190,CONCATENATE("{YELLOW}",INT((BW234-185)/1.85),"% bonus for long distance travel{}"),IF(AND(BW234&lt;180,BW234&lt;&gt;0),CONCATENATE("{YELLOW}",INT((185-BW234)/1.85),"% penalty for long distance travel{}"),""))))</f>
        <v/>
      </c>
      <c r="CK234" s="0" t="str">
        <f aca="false">_xlfn.CONCAT(CF234,IF(CF234&lt;&gt;""," ",""),CG234,IF(OR(CG234&lt;&gt;"",CF234&lt;&gt;""),"{}",""),CE234,CJ234,"{SILVER}",CH234,IF(CI234&lt;&gt;"","{}{}",""),CI234)</f>
        <v>{BLACK}Powered by: {GOLD}25kV AC / Diesel {}{BLACK}Length: {GOLD}0.8 tiles{}{SILVER}The Class 88 is a dual mode version of Stadler's Euro Dual family, sharing many components with the class 68.</v>
      </c>
    </row>
    <row r="235" customFormat="false" ht="14.25" hidden="false" customHeight="false" outlineLevel="0" collapsed="false">
      <c r="A235" s="0" t="s">
        <v>822</v>
      </c>
      <c r="B235" s="15" t="s">
        <v>823</v>
      </c>
      <c r="C235" s="0" t="n">
        <v>220</v>
      </c>
      <c r="E235" s="0" t="n">
        <v>123</v>
      </c>
      <c r="F235" s="0" t="s">
        <v>143</v>
      </c>
      <c r="G235" s="0" t="s">
        <v>445</v>
      </c>
      <c r="H235" s="0" t="s">
        <v>670</v>
      </c>
      <c r="I235" s="0" t="s">
        <v>92</v>
      </c>
      <c r="J235" s="0" t="n">
        <v>2020</v>
      </c>
      <c r="K235" s="0" t="n">
        <v>2025</v>
      </c>
      <c r="N235" s="0" t="n">
        <v>3200</v>
      </c>
      <c r="W235" s="0" t="n">
        <v>85</v>
      </c>
      <c r="Z235" s="0" t="n">
        <v>279</v>
      </c>
      <c r="AA235" s="3" t="n">
        <f aca="false">IF(AND(W235&gt;0,Z235&gt;0),(Z235/((W235+X235)*10)),"")</f>
        <v>0.328235294117647</v>
      </c>
      <c r="AB235" s="0" t="n">
        <v>80</v>
      </c>
      <c r="AC235" s="0" t="n">
        <f aca="false">ROUND(AB235*1.6, 0)</f>
        <v>128</v>
      </c>
      <c r="AF235" s="0" t="n">
        <v>20.5</v>
      </c>
      <c r="AG235" s="0" t="n">
        <v>20.5</v>
      </c>
      <c r="AJ235" s="4" t="n">
        <v>0</v>
      </c>
      <c r="AK235" s="0" t="str">
        <f aca="false">CONCATENATE(VLOOKUP(AL235, 'Voxel Sizes'!$A$2:$B$18,2,FALSE()),"x",INT(AH235*15), "x", INT(AI235*15))</f>
        <v>186x0x0</v>
      </c>
      <c r="AL235" s="0" t="n">
        <v>11</v>
      </c>
      <c r="AN235" s="0" t="str">
        <f aca="false">CONCATENATE(VLOOKUP(AL235,Constants!$A$2:$C$16,IF(AM235&lt;&gt;"", 3, 2), FALSE()),IF(AM235&lt;&gt;"",CONCATENATE(",",VLOOKUP(AM235,$B:$AN,39,FALSE())),""))</f>
        <v>4,3,4</v>
      </c>
      <c r="AX235" s="0" t="n">
        <v>29</v>
      </c>
      <c r="AY235" s="16" t="str">
        <f aca="false">IF(L235&lt;&gt;"",MAX(16,(L235-J235)+8),"")</f>
        <v/>
      </c>
      <c r="BB235" s="0" t="n">
        <f aca="false">MIN(AB235/150, 1)*30</f>
        <v>16</v>
      </c>
      <c r="BC235" s="0" t="n">
        <f aca="false">MIN(N235/4000, 1)*20</f>
        <v>16</v>
      </c>
      <c r="BD235" s="0" t="n">
        <f aca="false">MIN(Z235/400,1)*20</f>
        <v>13.95</v>
      </c>
      <c r="BE235" s="3" t="n">
        <f aca="false">1-(MAX(J235-1900, 0)/750)</f>
        <v>0.84</v>
      </c>
      <c r="BF235" s="0" t="n">
        <f aca="false">((MAX($M235,1)*MIN($AJ235/300,1)))*IF(G235="Wagon",50,10)</f>
        <v>0</v>
      </c>
      <c r="BG235" s="0" t="n">
        <f aca="false">VLOOKUP($H235,Constants!$I:$K, 2, FALSE())</f>
        <v>1</v>
      </c>
      <c r="BH235" s="0" t="n">
        <f aca="false">VLOOKUP($H235,Constants!$I:$K, 3, FALSE())*IF(AND(G235="multiple_unit",AB235&lt;110),0.75,1)</f>
        <v>2</v>
      </c>
      <c r="BI235" s="0" t="n">
        <f aca="false">INT(POWER(((Constants!$G$2+$BB235+$BC235+$BD235+$BF235)*$BE235)*$BH235, 1.05))+$BA235</f>
        <v>106</v>
      </c>
      <c r="BJ235" s="0" t="n">
        <f aca="false">INT(POWER((((Constants!$G$1+$BB235+$BC235+$BD235+$BF235)*($BE235))*$BG235),IF($G235="wagon",1,1.2)))+$AZ235</f>
        <v>112</v>
      </c>
      <c r="BK235" s="17" t="n">
        <f aca="false">BI235*IF($G235="wagon",62.5,781.25)</f>
        <v>82812.5</v>
      </c>
      <c r="BL235" s="17" t="n">
        <f aca="false">BJ235*IF($G235="wagon",2.73,81.25)</f>
        <v>9100</v>
      </c>
      <c r="BV235" s="0" t="n">
        <v>6</v>
      </c>
      <c r="CA235" s="0" t="str">
        <f aca="false">VLOOKUP(J235,Eras!$A$2:$C$10, 2, TRUE())</f>
        <v>mod</v>
      </c>
      <c r="CB235" s="0" t="s">
        <v>478</v>
      </c>
      <c r="CC235" s="0" t="str">
        <f aca="false">CONCATENATE(CA235,"_",CB235)</f>
        <v>mod_Freight</v>
      </c>
      <c r="CD235" s="0" t="str">
        <f aca="false">_xlfn.CONCAT(H235, "_",I235)</f>
        <v>diesel_RAIL</v>
      </c>
      <c r="CE235" s="6" t="str">
        <f aca="false" t="array" ref="CE235:CE235">_xlfn.CONCAT("{BLACK}Length: {GOLD}", TEXT(ROUNDUP(IF(AQ235&lt;&gt;"",SUM(VALUE(_xlfn.TEXTSPLIT(AQ235, ","))), SUM(VALUE(_xlfn.TEXTSPLIT(AN235, ",")))*IF(M235, M235, 1))/16, 1), "#,##0.0"), " tiles{}")</f>
        <v>{BLACK}Length: {GOLD}0.7 tiles{}</v>
      </c>
      <c r="CF235" s="0" t="str">
        <f aca="false">VLOOKUP($CD235, Constants!$M:$N, 2, FALSE())</f>
        <v>{BLACK}Powered by: {GOLD}Diesel</v>
      </c>
      <c r="CG235" s="0" t="str">
        <f aca="false">IF(M235&gt;1,_xlfn.CONCAT("{BLACK}Cars: {GOLD}", M235),"")</f>
        <v/>
      </c>
      <c r="CH235" s="0" t="s">
        <v>824</v>
      </c>
      <c r="CI235" s="0" t="str">
        <f aca="false">IF($BU235="!param_no_gameplay_units","{GREEN}Included for gameplay purposes","")</f>
        <v/>
      </c>
      <c r="CJ235" s="0" t="str">
        <f aca="false">IF(BX235="buffet","{YELLOW}25% long distance bonus for consist{}",IF(BZ235="BRAKE","{YELLOW}Speed bonus for slow wagons{}",IF(BW235&gt;190,CONCATENATE("{YELLOW}",INT((BW235-185)/1.85),"% bonus for long distance travel{}"),IF(AND(BW235&lt;180,BW235&lt;&gt;0),CONCATENATE("{YELLOW}",INT((185-BW235)/1.85),"% penalty for long distance travel{}"),""))))</f>
        <v/>
      </c>
      <c r="CK235" s="0" t="str">
        <f aca="false">_xlfn.CONCAT(CF235,IF(CF235&lt;&gt;""," ",""),CG235,IF(OR(CG235&lt;&gt;"",CF235&lt;&gt;""),"{}",""),CE235,CJ235,"{SILVER}",CH235,IF(CI235&lt;&gt;"","{}{}",""),CI235)</f>
        <v>{BLACK}Powered by: {GOLD}Diesel {}{BLACK}Length: {GOLD}0.7 tiles{}{SILVER}The Class 69 is a rebuild of the Class 56 to cost-effectively provide a new locomotive with similar performance to the Class 66, which could no longer be purchased due to new rail equipment regulations.</v>
      </c>
    </row>
    <row r="236" customFormat="false" ht="14.25" hidden="false" customHeight="false" outlineLevel="0" collapsed="false">
      <c r="A236" s="0" t="s">
        <v>825</v>
      </c>
      <c r="B236" s="15" t="s">
        <v>826</v>
      </c>
      <c r="C236" s="0" t="n">
        <v>221</v>
      </c>
      <c r="E236" s="0" t="n">
        <v>124</v>
      </c>
      <c r="F236" s="0" t="s">
        <v>143</v>
      </c>
      <c r="G236" s="0" t="s">
        <v>827</v>
      </c>
      <c r="H236" s="0" t="s">
        <v>670</v>
      </c>
      <c r="I236" s="0" t="s">
        <v>92</v>
      </c>
      <c r="J236" s="0" t="n">
        <v>1933</v>
      </c>
      <c r="K236" s="0" t="n">
        <v>1942</v>
      </c>
      <c r="L236" s="0" t="n">
        <v>1962</v>
      </c>
      <c r="M236" s="0" t="n">
        <v>1</v>
      </c>
      <c r="N236" s="0" t="n">
        <v>260</v>
      </c>
      <c r="W236" s="0" t="n">
        <v>35</v>
      </c>
      <c r="Y236" s="0" t="n">
        <v>5</v>
      </c>
      <c r="Z236" s="0" t="n">
        <v>55</v>
      </c>
      <c r="AA236" s="3" t="n">
        <f aca="false">IF(AND(W236&gt;0,Z236&gt;0),(Z236/((W236+X236)*10)),"")</f>
        <v>0.157142857142857</v>
      </c>
      <c r="AB236" s="0" t="n">
        <v>63</v>
      </c>
      <c r="AC236" s="0" t="n">
        <f aca="false">ROUND(AB236*1.6, 0)</f>
        <v>101</v>
      </c>
      <c r="AF236" s="0" t="n">
        <v>18.4</v>
      </c>
      <c r="AG236" s="0" t="n">
        <v>17</v>
      </c>
      <c r="AJ236" s="4" t="n">
        <v>69</v>
      </c>
      <c r="AK236" s="0" t="str">
        <f aca="false">CONCATENATE(VLOOKUP(AL236, 'Voxel Sizes'!$A$2:$B$18,2,FALSE()),"x",INT(AH236*15), "x", INT(AI236*15))</f>
        <v>164x0x0</v>
      </c>
      <c r="AL236" s="0" t="n">
        <f aca="false">ROUND(15*((AG236*10)/256),0)</f>
        <v>10</v>
      </c>
      <c r="AN236" s="0" t="str">
        <f aca="false">CONCATENATE(VLOOKUP(AL236,Constants!$A$2:$C$16,IF(AM236&lt;&gt;"", 3, 2), FALSE()),IF(AM236&lt;&gt;"",CONCATENATE(",",VLOOKUP(AM236,$B:$AN,39,FALSE())),""))</f>
        <v>4,2,4</v>
      </c>
      <c r="AR236" s="0" t="s">
        <v>826</v>
      </c>
      <c r="AT236" s="0" t="n">
        <v>1</v>
      </c>
      <c r="AX236" s="0" t="n">
        <v>16</v>
      </c>
      <c r="AY236" s="16" t="n">
        <f aca="false">IF(L236&lt;&gt;"",MAX(16,(L236-J236)+8),"")</f>
        <v>37</v>
      </c>
      <c r="BB236" s="0" t="n">
        <f aca="false">MIN(AB236/150, 1)*30</f>
        <v>12.6</v>
      </c>
      <c r="BC236" s="0" t="n">
        <f aca="false">MIN(N236/4000, 1)*20</f>
        <v>1.3</v>
      </c>
      <c r="BD236" s="0" t="n">
        <f aca="false">MIN(Z236/400,1)*20</f>
        <v>2.75</v>
      </c>
      <c r="BE236" s="3" t="n">
        <f aca="false">1-(MAX(J236-1900, 0)/750)</f>
        <v>0.956</v>
      </c>
      <c r="BF236" s="0" t="n">
        <f aca="false">((MAX($M236,1)*MIN($AJ236/300,1)))*IF(G236="Wagon",50,10)</f>
        <v>2.3</v>
      </c>
      <c r="BG236" s="0" t="n">
        <f aca="false">VLOOKUP($H236,Constants!$I:$K, 2, FALSE())</f>
        <v>1</v>
      </c>
      <c r="BH236" s="0" t="n">
        <f aca="false">VLOOKUP($H236,Constants!$I:$K, 3, FALSE())*IF(AND(G236="multiple_unit",AB236&lt;110),0.75,1)</f>
        <v>1.5</v>
      </c>
      <c r="BI236" s="0" t="n">
        <f aca="false">INT(POWER(((Constants!$G$2+$BB236+$BC236+$BD236+$BF236)*$BE236)*$BH236, 1.05))+$BA236</f>
        <v>40</v>
      </c>
      <c r="BJ236" s="0" t="n">
        <f aca="false">INT(POWER((((Constants!$G$1+$BB236+$BC236+$BD236+$BF236)*($BE236))*$BG236),IF($G236="wagon",1,1.2)))+$AZ236</f>
        <v>65</v>
      </c>
      <c r="BK236" s="17" t="n">
        <f aca="false">BI236*IF($G236="wagon",62.5,781.25)</f>
        <v>31250</v>
      </c>
      <c r="BL236" s="17" t="n">
        <f aca="false">BJ236*IF($G236="wagon",2.73,81.25)</f>
        <v>5281.25</v>
      </c>
      <c r="BV236" s="0" t="n">
        <v>9</v>
      </c>
      <c r="BZ236" s="0" t="s">
        <v>148</v>
      </c>
      <c r="CA236" s="0" t="str">
        <f aca="false">VLOOKUP(J236,Eras!$A$2:$C$10, 2, TRUE())</f>
        <v>big4</v>
      </c>
      <c r="CB236" s="0" t="s">
        <v>828</v>
      </c>
      <c r="CC236" s="0" t="str">
        <f aca="false">CONCATENATE(CA236,"_",CB236)</f>
        <v>big4_DMU (Cheap)</v>
      </c>
      <c r="CD236" s="0" t="str">
        <f aca="false">_xlfn.CONCAT(H236, "_",I236)</f>
        <v>diesel_RAIL</v>
      </c>
      <c r="CE236" s="6" t="str">
        <f aca="false" t="array" ref="CE236:CE236">_xlfn.CONCAT("{BLACK}Length: {GOLD}", TEXT(ROUNDUP(IF(AQ236&lt;&gt;"",SUM(VALUE(_xlfn.TEXTSPLIT(AQ236, ","))), SUM(VALUE(_xlfn.TEXTSPLIT(AN236, ",")))*IF(M236, M236, 1))/16, 1), "#,##0.0"), " tiles{}")</f>
        <v>{BLACK}Length: {GOLD}0.7 tiles{}</v>
      </c>
      <c r="CF236" s="0" t="str">
        <f aca="false">VLOOKUP($CD236, Constants!$M:$N, 2, FALSE())</f>
        <v>{BLACK}Powered by: {GOLD}Diesel</v>
      </c>
      <c r="CG236" s="0" t="str">
        <f aca="false">IF(M236&gt;1,_xlfn.CONCAT("{BLACK}Cars: {GOLD}", M236),"")</f>
        <v/>
      </c>
      <c r="CH236" s="0" t="s">
        <v>829</v>
      </c>
      <c r="CI236" s="0" t="str">
        <f aca="false">IF($BU236="!param_no_gameplay_units","{GREEN}Included for gameplay purposes","")</f>
        <v/>
      </c>
      <c r="CJ236" s="0" t="str">
        <f aca="false">IF(BX236="buffet","{YELLOW}25% long distance bonus for consist{}",IF(BZ236="BRAKE","{YELLOW}Speed bonus for slow wagons{}",IF(BW236&gt;190,CONCATENATE("{YELLOW}",INT((BW236-185)/1.85),"% bonus for long distance travel{}"),IF(AND(BW236&lt;180,BW236&lt;&gt;0),CONCATENATE("{YELLOW}",INT((185-BW236)/1.85),"% penalty for long distance travel{}"),""))))</f>
        <v/>
      </c>
      <c r="CK236" s="0" t="str">
        <f aca="false">_xlfn.CONCAT(CF236,IF(CF236&lt;&gt;""," ",""),CG236,IF(OR(CG236&lt;&gt;"",CF236&lt;&gt;""),"{}",""),CE236,CJ236,"{SILVER}",CH236,IF(CI236&lt;&gt;"","{}{}",""),CI236)</f>
        <v>{BLACK}Powered by: {GOLD}Diesel {}{BLACK}Length: {GOLD}0.7 tiles{}{SILVER}The GWR Railcars used AEC bus hardware in a lightweight streamlined body.</v>
      </c>
    </row>
    <row r="237" customFormat="false" ht="14.25" hidden="false" customHeight="false" outlineLevel="0" collapsed="false">
      <c r="A237" s="0" t="s">
        <v>830</v>
      </c>
      <c r="B237" s="15" t="s">
        <v>831</v>
      </c>
      <c r="C237" s="0" t="n">
        <v>222</v>
      </c>
      <c r="E237" s="0" t="n">
        <v>125</v>
      </c>
      <c r="F237" s="0" t="s">
        <v>143</v>
      </c>
      <c r="G237" s="0" t="s">
        <v>827</v>
      </c>
      <c r="H237" s="0" t="s">
        <v>670</v>
      </c>
      <c r="I237" s="0" t="s">
        <v>92</v>
      </c>
      <c r="J237" s="0" t="n">
        <v>1956</v>
      </c>
      <c r="K237" s="0" t="n">
        <v>1960</v>
      </c>
      <c r="L237" s="0" t="n">
        <v>2003</v>
      </c>
      <c r="M237" s="0" t="n">
        <v>2</v>
      </c>
      <c r="N237" s="0" t="n">
        <v>600</v>
      </c>
      <c r="W237" s="0" t="n">
        <f aca="false">32.5+25</f>
        <v>57.5</v>
      </c>
      <c r="Y237" s="0" t="n">
        <v>5</v>
      </c>
      <c r="Z237" s="0" t="n">
        <v>85</v>
      </c>
      <c r="AA237" s="3" t="n">
        <f aca="false">IF(AND(W237&gt;0,Z237&gt;0),(Z237/((W237+X237)*10)),"")</f>
        <v>0.147826086956522</v>
      </c>
      <c r="AB237" s="0" t="n">
        <v>70</v>
      </c>
      <c r="AC237" s="0" t="n">
        <f aca="false">ROUND(AB237*1.6, 0)</f>
        <v>112</v>
      </c>
      <c r="AF237" s="0" t="n">
        <v>17.37</v>
      </c>
      <c r="AG237" s="0" t="n">
        <v>17.37</v>
      </c>
      <c r="AI237" s="0" t="n">
        <v>3.77</v>
      </c>
      <c r="AJ237" s="4" t="n">
        <v>51</v>
      </c>
      <c r="AK237" s="0" t="str">
        <f aca="false">CONCATENATE(VLOOKUP(AL237, 'Voxel Sizes'!$A$2:$B$18,2,FALSE()),"x",INT(AH237*15), "x", INT(AI237*15))</f>
        <v>164x0x56</v>
      </c>
      <c r="AL237" s="0" t="n">
        <f aca="false">ROUND(15*((AG237*10)/256),0)</f>
        <v>10</v>
      </c>
      <c r="AN237" s="0" t="str">
        <f aca="false">CONCATENATE(VLOOKUP(AL237,Constants!$A$2:$C$16,IF(AM237&lt;&gt;"", 3, 2), FALSE()),IF(AM237&lt;&gt;"",CONCATENATE(",",VLOOKUP(AM237,$B:$AN,39,FALSE())),""))</f>
        <v>4,2,4</v>
      </c>
      <c r="AR237" s="0" t="s">
        <v>832</v>
      </c>
      <c r="AT237" s="0" t="s">
        <v>833</v>
      </c>
      <c r="AX237" s="0" t="n">
        <v>45</v>
      </c>
      <c r="AY237" s="16" t="n">
        <f aca="false">IF(L237&lt;&gt;"",MAX(16,(L237-J237)+8),"")</f>
        <v>55</v>
      </c>
      <c r="AZ237" s="0" t="n">
        <v>-10</v>
      </c>
      <c r="BA237" s="0" t="n">
        <v>-15</v>
      </c>
      <c r="BB237" s="0" t="n">
        <f aca="false">MIN(AB237/150, 1)*30</f>
        <v>14</v>
      </c>
      <c r="BC237" s="0" t="n">
        <f aca="false">MIN(N237/4000, 1)*20</f>
        <v>3</v>
      </c>
      <c r="BD237" s="0" t="n">
        <f aca="false">MIN(Z237/400,1)*20</f>
        <v>4.25</v>
      </c>
      <c r="BE237" s="3" t="n">
        <f aca="false">1-(MAX(J237-1900, 0)/750)</f>
        <v>0.925333333333333</v>
      </c>
      <c r="BF237" s="0" t="n">
        <f aca="false">((MAX($M237,1)*MIN($AJ237/300,1)))*IF(G237="Wagon",50,10)</f>
        <v>3.4</v>
      </c>
      <c r="BG237" s="0" t="n">
        <f aca="false">VLOOKUP($H237,Constants!$I:$K, 2, FALSE())</f>
        <v>1</v>
      </c>
      <c r="BH237" s="0" t="n">
        <f aca="false">VLOOKUP($H237,Constants!$I:$K, 3, FALSE())*IF(AND(G237="multiple_unit",AB237&lt;110),0.75,1)</f>
        <v>1.5</v>
      </c>
      <c r="BI237" s="0" t="n">
        <f aca="false">INT(POWER(((Constants!$G$2+$BB237+$BC237+$BD237+$BF237)*$BE237)*$BH237, 1.05))+$BA237</f>
        <v>34</v>
      </c>
      <c r="BJ237" s="0" t="n">
        <f aca="false">INT(POWER((((Constants!$G$1+$BB237+$BC237+$BD237+$BF237)*($BE237))*$BG237),IF($G237="wagon",1,1.2)))+$AZ237</f>
        <v>65</v>
      </c>
      <c r="BK237" s="17" t="n">
        <f aca="false">BI237*IF($G237="wagon",62.5,781.25)</f>
        <v>26562.5</v>
      </c>
      <c r="BL237" s="17" t="n">
        <f aca="false">BJ237*IF($G237="wagon",2.73,81.25)</f>
        <v>5281.25</v>
      </c>
      <c r="BV237" s="0" t="n">
        <v>2</v>
      </c>
      <c r="BZ237" s="0" t="s">
        <v>148</v>
      </c>
      <c r="CA237" s="0" t="str">
        <f aca="false">VLOOKUP(J237,Eras!$A$2:$C$10, 2, TRUE())</f>
        <v>dsl</v>
      </c>
      <c r="CB237" s="0" t="s">
        <v>834</v>
      </c>
      <c r="CC237" s="0" t="str">
        <f aca="false">CONCATENATE(CA237,"_",CB237)</f>
        <v>dsl_DMU</v>
      </c>
      <c r="CD237" s="0" t="str">
        <f aca="false">_xlfn.CONCAT(H237, "_",I237)</f>
        <v>diesel_RAIL</v>
      </c>
      <c r="CE237" s="6" t="str">
        <f aca="false" t="array" ref="CE237:CE237">_xlfn.CONCAT("{BLACK}Length: {GOLD}", TEXT(ROUNDUP(IF(AQ237&lt;&gt;"",SUM(VALUE(_xlfn.TEXTSPLIT(AQ237, ","))), SUM(VALUE(_xlfn.TEXTSPLIT(AN237, ",")))*IF(M237, M237, 1))/16, 1), "#,##0.0"), " tiles{}")</f>
        <v>{BLACK}Length: {GOLD}1.3 tiles{}</v>
      </c>
      <c r="CF237" s="0" t="str">
        <f aca="false">VLOOKUP($CD237, Constants!$M:$N, 2, FALSE())</f>
        <v>{BLACK}Powered by: {GOLD}Diesel</v>
      </c>
      <c r="CG237" s="0" t="str">
        <f aca="false">IF(M237&gt;1,_xlfn.CONCAT("{BLACK}Cars: {GOLD}", M237),"")</f>
        <v>{BLACK}Cars: {GOLD}2</v>
      </c>
      <c r="CH237" s="0" t="s">
        <v>835</v>
      </c>
      <c r="CI237" s="0" t="str">
        <f aca="false">IF($BU237="!param_no_gameplay_units","{GREEN}Included for gameplay purposes","")</f>
        <v/>
      </c>
      <c r="CJ237" s="0" t="str">
        <f aca="false">IF(BX237="buffet","{YELLOW}25% long distance bonus for consist{}",IF(BZ237="BRAKE","{YELLOW}Speed bonus for slow wagons{}",IF(BW237&gt;190,CONCATENATE("{YELLOW}",INT((BW237-185)/1.85),"% bonus for long distance travel{}"),IF(AND(BW237&lt;180,BW237&lt;&gt;0),CONCATENATE("{YELLOW}",INT((185-BW237)/1.85),"% penalty for long distance travel{}"),""))))</f>
        <v/>
      </c>
      <c r="CK237" s="0" t="str">
        <f aca="false">_xlfn.CONCAT(CF237,IF(CF237&lt;&gt;""," ",""),CG237,IF(OR(CG237&lt;&gt;"",CF237&lt;&gt;""),"{}",""),CE237,CJ237,"{SILVER}",CH237,IF(CI237&lt;&gt;"","{}{}",""),CI237)</f>
        <v>{BLACK}Powered by: {GOLD}Diesel {BLACK}Cars: {GOLD}2{}{BLACK}Length: {GOLD}1.3 tiles{}{SILVER}The Class 101 has a four speed gearbox with a manual shift. It was exceptionally long-lived, the final examples being retired in December 2003.</v>
      </c>
    </row>
    <row r="238" customFormat="false" ht="14.25" hidden="false" customHeight="false" outlineLevel="0" collapsed="false">
      <c r="A238" s="0" t="s">
        <v>836</v>
      </c>
      <c r="B238" s="15" t="s">
        <v>837</v>
      </c>
      <c r="C238" s="0" t="n">
        <v>223</v>
      </c>
      <c r="E238" s="0" t="n">
        <v>126</v>
      </c>
      <c r="F238" s="0" t="s">
        <v>143</v>
      </c>
      <c r="G238" s="0" t="s">
        <v>827</v>
      </c>
      <c r="H238" s="0" t="s">
        <v>838</v>
      </c>
      <c r="I238" s="0" t="s">
        <v>92</v>
      </c>
      <c r="J238" s="0" t="n">
        <v>1903</v>
      </c>
      <c r="L238" s="0" t="n">
        <v>1940</v>
      </c>
      <c r="M238" s="0" t="n">
        <v>1</v>
      </c>
      <c r="N238" s="0" t="n">
        <v>85</v>
      </c>
      <c r="W238" s="0" t="n">
        <v>35</v>
      </c>
      <c r="Y238" s="0" t="n">
        <v>5</v>
      </c>
      <c r="Z238" s="0" t="n">
        <v>45</v>
      </c>
      <c r="AA238" s="3" t="n">
        <f aca="false">IF(AND(W238&gt;0,Z238&gt;0),(Z238/((W238+X238)*10)),"")</f>
        <v>0.128571428571429</v>
      </c>
      <c r="AB238" s="0" t="n">
        <v>40</v>
      </c>
      <c r="AC238" s="0" t="n">
        <f aca="false">ROUND(AB238*1.6, 0)</f>
        <v>64</v>
      </c>
      <c r="AF238" s="0" t="n">
        <v>16.7</v>
      </c>
      <c r="AG238" s="0" t="n">
        <v>16.7</v>
      </c>
      <c r="AH238" s="0" t="n">
        <v>2.59</v>
      </c>
      <c r="AI238" s="0" t="n">
        <v>3.98</v>
      </c>
      <c r="AJ238" s="4" t="n">
        <v>48</v>
      </c>
      <c r="AK238" s="0" t="str">
        <f aca="false">CONCATENATE(VLOOKUP(AL238, 'Voxel Sizes'!$A$2:$B$18,2,FALSE()),"x",INT(AH238*15), "x", INT(AI238*15))</f>
        <v>164x38x59</v>
      </c>
      <c r="AL238" s="0" t="n">
        <f aca="false">ROUND(15*((AG238*10)/256),0)</f>
        <v>10</v>
      </c>
      <c r="AN238" s="0" t="str">
        <f aca="false">CONCATENATE(VLOOKUP(AL238,Constants!$A$2:$C$16,IF(AM238&lt;&gt;"", 3, 2), FALSE()),IF(AM238&lt;&gt;"",CONCATENATE(",",VLOOKUP(AM238,$B:$AN,39,FALSE())),""))</f>
        <v>4,2,4</v>
      </c>
      <c r="AR238" s="0" t="s">
        <v>837</v>
      </c>
      <c r="AT238" s="0" t="n">
        <v>1</v>
      </c>
      <c r="AX238" s="0" t="n">
        <v>17</v>
      </c>
      <c r="AY238" s="16" t="n">
        <f aca="false">IF(L238&lt;&gt;"",MAX(16,(L238-J238)+8),"")</f>
        <v>45</v>
      </c>
      <c r="AZ238" s="0" t="n">
        <v>-15</v>
      </c>
      <c r="BA238" s="0" t="n">
        <v>-10</v>
      </c>
      <c r="BB238" s="0" t="n">
        <f aca="false">MIN(AB238/150, 1)*30</f>
        <v>8</v>
      </c>
      <c r="BC238" s="0" t="n">
        <f aca="false">MIN(N238/4000, 1)*20</f>
        <v>0.425</v>
      </c>
      <c r="BD238" s="0" t="n">
        <f aca="false">MIN(Z238/400,1)*20</f>
        <v>2.25</v>
      </c>
      <c r="BE238" s="3" t="n">
        <f aca="false">1-(MAX(J238-1900, 0)/750)</f>
        <v>0.996</v>
      </c>
      <c r="BF238" s="0" t="n">
        <f aca="false">((MAX($M238,1)*MIN($AJ238/300,1)))*IF(G238="Wagon",50,10)</f>
        <v>1.6</v>
      </c>
      <c r="BG238" s="0" t="n">
        <f aca="false">VLOOKUP($H238,Constants!$I:$K, 2, FALSE())</f>
        <v>1.05</v>
      </c>
      <c r="BH238" s="0" t="n">
        <f aca="false">VLOOKUP($H238,Constants!$I:$K, 3, FALSE())*IF(AND(G238="multiple_unit",AB238&lt;110),0.75,1)</f>
        <v>1.425</v>
      </c>
      <c r="BI238" s="0" t="n">
        <f aca="false">INT(POWER(((Constants!$G$2+$BB238+$BC238+$BD238+$BF238)*$BE238)*$BH238, 1.05))+$BA238</f>
        <v>18</v>
      </c>
      <c r="BJ238" s="0" t="n">
        <f aca="false">INT(POWER((((Constants!$G$1+$BB238+$BC238+$BD238+$BF238)*($BE238))*$BG238),IF($G238="wagon",1,1.2)))+$AZ238</f>
        <v>40</v>
      </c>
      <c r="BK238" s="17" t="n">
        <f aca="false">BI238*IF($G238="wagon",62.5,781.25)</f>
        <v>14062.5</v>
      </c>
      <c r="BL238" s="17" t="n">
        <f aca="false">BJ238*IF($G238="wagon",2.73,81.25)</f>
        <v>3250</v>
      </c>
      <c r="BR238" s="0" t="s">
        <v>162</v>
      </c>
      <c r="BV238" s="0" t="n">
        <v>5</v>
      </c>
      <c r="BW238" s="0" t="n">
        <v>185</v>
      </c>
      <c r="BZ238" s="0" t="s">
        <v>148</v>
      </c>
      <c r="CA238" s="0" t="str">
        <f aca="false">VLOOKUP(J238,Eras!$A$2:$C$10, 2, TRUE())</f>
        <v>edw</v>
      </c>
      <c r="CB238" s="0" t="s">
        <v>828</v>
      </c>
      <c r="CC238" s="0" t="str">
        <f aca="false">CONCATENATE(CA238,"_",CB238)</f>
        <v>edw_DMU (Cheap)</v>
      </c>
      <c r="CD238" s="0" t="str">
        <f aca="false">_xlfn.CONCAT(H238, "_",I238)</f>
        <v>petrol_RAIL</v>
      </c>
      <c r="CE238" s="6" t="str">
        <f aca="false" t="array" ref="CE238:CE238">_xlfn.CONCAT("{BLACK}Length: {GOLD}", TEXT(ROUNDUP(IF(AQ238&lt;&gt;"",SUM(VALUE(_xlfn.TEXTSPLIT(AQ238, ","))), SUM(VALUE(_xlfn.TEXTSPLIT(AN238, ",")))*IF(M238, M238, 1))/16, 1), "#,##0.0"), " tiles{}")</f>
        <v>{BLACK}Length: {GOLD}0.7 tiles{}</v>
      </c>
      <c r="CF238" s="0" t="str">
        <f aca="false">VLOOKUP($CD238, Constants!$M:$N, 2, FALSE())</f>
        <v>{BLACK}Powered by: {GOLD}Petrol</v>
      </c>
      <c r="CG238" s="0" t="str">
        <f aca="false">IF(M238&gt;1,_xlfn.CONCAT("{BLACK}Cars: {GOLD}", M238),"")</f>
        <v/>
      </c>
      <c r="CH238" s="0" t="s">
        <v>839</v>
      </c>
      <c r="CI238" s="0" t="str">
        <f aca="false">IF($BU238="!param_no_gameplay_units","{GREEN}Included for gameplay purposes","")</f>
        <v/>
      </c>
      <c r="CJ238" s="0" t="str">
        <f aca="false">IF(BX238="buffet","{YELLOW}25% long distance bonus for consist{}",IF(BZ238="BRAKE","{YELLOW}Speed bonus for slow wagons{}",IF(BW238&gt;190,CONCATENATE("{YELLOW}",INT((BW238-185)/1.85),"% bonus for long distance travel{}"),IF(AND(BW238&lt;180,BW238&lt;&gt;0),CONCATENATE("{YELLOW}",INT((185-BW238)/1.85),"% penalty for long distance travel{}"),""))))</f>
        <v/>
      </c>
      <c r="CK238" s="0" t="str">
        <f aca="false">_xlfn.CONCAT(CF238,IF(CF238&lt;&gt;""," ",""),CG238,IF(OR(CG238&lt;&gt;"",CF238&lt;&gt;""),"{}",""),CE238,CJ238,"{SILVER}",CH238,IF(CI238&lt;&gt;"","{}{}",""),CI238)</f>
        <v>{BLACK}Powered by: {GOLD}Petrol {}{BLACK}Length: {GOLD}0.7 tiles{}{SILVER}The NER Autocar is a petrol-electric railcar with a petrol engine driving two electric motors. It was the first use of an internal combustion engine in a railway vehicle.</v>
      </c>
    </row>
    <row r="239" customFormat="false" ht="14.25" hidden="false" customHeight="false" outlineLevel="0" collapsed="false">
      <c r="A239" s="0" t="s">
        <v>840</v>
      </c>
      <c r="B239" s="15" t="s">
        <v>841</v>
      </c>
      <c r="C239" s="0" t="n">
        <v>224</v>
      </c>
      <c r="E239" s="0" t="n">
        <v>127</v>
      </c>
      <c r="F239" s="0" t="s">
        <v>143</v>
      </c>
      <c r="G239" s="0" t="s">
        <v>827</v>
      </c>
      <c r="H239" s="0" t="s">
        <v>529</v>
      </c>
      <c r="I239" s="0" t="s">
        <v>641</v>
      </c>
      <c r="J239" s="0" t="n">
        <v>1914</v>
      </c>
      <c r="L239" s="0" t="n">
        <v>1960</v>
      </c>
      <c r="M239" s="0" t="n">
        <v>3</v>
      </c>
      <c r="N239" s="0" t="n">
        <v>1000</v>
      </c>
      <c r="W239" s="0" t="n">
        <v>117</v>
      </c>
      <c r="Y239" s="0" t="n">
        <v>5</v>
      </c>
      <c r="Z239" s="0" t="n">
        <v>112</v>
      </c>
      <c r="AA239" s="3" t="n">
        <f aca="false">IF(AND(W239&gt;0,Z239&gt;0),(Z239/((W239+X239)*10)),"")</f>
        <v>0.0957264957264957</v>
      </c>
      <c r="AB239" s="0" t="n">
        <v>60</v>
      </c>
      <c r="AC239" s="0" t="n">
        <f aca="false">ROUND(AB239*1.6, 0)</f>
        <v>96</v>
      </c>
      <c r="AG239" s="0" t="n">
        <v>17.7</v>
      </c>
      <c r="AJ239" s="4" t="n">
        <v>45</v>
      </c>
      <c r="AK239" s="0" t="str">
        <f aca="false">CONCATENATE(VLOOKUP(AL239, 'Voxel Sizes'!$A$2:$B$18,2,FALSE()),"x",INT(AH239*15), "x", INT(AI239*15))</f>
        <v>164x0x0</v>
      </c>
      <c r="AL239" s="0" t="n">
        <f aca="false">ROUND(15*((AG239*10)/256),0)</f>
        <v>10</v>
      </c>
      <c r="AN239" s="0" t="str">
        <f aca="false">CONCATENATE(VLOOKUP(AL239,Constants!$A$2:$C$16,IF(AM239&lt;&gt;"", 3, 2), FALSE()),IF(AM239&lt;&gt;"",CONCATENATE(",",VLOOKUP(AM239,$B:$AN,39,FALSE())),""))</f>
        <v>4,2,4</v>
      </c>
      <c r="AR239" s="0" t="s">
        <v>842</v>
      </c>
      <c r="AT239" s="0" t="s">
        <v>843</v>
      </c>
      <c r="AX239" s="0" t="n">
        <v>25</v>
      </c>
      <c r="AY239" s="16" t="n">
        <f aca="false">IF(L239&lt;&gt;"",MAX(16,(L239-J239)+8),"")</f>
        <v>54</v>
      </c>
      <c r="AZ239" s="0" t="n">
        <v>-10</v>
      </c>
      <c r="BA239" s="0" t="n">
        <v>-15</v>
      </c>
      <c r="BB239" s="0" t="n">
        <f aca="false">MIN(AB239/150, 1)*30</f>
        <v>12</v>
      </c>
      <c r="BC239" s="0" t="n">
        <f aca="false">MIN(N239/4000, 1)*20</f>
        <v>5</v>
      </c>
      <c r="BD239" s="0" t="n">
        <f aca="false">MIN(Z239/400,1)*20</f>
        <v>5.6</v>
      </c>
      <c r="BE239" s="3" t="n">
        <f aca="false">1-(MAX(J239-1900, 0)/750)</f>
        <v>0.981333333333333</v>
      </c>
      <c r="BF239" s="0" t="n">
        <f aca="false">((MAX($M239,1)*MIN($AJ239/300,1)))*IF(G239="Wagon",50,10)</f>
        <v>4.5</v>
      </c>
      <c r="BG239" s="0" t="n">
        <f aca="false">VLOOKUP($H239,Constants!$I:$K, 2, FALSE())</f>
        <v>0.85</v>
      </c>
      <c r="BH239" s="0" t="n">
        <f aca="false">VLOOKUP($H239,Constants!$I:$K, 3, FALSE())*IF(AND(G239="multiple_unit",AB239&lt;110),0.75,1)</f>
        <v>1.725</v>
      </c>
      <c r="BI239" s="0" t="n">
        <f aca="false">INT(POWER(((Constants!$G$2+$BB239+$BC239+$BD239+$BF239)*$BE239)*$BH239, 1.05))+$BA239</f>
        <v>51</v>
      </c>
      <c r="BJ239" s="0" t="n">
        <f aca="false">INT(POWER((((Constants!$G$1+$BB239+$BC239+$BD239+$BF239)*($BE239))*$BG239),IF($G239="wagon",1,1.2)))+$AZ239</f>
        <v>61</v>
      </c>
      <c r="BK239" s="17" t="n">
        <f aca="false">BI239*IF($G239="wagon",62.5,781.25)</f>
        <v>39843.75</v>
      </c>
      <c r="BL239" s="17" t="n">
        <f aca="false">BJ239*IF($G239="wagon",2.73,81.25)</f>
        <v>4956.25</v>
      </c>
      <c r="BV239" s="0" t="n">
        <v>6</v>
      </c>
      <c r="BW239" s="0" t="n">
        <v>185</v>
      </c>
      <c r="BZ239" s="0" t="s">
        <v>148</v>
      </c>
      <c r="CA239" s="0" t="str">
        <f aca="false">VLOOKUP(J239,Eras!$A$2:$C$10, 2, TRUE())</f>
        <v>edw</v>
      </c>
      <c r="CB239" s="0" t="s">
        <v>844</v>
      </c>
      <c r="CC239" s="0" t="str">
        <f aca="false">CONCATENATE(CA239,"_",CB239)</f>
        <v>edw_EMU</v>
      </c>
      <c r="CD239" s="0" t="str">
        <f aca="false">_xlfn.CONCAT(H239, "_",I239)</f>
        <v>electric_THIRD_RAIL</v>
      </c>
      <c r="CE239" s="6" t="str">
        <f aca="false" t="array" ref="CE239:CE239">_xlfn.CONCAT("{BLACK}Length: {GOLD}", TEXT(ROUNDUP(IF(AQ239&lt;&gt;"",SUM(VALUE(_xlfn.TEXTSPLIT(AQ239, ","))), SUM(VALUE(_xlfn.TEXTSPLIT(AN239, ",")))*IF(M239, M239, 1))/16, 1), "#,##0.0"), " tiles{}")</f>
        <v>{BLACK}Length: {GOLD}1.9 tiles{}</v>
      </c>
      <c r="CF239" s="0" t="str">
        <f aca="false">VLOOKUP($CD239, Constants!$M:$N, 2, FALSE())</f>
        <v>{BLACK}Powered by: {GOLD}750V DC</v>
      </c>
      <c r="CG239" s="0" t="str">
        <f aca="false">IF(M239&gt;1,_xlfn.CONCAT("{BLACK}Cars: {GOLD}", M239),"")</f>
        <v>{BLACK}Cars: {GOLD}3</v>
      </c>
      <c r="CH239" s="0" t="s">
        <v>845</v>
      </c>
      <c r="CI239" s="0" t="str">
        <f aca="false">IF($BU239="!param_no_gameplay_units","{GREEN}Included for gameplay purposes","")</f>
        <v/>
      </c>
      <c r="CJ239" s="0" t="str">
        <f aca="false">IF(BX239="buffet","{YELLOW}25% long distance bonus for consist{}",IF(BZ239="BRAKE","{YELLOW}Speed bonus for slow wagons{}",IF(BW239&gt;190,CONCATENATE("{YELLOW}",INT((BW239-185)/1.85),"% bonus for long distance travel{}"),IF(AND(BW239&lt;180,BW239&lt;&gt;0),CONCATENATE("{YELLOW}",INT((185-BW239)/1.85),"% penalty for long distance travel{}"),""))))</f>
        <v/>
      </c>
      <c r="CK239" s="0" t="str">
        <f aca="false">_xlfn.CONCAT(CF239,IF(CF239&lt;&gt;""," ",""),CG239,IF(OR(CG239&lt;&gt;"",CF239&lt;&gt;""),"{}",""),CE239,CJ239,"{SILVER}",CH239,IF(CI239&lt;&gt;"","{}{}",""),CI239)</f>
        <v>{BLACK}Powered by: {GOLD}750V DC {BLACK}Cars: {GOLD}3{}{BLACK}Length: {GOLD}1.9 tiles{}{SILVER}The LNWR built electric multiple units for its inner suburban London routes, sharing track with the Bakerloo and District lines.</v>
      </c>
    </row>
    <row r="240" customFormat="false" ht="14.25" hidden="false" customHeight="false" outlineLevel="0" collapsed="false">
      <c r="A240" s="0" t="s">
        <v>846</v>
      </c>
      <c r="B240" s="15" t="s">
        <v>847</v>
      </c>
      <c r="C240" s="0" t="n">
        <v>225</v>
      </c>
      <c r="E240" s="0" t="n">
        <v>128</v>
      </c>
      <c r="F240" s="0" t="s">
        <v>143</v>
      </c>
      <c r="G240" s="0" t="s">
        <v>827</v>
      </c>
      <c r="H240" s="0" t="s">
        <v>529</v>
      </c>
      <c r="I240" s="0" t="s">
        <v>641</v>
      </c>
      <c r="J240" s="0" t="n">
        <v>1932</v>
      </c>
      <c r="L240" s="0" t="n">
        <v>1972</v>
      </c>
      <c r="M240" s="0" t="n">
        <v>5</v>
      </c>
      <c r="N240" s="0" t="n">
        <v>1800</v>
      </c>
      <c r="W240" s="0" t="n">
        <v>253</v>
      </c>
      <c r="Y240" s="0" t="n">
        <v>5</v>
      </c>
      <c r="Z240" s="0" t="n">
        <v>145</v>
      </c>
      <c r="AA240" s="3" t="n">
        <f aca="false">IF(AND(W240&gt;0,Z240&gt;0),(Z240/((W240+X240)*10)),"")</f>
        <v>0.0573122529644269</v>
      </c>
      <c r="AB240" s="0" t="n">
        <v>75</v>
      </c>
      <c r="AC240" s="0" t="n">
        <f aca="false">ROUND(AB240*1.6, 0)</f>
        <v>120</v>
      </c>
      <c r="AF240" s="0" t="n">
        <v>20.11</v>
      </c>
      <c r="AG240" s="0" t="n">
        <v>20.11</v>
      </c>
      <c r="AJ240" s="4" t="n">
        <v>33</v>
      </c>
      <c r="AK240" s="0" t="str">
        <f aca="false">CONCATENATE(VLOOKUP(AL240, 'Voxel Sizes'!$A$2:$B$18,2,FALSE()),"x",INT(AH240*15), "x", INT(AI240*15))</f>
        <v>198x0x0</v>
      </c>
      <c r="AL240" s="0" t="n">
        <f aca="false">ROUND(15*((AG240*10)/256),0)</f>
        <v>12</v>
      </c>
      <c r="AN240" s="0" t="str">
        <f aca="false">CONCATENATE(VLOOKUP(AL240,Constants!$A$2:$C$16,IF(AM240&lt;&gt;"", 3, 2), FALSE()),IF(AM240&lt;&gt;"",CONCATENATE(",",VLOOKUP(AM240,$B:$AN,39,FALSE())),""))</f>
        <v>4,4,4</v>
      </c>
      <c r="AR240" s="0" t="s">
        <v>848</v>
      </c>
      <c r="AT240" s="0" t="s">
        <v>849</v>
      </c>
      <c r="AX240" s="0" t="n">
        <v>28</v>
      </c>
      <c r="AY240" s="16" t="n">
        <f aca="false">IF(L240&lt;&gt;"",MAX(16,(L240-J240)+8),"")</f>
        <v>48</v>
      </c>
      <c r="AZ240" s="0" t="n">
        <v>-10</v>
      </c>
      <c r="BA240" s="0" t="n">
        <v>-10</v>
      </c>
      <c r="BB240" s="0" t="n">
        <f aca="false">MIN(AB240/150, 1)*30</f>
        <v>15</v>
      </c>
      <c r="BC240" s="0" t="n">
        <f aca="false">MIN(N240/4000, 1)*20</f>
        <v>9</v>
      </c>
      <c r="BD240" s="0" t="n">
        <f aca="false">MIN(Z240/400,1)*20</f>
        <v>7.25</v>
      </c>
      <c r="BE240" s="3" t="n">
        <f aca="false">1-(MAX(J240-1900, 0)/750)</f>
        <v>0.957333333333333</v>
      </c>
      <c r="BF240" s="0" t="n">
        <f aca="false">((MAX($M240,1)*MIN($AJ240/300,1)))*IF(G240="Wagon",50,10)</f>
        <v>5.5</v>
      </c>
      <c r="BG240" s="0" t="n">
        <f aca="false">VLOOKUP($H240,Constants!$I:$K, 2, FALSE())</f>
        <v>0.85</v>
      </c>
      <c r="BH240" s="0" t="n">
        <f aca="false">VLOOKUP($H240,Constants!$I:$K, 3, FALSE())*IF(AND(G240="multiple_unit",AB240&lt;110),0.75,1)</f>
        <v>1.725</v>
      </c>
      <c r="BI240" s="0" t="n">
        <f aca="false">INT(POWER(((Constants!$G$2+$BB240+$BC240+$BD240+$BF240)*$BE240)*$BH240, 1.05))+$BA240</f>
        <v>75</v>
      </c>
      <c r="BJ240" s="0" t="n">
        <f aca="false">INT(POWER((((Constants!$G$1+$BB240+$BC240+$BD240+$BF240)*($BE240))*$BG240),IF($G240="wagon",1,1.2)))+$AZ240</f>
        <v>78</v>
      </c>
      <c r="BK240" s="17" t="n">
        <f aca="false">BI240*IF($G240="wagon",62.5,781.25)</f>
        <v>58593.75</v>
      </c>
      <c r="BL240" s="17" t="n">
        <f aca="false">BJ240*IF($G240="wagon",2.73,81.25)</f>
        <v>6337.5</v>
      </c>
      <c r="BV240" s="0" t="n">
        <v>7</v>
      </c>
      <c r="BW240" s="0" t="n">
        <v>260</v>
      </c>
      <c r="BZ240" s="0" t="s">
        <v>148</v>
      </c>
      <c r="CA240" s="0" t="str">
        <f aca="false">VLOOKUP(J240,Eras!$A$2:$C$10, 2, TRUE())</f>
        <v>big4</v>
      </c>
      <c r="CB240" s="0" t="s">
        <v>850</v>
      </c>
      <c r="CC240" s="0" t="str">
        <f aca="false">CONCATENATE(CA240,"_",CB240)</f>
        <v>big4_EMU (Express)</v>
      </c>
      <c r="CD240" s="0" t="str">
        <f aca="false">_xlfn.CONCAT(H240, "_",I240)</f>
        <v>electric_THIRD_RAIL</v>
      </c>
      <c r="CE240" s="6" t="str">
        <f aca="false" t="array" ref="CE240:CE240">_xlfn.CONCAT("{BLACK}Length: {GOLD}", TEXT(ROUNDUP(IF(AQ240&lt;&gt;"",SUM(VALUE(_xlfn.TEXTSPLIT(AQ240, ","))), SUM(VALUE(_xlfn.TEXTSPLIT(AN240, ",")))*IF(M240, M240, 1))/16, 1), "#,##0.0"), " tiles{}")</f>
        <v>{BLACK}Length: {GOLD}3.8 tiles{}</v>
      </c>
      <c r="CF240" s="0" t="str">
        <f aca="false">VLOOKUP($CD240, Constants!$M:$N, 2, FALSE())</f>
        <v>{BLACK}Powered by: {GOLD}750V DC</v>
      </c>
      <c r="CG240" s="0" t="str">
        <f aca="false">IF(M240&gt;1,_xlfn.CONCAT("{BLACK}Cars: {GOLD}", M240),"")</f>
        <v>{BLACK}Cars: {GOLD}5</v>
      </c>
      <c r="CH240" s="0" t="s">
        <v>851</v>
      </c>
      <c r="CI240" s="0" t="str">
        <f aca="false">IF($BU240="!param_no_gameplay_units","{GREEN}Included for gameplay purposes","")</f>
        <v/>
      </c>
      <c r="CJ240" s="0" t="str">
        <f aca="false">IF(BX240="buffet","{YELLOW}25% long distance bonus for consist{}",IF(BZ240="BRAKE","{YELLOW}Speed bonus for slow wagons{}",IF(BW240&gt;190,CONCATENATE("{YELLOW}",INT((BW240-185)/1.85),"% bonus for long distance travel{}"),IF(AND(BW240&lt;180,BW240&lt;&gt;0),CONCATENATE("{YELLOW}",INT((185-BW240)/1.85),"% penalty for long distance travel{}"),""))))</f>
        <v>{YELLOW}40% bonus for long distance travel{}</v>
      </c>
      <c r="CK240" s="0" t="str">
        <f aca="false">_xlfn.CONCAT(CF240,IF(CF240&lt;&gt;""," ",""),CG240,IF(OR(CG240&lt;&gt;"",CF240&lt;&gt;""),"{}",""),CE240,CJ240,"{SILVER}",CH240,IF(CI240&lt;&gt;"","{}{}",""),CI240)</f>
        <v>{BLACK}Powered by: {GOLD}750V DC {BLACK}Cars: {GOLD}5{}{BLACK}Length: {GOLD}3.8 tiles{}{YELLOW}40% bonus for long distance travel{}{SILVER}The Southern Railway's "Brighton Belle" used Pullman coaches and remained in use well into the BR era.</v>
      </c>
    </row>
    <row r="241" customFormat="false" ht="14.25" hidden="false" customHeight="false" outlineLevel="0" collapsed="false">
      <c r="A241" s="0" t="s">
        <v>852</v>
      </c>
      <c r="B241" s="15" t="s">
        <v>853</v>
      </c>
      <c r="C241" s="0" t="n">
        <v>226</v>
      </c>
      <c r="E241" s="0" t="n">
        <v>129</v>
      </c>
      <c r="F241" s="0" t="s">
        <v>143</v>
      </c>
      <c r="G241" s="0" t="s">
        <v>827</v>
      </c>
      <c r="H241" s="0" t="s">
        <v>529</v>
      </c>
      <c r="I241" s="0" t="s">
        <v>641</v>
      </c>
      <c r="J241" s="0" t="n">
        <v>1937</v>
      </c>
      <c r="K241" s="0" t="n">
        <v>1938</v>
      </c>
      <c r="L241" s="0" t="n">
        <v>1972</v>
      </c>
      <c r="M241" s="0" t="n">
        <v>4</v>
      </c>
      <c r="N241" s="0" t="n">
        <v>900</v>
      </c>
      <c r="W241" s="0" t="n">
        <v>160.8</v>
      </c>
      <c r="Y241" s="0" t="n">
        <v>5</v>
      </c>
      <c r="Z241" s="0" t="n">
        <v>120</v>
      </c>
      <c r="AA241" s="3" t="n">
        <f aca="false">IF(AND(W241&gt;0,Z241&gt;0),(Z241/((W241+X241)*10)),"")</f>
        <v>0.0746268656716418</v>
      </c>
      <c r="AB241" s="0" t="n">
        <v>75</v>
      </c>
      <c r="AC241" s="0" t="n">
        <f aca="false">ROUND(AB241*1.6, 0)</f>
        <v>120</v>
      </c>
      <c r="AF241" s="0" t="n">
        <v>20</v>
      </c>
      <c r="AG241" s="0" t="n">
        <v>20</v>
      </c>
      <c r="AJ241" s="4" t="n">
        <v>57</v>
      </c>
      <c r="AK241" s="0" t="str">
        <f aca="false">CONCATENATE(VLOOKUP(AL241, 'Voxel Sizes'!$A$2:$B$18,2,FALSE()),"x",INT(AH241*15), "x", INT(AI241*15))</f>
        <v>198x0x0</v>
      </c>
      <c r="AL241" s="0" t="n">
        <f aca="false">ROUND(15*((AG241*10)/256),0)</f>
        <v>12</v>
      </c>
      <c r="AN241" s="0" t="str">
        <f aca="false">CONCATENATE(VLOOKUP(AL241,Constants!$A$2:$C$16,IF(AM241&lt;&gt;"", 3, 2), FALSE()),IF(AM241&lt;&gt;"",CONCATENATE(",",VLOOKUP(AM241,$B:$AN,39,FALSE())),""))</f>
        <v>4,4,4</v>
      </c>
      <c r="AR241" s="0" t="s">
        <v>854</v>
      </c>
      <c r="AT241" s="0" t="s">
        <v>855</v>
      </c>
      <c r="AX241" s="0" t="n">
        <v>36</v>
      </c>
      <c r="AY241" s="16" t="n">
        <f aca="false">IF(L241&lt;&gt;"",MAX(16,(L241-J241)+8),"")</f>
        <v>43</v>
      </c>
      <c r="AZ241" s="0" t="n">
        <v>-10</v>
      </c>
      <c r="BA241" s="0" t="n">
        <v>-15</v>
      </c>
      <c r="BB241" s="0" t="n">
        <f aca="false">MIN(AB241/150, 1)*30</f>
        <v>15</v>
      </c>
      <c r="BC241" s="0" t="n">
        <f aca="false">MIN(N241/4000, 1)*20</f>
        <v>4.5</v>
      </c>
      <c r="BD241" s="0" t="n">
        <f aca="false">MIN(Z241/400,1)*20</f>
        <v>6</v>
      </c>
      <c r="BE241" s="3" t="n">
        <f aca="false">1-(MAX(J241-1900, 0)/750)</f>
        <v>0.950666666666667</v>
      </c>
      <c r="BF241" s="0" t="n">
        <f aca="false">((MAX($M241,1)*MIN($AJ241/300,1)))*IF(G241="Wagon",50,10)</f>
        <v>7.6</v>
      </c>
      <c r="BG241" s="0" t="n">
        <f aca="false">VLOOKUP($H241,Constants!$I:$K, 2, FALSE())</f>
        <v>0.85</v>
      </c>
      <c r="BH241" s="0" t="n">
        <f aca="false">VLOOKUP($H241,Constants!$I:$K, 3, FALSE())*IF(AND(G241="multiple_unit",AB241&lt;110),0.75,1)</f>
        <v>1.725</v>
      </c>
      <c r="BI241" s="0" t="n">
        <f aca="false">INT(POWER(((Constants!$G$2+$BB241+$BC241+$BD241+$BF241)*$BE241)*$BH241, 1.05))+$BA241</f>
        <v>61</v>
      </c>
      <c r="BJ241" s="0" t="n">
        <f aca="false">INT(POWER((((Constants!$G$1+$BB241+$BC241+$BD241+$BF241)*($BE241))*$BG241),IF($G241="wagon",1,1.2)))+$AZ241</f>
        <v>70</v>
      </c>
      <c r="BK241" s="17" t="n">
        <f aca="false">BI241*IF($G241="wagon",62.5,781.25)</f>
        <v>47656.25</v>
      </c>
      <c r="BL241" s="17" t="n">
        <f aca="false">BJ241*IF($G241="wagon",2.73,81.25)</f>
        <v>5687.5</v>
      </c>
      <c r="BV241" s="0" t="n">
        <v>8</v>
      </c>
      <c r="BW241" s="0" t="n">
        <v>185</v>
      </c>
      <c r="BZ241" s="0" t="s">
        <v>148</v>
      </c>
      <c r="CA241" s="0" t="str">
        <f aca="false">VLOOKUP(J241,Eras!$A$2:$C$10, 2, TRUE())</f>
        <v>big4</v>
      </c>
      <c r="CB241" s="0" t="s">
        <v>844</v>
      </c>
      <c r="CC241" s="0" t="str">
        <f aca="false">CONCATENATE(CA241,"_",CB241)</f>
        <v>big4_EMU</v>
      </c>
      <c r="CD241" s="0" t="str">
        <f aca="false">_xlfn.CONCAT(H241, "_",I241)</f>
        <v>electric_THIRD_RAIL</v>
      </c>
      <c r="CE241" s="6" t="str">
        <f aca="false" t="array" ref="CE241:CE241">_xlfn.CONCAT("{BLACK}Length: {GOLD}", TEXT(ROUNDUP(IF(AQ241&lt;&gt;"",SUM(VALUE(_xlfn.TEXTSPLIT(AQ241, ","))), SUM(VALUE(_xlfn.TEXTSPLIT(AN241, ",")))*IF(M241, M241, 1))/16, 1), "#,##0.0"), " tiles{}")</f>
        <v>{BLACK}Length: {GOLD}3.0 tiles{}</v>
      </c>
      <c r="CF241" s="0" t="str">
        <f aca="false">VLOOKUP($CD241, Constants!$M:$N, 2, FALSE())</f>
        <v>{BLACK}Powered by: {GOLD}750V DC</v>
      </c>
      <c r="CG241" s="0" t="str">
        <f aca="false">IF(M241&gt;1,_xlfn.CONCAT("{BLACK}Cars: {GOLD}", M241),"")</f>
        <v>{BLACK}Cars: {GOLD}4</v>
      </c>
      <c r="CH241" s="0" t="s">
        <v>856</v>
      </c>
      <c r="CI241" s="0" t="str">
        <f aca="false">IF($BU241="!param_no_gameplay_units","{GREEN}Included for gameplay purposes","")</f>
        <v/>
      </c>
      <c r="CJ241" s="0" t="str">
        <f aca="false">IF(BX241="buffet","{YELLOW}25% long distance bonus for consist{}",IF(BZ241="BRAKE","{YELLOW}Speed bonus for slow wagons{}",IF(BW241&gt;190,CONCATENATE("{YELLOW}",INT((BW241-185)/1.85),"% bonus for long distance travel{}"),IF(AND(BW241&lt;180,BW241&lt;&gt;0),CONCATENATE("{YELLOW}",INT((185-BW241)/1.85),"% penalty for long distance travel{}"),""))))</f>
        <v/>
      </c>
      <c r="CK241" s="0" t="str">
        <f aca="false">_xlfn.CONCAT(CF241,IF(CF241&lt;&gt;""," ",""),CG241,IF(OR(CG241&lt;&gt;"",CF241&lt;&gt;""),"{}",""),CE241,CJ241,"{SILVER}",CH241,IF(CI241&lt;&gt;"","{}{}",""),CI241)</f>
        <v>{BLACK}Powered by: {GOLD}750V DC {BLACK}Cars: {GOLD}4{}{BLACK}Length: {GOLD}3.0 tiles{}{SILVER}The Southern Railway was an early pioneer of electrification, with 4-COR units used between London Waterloo and Portsmouth.</v>
      </c>
    </row>
    <row r="242" customFormat="false" ht="14.25" hidden="false" customHeight="false" outlineLevel="0" collapsed="false">
      <c r="A242" s="0" t="s">
        <v>857</v>
      </c>
      <c r="B242" s="15" t="s">
        <v>858</v>
      </c>
      <c r="C242" s="0" t="n">
        <v>227</v>
      </c>
      <c r="E242" s="0" t="n">
        <v>130</v>
      </c>
      <c r="F242" s="0" t="s">
        <v>143</v>
      </c>
      <c r="G242" s="0" t="s">
        <v>827</v>
      </c>
      <c r="H242" s="0" t="s">
        <v>529</v>
      </c>
      <c r="I242" s="0" t="s">
        <v>641</v>
      </c>
      <c r="J242" s="0" t="n">
        <v>1938</v>
      </c>
      <c r="K242" s="0" t="n">
        <v>1939</v>
      </c>
      <c r="L242" s="0" t="n">
        <v>1971</v>
      </c>
      <c r="M242" s="0" t="n">
        <v>2</v>
      </c>
      <c r="N242" s="0" t="n">
        <v>550</v>
      </c>
      <c r="W242" s="0" t="n">
        <v>77</v>
      </c>
      <c r="Y242" s="0" t="n">
        <v>5</v>
      </c>
      <c r="Z242" s="0" t="n">
        <v>120</v>
      </c>
      <c r="AA242" s="3" t="n">
        <f aca="false">IF(AND(W242&gt;0,Z242&gt;0),(Z242/((W242+X242)*10)),"")</f>
        <v>0.155844155844156</v>
      </c>
      <c r="AB242" s="0" t="n">
        <v>75</v>
      </c>
      <c r="AC242" s="0" t="n">
        <f aca="false">ROUND(AB242*1.6, 0)</f>
        <v>120</v>
      </c>
      <c r="AF242" s="0" t="n">
        <v>20</v>
      </c>
      <c r="AG242" s="0" t="n">
        <v>20</v>
      </c>
      <c r="AJ242" s="4" t="n">
        <f aca="false">(24+102)/2</f>
        <v>63</v>
      </c>
      <c r="AK242" s="0" t="str">
        <f aca="false">CONCATENATE(VLOOKUP(AL242, 'Voxel Sizes'!$A$2:$B$18,2,FALSE()),"x",INT(AH242*15), "x", INT(AI242*15))</f>
        <v>198x0x0</v>
      </c>
      <c r="AL242" s="0" t="n">
        <f aca="false">ROUND(15*((AG242*10)/256),0)</f>
        <v>12</v>
      </c>
      <c r="AN242" s="0" t="str">
        <f aca="false">CONCATENATE(VLOOKUP(AL242,Constants!$A$2:$C$16,IF(AM242&lt;&gt;"", 3, 2), FALSE()),IF(AM242&lt;&gt;"",CONCATENATE(",",VLOOKUP(AM242,$B:$AN,39,FALSE())),""))</f>
        <v>4,4,4</v>
      </c>
      <c r="AR242" s="0" t="s">
        <v>859</v>
      </c>
      <c r="AT242" s="0" t="s">
        <v>833</v>
      </c>
      <c r="AX242" s="0" t="n">
        <v>36</v>
      </c>
      <c r="AY242" s="16" t="n">
        <f aca="false">IF(L242&lt;&gt;"",MAX(16,(L242-J242)+8),"")</f>
        <v>41</v>
      </c>
      <c r="AZ242" s="0" t="n">
        <v>-10</v>
      </c>
      <c r="BA242" s="0" t="n">
        <v>-15</v>
      </c>
      <c r="BB242" s="0" t="n">
        <f aca="false">MIN(AB242/150, 1)*30</f>
        <v>15</v>
      </c>
      <c r="BC242" s="0" t="n">
        <f aca="false">MIN(N242/4000, 1)*20</f>
        <v>2.75</v>
      </c>
      <c r="BD242" s="0" t="n">
        <f aca="false">MIN(Z242/400,1)*20</f>
        <v>6</v>
      </c>
      <c r="BE242" s="3" t="n">
        <f aca="false">1-(MAX(J242-1900, 0)/750)</f>
        <v>0.949333333333333</v>
      </c>
      <c r="BF242" s="0" t="n">
        <f aca="false">((MAX($M242,1)*MIN($AJ242/300,1)))*IF(G242="Wagon",50,10)</f>
        <v>4.2</v>
      </c>
      <c r="BG242" s="0" t="n">
        <f aca="false">VLOOKUP($H242,Constants!$I:$K, 2, FALSE())</f>
        <v>0.85</v>
      </c>
      <c r="BH242" s="0" t="n">
        <f aca="false">VLOOKUP($H242,Constants!$I:$K, 3, FALSE())*IF(AND(G242="multiple_unit",AB242&lt;110),0.75,1)</f>
        <v>1.725</v>
      </c>
      <c r="BI242" s="0" t="n">
        <f aca="false">INT(POWER(((Constants!$G$2+$BB242+$BC242+$BD242+$BF242)*$BE242)*$BH242, 1.05))+$BA242</f>
        <v>50</v>
      </c>
      <c r="BJ242" s="0" t="n">
        <f aca="false">INT(POWER((((Constants!$G$1+$BB242+$BC242+$BD242+$BF242)*($BE242))*$BG242),IF($G242="wagon",1,1.2)))+$AZ242</f>
        <v>60</v>
      </c>
      <c r="BK242" s="17" t="n">
        <f aca="false">BI242*IF($G242="wagon",62.5,781.25)</f>
        <v>39062.5</v>
      </c>
      <c r="BL242" s="17" t="n">
        <f aca="false">BJ242*IF($G242="wagon",2.73,81.25)</f>
        <v>4875</v>
      </c>
      <c r="BV242" s="0" t="n">
        <v>9</v>
      </c>
      <c r="BW242" s="0" t="n">
        <v>185</v>
      </c>
      <c r="BZ242" s="0" t="s">
        <v>148</v>
      </c>
      <c r="CA242" s="0" t="str">
        <f aca="false">VLOOKUP(J242,Eras!$A$2:$C$10, 2, TRUE())</f>
        <v>big4</v>
      </c>
      <c r="CB242" s="0" t="s">
        <v>844</v>
      </c>
      <c r="CC242" s="0" t="str">
        <f aca="false">CONCATENATE(CA242,"_",CB242)</f>
        <v>big4_EMU</v>
      </c>
      <c r="CD242" s="0" t="str">
        <f aca="false">_xlfn.CONCAT(H242, "_",I242)</f>
        <v>electric_THIRD_RAIL</v>
      </c>
      <c r="CE242" s="6" t="str">
        <f aca="false" t="array" ref="CE242:CE242">_xlfn.CONCAT("{BLACK}Length: {GOLD}", TEXT(ROUNDUP(IF(AQ242&lt;&gt;"",SUM(VALUE(_xlfn.TEXTSPLIT(AQ242, ","))), SUM(VALUE(_xlfn.TEXTSPLIT(AN242, ",")))*IF(M242, M242, 1))/16, 1), "#,##0.0"), " tiles{}")</f>
        <v>{BLACK}Length: {GOLD}1.5 tiles{}</v>
      </c>
      <c r="CF242" s="0" t="str">
        <f aca="false">VLOOKUP($CD242, Constants!$M:$N, 2, FALSE())</f>
        <v>{BLACK}Powered by: {GOLD}750V DC</v>
      </c>
      <c r="CG242" s="0" t="str">
        <f aca="false">IF(M242&gt;1,_xlfn.CONCAT("{BLACK}Cars: {GOLD}", M242),"")</f>
        <v>{BLACK}Cars: {GOLD}2</v>
      </c>
      <c r="CH242" s="0" t="s">
        <v>860</v>
      </c>
      <c r="CI242" s="0" t="str">
        <f aca="false">IF($BU242="!param_no_gameplay_units","{GREEN}Included for gameplay purposes","")</f>
        <v/>
      </c>
      <c r="CJ242" s="0" t="str">
        <f aca="false">IF(BX242="buffet","{YELLOW}25% long distance bonus for consist{}",IF(BZ242="BRAKE","{YELLOW}Speed bonus for slow wagons{}",IF(BW242&gt;190,CONCATENATE("{YELLOW}",INT((BW242-185)/1.85),"% bonus for long distance travel{}"),IF(AND(BW242&lt;180,BW242&lt;&gt;0),CONCATENATE("{YELLOW}",INT((185-BW242)/1.85),"% penalty for long distance travel{}"),""))))</f>
        <v/>
      </c>
      <c r="CK242" s="0" t="str">
        <f aca="false">_xlfn.CONCAT(CF242,IF(CF242&lt;&gt;""," ",""),CG242,IF(OR(CG242&lt;&gt;"",CF242&lt;&gt;""),"{}",""),CE242,CJ242,"{SILVER}",CH242,IF(CI242&lt;&gt;"","{}{}",""),CI242)</f>
        <v>{BLACK}Powered by: {GOLD}750V DC {BLACK}Cars: {GOLD}2{}{BLACK}Length: {GOLD}1.5 tiles{}{SILVER}The 2-HAL (named for 2 units, Half Lavatory) is designed for suburban commuter services.</v>
      </c>
    </row>
    <row r="243" customFormat="false" ht="14.25" hidden="false" customHeight="false" outlineLevel="0" collapsed="false">
      <c r="A243" s="0" t="s">
        <v>861</v>
      </c>
      <c r="B243" s="15" t="s">
        <v>862</v>
      </c>
      <c r="C243" s="0" t="n">
        <v>228</v>
      </c>
      <c r="E243" s="0" t="n">
        <v>131</v>
      </c>
      <c r="F243" s="0" t="s">
        <v>143</v>
      </c>
      <c r="G243" s="0" t="s">
        <v>827</v>
      </c>
      <c r="H243" s="0" t="s">
        <v>529</v>
      </c>
      <c r="I243" s="0" t="s">
        <v>530</v>
      </c>
      <c r="J243" s="0" t="n">
        <v>1954</v>
      </c>
      <c r="L243" s="0" t="n">
        <v>1984</v>
      </c>
      <c r="M243" s="0" t="n">
        <v>3</v>
      </c>
      <c r="N243" s="0" t="n">
        <v>740</v>
      </c>
      <c r="W243" s="0" t="n">
        <f aca="false">51.4+26.8+27.9</f>
        <v>106.1</v>
      </c>
      <c r="Y243" s="0" t="n">
        <v>5</v>
      </c>
      <c r="Z243" s="0" t="n">
        <v>110</v>
      </c>
      <c r="AA243" s="3" t="n">
        <f aca="false">IF(AND(W243&gt;0,Z243&gt;0),(Z243/((W243+X243)*10)),"")</f>
        <v>0.103675777568332</v>
      </c>
      <c r="AB243" s="0" t="n">
        <v>75</v>
      </c>
      <c r="AC243" s="0" t="n">
        <f aca="false">ROUND(AB243*1.6, 0)</f>
        <v>120</v>
      </c>
      <c r="AF243" s="0" t="n">
        <v>18.1</v>
      </c>
      <c r="AG243" s="0" t="n">
        <v>18.1</v>
      </c>
      <c r="AH243" s="0" t="n">
        <v>2.82</v>
      </c>
      <c r="AI243" s="0" t="n">
        <v>3.87</v>
      </c>
      <c r="AJ243" s="4" t="n">
        <v>57</v>
      </c>
      <c r="AK243" s="0" t="str">
        <f aca="false">CONCATENATE(VLOOKUP(AL243, 'Voxel Sizes'!$A$2:$B$18,2,FALSE()),"x",INT(AH243*15), "x", INT(AI243*15))</f>
        <v>186x42x58</v>
      </c>
      <c r="AL243" s="0" t="n">
        <f aca="false">ROUND(15*((AG243*10)/256),0)</f>
        <v>11</v>
      </c>
      <c r="AN243" s="0" t="str">
        <f aca="false">CONCATENATE(VLOOKUP(AL243,Constants!$A$2:$C$16,IF(AM243&lt;&gt;"", 3, 2), FALSE()),IF(AM243&lt;&gt;"",CONCATENATE(",",VLOOKUP(AM243,$B:$AN,39,FALSE())),""))</f>
        <v>4,3,4</v>
      </c>
      <c r="AR243" s="0" t="s">
        <v>863</v>
      </c>
      <c r="AT243" s="0" t="s">
        <v>864</v>
      </c>
      <c r="AX243" s="0" t="n">
        <v>35</v>
      </c>
      <c r="AY243" s="16" t="n">
        <f aca="false">IF(L243&lt;&gt;"",MAX(16,(L243-J243)+8),"")</f>
        <v>38</v>
      </c>
      <c r="AZ243" s="0" t="n">
        <v>-10</v>
      </c>
      <c r="BA243" s="0" t="n">
        <v>-15</v>
      </c>
      <c r="BB243" s="0" t="n">
        <f aca="false">MIN(AB243/150, 1)*30</f>
        <v>15</v>
      </c>
      <c r="BC243" s="0" t="n">
        <f aca="false">MIN(N243/4000, 1)*20</f>
        <v>3.7</v>
      </c>
      <c r="BD243" s="0" t="n">
        <f aca="false">MIN(Z243/400,1)*20</f>
        <v>5.5</v>
      </c>
      <c r="BE243" s="3" t="n">
        <f aca="false">1-(MAX(J243-1900, 0)/750)</f>
        <v>0.928</v>
      </c>
      <c r="BF243" s="0" t="n">
        <f aca="false">((MAX($M243,1)*MIN($AJ243/300,1)))*IF(G243="Wagon",50,10)</f>
        <v>5.7</v>
      </c>
      <c r="BG243" s="0" t="n">
        <f aca="false">VLOOKUP($H243,Constants!$I:$K, 2, FALSE())</f>
        <v>0.85</v>
      </c>
      <c r="BH243" s="0" t="n">
        <f aca="false">VLOOKUP($H243,Constants!$I:$K, 3, FALSE())*IF(AND(G243="multiple_unit",AB243&lt;110),0.75,1)</f>
        <v>1.725</v>
      </c>
      <c r="BI243" s="0" t="n">
        <f aca="false">INT(POWER(((Constants!$G$2+$BB243+$BC243+$BD243+$BF243)*$BE243)*$BH243, 1.05))+$BA243</f>
        <v>53</v>
      </c>
      <c r="BJ243" s="0" t="n">
        <f aca="false">INT(POWER((((Constants!$G$1+$BB243+$BC243+$BD243+$BF243)*($BE243))*$BG243),IF($G243="wagon",1,1.2)))+$AZ243</f>
        <v>62</v>
      </c>
      <c r="BK243" s="17" t="n">
        <f aca="false">BI243*IF($G243="wagon",62.5,781.25)</f>
        <v>41406.25</v>
      </c>
      <c r="BL243" s="17" t="n">
        <f aca="false">BJ243*IF($G243="wagon",2.73,81.25)</f>
        <v>5037.5</v>
      </c>
      <c r="BV243" s="0" t="n">
        <v>10</v>
      </c>
      <c r="BW243" s="0" t="n">
        <v>185</v>
      </c>
      <c r="BZ243" s="0" t="s">
        <v>148</v>
      </c>
      <c r="CA243" s="0" t="str">
        <f aca="false">VLOOKUP(J243,Eras!$A$2:$C$10, 2, TRUE())</f>
        <v>ebr</v>
      </c>
      <c r="CB243" s="0" t="s">
        <v>844</v>
      </c>
      <c r="CC243" s="0" t="str">
        <f aca="false">CONCATENATE(CA243,"_",CB243)</f>
        <v>ebr_EMU</v>
      </c>
      <c r="CD243" s="0" t="str">
        <f aca="false">_xlfn.CONCAT(H243, "_",I243)</f>
        <v>electric_ELRL</v>
      </c>
      <c r="CE243" s="6" t="str">
        <f aca="false" t="array" ref="CE243:CE243">_xlfn.CONCAT("{BLACK}Length: {GOLD}", TEXT(ROUNDUP(IF(AQ243&lt;&gt;"",SUM(VALUE(_xlfn.TEXTSPLIT(AQ243, ","))), SUM(VALUE(_xlfn.TEXTSPLIT(AN243, ",")))*IF(M243, M243, 1))/16, 1), "#,##0.0"), " tiles{}")</f>
        <v>{BLACK}Length: {GOLD}2.1 tiles{}</v>
      </c>
      <c r="CF243" s="0" t="str">
        <f aca="false">VLOOKUP($CD243, Constants!$M:$N, 2, FALSE())</f>
        <v>{BLACK}Powered by: {GOLD}25kV AC</v>
      </c>
      <c r="CG243" s="0" t="str">
        <f aca="false">IF(M243&gt;1,_xlfn.CONCAT("{BLACK}Cars: {GOLD}", M243),"")</f>
        <v>{BLACK}Cars: {GOLD}3</v>
      </c>
      <c r="CH243" s="0" t="s">
        <v>865</v>
      </c>
      <c r="CI243" s="0" t="str">
        <f aca="false">IF($BU243="!param_no_gameplay_units","{GREEN}Included for gameplay purposes","")</f>
        <v/>
      </c>
      <c r="CJ243" s="0" t="str">
        <f aca="false">IF(BX243="buffet","{YELLOW}25% long distance bonus for consist{}",IF(BZ243="BRAKE","{YELLOW}Speed bonus for slow wagons{}",IF(BW243&gt;190,CONCATENATE("{YELLOW}",INT((BW243-185)/1.85),"% bonus for long distance travel{}"),IF(AND(BW243&lt;180,BW243&lt;&gt;0),CONCATENATE("{YELLOW}",INT((185-BW243)/1.85),"% penalty for long distance travel{}"),""))))</f>
        <v/>
      </c>
      <c r="CK243" s="0" t="str">
        <f aca="false">_xlfn.CONCAT(CF243,IF(CF243&lt;&gt;""," ",""),CG243,IF(OR(CG243&lt;&gt;"",CF243&lt;&gt;""),"{}",""),CE243,CJ243,"{SILVER}",CH243,IF(CI243&lt;&gt;"","{}{}",""),CI243)</f>
        <v>{BLACK}Powered by: {GOLD}25kV AC {BLACK}Cars: {GOLD}3{}{BLACK}Length: {GOLD}2.1 tiles{}{SILVER}The Class 506 was built by Metro Cammell and BRCW for the Woodhead Line.</v>
      </c>
    </row>
    <row r="244" customFormat="false" ht="14.25" hidden="false" customHeight="false" outlineLevel="0" collapsed="false">
      <c r="A244" s="0" t="s">
        <v>866</v>
      </c>
      <c r="B244" s="15" t="s">
        <v>867</v>
      </c>
      <c r="C244" s="0" t="n">
        <v>229</v>
      </c>
      <c r="E244" s="0" t="n">
        <v>132</v>
      </c>
      <c r="F244" s="0" t="s">
        <v>143</v>
      </c>
      <c r="G244" s="0" t="s">
        <v>827</v>
      </c>
      <c r="H244" s="0" t="s">
        <v>529</v>
      </c>
      <c r="I244" s="0" t="s">
        <v>641</v>
      </c>
      <c r="J244" s="0" t="n">
        <v>1956</v>
      </c>
      <c r="L244" s="0" t="n">
        <v>1995</v>
      </c>
      <c r="M244" s="0" t="n">
        <v>2</v>
      </c>
      <c r="N244" s="0" t="n">
        <v>500</v>
      </c>
      <c r="W244" s="0" t="n">
        <f aca="false">40+32</f>
        <v>72</v>
      </c>
      <c r="Y244" s="0" t="n">
        <v>5</v>
      </c>
      <c r="Z244" s="0" t="n">
        <v>95</v>
      </c>
      <c r="AA244" s="3" t="n">
        <f aca="false">IF(AND(W244&gt;0,Z244&gt;0),(Z244/((W244+X244)*10)),"")</f>
        <v>0.131944444444444</v>
      </c>
      <c r="AB244" s="0" t="n">
        <v>90</v>
      </c>
      <c r="AC244" s="0" t="n">
        <f aca="false">ROUND(AB244*1.6, 0)</f>
        <v>144</v>
      </c>
      <c r="AF244" s="0" t="n">
        <v>19.05</v>
      </c>
      <c r="AG244" s="0" t="n">
        <v>19.05</v>
      </c>
      <c r="AH244" s="0" t="n">
        <v>2.82</v>
      </c>
      <c r="AI244" s="0" t="n">
        <v>3.89</v>
      </c>
      <c r="AJ244" s="4" t="n">
        <v>54</v>
      </c>
      <c r="AK244" s="0" t="str">
        <f aca="false">CONCATENATE(VLOOKUP(AL244, 'Voxel Sizes'!$A$2:$B$18,2,FALSE()),"x",INT(AH244*15), "x", INT(AI244*15))</f>
        <v>186x42x58</v>
      </c>
      <c r="AL244" s="0" t="n">
        <f aca="false">ROUND(15*((AG244*10)/256),0)</f>
        <v>11</v>
      </c>
      <c r="AN244" s="0" t="str">
        <f aca="false">CONCATENATE(VLOOKUP(AL244,Constants!$A$2:$C$16,IF(AM244&lt;&gt;"", 3, 2), FALSE()),IF(AM244&lt;&gt;"",CONCATENATE(",",VLOOKUP(AM244,$B:$AN,39,FALSE())),""))</f>
        <v>4,3,4</v>
      </c>
      <c r="AR244" s="0" t="s">
        <v>868</v>
      </c>
      <c r="AT244" s="0" t="s">
        <v>833</v>
      </c>
      <c r="AX244" s="0" t="n">
        <v>33</v>
      </c>
      <c r="AY244" s="16" t="n">
        <f aca="false">IF(L244&lt;&gt;"",MAX(16,(L244-J244)+8),"")</f>
        <v>47</v>
      </c>
      <c r="AZ244" s="0" t="n">
        <v>-10</v>
      </c>
      <c r="BA244" s="0" t="n">
        <v>-15</v>
      </c>
      <c r="BB244" s="0" t="n">
        <f aca="false">MIN(AB244/150, 1)*30</f>
        <v>18</v>
      </c>
      <c r="BC244" s="0" t="n">
        <f aca="false">MIN(N244/4000, 1)*20</f>
        <v>2.5</v>
      </c>
      <c r="BD244" s="0" t="n">
        <f aca="false">MIN(Z244/400,1)*20</f>
        <v>4.75</v>
      </c>
      <c r="BE244" s="3" t="n">
        <f aca="false">1-(MAX(J244-1900, 0)/750)</f>
        <v>0.925333333333333</v>
      </c>
      <c r="BF244" s="0" t="n">
        <f aca="false">((MAX($M244,1)*MIN($AJ244/300,1)))*IF(G244="Wagon",50,10)</f>
        <v>3.6</v>
      </c>
      <c r="BG244" s="0" t="n">
        <f aca="false">VLOOKUP($H244,Constants!$I:$K, 2, FALSE())</f>
        <v>0.85</v>
      </c>
      <c r="BH244" s="0" t="n">
        <f aca="false">VLOOKUP($H244,Constants!$I:$K, 3, FALSE())*IF(AND(G244="multiple_unit",AB244&lt;110),0.75,1)</f>
        <v>1.725</v>
      </c>
      <c r="BI244" s="0" t="n">
        <f aca="false">INT(POWER(((Constants!$G$2+$BB244+$BC244+$BD244+$BF244)*$BE244)*$BH244, 1.05))+$BA244</f>
        <v>50</v>
      </c>
      <c r="BJ244" s="0" t="n">
        <f aca="false">INT(POWER((((Constants!$G$1+$BB244+$BC244+$BD244+$BF244)*($BE244))*$BG244),IF($G244="wagon",1,1.2)))+$AZ244</f>
        <v>60</v>
      </c>
      <c r="BK244" s="17" t="n">
        <f aca="false">BI244*IF($G244="wagon",62.5,781.25)</f>
        <v>39062.5</v>
      </c>
      <c r="BL244" s="17" t="n">
        <f aca="false">BJ244*IF($G244="wagon",2.73,81.25)</f>
        <v>4875</v>
      </c>
      <c r="BR244" s="0" t="s">
        <v>869</v>
      </c>
      <c r="BV244" s="0" t="n">
        <v>12</v>
      </c>
      <c r="BW244" s="0" t="n">
        <v>185</v>
      </c>
      <c r="BZ244" s="0" t="s">
        <v>148</v>
      </c>
      <c r="CA244" s="0" t="str">
        <f aca="false">VLOOKUP(J244,Eras!$A$2:$C$10, 2, TRUE())</f>
        <v>dsl</v>
      </c>
      <c r="CB244" s="0" t="s">
        <v>850</v>
      </c>
      <c r="CC244" s="0" t="str">
        <f aca="false">CONCATENATE(CA244,"_",CB244)</f>
        <v>dsl_EMU (Express)</v>
      </c>
      <c r="CD244" s="0" t="str">
        <f aca="false">_xlfn.CONCAT(H244, "_",I244)</f>
        <v>electric_THIRD_RAIL</v>
      </c>
      <c r="CE244" s="6" t="str">
        <f aca="false" t="array" ref="CE244:CE244">_xlfn.CONCAT("{BLACK}Length: {GOLD}", TEXT(ROUNDUP(IF(AQ244&lt;&gt;"",SUM(VALUE(_xlfn.TEXTSPLIT(AQ244, ","))), SUM(VALUE(_xlfn.TEXTSPLIT(AN244, ",")))*IF(M244, M244, 1))/16, 1), "#,##0.0"), " tiles{}")</f>
        <v>{BLACK}Length: {GOLD}1.4 tiles{}</v>
      </c>
      <c r="CF244" s="0" t="str">
        <f aca="false">VLOOKUP($CD244, Constants!$M:$N, 2, FALSE())</f>
        <v>{BLACK}Powered by: {GOLD}750V DC</v>
      </c>
      <c r="CG244" s="0" t="str">
        <f aca="false">IF(M244&gt;1,_xlfn.CONCAT("{BLACK}Cars: {GOLD}", M244),"")</f>
        <v>{BLACK}Cars: {GOLD}2</v>
      </c>
      <c r="CH244" s="0" t="s">
        <v>870</v>
      </c>
      <c r="CI244" s="0" t="str">
        <f aca="false">IF($BU244="!param_no_gameplay_units","{GREEN}Included for gameplay purposes","")</f>
        <v/>
      </c>
      <c r="CJ244" s="0" t="str">
        <f aca="false">IF(BX244="buffet","{YELLOW}25% long distance bonus for consist{}",IF(BZ244="BRAKE","{YELLOW}Speed bonus for slow wagons{}",IF(BW244&gt;190,CONCATENATE("{YELLOW}",INT((BW244-185)/1.85),"% bonus for long distance travel{}"),IF(AND(BW244&lt;180,BW244&lt;&gt;0),CONCATENATE("{YELLOW}",INT((185-BW244)/1.85),"% penalty for long distance travel{}"),""))))</f>
        <v/>
      </c>
      <c r="CK244" s="0" t="str">
        <f aca="false">_xlfn.CONCAT(CF244,IF(CF244&lt;&gt;""," ",""),CG244,IF(OR(CG244&lt;&gt;"",CF244&lt;&gt;""),"{}",""),CE244,CJ244,"{SILVER}",CH244,IF(CI244&lt;&gt;"","{}{}",""),CI244)</f>
        <v>{BLACK}Powered by: {GOLD}750V DC {BLACK}Cars: {GOLD}2{}{BLACK}Length: {GOLD}1.4 tiles{}{SILVER}The Class 414 2 HAP (Half Lavatory, electro-Pneumatic brake) is a Southern Region electric multiple unit, geared for express duties.</v>
      </c>
    </row>
    <row r="245" customFormat="false" ht="14.25" hidden="false" customHeight="false" outlineLevel="0" collapsed="false">
      <c r="A245" s="0" t="s">
        <v>871</v>
      </c>
      <c r="B245" s="15" t="s">
        <v>872</v>
      </c>
      <c r="C245" s="0" t="n">
        <v>232</v>
      </c>
      <c r="E245" s="0" t="n">
        <v>135</v>
      </c>
      <c r="F245" s="0" t="s">
        <v>143</v>
      </c>
      <c r="G245" s="0" t="s">
        <v>827</v>
      </c>
      <c r="H245" s="0" t="s">
        <v>670</v>
      </c>
      <c r="I245" s="0" t="s">
        <v>92</v>
      </c>
      <c r="J245" s="0" t="n">
        <v>1960</v>
      </c>
      <c r="L245" s="0" t="n">
        <v>2017</v>
      </c>
      <c r="M245" s="0" t="n">
        <v>1</v>
      </c>
      <c r="N245" s="0" t="n">
        <v>300</v>
      </c>
      <c r="W245" s="0" t="n">
        <v>38</v>
      </c>
      <c r="Y245" s="0" t="n">
        <v>5</v>
      </c>
      <c r="Z245" s="0" t="n">
        <v>65</v>
      </c>
      <c r="AA245" s="3" t="n">
        <f aca="false">IF(AND(W245&gt;0,Z245&gt;0),(Z245/((W245+X245)*10)),"")</f>
        <v>0.171052631578947</v>
      </c>
      <c r="AB245" s="0" t="n">
        <v>70</v>
      </c>
      <c r="AC245" s="0" t="n">
        <f aca="false">ROUND(AB245*1.6, 0)</f>
        <v>112</v>
      </c>
      <c r="AE245" s="0" t="n">
        <v>1</v>
      </c>
      <c r="AF245" s="0" t="n">
        <v>19.66</v>
      </c>
      <c r="AG245" s="0" t="n">
        <v>19.66</v>
      </c>
      <c r="AI245" s="0" t="n">
        <v>3.77</v>
      </c>
      <c r="AJ245" s="4" t="n">
        <v>66</v>
      </c>
      <c r="AK245" s="0" t="str">
        <f aca="false">CONCATENATE(VLOOKUP(AL245, 'Voxel Sizes'!$A$2:$B$18,2,FALSE()),"x",INT(AH245*15), "x", INT(AI245*15))</f>
        <v>198x0x56</v>
      </c>
      <c r="AL245" s="0" t="n">
        <f aca="false">ROUND(15*((AG245*10)/256),0)</f>
        <v>12</v>
      </c>
      <c r="AN245" s="0" t="str">
        <f aca="false">CONCATENATE(VLOOKUP(AL245,Constants!$A$2:$C$16,IF(AM245&lt;&gt;"", 3, 2), FALSE()),IF(AM245&lt;&gt;"",CONCATENATE(",",VLOOKUP(AM245,$B:$AN,39,FALSE())),""))</f>
        <v>4,4,4</v>
      </c>
      <c r="AR245" s="0" t="s">
        <v>872</v>
      </c>
      <c r="AT245" s="0" t="n">
        <v>1</v>
      </c>
      <c r="AX245" s="0" t="n">
        <v>50</v>
      </c>
      <c r="AY245" s="16" t="n">
        <f aca="false">IF(L245&lt;&gt;"",MAX(16,(L245-J245)+8),"")</f>
        <v>65</v>
      </c>
      <c r="AZ245" s="0" t="n">
        <v>-10</v>
      </c>
      <c r="BA245" s="0" t="n">
        <v>-15</v>
      </c>
      <c r="BB245" s="0" t="n">
        <f aca="false">MIN(AB245/150, 1)*30</f>
        <v>14</v>
      </c>
      <c r="BC245" s="0" t="n">
        <f aca="false">MIN(N245/4000, 1)*20</f>
        <v>1.5</v>
      </c>
      <c r="BD245" s="0" t="n">
        <f aca="false">MIN(Z245/400,1)*20</f>
        <v>3.25</v>
      </c>
      <c r="BE245" s="3" t="n">
        <f aca="false">1-(MAX(J245-1900, 0)/750)</f>
        <v>0.92</v>
      </c>
      <c r="BF245" s="0" t="n">
        <f aca="false">((MAX($M245,1)*MIN($AJ245/300,1)))*IF(G245="Wagon",50,10)</f>
        <v>2.2</v>
      </c>
      <c r="BG245" s="0" t="n">
        <f aca="false">VLOOKUP($H245,Constants!$I:$K, 2, FALSE())</f>
        <v>1</v>
      </c>
      <c r="BH245" s="0" t="n">
        <f aca="false">VLOOKUP($H245,Constants!$I:$K, 3, FALSE())*IF(AND(G245="multiple_unit",AB245&lt;110),0.75,1)</f>
        <v>1.5</v>
      </c>
      <c r="BI245" s="0" t="n">
        <f aca="false">INT(POWER(((Constants!$G$2+$BB245+$BC245+$BD245+$BF245)*$BE245)*$BH245, 1.05))+$BA245</f>
        <v>27</v>
      </c>
      <c r="BJ245" s="0" t="n">
        <f aca="false">INT(POWER((((Constants!$G$1+$BB245+$BC245+$BD245+$BF245)*($BE245))*$BG245),IF($G245="wagon",1,1.2)))+$AZ245</f>
        <v>56</v>
      </c>
      <c r="BK245" s="17" t="n">
        <f aca="false">BI245*IF($G245="wagon",62.5,781.25)</f>
        <v>21093.75</v>
      </c>
      <c r="BL245" s="17" t="n">
        <f aca="false">BJ245*IF($G245="wagon",2.73,81.25)</f>
        <v>4550</v>
      </c>
      <c r="BV245" s="0" t="n">
        <v>4</v>
      </c>
      <c r="BW245" s="0" t="n">
        <v>185</v>
      </c>
      <c r="BZ245" s="0" t="s">
        <v>148</v>
      </c>
      <c r="CA245" s="0" t="str">
        <f aca="false">VLOOKUP(J245,Eras!$A$2:$C$10, 2, TRUE())</f>
        <v>dsl</v>
      </c>
      <c r="CB245" s="0" t="s">
        <v>834</v>
      </c>
      <c r="CC245" s="0" t="str">
        <f aca="false">CONCATENATE(CA245,"_",CB245)</f>
        <v>dsl_DMU</v>
      </c>
      <c r="CD245" s="0" t="str">
        <f aca="false">_xlfn.CONCAT(H245, "_",I245)</f>
        <v>diesel_RAIL</v>
      </c>
      <c r="CE245" s="6" t="str">
        <f aca="false" t="array" ref="CE245:CE245">_xlfn.CONCAT("{BLACK}Length: {GOLD}", TEXT(ROUNDUP(IF(AQ245&lt;&gt;"",SUM(VALUE(_xlfn.TEXTSPLIT(AQ245, ","))), SUM(VALUE(_xlfn.TEXTSPLIT(AN245, ",")))*IF(M245, M245, 1))/16, 1), "#,##0.0"), " tiles{}")</f>
        <v>{BLACK}Length: {GOLD}0.8 tiles{}</v>
      </c>
      <c r="CF245" s="0" t="str">
        <f aca="false">VLOOKUP($CD245, Constants!$M:$N, 2, FALSE())</f>
        <v>{BLACK}Powered by: {GOLD}Diesel</v>
      </c>
      <c r="CG245" s="0" t="str">
        <f aca="false">IF(M245&gt;1,_xlfn.CONCAT("{BLACK}Cars: {GOLD}", M245),"")</f>
        <v/>
      </c>
      <c r="CH245" s="0" t="s">
        <v>873</v>
      </c>
      <c r="CI245" s="0" t="str">
        <f aca="false">IF($BU245="!param_no_gameplay_units","{GREEN}Included for gameplay purposes","")</f>
        <v/>
      </c>
      <c r="CJ245" s="0" t="str">
        <f aca="false">IF(BX245="buffet","{YELLOW}25% long distance bonus for consist{}",IF(BZ245="BRAKE","{YELLOW}Speed bonus for slow wagons{}",IF(BW245&gt;190,CONCATENATE("{YELLOW}",INT((BW245-185)/1.85),"% bonus for long distance travel{}"),IF(AND(BW245&lt;180,BW245&lt;&gt;0),CONCATENATE("{YELLOW}",INT((185-BW245)/1.85),"% penalty for long distance travel{}"),""))))</f>
        <v/>
      </c>
      <c r="CK245" s="0" t="str">
        <f aca="false">_xlfn.CONCAT(CF245,IF(CF245&lt;&gt;""," ",""),CG245,IF(OR(CG245&lt;&gt;"",CF245&lt;&gt;""),"{}",""),CE245,CJ245,"{SILVER}",CH245,IF(CI245&lt;&gt;"","{}{}",""),CI245)</f>
        <v>{BLACK}Powered by: {GOLD}Diesel {}{BLACK}Length: {GOLD}0.8 tiles{}{SILVER}The "Bubble Car" units saw a long life on branch lines and rural railways. Two six-cylinder AEC or Leyland engines of 150hp each drive the wheels through a mechanical transmission.</v>
      </c>
    </row>
    <row r="246" customFormat="false" ht="14.25" hidden="false" customHeight="false" outlineLevel="0" collapsed="false">
      <c r="A246" s="0" t="s">
        <v>874</v>
      </c>
      <c r="B246" s="15" t="s">
        <v>869</v>
      </c>
      <c r="C246" s="0" t="n">
        <v>233</v>
      </c>
      <c r="E246" s="0" t="n">
        <v>136</v>
      </c>
      <c r="F246" s="0" t="s">
        <v>143</v>
      </c>
      <c r="G246" s="0" t="s">
        <v>827</v>
      </c>
      <c r="H246" s="0" t="s">
        <v>529</v>
      </c>
      <c r="I246" s="0" t="s">
        <v>641</v>
      </c>
      <c r="J246" s="0" t="n">
        <v>1964</v>
      </c>
      <c r="K246" s="0" t="n">
        <v>1972</v>
      </c>
      <c r="L246" s="0" t="n">
        <v>2005</v>
      </c>
      <c r="M246" s="0" t="n">
        <v>4</v>
      </c>
      <c r="N246" s="0" t="n">
        <v>1000</v>
      </c>
      <c r="W246" s="0" t="n">
        <v>152</v>
      </c>
      <c r="Y246" s="0" t="n">
        <v>5</v>
      </c>
      <c r="Z246" s="0" t="n">
        <v>125</v>
      </c>
      <c r="AA246" s="3" t="n">
        <f aca="false">IF(AND(W246&gt;0,Z246&gt;0),(Z246/((W246+X246)*10)),"")</f>
        <v>0.0822368421052632</v>
      </c>
      <c r="AB246" s="0" t="n">
        <v>90</v>
      </c>
      <c r="AC246" s="0" t="n">
        <f aca="false">ROUND(AB246*1.6, 0)</f>
        <v>144</v>
      </c>
      <c r="AF246" s="0" t="n">
        <f aca="false">80.98/4</f>
        <v>20.245</v>
      </c>
      <c r="AG246" s="0" t="n">
        <v>20.24</v>
      </c>
      <c r="AH246" s="0" t="n">
        <v>2.82</v>
      </c>
      <c r="AI246" s="0" t="n">
        <v>3.89</v>
      </c>
      <c r="AJ246" s="4" t="n">
        <v>54</v>
      </c>
      <c r="AK246" s="0" t="str">
        <f aca="false">CONCATENATE(VLOOKUP(AL246, 'Voxel Sizes'!$A$2:$B$18,2,FALSE()),"x",INT(AH246*15), "x", INT(AI246*15))</f>
        <v>198x42x58</v>
      </c>
      <c r="AL246" s="0" t="n">
        <f aca="false">ROUND(15*((AG246*10)/256),0)</f>
        <v>12</v>
      </c>
      <c r="AN246" s="0" t="str">
        <f aca="false">CONCATENATE(VLOOKUP(AL246,Constants!$A$2:$C$16,IF(AM246&lt;&gt;"", 3, 2), FALSE()),IF(AM246&lt;&gt;"",CONCATENATE(",",VLOOKUP(AM246,$B:$AN,39,FALSE())),""))</f>
        <v>4,4,4</v>
      </c>
      <c r="AR246" s="0" t="s">
        <v>875</v>
      </c>
      <c r="AT246" s="0" t="s">
        <v>876</v>
      </c>
      <c r="AX246" s="0" t="n">
        <v>40</v>
      </c>
      <c r="AY246" s="16" t="n">
        <f aca="false">IF(L246&lt;&gt;"",MAX(16,(L246-J246)+8),"")</f>
        <v>49</v>
      </c>
      <c r="AZ246" s="0" t="n">
        <v>-10</v>
      </c>
      <c r="BA246" s="0" t="n">
        <v>-20</v>
      </c>
      <c r="BB246" s="0" t="n">
        <f aca="false">MIN(AB246/150, 1)*30</f>
        <v>18</v>
      </c>
      <c r="BC246" s="0" t="n">
        <f aca="false">MIN(N246/4000, 1)*20</f>
        <v>5</v>
      </c>
      <c r="BD246" s="0" t="n">
        <f aca="false">MIN(Z246/400,1)*20</f>
        <v>6.25</v>
      </c>
      <c r="BE246" s="3" t="n">
        <f aca="false">1-(MAX(J246-1900, 0)/750)</f>
        <v>0.914666666666667</v>
      </c>
      <c r="BF246" s="0" t="n">
        <f aca="false">((MAX($M246,1)*MIN($AJ246/300,1)))*IF(G246="Wagon",50,10)</f>
        <v>7.2</v>
      </c>
      <c r="BG246" s="0" t="n">
        <f aca="false">VLOOKUP($H246,Constants!$I:$K, 2, FALSE())</f>
        <v>0.85</v>
      </c>
      <c r="BH246" s="0" t="n">
        <f aca="false">VLOOKUP($H246,Constants!$I:$K, 3, FALSE())*IF(AND(G246="multiple_unit",AB246&lt;110),0.75,1)</f>
        <v>1.725</v>
      </c>
      <c r="BI246" s="0" t="n">
        <f aca="false">INT(POWER(((Constants!$G$2+$BB246+$BC246+$BD246+$BF246)*$BE246)*$BH246, 1.05))+$BA246</f>
        <v>60</v>
      </c>
      <c r="BJ246" s="0" t="n">
        <f aca="false">INT(POWER((((Constants!$G$1+$BB246+$BC246+$BD246+$BF246)*($BE246))*$BG246),IF($G246="wagon",1,1.2)))+$AZ246</f>
        <v>73</v>
      </c>
      <c r="BK246" s="17" t="n">
        <f aca="false">BI246*IF($G246="wagon",62.5,781.25)</f>
        <v>46875</v>
      </c>
      <c r="BL246" s="17" t="n">
        <f aca="false">BJ246*IF($G246="wagon",2.73,81.25)</f>
        <v>5931.25</v>
      </c>
      <c r="BR246" s="0" t="s">
        <v>867</v>
      </c>
      <c r="BV246" s="0" t="n">
        <v>5</v>
      </c>
      <c r="BW246" s="0" t="n">
        <v>185</v>
      </c>
      <c r="BZ246" s="0" t="s">
        <v>148</v>
      </c>
      <c r="CA246" s="0" t="str">
        <f aca="false">VLOOKUP(J246,Eras!$A$2:$C$10, 2, TRUE())</f>
        <v>dsl</v>
      </c>
      <c r="CB246" s="0" t="s">
        <v>850</v>
      </c>
      <c r="CC246" s="0" t="str">
        <f aca="false">CONCATENATE(CA246,"_",CB246)</f>
        <v>dsl_EMU (Express)</v>
      </c>
      <c r="CD246" s="0" t="str">
        <f aca="false">_xlfn.CONCAT(H246, "_",I246)</f>
        <v>electric_THIRD_RAIL</v>
      </c>
      <c r="CE246" s="6" t="str">
        <f aca="false" t="array" ref="CE246:CE246">_xlfn.CONCAT("{BLACK}Length: {GOLD}", TEXT(ROUNDUP(IF(AQ246&lt;&gt;"",SUM(VALUE(_xlfn.TEXTSPLIT(AQ246, ","))), SUM(VALUE(_xlfn.TEXTSPLIT(AN246, ",")))*IF(M246, M246, 1))/16, 1), "#,##0.0"), " tiles{}")</f>
        <v>{BLACK}Length: {GOLD}3.0 tiles{}</v>
      </c>
      <c r="CF246" s="0" t="str">
        <f aca="false">VLOOKUP($CD246, Constants!$M:$N, 2, FALSE())</f>
        <v>{BLACK}Powered by: {GOLD}750V DC</v>
      </c>
      <c r="CG246" s="0" t="str">
        <f aca="false">IF(M246&gt;1,_xlfn.CONCAT("{BLACK}Cars: {GOLD}", M246),"")</f>
        <v>{BLACK}Cars: {GOLD}4</v>
      </c>
      <c r="CH246" s="0" t="s">
        <v>877</v>
      </c>
      <c r="CI246" s="0" t="str">
        <f aca="false">IF($BU246="!param_no_gameplay_units","{GREEN}Included for gameplay purposes","")</f>
        <v/>
      </c>
      <c r="CJ246" s="0" t="str">
        <f aca="false">IF(BX246="buffet","{YELLOW}25% long distance bonus for consist{}",IF(BZ246="BRAKE","{YELLOW}Speed bonus for slow wagons{}",IF(BW246&gt;190,CONCATENATE("{YELLOW}",INT((BW246-185)/1.85),"% bonus for long distance travel{}"),IF(AND(BW246&lt;180,BW246&lt;&gt;0),CONCATENATE("{YELLOW}",INT((185-BW246)/1.85),"% penalty for long distance travel{}"),""))))</f>
        <v/>
      </c>
      <c r="CK246" s="0" t="str">
        <f aca="false">_xlfn.CONCAT(CF246,IF(CF246&lt;&gt;""," ",""),CG246,IF(OR(CG246&lt;&gt;"",CF246&lt;&gt;""),"{}",""),CE246,CJ246,"{SILVER}",CH246,IF(CI246&lt;&gt;"","{}{}",""),CI246)</f>
        <v>{BLACK}Powered by: {GOLD}750V DC {BLACK}Cars: {GOLD}4{}{BLACK}Length: {GOLD}3.0 tiles{}{SILVER}The Class 421 4 CIG (Corridor, brIGhton) was a third rail EMU with express gearing, used in the Southern Region. It was based on the Mk1 carriage design.</v>
      </c>
    </row>
    <row r="247" customFormat="false" ht="14.25" hidden="false" customHeight="false" outlineLevel="0" collapsed="false">
      <c r="A247" s="0" t="s">
        <v>878</v>
      </c>
      <c r="B247" s="15" t="s">
        <v>879</v>
      </c>
      <c r="C247" s="0" t="n">
        <v>234</v>
      </c>
      <c r="E247" s="0" t="n">
        <v>137</v>
      </c>
      <c r="F247" s="0" t="s">
        <v>143</v>
      </c>
      <c r="G247" s="0" t="s">
        <v>827</v>
      </c>
      <c r="H247" s="0" t="s">
        <v>529</v>
      </c>
      <c r="I247" s="0" t="s">
        <v>530</v>
      </c>
      <c r="J247" s="0" t="n">
        <v>1965</v>
      </c>
      <c r="L247" s="0" t="n">
        <v>2002</v>
      </c>
      <c r="M247" s="0" t="n">
        <v>4</v>
      </c>
      <c r="N247" s="0" t="n">
        <v>1080</v>
      </c>
      <c r="W247" s="0" t="n">
        <v>158</v>
      </c>
      <c r="Y247" s="0" t="n">
        <v>5</v>
      </c>
      <c r="Z247" s="0" t="n">
        <v>130</v>
      </c>
      <c r="AA247" s="3" t="n">
        <f aca="false">IF(AND(W247&gt;0,Z247&gt;0),(Z247/((W247+X247)*10)),"")</f>
        <v>0.0822784810126582</v>
      </c>
      <c r="AB247" s="0" t="n">
        <v>75</v>
      </c>
      <c r="AC247" s="0" t="n">
        <f aca="false">ROUND(AB247*1.6, 0)</f>
        <v>120</v>
      </c>
      <c r="AF247" s="0" t="n">
        <v>19.85</v>
      </c>
      <c r="AG247" s="0" t="n">
        <v>19.85</v>
      </c>
      <c r="AH247" s="0" t="n">
        <v>2.82</v>
      </c>
      <c r="AI247" s="0" t="n">
        <v>3.97</v>
      </c>
      <c r="AJ247" s="4" t="n">
        <v>57</v>
      </c>
      <c r="AK247" s="0" t="str">
        <f aca="false">CONCATENATE(VLOOKUP(AL247, 'Voxel Sizes'!$A$2:$B$18,2,FALSE()),"x",INT(AH247*15), "x", INT(AI247*15))</f>
        <v>198x42x59</v>
      </c>
      <c r="AL247" s="0" t="n">
        <f aca="false">ROUND(15*((AG247*10)/256),0)</f>
        <v>12</v>
      </c>
      <c r="AN247" s="0" t="str">
        <f aca="false">CONCATENATE(VLOOKUP(AL247,Constants!$A$2:$C$16,IF(AM247&lt;&gt;"", 3, 2), FALSE()),IF(AM247&lt;&gt;"",CONCATENATE(",",VLOOKUP(AM247,$B:$AN,39,FALSE())),""))</f>
        <v>4,4,4</v>
      </c>
      <c r="AR247" s="0" t="s">
        <v>880</v>
      </c>
      <c r="AT247" s="0" t="s">
        <v>881</v>
      </c>
      <c r="AX247" s="0" t="n">
        <v>32</v>
      </c>
      <c r="AY247" s="16" t="n">
        <f aca="false">IF(L247&lt;&gt;"",MAX(16,(L247-J247)+8),"")</f>
        <v>45</v>
      </c>
      <c r="AZ247" s="0" t="n">
        <v>-10</v>
      </c>
      <c r="BA247" s="0" t="n">
        <v>-20</v>
      </c>
      <c r="BB247" s="0" t="n">
        <f aca="false">MIN(AB247/150, 1)*30</f>
        <v>15</v>
      </c>
      <c r="BC247" s="0" t="n">
        <f aca="false">MIN(N247/4000, 1)*20</f>
        <v>5.4</v>
      </c>
      <c r="BD247" s="0" t="n">
        <f aca="false">MIN(Z247/400,1)*20</f>
        <v>6.5</v>
      </c>
      <c r="BE247" s="3" t="n">
        <f aca="false">1-(MAX(J247-1900, 0)/750)</f>
        <v>0.913333333333333</v>
      </c>
      <c r="BF247" s="0" t="n">
        <f aca="false">((MAX($M247,1)*MIN($AJ247/300,1)))*IF(G247="Wagon",50,10)</f>
        <v>7.6</v>
      </c>
      <c r="BG247" s="0" t="n">
        <f aca="false">VLOOKUP($H247,Constants!$I:$K, 2, FALSE())</f>
        <v>0.85</v>
      </c>
      <c r="BH247" s="0" t="n">
        <f aca="false">VLOOKUP($H247,Constants!$I:$K, 3, FALSE())*IF(AND(G247="multiple_unit",AB247&lt;110),0.75,1)</f>
        <v>1.725</v>
      </c>
      <c r="BI247" s="0" t="n">
        <f aca="false">INT(POWER(((Constants!$G$2+$BB247+$BC247+$BD247+$BF247)*$BE247)*$BH247, 1.05))+$BA247</f>
        <v>56</v>
      </c>
      <c r="BJ247" s="0" t="n">
        <f aca="false">INT(POWER((((Constants!$G$1+$BB247+$BC247+$BD247+$BF247)*($BE247))*$BG247),IF($G247="wagon",1,1.2)))+$AZ247</f>
        <v>69</v>
      </c>
      <c r="BK247" s="17" t="n">
        <f aca="false">BI247*IF($G247="wagon",62.5,781.25)</f>
        <v>43750</v>
      </c>
      <c r="BL247" s="17" t="n">
        <f aca="false">BJ247*IF($G247="wagon",2.73,81.25)</f>
        <v>5606.25</v>
      </c>
      <c r="BV247" s="0" t="n">
        <v>6</v>
      </c>
      <c r="BW247" s="0" t="n">
        <v>185</v>
      </c>
      <c r="BZ247" s="0" t="s">
        <v>148</v>
      </c>
      <c r="CA247" s="0" t="str">
        <f aca="false">VLOOKUP(J247,Eras!$A$2:$C$10, 2, TRUE())</f>
        <v>dsl</v>
      </c>
      <c r="CB247" s="0" t="s">
        <v>882</v>
      </c>
      <c r="CC247" s="0" t="str">
        <f aca="false">CONCATENATE(CA247,"_",CB247)</f>
        <v>dsl_DMU (Express)</v>
      </c>
      <c r="CD247" s="0" t="str">
        <f aca="false">_xlfn.CONCAT(H247, "_",I247)</f>
        <v>electric_ELRL</v>
      </c>
      <c r="CE247" s="6" t="str">
        <f aca="false" t="array" ref="CE247:CE247">_xlfn.CONCAT("{BLACK}Length: {GOLD}", TEXT(ROUNDUP(IF(AQ247&lt;&gt;"",SUM(VALUE(_xlfn.TEXTSPLIT(AQ247, ","))), SUM(VALUE(_xlfn.TEXTSPLIT(AN247, ",")))*IF(M247, M247, 1))/16, 1), "#,##0.0"), " tiles{}")</f>
        <v>{BLACK}Length: {GOLD}3.0 tiles{}</v>
      </c>
      <c r="CF247" s="0" t="str">
        <f aca="false">VLOOKUP($CD247, Constants!$M:$N, 2, FALSE())</f>
        <v>{BLACK}Powered by: {GOLD}25kV AC</v>
      </c>
      <c r="CG247" s="0" t="str">
        <f aca="false">IF(M247&gt;1,_xlfn.CONCAT("{BLACK}Cars: {GOLD}", M247),"")</f>
        <v>{BLACK}Cars: {GOLD}4</v>
      </c>
      <c r="CH247" s="0" t="s">
        <v>883</v>
      </c>
      <c r="CI247" s="0" t="str">
        <f aca="false">IF($BU247="!param_no_gameplay_units","{GREEN}Included for gameplay purposes","")</f>
        <v/>
      </c>
      <c r="CJ247" s="0" t="str">
        <f aca="false">IF(BX247="buffet","{YELLOW}25% long distance bonus for consist{}",IF(BZ247="BRAKE","{YELLOW}Speed bonus for slow wagons{}",IF(BW247&gt;190,CONCATENATE("{YELLOW}",INT((BW247-185)/1.85),"% bonus for long distance travel{}"),IF(AND(BW247&lt;180,BW247&lt;&gt;0),CONCATENATE("{YELLOW}",INT((185-BW247)/1.85),"% penalty for long distance travel{}"),""))))</f>
        <v/>
      </c>
      <c r="CK247" s="0" t="str">
        <f aca="false">_xlfn.CONCAT(CF247,IF(CF247&lt;&gt;""," ",""),CG247,IF(OR(CG247&lt;&gt;"",CF247&lt;&gt;""),"{}",""),CE247,CJ247,"{SILVER}",CH247,IF(CI247&lt;&gt;"","{}{}",""),CI247)</f>
        <v>{BLACK}Powered by: {GOLD}25kV AC {BLACK}Cars: {GOLD}4{}{BLACK}Length: {GOLD}3.0 tiles{}{SILVER}The AM10 was the first EMU to be based on the Mk2 carriage bodyshell. They were introduced as part of the West Coast Main Line electrification.</v>
      </c>
    </row>
    <row r="248" customFormat="false" ht="14.25" hidden="false" customHeight="false" outlineLevel="0" collapsed="false">
      <c r="A248" s="0" t="s">
        <v>884</v>
      </c>
      <c r="B248" s="15" t="s">
        <v>885</v>
      </c>
      <c r="C248" s="0" t="n">
        <v>235</v>
      </c>
      <c r="E248" s="0" t="n">
        <v>138</v>
      </c>
      <c r="F248" s="0" t="s">
        <v>143</v>
      </c>
      <c r="G248" s="0" t="s">
        <v>827</v>
      </c>
      <c r="H248" s="0" t="s">
        <v>801</v>
      </c>
      <c r="I248" s="0" t="s">
        <v>802</v>
      </c>
      <c r="J248" s="0" t="n">
        <v>1976</v>
      </c>
      <c r="K248" s="0" t="n">
        <v>1977</v>
      </c>
      <c r="M248" s="0" t="n">
        <v>3</v>
      </c>
      <c r="N248" s="0" t="n">
        <v>880</v>
      </c>
      <c r="W248" s="0" t="n">
        <v>104.5</v>
      </c>
      <c r="Y248" s="0" t="n">
        <v>5</v>
      </c>
      <c r="Z248" s="0" t="n">
        <v>140</v>
      </c>
      <c r="AA248" s="3" t="n">
        <f aca="false">IF(AND(W248&gt;0,Z248&gt;0),(Z248/((W248+X248)*10)),"")</f>
        <v>0.133971291866029</v>
      </c>
      <c r="AB248" s="0" t="n">
        <v>75</v>
      </c>
      <c r="AC248" s="0" t="n">
        <f aca="false">ROUND(AB248*1.6, 0)</f>
        <v>120</v>
      </c>
      <c r="AF248" s="0" t="n">
        <v>20.33</v>
      </c>
      <c r="AG248" s="0" t="n">
        <v>20.33</v>
      </c>
      <c r="AI248" s="0" t="n">
        <v>3.58</v>
      </c>
      <c r="AJ248" s="4" t="n">
        <v>75</v>
      </c>
      <c r="AK248" s="0" t="str">
        <f aca="false">CONCATENATE(VLOOKUP(AL248, 'Voxel Sizes'!$A$2:$B$18,2,FALSE()),"x",INT(AH248*15), "x", INT(AI248*15))</f>
        <v>198x0x53</v>
      </c>
      <c r="AL248" s="0" t="n">
        <f aca="false">ROUND(15*((AG248*10)/256),0)</f>
        <v>12</v>
      </c>
      <c r="AN248" s="0" t="str">
        <f aca="false">CONCATENATE(VLOOKUP(AL248,Constants!$A$2:$C$16,IF(AM248&lt;&gt;"", 3, 2), FALSE()),IF(AM248&lt;&gt;"",CONCATENATE(",",VLOOKUP(AM248,$B:$AN,39,FALSE())),""))</f>
        <v>4,4,4</v>
      </c>
      <c r="AR248" s="0" t="s">
        <v>886</v>
      </c>
      <c r="AS248" s="0" t="s">
        <v>887</v>
      </c>
      <c r="AT248" s="0" t="s">
        <v>864</v>
      </c>
      <c r="AX248" s="0" t="n">
        <v>35</v>
      </c>
      <c r="AY248" s="16" t="str">
        <f aca="false">IF(L248&lt;&gt;"",MAX(16,(L248-J248)+8),"")</f>
        <v/>
      </c>
      <c r="AZ248" s="0" t="n">
        <v>-10</v>
      </c>
      <c r="BA248" s="0" t="n">
        <v>-20</v>
      </c>
      <c r="BB248" s="0" t="n">
        <f aca="false">MIN(AB248/150, 1)*30</f>
        <v>15</v>
      </c>
      <c r="BC248" s="0" t="n">
        <f aca="false">MIN(N248/4000, 1)*20</f>
        <v>4.4</v>
      </c>
      <c r="BD248" s="0" t="n">
        <f aca="false">MIN(Z248/400,1)*20</f>
        <v>7</v>
      </c>
      <c r="BE248" s="3" t="n">
        <f aca="false">1-(MAX(J248-1900, 0)/750)</f>
        <v>0.898666666666667</v>
      </c>
      <c r="BF248" s="0" t="n">
        <f aca="false">((MAX($M248,1)*MIN($AJ248/300,1)))*IF(G248="Wagon",50,10)</f>
        <v>7.5</v>
      </c>
      <c r="BG248" s="0" t="n">
        <f aca="false">VLOOKUP($H248,Constants!$I:$K, 2, FALSE())</f>
        <v>0.85</v>
      </c>
      <c r="BH248" s="0" t="n">
        <f aca="false">VLOOKUP($H248,Constants!$I:$K, 3, FALSE())*IF(AND(G248="multiple_unit",AB248&lt;110),0.75,1)</f>
        <v>1.8</v>
      </c>
      <c r="BI248" s="0" t="n">
        <f aca="false">INT(POWER(((Constants!$G$2+$BB248+$BC248+$BD248+$BF248)*$BE248)*$BH248, 1.05))+$BA248</f>
        <v>57</v>
      </c>
      <c r="BJ248" s="0" t="n">
        <f aca="false">INT(POWER((((Constants!$G$1+$BB248+$BC248+$BD248+$BF248)*($BE248))*$BG248),IF($G248="wagon",1,1.2)))+$AZ248</f>
        <v>67</v>
      </c>
      <c r="BK248" s="17" t="n">
        <f aca="false">BI248*IF($G248="wagon",62.5,781.25)</f>
        <v>44531.25</v>
      </c>
      <c r="BL248" s="17" t="n">
        <f aca="false">BJ248*IF($G248="wagon",2.73,81.25)</f>
        <v>5443.75</v>
      </c>
      <c r="BV248" s="0" t="n">
        <v>7</v>
      </c>
      <c r="BW248" s="0" t="n">
        <v>185</v>
      </c>
      <c r="BZ248" s="0" t="s">
        <v>148</v>
      </c>
      <c r="CA248" s="0" t="str">
        <f aca="false">VLOOKUP(J248,Eras!$A$2:$C$10, 2, TRUE())</f>
        <v>lbr</v>
      </c>
      <c r="CB248" s="0" t="s">
        <v>844</v>
      </c>
      <c r="CC248" s="0" t="str">
        <f aca="false">CONCATENATE(CA248,"_",CB248)</f>
        <v>lbr_EMU</v>
      </c>
      <c r="CD248" s="0" t="str">
        <f aca="false">_xlfn.CONCAT(H248, "_",I248)</f>
        <v>dual_electric_DUAL_POWER</v>
      </c>
      <c r="CE248" s="6" t="str">
        <f aca="false" t="array" ref="CE248:CE248">_xlfn.CONCAT("{BLACK}Length: {GOLD}", TEXT(ROUNDUP(IF(AQ248&lt;&gt;"",SUM(VALUE(_xlfn.TEXTSPLIT(AQ248, ","))), SUM(VALUE(_xlfn.TEXTSPLIT(AN248, ",")))*IF(M248, M248, 1))/16, 1), "#,##0.0"), " tiles{}")</f>
        <v>{BLACK}Length: {GOLD}2.3 tiles{}</v>
      </c>
      <c r="CF248" s="0" t="str">
        <f aca="false">VLOOKUP($CD248, Constants!$M:$N, 2, FALSE())</f>
        <v>{BLACK}Powered by: {GOLD}25kV AC / 750V DC</v>
      </c>
      <c r="CG248" s="0" t="str">
        <f aca="false">IF(M248&gt;1,_xlfn.CONCAT("{BLACK}Cars: {GOLD}", M248),"")</f>
        <v>{BLACK}Cars: {GOLD}3</v>
      </c>
      <c r="CH248" s="0" t="s">
        <v>888</v>
      </c>
      <c r="CI248" s="0" t="str">
        <f aca="false">IF($BU248="!param_no_gameplay_units","{GREEN}Included for gameplay purposes","")</f>
        <v/>
      </c>
      <c r="CJ248" s="0" t="str">
        <f aca="false">IF(BX248="buffet","{YELLOW}25% long distance bonus for consist{}",IF(BZ248="BRAKE","{YELLOW}Speed bonus for slow wagons{}",IF(BW248&gt;190,CONCATENATE("{YELLOW}",INT((BW248-185)/1.85),"% bonus for long distance travel{}"),IF(AND(BW248&lt;180,BW248&lt;&gt;0),CONCATENATE("{YELLOW}",INT((185-BW248)/1.85),"% penalty for long distance travel{}"),""))))</f>
        <v/>
      </c>
      <c r="CK248" s="0" t="str">
        <f aca="false">_xlfn.CONCAT(CF248,IF(CF248&lt;&gt;""," ",""),CG248,IF(OR(CG248&lt;&gt;"",CF248&lt;&gt;""),"{}",""),CE248,CJ248,"{SILVER}",CH248,IF(CI248&lt;&gt;"","{}{}",""),CI248)</f>
        <v>{BLACK}Powered by: {GOLD}25kV AC / 750V DC {BLACK}Cars: {GOLD}3{}{BLACK}Length: {GOLD}2.3 tiles{}{SILVER}The Class 313 is a dual voltage EMU capable of running both on overhead electrified lines and third rail systems.</v>
      </c>
    </row>
    <row r="249" customFormat="false" ht="14.25" hidden="false" customHeight="false" outlineLevel="0" collapsed="false">
      <c r="A249" s="0" t="s">
        <v>889</v>
      </c>
      <c r="B249" s="15" t="s">
        <v>890</v>
      </c>
      <c r="C249" s="0" t="n">
        <v>239</v>
      </c>
      <c r="E249" s="0" t="n">
        <v>142</v>
      </c>
      <c r="F249" s="0" t="s">
        <v>143</v>
      </c>
      <c r="G249" s="0" t="s">
        <v>827</v>
      </c>
      <c r="H249" s="0" t="s">
        <v>529</v>
      </c>
      <c r="I249" s="0" t="s">
        <v>530</v>
      </c>
      <c r="J249" s="0" t="n">
        <v>1980</v>
      </c>
      <c r="K249" s="0" t="n">
        <v>1981</v>
      </c>
      <c r="M249" s="0" t="n">
        <v>4</v>
      </c>
      <c r="N249" s="0" t="n">
        <v>880</v>
      </c>
      <c r="W249" s="0" t="n">
        <v>127.5</v>
      </c>
      <c r="Y249" s="0" t="n">
        <v>5</v>
      </c>
      <c r="Z249" s="0" t="n">
        <v>140</v>
      </c>
      <c r="AA249" s="3" t="n">
        <f aca="false">IF(AND(W249&gt;0,Z249&gt;0),(Z249/((W249+X249)*10)),"")</f>
        <v>0.109803921568627</v>
      </c>
      <c r="AB249" s="0" t="n">
        <v>75</v>
      </c>
      <c r="AC249" s="0" t="n">
        <f aca="false">ROUND(AB249*1.6, 0)</f>
        <v>120</v>
      </c>
      <c r="AF249" s="0" t="n">
        <v>19.8</v>
      </c>
      <c r="AG249" s="0" t="n">
        <v>19.8</v>
      </c>
      <c r="AI249" s="0" t="n">
        <v>3.58</v>
      </c>
      <c r="AJ249" s="4" t="n">
        <v>78</v>
      </c>
      <c r="AK249" s="0" t="str">
        <f aca="false">CONCATENATE(VLOOKUP(AL249, 'Voxel Sizes'!$A$2:$B$18,2,FALSE()),"x",INT(AH249*15), "x", INT(AI249*15))</f>
        <v>198x0x53</v>
      </c>
      <c r="AL249" s="0" t="n">
        <f aca="false">ROUND(15*((AG249*10)/256),0)</f>
        <v>12</v>
      </c>
      <c r="AN249" s="0" t="str">
        <f aca="false">CONCATENATE(VLOOKUP(AL249,Constants!$A$2:$C$16,IF(AM249&lt;&gt;"", 3, 2), FALSE()),IF(AM249&lt;&gt;"",CONCATENATE(",",VLOOKUP(AM249,$B:$AN,39,FALSE())),""))</f>
        <v>4,4,4</v>
      </c>
      <c r="AR249" s="0" t="s">
        <v>891</v>
      </c>
      <c r="AT249" s="0" t="s">
        <v>881</v>
      </c>
      <c r="AX249" s="0" t="n">
        <v>35</v>
      </c>
      <c r="AY249" s="16" t="str">
        <f aca="false">IF(L249&lt;&gt;"",MAX(16,(L249-J249)+8),"")</f>
        <v/>
      </c>
      <c r="AZ249" s="0" t="n">
        <v>-10</v>
      </c>
      <c r="BA249" s="0" t="n">
        <v>-20</v>
      </c>
      <c r="BB249" s="0" t="n">
        <f aca="false">MIN(AB249/150, 1)*30</f>
        <v>15</v>
      </c>
      <c r="BC249" s="0" t="n">
        <f aca="false">MIN(N249/4000, 1)*20</f>
        <v>4.4</v>
      </c>
      <c r="BD249" s="0" t="n">
        <f aca="false">MIN(Z249/400,1)*20</f>
        <v>7</v>
      </c>
      <c r="BE249" s="3" t="n">
        <f aca="false">1-(MAX(J249-1900, 0)/750)</f>
        <v>0.893333333333333</v>
      </c>
      <c r="BF249" s="0" t="n">
        <f aca="false">((MAX($M249,1)*MIN($AJ249/300,1)))*IF(G249="Wagon",50,10)</f>
        <v>10.4</v>
      </c>
      <c r="BG249" s="0" t="n">
        <f aca="false">VLOOKUP($H249,Constants!$I:$K, 2, FALSE())</f>
        <v>0.85</v>
      </c>
      <c r="BH249" s="0" t="n">
        <f aca="false">VLOOKUP($H249,Constants!$I:$K, 3, FALSE())*IF(AND(G249="multiple_unit",AB249&lt;110),0.75,1)</f>
        <v>1.725</v>
      </c>
      <c r="BI249" s="0" t="n">
        <f aca="false">INT(POWER(((Constants!$G$2+$BB249+$BC249+$BD249+$BF249)*$BE249)*$BH249, 1.05))+$BA249</f>
        <v>59</v>
      </c>
      <c r="BJ249" s="0" t="n">
        <f aca="false">INT(POWER((((Constants!$G$1+$BB249+$BC249+$BD249+$BF249)*($BE249))*$BG249),IF($G249="wagon",1,1.2)))+$AZ249</f>
        <v>71</v>
      </c>
      <c r="BK249" s="17" t="n">
        <f aca="false">BI249*IF($G249="wagon",62.5,781.25)</f>
        <v>46093.75</v>
      </c>
      <c r="BL249" s="17" t="n">
        <f aca="false">BJ249*IF($G249="wagon",2.73,81.25)</f>
        <v>5768.75</v>
      </c>
      <c r="BV249" s="0" t="n">
        <v>11</v>
      </c>
      <c r="BW249" s="0" t="n">
        <v>185</v>
      </c>
      <c r="BZ249" s="0" t="s">
        <v>148</v>
      </c>
      <c r="CA249" s="0" t="str">
        <f aca="false">VLOOKUP(J249,Eras!$A$2:$C$10, 2, TRUE())</f>
        <v>lbr</v>
      </c>
      <c r="CB249" s="0" t="s">
        <v>844</v>
      </c>
      <c r="CC249" s="0" t="str">
        <f aca="false">CONCATENATE(CA249,"_",CB249)</f>
        <v>lbr_EMU</v>
      </c>
      <c r="CD249" s="0" t="str">
        <f aca="false">_xlfn.CONCAT(H249, "_",I249)</f>
        <v>electric_ELRL</v>
      </c>
      <c r="CE249" s="6" t="str">
        <f aca="false" t="array" ref="CE249:CE249">_xlfn.CONCAT("{BLACK}Length: {GOLD}", TEXT(ROUNDUP(IF(AQ249&lt;&gt;"",SUM(VALUE(_xlfn.TEXTSPLIT(AQ249, ","))), SUM(VALUE(_xlfn.TEXTSPLIT(AN249, ",")))*IF(M249, M249, 1))/16, 1), "#,##0.0"), " tiles{}")</f>
        <v>{BLACK}Length: {GOLD}3.0 tiles{}</v>
      </c>
      <c r="CF249" s="0" t="str">
        <f aca="false">VLOOKUP($CD249, Constants!$M:$N, 2, FALSE())</f>
        <v>{BLACK}Powered by: {GOLD}25kV AC</v>
      </c>
      <c r="CG249" s="0" t="str">
        <f aca="false">IF(M249&gt;1,_xlfn.CONCAT("{BLACK}Cars: {GOLD}", M249),"")</f>
        <v>{BLACK}Cars: {GOLD}4</v>
      </c>
      <c r="CH249" s="0" t="s">
        <v>892</v>
      </c>
      <c r="CI249" s="0" t="str">
        <f aca="false">IF($BU249="!param_no_gameplay_units","{GREEN}Included for gameplay purposes","")</f>
        <v/>
      </c>
      <c r="CJ249" s="0" t="str">
        <f aca="false">IF(BX249="buffet","{YELLOW}25% long distance bonus for consist{}",IF(BZ249="BRAKE","{YELLOW}Speed bonus for slow wagons{}",IF(BW249&gt;190,CONCATENATE("{YELLOW}",INT((BW249-185)/1.85),"% bonus for long distance travel{}"),IF(AND(BW249&lt;180,BW249&lt;&gt;0),CONCATENATE("{YELLOW}",INT((185-BW249)/1.85),"% penalty for long distance travel{}"),""))))</f>
        <v/>
      </c>
      <c r="CK249" s="0" t="str">
        <f aca="false">_xlfn.CONCAT(CF249,IF(CF249&lt;&gt;""," ",""),CG249,IF(OR(CG249&lt;&gt;"",CF249&lt;&gt;""),"{}",""),CE249,CJ249,"{SILVER}",CH249,IF(CI249&lt;&gt;"","{}{}",""),CI249)</f>
        <v>{BLACK}Powered by: {GOLD}25kV AC {BLACK}Cars: {GOLD}4{}{BLACK}Length: {GOLD}3.0 tiles{}{SILVER}The Class 315 is the last class of the 1972 standard EMU design, running on 25kV overhead AC power and used for inner suburban services.</v>
      </c>
    </row>
    <row r="250" customFormat="false" ht="14.25" hidden="false" customHeight="false" outlineLevel="0" collapsed="false">
      <c r="A250" s="0" t="s">
        <v>893</v>
      </c>
      <c r="B250" s="15" t="s">
        <v>894</v>
      </c>
      <c r="C250" s="0" t="n">
        <v>240</v>
      </c>
      <c r="E250" s="0" t="n">
        <v>143</v>
      </c>
      <c r="F250" s="0" t="s">
        <v>143</v>
      </c>
      <c r="G250" s="0" t="s">
        <v>827</v>
      </c>
      <c r="H250" s="0" t="s">
        <v>529</v>
      </c>
      <c r="I250" s="0" t="s">
        <v>641</v>
      </c>
      <c r="J250" s="0" t="n">
        <v>1982</v>
      </c>
      <c r="M250" s="0" t="n">
        <v>4</v>
      </c>
      <c r="N250" s="0" t="n">
        <v>992</v>
      </c>
      <c r="W250" s="0" t="n">
        <v>136</v>
      </c>
      <c r="Y250" s="0" t="n">
        <v>5</v>
      </c>
      <c r="Z250" s="0" t="n">
        <v>150</v>
      </c>
      <c r="AA250" s="3" t="n">
        <f aca="false">IF(AND(W250&gt;0,Z250&gt;0),(Z250/((W250+X250)*10)),"")</f>
        <v>0.110294117647059</v>
      </c>
      <c r="AB250" s="0" t="n">
        <v>75</v>
      </c>
      <c r="AC250" s="0" t="n">
        <f aca="false">ROUND(AB250*1.6, 0)</f>
        <v>120</v>
      </c>
      <c r="AF250" s="0" t="n">
        <v>19.8</v>
      </c>
      <c r="AG250" s="0" t="n">
        <v>19.8</v>
      </c>
      <c r="AJ250" s="4" t="n">
        <v>78</v>
      </c>
      <c r="AK250" s="0" t="str">
        <f aca="false">CONCATENATE(VLOOKUP(AL250, 'Voxel Sizes'!$A$2:$B$18,2,FALSE()),"x",INT(AH250*15), "x", INT(AI250*15))</f>
        <v>198x0x0</v>
      </c>
      <c r="AL250" s="0" t="n">
        <f aca="false">ROUND(15*((AG250*10)/256),0)</f>
        <v>12</v>
      </c>
      <c r="AN250" s="0" t="str">
        <f aca="false">CONCATENATE(VLOOKUP(AL250,Constants!$A$2:$C$16,IF(AM250&lt;&gt;"", 3, 2), FALSE()),IF(AM250&lt;&gt;"",CONCATENATE(",",VLOOKUP(AM250,$B:$AN,39,FALSE())),""))</f>
        <v>4,4,4</v>
      </c>
      <c r="AR250" s="0" t="s">
        <v>895</v>
      </c>
      <c r="AT250" s="0" t="s">
        <v>855</v>
      </c>
      <c r="AX250" s="0" t="n">
        <v>35</v>
      </c>
      <c r="AY250" s="16" t="str">
        <f aca="false">IF(L250&lt;&gt;"",MAX(16,(L250-J250)+8),"")</f>
        <v/>
      </c>
      <c r="AZ250" s="0" t="n">
        <v>-10</v>
      </c>
      <c r="BA250" s="0" t="n">
        <v>-20</v>
      </c>
      <c r="BB250" s="0" t="n">
        <f aca="false">MIN(AB250/150, 1)*30</f>
        <v>15</v>
      </c>
      <c r="BC250" s="0" t="n">
        <f aca="false">MIN(N250/4000, 1)*20</f>
        <v>4.96</v>
      </c>
      <c r="BD250" s="0" t="n">
        <f aca="false">MIN(Z250/400,1)*20</f>
        <v>7.5</v>
      </c>
      <c r="BE250" s="3" t="n">
        <f aca="false">1-(MAX(J250-1900, 0)/750)</f>
        <v>0.890666666666667</v>
      </c>
      <c r="BF250" s="0" t="n">
        <f aca="false">((MAX($M250,1)*MIN($AJ250/300,1)))*IF(G250="Wagon",50,10)</f>
        <v>10.4</v>
      </c>
      <c r="BG250" s="0" t="n">
        <f aca="false">VLOOKUP($H250,Constants!$I:$K, 2, FALSE())</f>
        <v>0.85</v>
      </c>
      <c r="BH250" s="0" t="n">
        <f aca="false">VLOOKUP($H250,Constants!$I:$K, 3, FALSE())*IF(AND(G250="multiple_unit",AB250&lt;110),0.75,1)</f>
        <v>1.725</v>
      </c>
      <c r="BI250" s="0" t="n">
        <f aca="false">INT(POWER(((Constants!$G$2+$BB250+$BC250+$BD250+$BF250)*$BE250)*$BH250, 1.05))+$BA250</f>
        <v>61</v>
      </c>
      <c r="BJ250" s="0" t="n">
        <f aca="false">INT(POWER((((Constants!$G$1+$BB250+$BC250+$BD250+$BF250)*($BE250))*$BG250),IF($G250="wagon",1,1.2)))+$AZ250</f>
        <v>73</v>
      </c>
      <c r="BK250" s="17" t="n">
        <f aca="false">BI250*IF($G250="wagon",62.5,781.25)</f>
        <v>47656.25</v>
      </c>
      <c r="BL250" s="17" t="n">
        <f aca="false">BJ250*IF($G250="wagon",2.73,81.25)</f>
        <v>5931.25</v>
      </c>
      <c r="BR250" s="0" t="s">
        <v>896</v>
      </c>
      <c r="BV250" s="0" t="n">
        <v>12</v>
      </c>
      <c r="BW250" s="0" t="n">
        <v>185</v>
      </c>
      <c r="BZ250" s="0" t="s">
        <v>148</v>
      </c>
      <c r="CA250" s="0" t="str">
        <f aca="false">VLOOKUP(J250,Eras!$A$2:$C$10, 2, TRUE())</f>
        <v>lbr</v>
      </c>
      <c r="CB250" s="0" t="s">
        <v>844</v>
      </c>
      <c r="CC250" s="0" t="str">
        <f aca="false">CONCATENATE(CA250,"_",CB250)</f>
        <v>lbr_EMU</v>
      </c>
      <c r="CD250" s="0" t="str">
        <f aca="false">_xlfn.CONCAT(H250, "_",I250)</f>
        <v>electric_THIRD_RAIL</v>
      </c>
      <c r="CE250" s="6" t="str">
        <f aca="false" t="array" ref="CE250:CE250">_xlfn.CONCAT("{BLACK}Length: {GOLD}", TEXT(ROUNDUP(IF(AQ250&lt;&gt;"",SUM(VALUE(_xlfn.TEXTSPLIT(AQ250, ","))), SUM(VALUE(_xlfn.TEXTSPLIT(AN250, ",")))*IF(M250, M250, 1))/16, 1), "#,##0.0"), " tiles{}")</f>
        <v>{BLACK}Length: {GOLD}3.0 tiles{}</v>
      </c>
      <c r="CF250" s="0" t="str">
        <f aca="false">VLOOKUP($CD250, Constants!$M:$N, 2, FALSE())</f>
        <v>{BLACK}Powered by: {GOLD}750V DC</v>
      </c>
      <c r="CG250" s="0" t="str">
        <f aca="false">IF(M250&gt;1,_xlfn.CONCAT("{BLACK}Cars: {GOLD}", M250),"")</f>
        <v>{BLACK}Cars: {GOLD}4</v>
      </c>
      <c r="CH250" s="0" t="s">
        <v>897</v>
      </c>
      <c r="CI250" s="0" t="str">
        <f aca="false">IF($BU250="!param_no_gameplay_units","{GREEN}Included for gameplay purposes","")</f>
        <v/>
      </c>
      <c r="CJ250" s="0" t="str">
        <f aca="false">IF(BX250="buffet","{YELLOW}25% long distance bonus for consist{}",IF(BZ250="BRAKE","{YELLOW}Speed bonus for slow wagons{}",IF(BW250&gt;190,CONCATENATE("{YELLOW}",INT((BW250-185)/1.85),"% bonus for long distance travel{}"),IF(AND(BW250&lt;180,BW250&lt;&gt;0),CONCATENATE("{YELLOW}",INT((185-BW250)/1.85),"% penalty for long distance travel{}"),""))))</f>
        <v/>
      </c>
      <c r="CK250" s="0" t="str">
        <f aca="false">_xlfn.CONCAT(CF250,IF(CF250&lt;&gt;""," ",""),CG250,IF(OR(CG250&lt;&gt;"",CF250&lt;&gt;""),"{}",""),CE250,CJ250,"{SILVER}",CH250,IF(CI250&lt;&gt;"","{}{}",""),CI250)</f>
        <v>{BLACK}Powered by: {GOLD}750V DC {BLACK}Cars: {GOLD}4{}{BLACK}Length: {GOLD}3.0 tiles{}{SILVER}The Class 455 is a DC third rail version of British Rail's second generation EMU design. Some units re-used existing carriages from the Class 508, recognisable by the different side profile.</v>
      </c>
    </row>
    <row r="251" customFormat="false" ht="14.25" hidden="false" customHeight="false" outlineLevel="0" collapsed="false">
      <c r="A251" s="0" t="s">
        <v>898</v>
      </c>
      <c r="B251" s="15" t="s">
        <v>899</v>
      </c>
      <c r="C251" s="0" t="n">
        <v>243</v>
      </c>
      <c r="E251" s="0" t="n">
        <v>146</v>
      </c>
      <c r="F251" s="0" t="s">
        <v>143</v>
      </c>
      <c r="G251" s="0" t="s">
        <v>827</v>
      </c>
      <c r="H251" s="0" t="s">
        <v>801</v>
      </c>
      <c r="I251" s="0" t="s">
        <v>802</v>
      </c>
      <c r="J251" s="0" t="n">
        <v>1987</v>
      </c>
      <c r="K251" s="0" t="n">
        <v>1990</v>
      </c>
      <c r="M251" s="0" t="n">
        <v>4</v>
      </c>
      <c r="N251" s="0" t="n">
        <f aca="false">4*332</f>
        <v>1328</v>
      </c>
      <c r="W251" s="0" t="n">
        <v>140.3</v>
      </c>
      <c r="Y251" s="0" t="n">
        <v>5</v>
      </c>
      <c r="Z251" s="0" t="n">
        <v>160</v>
      </c>
      <c r="AA251" s="3" t="n">
        <f aca="false">IF(AND(W251&gt;0,Z251&gt;0),(Z251/((W251+X251)*10)),"")</f>
        <v>0.114041339985745</v>
      </c>
      <c r="AB251" s="0" t="n">
        <v>100</v>
      </c>
      <c r="AC251" s="0" t="n">
        <f aca="false">ROUND(AB251*1.6, 0)</f>
        <v>160</v>
      </c>
      <c r="AF251" s="0" t="n">
        <v>19.83</v>
      </c>
      <c r="AG251" s="0" t="n">
        <v>19.83</v>
      </c>
      <c r="AI251" s="0" t="n">
        <v>3.58</v>
      </c>
      <c r="AJ251" s="4" t="n">
        <v>78</v>
      </c>
      <c r="AK251" s="0" t="str">
        <f aca="false">CONCATENATE(VLOOKUP(AL251, 'Voxel Sizes'!$A$2:$B$18,2,FALSE()),"x",INT(AH251*15), "x", INT(AI251*15))</f>
        <v>198x0x53</v>
      </c>
      <c r="AL251" s="0" t="n">
        <f aca="false">ROUND(15*((AG251*10)/256),0)</f>
        <v>12</v>
      </c>
      <c r="AN251" s="0" t="str">
        <f aca="false">CONCATENATE(VLOOKUP(AL251,Constants!$A$2:$C$16,IF(AM251&lt;&gt;"", 3, 2), FALSE()),IF(AM251&lt;&gt;"",CONCATENATE(",",VLOOKUP(AM251,$B:$AN,39,FALSE())),""))</f>
        <v>4,4,4</v>
      </c>
      <c r="AR251" s="0" t="s">
        <v>900</v>
      </c>
      <c r="AS251" s="0" t="s">
        <v>901</v>
      </c>
      <c r="AT251" s="0" t="s">
        <v>881</v>
      </c>
      <c r="AX251" s="0" t="n">
        <v>32</v>
      </c>
      <c r="AY251" s="16" t="str">
        <f aca="false">IF(L251&lt;&gt;"",MAX(16,(L251-J251)+8),"")</f>
        <v/>
      </c>
      <c r="AZ251" s="0" t="n">
        <v>-10</v>
      </c>
      <c r="BA251" s="0" t="n">
        <v>-20</v>
      </c>
      <c r="BB251" s="0" t="n">
        <f aca="false">MIN(AB251/150, 1)*30</f>
        <v>20</v>
      </c>
      <c r="BC251" s="0" t="n">
        <f aca="false">MIN(N251/4000, 1)*20</f>
        <v>6.64</v>
      </c>
      <c r="BD251" s="0" t="n">
        <f aca="false">MIN(Z251/400,1)*20</f>
        <v>8</v>
      </c>
      <c r="BE251" s="3" t="n">
        <f aca="false">1-(MAX(J251-1900, 0)/750)</f>
        <v>0.884</v>
      </c>
      <c r="BF251" s="0" t="n">
        <f aca="false">((MAX($M251,1)*MIN($AJ251/300,1)))*IF(G251="Wagon",50,10)</f>
        <v>10.4</v>
      </c>
      <c r="BG251" s="0" t="n">
        <f aca="false">VLOOKUP($H251,Constants!$I:$K, 2, FALSE())</f>
        <v>0.85</v>
      </c>
      <c r="BH251" s="0" t="n">
        <f aca="false">VLOOKUP($H251,Constants!$I:$K, 3, FALSE())*IF(AND(G251="multiple_unit",AB251&lt;110),0.75,1)</f>
        <v>1.8</v>
      </c>
      <c r="BI251" s="0" t="n">
        <f aca="false">INT(POWER(((Constants!$G$2+$BB251+$BC251+$BD251+$BF251)*$BE251)*$BH251, 1.05))+$BA251</f>
        <v>79</v>
      </c>
      <c r="BJ251" s="0" t="n">
        <f aca="false">INT(POWER((((Constants!$G$1+$BB251+$BC251+$BD251+$BF251)*($BE251))*$BG251),IF($G251="wagon",1,1.2)))+$AZ251</f>
        <v>86</v>
      </c>
      <c r="BK251" s="17" t="n">
        <f aca="false">BI251*IF($G251="wagon",62.5,781.25)</f>
        <v>61718.75</v>
      </c>
      <c r="BL251" s="17" t="n">
        <f aca="false">BJ251*IF($G251="wagon",2.73,81.25)</f>
        <v>6987.5</v>
      </c>
      <c r="BV251" s="0" t="n">
        <v>3</v>
      </c>
      <c r="BW251" s="0" t="n">
        <v>185</v>
      </c>
      <c r="BZ251" s="0" t="s">
        <v>148</v>
      </c>
      <c r="CA251" s="0" t="str">
        <f aca="false">VLOOKUP(J251,Eras!$A$2:$C$10, 2, TRUE())</f>
        <v>lbr</v>
      </c>
      <c r="CB251" s="0" t="s">
        <v>844</v>
      </c>
      <c r="CC251" s="0" t="str">
        <f aca="false">CONCATENATE(CA251,"_",CB251)</f>
        <v>lbr_EMU</v>
      </c>
      <c r="CD251" s="0" t="str">
        <f aca="false">_xlfn.CONCAT(H251, "_",I251)</f>
        <v>dual_electric_DUAL_POWER</v>
      </c>
      <c r="CE251" s="6" t="str">
        <f aca="false" t="array" ref="CE251:CE251">_xlfn.CONCAT("{BLACK}Length: {GOLD}", TEXT(ROUNDUP(IF(AQ251&lt;&gt;"",SUM(VALUE(_xlfn.TEXTSPLIT(AQ251, ","))), SUM(VALUE(_xlfn.TEXTSPLIT(AN251, ",")))*IF(M251, M251, 1))/16, 1), "#,##0.0"), " tiles{}")</f>
        <v>{BLACK}Length: {GOLD}3.0 tiles{}</v>
      </c>
      <c r="CF251" s="0" t="str">
        <f aca="false">VLOOKUP($CD251, Constants!$M:$N, 2, FALSE())</f>
        <v>{BLACK}Powered by: {GOLD}25kV AC / 750V DC</v>
      </c>
      <c r="CG251" s="0" t="str">
        <f aca="false">IF(M251&gt;1,_xlfn.CONCAT("{BLACK}Cars: {GOLD}", M251),"")</f>
        <v>{BLACK}Cars: {GOLD}4</v>
      </c>
      <c r="CH251" s="0" t="s">
        <v>902</v>
      </c>
      <c r="CI251" s="0" t="str">
        <f aca="false">IF($BU251="!param_no_gameplay_units","{GREEN}Included for gameplay purposes","")</f>
        <v/>
      </c>
      <c r="CJ251" s="0" t="str">
        <f aca="false">IF(BX251="buffet","{YELLOW}25% long distance bonus for consist{}",IF(BZ251="BRAKE","{YELLOW}Speed bonus for slow wagons{}",IF(BW251&gt;190,CONCATENATE("{YELLOW}",INT((BW251-185)/1.85),"% bonus for long distance travel{}"),IF(AND(BW251&lt;180,BW251&lt;&gt;0),CONCATENATE("{YELLOW}",INT((185-BW251)/1.85),"% penalty for long distance travel{}"),""))))</f>
        <v/>
      </c>
      <c r="CK251" s="0" t="str">
        <f aca="false">_xlfn.CONCAT(CF251,IF(CF251&lt;&gt;""," ",""),CG251,IF(OR(CG251&lt;&gt;"",CF251&lt;&gt;""),"{}",""),CE251,CJ251,"{SILVER}",CH251,IF(CI251&lt;&gt;"","{}{}",""),CI251)</f>
        <v>{BLACK}Powered by: {GOLD}25kV AC / 750V DC {BLACK}Cars: {GOLD}4{}{BLACK}Length: {GOLD}3.0 tiles{}{SILVER}The Class 319 is a dual-voltage EMU built for the then-new Thameslink service between Brighton and Bedford.</v>
      </c>
    </row>
    <row r="252" customFormat="false" ht="14.25" hidden="false" customHeight="false" outlineLevel="0" collapsed="false">
      <c r="A252" s="0" t="s">
        <v>903</v>
      </c>
      <c r="B252" s="15" t="s">
        <v>904</v>
      </c>
      <c r="C252" s="0" t="n">
        <v>244</v>
      </c>
      <c r="E252" s="0" t="n">
        <v>147</v>
      </c>
      <c r="F252" s="0" t="s">
        <v>143</v>
      </c>
      <c r="G252" s="0" t="s">
        <v>827</v>
      </c>
      <c r="H252" s="0" t="s">
        <v>529</v>
      </c>
      <c r="I252" s="0" t="s">
        <v>530</v>
      </c>
      <c r="J252" s="0" t="n">
        <v>1988</v>
      </c>
      <c r="K252" s="0" t="n">
        <v>1991</v>
      </c>
      <c r="M252" s="0" t="n">
        <v>4</v>
      </c>
      <c r="N252" s="0" t="n">
        <v>1438</v>
      </c>
      <c r="W252" s="0" t="n">
        <v>137.9</v>
      </c>
      <c r="Y252" s="0" t="n">
        <v>5</v>
      </c>
      <c r="Z252" s="0" t="n">
        <v>150</v>
      </c>
      <c r="AA252" s="3" t="n">
        <f aca="false">IF(AND(W252&gt;0,Z252&gt;0),(Z252/((W252+X252)*10)),"")</f>
        <v>0.108774474256708</v>
      </c>
      <c r="AB252" s="0" t="n">
        <v>100</v>
      </c>
      <c r="AC252" s="0" t="n">
        <f aca="false">ROUND(AB252*1.6, 0)</f>
        <v>160</v>
      </c>
      <c r="AF252" s="0" t="n">
        <v>19.95</v>
      </c>
      <c r="AG252" s="0" t="n">
        <v>19.95</v>
      </c>
      <c r="AI252" s="0" t="n">
        <v>3.78</v>
      </c>
      <c r="AJ252" s="4" t="n">
        <v>78</v>
      </c>
      <c r="AK252" s="0" t="str">
        <f aca="false">CONCATENATE(VLOOKUP(AL252, 'Voxel Sizes'!$A$2:$B$18,2,FALSE()),"x",INT(AH252*15), "x", INT(AI252*15))</f>
        <v>198x0x56</v>
      </c>
      <c r="AL252" s="0" t="n">
        <f aca="false">ROUND(15*((AG252*10)/256),0)</f>
        <v>12</v>
      </c>
      <c r="AN252" s="0" t="str">
        <f aca="false">CONCATENATE(VLOOKUP(AL252,Constants!$A$2:$C$16,IF(AM252&lt;&gt;"", 3, 2), FALSE()),IF(AM252&lt;&gt;"",CONCATENATE(",",VLOOKUP(AM252,$B:$AN,39,FALSE())),""))</f>
        <v>4,4,4</v>
      </c>
      <c r="AR252" s="0" t="s">
        <v>905</v>
      </c>
      <c r="AT252" s="0" t="s">
        <v>881</v>
      </c>
      <c r="AX252" s="0" t="n">
        <v>33</v>
      </c>
      <c r="AY252" s="16" t="str">
        <f aca="false">IF(L252&lt;&gt;"",MAX(16,(L252-J252)+8),"")</f>
        <v/>
      </c>
      <c r="AZ252" s="0" t="n">
        <v>-10</v>
      </c>
      <c r="BA252" s="0" t="n">
        <v>-27</v>
      </c>
      <c r="BB252" s="0" t="n">
        <f aca="false">MIN(AB252/150, 1)*30</f>
        <v>20</v>
      </c>
      <c r="BC252" s="0" t="n">
        <f aca="false">MIN(N252/4000, 1)*20</f>
        <v>7.19</v>
      </c>
      <c r="BD252" s="0" t="n">
        <f aca="false">MIN(Z252/400,1)*20</f>
        <v>7.5</v>
      </c>
      <c r="BE252" s="3" t="n">
        <f aca="false">1-(MAX(J252-1900, 0)/750)</f>
        <v>0.882666666666667</v>
      </c>
      <c r="BF252" s="0" t="n">
        <f aca="false">((MAX($M252,1)*MIN($AJ252/300,1)))*IF(G252="Wagon",50,10)</f>
        <v>10.4</v>
      </c>
      <c r="BG252" s="0" t="n">
        <f aca="false">VLOOKUP($H252,Constants!$I:$K, 2, FALSE())</f>
        <v>0.85</v>
      </c>
      <c r="BH252" s="0" t="n">
        <f aca="false">VLOOKUP($H252,Constants!$I:$K, 3, FALSE())*IF(AND(G252="multiple_unit",AB252&lt;110),0.75,1)</f>
        <v>1.725</v>
      </c>
      <c r="BI252" s="0" t="n">
        <f aca="false">INT(POWER(((Constants!$G$2+$BB252+$BC252+$BD252+$BF252)*$BE252)*$BH252, 1.05))+$BA252</f>
        <v>67</v>
      </c>
      <c r="BJ252" s="0" t="n">
        <f aca="false">INT(POWER((((Constants!$G$1+$BB252+$BC252+$BD252+$BF252)*($BE252))*$BG252),IF($G252="wagon",1,1.2)))+$AZ252</f>
        <v>86</v>
      </c>
      <c r="BK252" s="17" t="n">
        <f aca="false">BI252*IF($G252="wagon",62.5,781.25)</f>
        <v>52343.75</v>
      </c>
      <c r="BL252" s="17" t="n">
        <f aca="false">BJ252*IF($G252="wagon",2.73,81.25)</f>
        <v>6987.5</v>
      </c>
      <c r="BV252" s="0" t="n">
        <v>9</v>
      </c>
      <c r="BW252" s="0" t="n">
        <v>185</v>
      </c>
      <c r="BZ252" s="0" t="s">
        <v>148</v>
      </c>
      <c r="CA252" s="0" t="str">
        <f aca="false">VLOOKUP(J252,Eras!$A$2:$C$10, 2, TRUE())</f>
        <v>lbr</v>
      </c>
      <c r="CB252" s="0" t="s">
        <v>844</v>
      </c>
      <c r="CC252" s="0" t="str">
        <f aca="false">CONCATENATE(CA252,"_",CB252)</f>
        <v>lbr_EMU</v>
      </c>
      <c r="CD252" s="0" t="str">
        <f aca="false">_xlfn.CONCAT(H252, "_",I252)</f>
        <v>electric_ELRL</v>
      </c>
      <c r="CE252" s="6" t="str">
        <f aca="false" t="array" ref="CE252:CE252">_xlfn.CONCAT("{BLACK}Length: {GOLD}", TEXT(ROUNDUP(IF(AQ252&lt;&gt;"",SUM(VALUE(_xlfn.TEXTSPLIT(AQ252, ","))), SUM(VALUE(_xlfn.TEXTSPLIT(AN252, ",")))*IF(M252, M252, 1))/16, 1), "#,##0.0"), " tiles{}")</f>
        <v>{BLACK}Length: {GOLD}3.0 tiles{}</v>
      </c>
      <c r="CF252" s="0" t="str">
        <f aca="false">VLOOKUP($CD252, Constants!$M:$N, 2, FALSE())</f>
        <v>{BLACK}Powered by: {GOLD}25kV AC</v>
      </c>
      <c r="CG252" s="0" t="str">
        <f aca="false">IF(M252&gt;1,_xlfn.CONCAT("{BLACK}Cars: {GOLD}", M252),"")</f>
        <v>{BLACK}Cars: {GOLD}4</v>
      </c>
      <c r="CH252" s="0" t="s">
        <v>906</v>
      </c>
      <c r="CI252" s="0" t="str">
        <f aca="false">IF($BU252="!param_no_gameplay_units","{GREEN}Included for gameplay purposes","")</f>
        <v/>
      </c>
      <c r="CJ252" s="0" t="str">
        <f aca="false">IF(BX252="buffet","{YELLOW}25% long distance bonus for consist{}",IF(BZ252="BRAKE","{YELLOW}Speed bonus for slow wagons{}",IF(BW252&gt;190,CONCATENATE("{YELLOW}",INT((BW252-185)/1.85),"% bonus for long distance travel{}"),IF(AND(BW252&lt;180,BW252&lt;&gt;0),CONCATENATE("{YELLOW}",INT((185-BW252)/1.85),"% penalty for long distance travel{}"),""))))</f>
        <v/>
      </c>
      <c r="CK252" s="0" t="str">
        <f aca="false">_xlfn.CONCAT(CF252,IF(CF252&lt;&gt;""," ",""),CG252,IF(OR(CG252&lt;&gt;"",CF252&lt;&gt;""),"{}",""),CE252,CJ252,"{SILVER}",CH252,IF(CI252&lt;&gt;"","{}{}",""),CI252)</f>
        <v>{BLACK}Powered by: {GOLD}25kV AC {BLACK}Cars: {GOLD}4{}{BLACK}Length: {GOLD}3.0 tiles{}{SILVER}The Class 321 is an overhead-line EMU, originally built for Network South East services and Regional Railways services from Leeds.</v>
      </c>
    </row>
    <row r="253" customFormat="false" ht="14.25" hidden="false" customHeight="false" outlineLevel="0" collapsed="false">
      <c r="A253" s="0" t="s">
        <v>907</v>
      </c>
      <c r="B253" s="15" t="s">
        <v>896</v>
      </c>
      <c r="C253" s="0" t="n">
        <v>249</v>
      </c>
      <c r="E253" s="0" t="n">
        <v>152</v>
      </c>
      <c r="F253" s="0" t="s">
        <v>143</v>
      </c>
      <c r="G253" s="0" t="s">
        <v>827</v>
      </c>
      <c r="H253" s="0" t="s">
        <v>529</v>
      </c>
      <c r="I253" s="0" t="s">
        <v>641</v>
      </c>
      <c r="J253" s="0" t="n">
        <v>1990</v>
      </c>
      <c r="M253" s="0" t="n">
        <v>2</v>
      </c>
      <c r="N253" s="0" t="n">
        <v>500</v>
      </c>
      <c r="W253" s="0" t="n">
        <v>72.5</v>
      </c>
      <c r="Y253" s="0" t="n">
        <v>5</v>
      </c>
      <c r="Z253" s="0" t="n">
        <v>120</v>
      </c>
      <c r="AA253" s="3" t="n">
        <f aca="false">IF(AND(W253&gt;0,Z253&gt;0),(Z253/((W253+X253)*10)),"")</f>
        <v>0.16551724137931</v>
      </c>
      <c r="AB253" s="0" t="n">
        <v>75</v>
      </c>
      <c r="AC253" s="0" t="n">
        <f aca="false">ROUND(AB253*1.6, 0)</f>
        <v>120</v>
      </c>
      <c r="AF253" s="0" t="n">
        <v>19.8</v>
      </c>
      <c r="AG253" s="0" t="n">
        <v>19.8</v>
      </c>
      <c r="AJ253" s="4" t="n">
        <v>75</v>
      </c>
      <c r="AK253" s="0" t="str">
        <f aca="false">CONCATENATE(VLOOKUP(AL253, 'Voxel Sizes'!$A$2:$B$18,2,FALSE()),"x",INT(AH253*15), "x", INT(AI253*15))</f>
        <v>198x0x0</v>
      </c>
      <c r="AL253" s="0" t="n">
        <f aca="false">ROUND(15*((AG253*10)/256),0)</f>
        <v>12</v>
      </c>
      <c r="AN253" s="0" t="str">
        <f aca="false">CONCATENATE(VLOOKUP(AL253,Constants!$A$2:$C$16,IF(AM253&lt;&gt;"", 3, 2), FALSE()),IF(AM253&lt;&gt;"",CONCATENATE(",",VLOOKUP(AM253,$B:$AN,39,FALSE())),""))</f>
        <v>4,4,4</v>
      </c>
      <c r="AR253" s="0" t="s">
        <v>908</v>
      </c>
      <c r="AT253" s="0" t="s">
        <v>833</v>
      </c>
      <c r="AX253" s="0" t="n">
        <v>31</v>
      </c>
      <c r="AY253" s="16" t="str">
        <f aca="false">IF(L253&lt;&gt;"",MAX(16,(L253-J253)+8),"")</f>
        <v/>
      </c>
      <c r="AZ253" s="0" t="n">
        <v>-10</v>
      </c>
      <c r="BA253" s="0" t="n">
        <v>-20</v>
      </c>
      <c r="BB253" s="0" t="n">
        <f aca="false">MIN(AB253/150, 1)*30</f>
        <v>15</v>
      </c>
      <c r="BC253" s="0" t="n">
        <f aca="false">MIN(N253/4000, 1)*20</f>
        <v>2.5</v>
      </c>
      <c r="BD253" s="0" t="n">
        <f aca="false">MIN(Z253/400,1)*20</f>
        <v>6</v>
      </c>
      <c r="BE253" s="3" t="n">
        <f aca="false">1-(MAX(J253-1900, 0)/750)</f>
        <v>0.88</v>
      </c>
      <c r="BF253" s="0" t="n">
        <f aca="false">((MAX($M253,1)*MIN($AJ253/300,1)))*IF(G253="Wagon",50,10)</f>
        <v>5</v>
      </c>
      <c r="BG253" s="0" t="n">
        <f aca="false">VLOOKUP($H253,Constants!$I:$K, 2, FALSE())</f>
        <v>0.85</v>
      </c>
      <c r="BH253" s="0" t="n">
        <f aca="false">VLOOKUP($H253,Constants!$I:$K, 3, FALSE())*IF(AND(G253="multiple_unit",AB253&lt;110),0.75,1)</f>
        <v>1.725</v>
      </c>
      <c r="BI253" s="0" t="n">
        <f aca="false">INT(POWER(((Constants!$G$2+$BB253+$BC253+$BD253+$BF253)*$BE253)*$BH253, 1.05))+$BA253</f>
        <v>41</v>
      </c>
      <c r="BJ253" s="0" t="n">
        <f aca="false">INT(POWER((((Constants!$G$1+$BB253+$BC253+$BD253+$BF253)*($BE253))*$BG253),IF($G253="wagon",1,1.2)))+$AZ253</f>
        <v>55</v>
      </c>
      <c r="BK253" s="17" t="n">
        <f aca="false">BI253*IF($G253="wagon",62.5,781.25)</f>
        <v>32031.25</v>
      </c>
      <c r="BL253" s="17" t="n">
        <f aca="false">BJ253*IF($G253="wagon",2.73,81.25)</f>
        <v>4468.75</v>
      </c>
      <c r="BR253" s="0" t="s">
        <v>894</v>
      </c>
      <c r="BV253" s="0" t="n">
        <v>8</v>
      </c>
      <c r="BW253" s="0" t="n">
        <v>185</v>
      </c>
      <c r="BZ253" s="0" t="s">
        <v>148</v>
      </c>
      <c r="CA253" s="0" t="str">
        <f aca="false">VLOOKUP(J253,Eras!$A$2:$C$10, 2, TRUE())</f>
        <v>lbr</v>
      </c>
      <c r="CB253" s="0" t="s">
        <v>844</v>
      </c>
      <c r="CC253" s="0" t="str">
        <f aca="false">CONCATENATE(CA253,"_",CB253)</f>
        <v>lbr_EMU</v>
      </c>
      <c r="CD253" s="0" t="str">
        <f aca="false">_xlfn.CONCAT(H253, "_",I253)</f>
        <v>electric_THIRD_RAIL</v>
      </c>
      <c r="CE253" s="6" t="str">
        <f aca="false" t="array" ref="CE253:CE253">_xlfn.CONCAT("{BLACK}Length: {GOLD}", TEXT(ROUNDUP(IF(AQ253&lt;&gt;"",SUM(VALUE(_xlfn.TEXTSPLIT(AQ253, ","))), SUM(VALUE(_xlfn.TEXTSPLIT(AN253, ",")))*IF(M253, M253, 1))/16, 1), "#,##0.0"), " tiles{}")</f>
        <v>{BLACK}Length: {GOLD}1.5 tiles{}</v>
      </c>
      <c r="CF253" s="0" t="str">
        <f aca="false">VLOOKUP($CD253, Constants!$M:$N, 2, FALSE())</f>
        <v>{BLACK}Powered by: {GOLD}750V DC</v>
      </c>
      <c r="CG253" s="0" t="str">
        <f aca="false">IF(M253&gt;1,_xlfn.CONCAT("{BLACK}Cars: {GOLD}", M253),"")</f>
        <v>{BLACK}Cars: {GOLD}2</v>
      </c>
      <c r="CH253" s="0" t="s">
        <v>909</v>
      </c>
      <c r="CI253" s="0" t="str">
        <f aca="false">IF($BU253="!param_no_gameplay_units","{GREEN}Included for gameplay purposes","")</f>
        <v/>
      </c>
      <c r="CJ253" s="0" t="str">
        <f aca="false">IF(BX253="buffet","{YELLOW}25% long distance bonus for consist{}",IF(BZ253="BRAKE","{YELLOW}Speed bonus for slow wagons{}",IF(BW253&gt;190,CONCATENATE("{YELLOW}",INT((BW253-185)/1.85),"% bonus for long distance travel{}"),IF(AND(BW253&lt;180,BW253&lt;&gt;0),CONCATENATE("{YELLOW}",INT((185-BW253)/1.85),"% penalty for long distance travel{}"),""))))</f>
        <v/>
      </c>
      <c r="CK253" s="0" t="str">
        <f aca="false">_xlfn.CONCAT(CF253,IF(CF253&lt;&gt;""," ",""),CG253,IF(OR(CG253&lt;&gt;"",CF253&lt;&gt;""),"{}",""),CE253,CJ253,"{SILVER}",CH253,IF(CI253&lt;&gt;"","{}{}",""),CI253)</f>
        <v>{BLACK}Powered by: {GOLD}750V DC {BLACK}Cars: {GOLD}2{}{BLACK}Length: {GOLD}1.5 tiles{}{SILVER}The Class 456 is a two-car EMU used for inner suburban services - either as a single unit for services with low demand or coupled to other Class 456 or 455 units for higher capacity routes.</v>
      </c>
    </row>
    <row r="254" customFormat="false" ht="14.25" hidden="false" customHeight="false" outlineLevel="0" collapsed="false">
      <c r="A254" s="0" t="s">
        <v>910</v>
      </c>
      <c r="B254" s="15" t="s">
        <v>911</v>
      </c>
      <c r="C254" s="0" t="n">
        <v>250</v>
      </c>
      <c r="E254" s="0" t="n">
        <v>153</v>
      </c>
      <c r="F254" s="0" t="s">
        <v>143</v>
      </c>
      <c r="G254" s="0" t="s">
        <v>827</v>
      </c>
      <c r="H254" s="0" t="s">
        <v>670</v>
      </c>
      <c r="I254" s="0" t="s">
        <v>92</v>
      </c>
      <c r="J254" s="0" t="n">
        <v>1991</v>
      </c>
      <c r="K254" s="0" t="n">
        <v>1992</v>
      </c>
      <c r="M254" s="0" t="n">
        <v>2</v>
      </c>
      <c r="N254" s="0" t="n">
        <f aca="false">350*2</f>
        <v>700</v>
      </c>
      <c r="W254" s="0" t="n">
        <v>74</v>
      </c>
      <c r="Y254" s="0" t="n">
        <v>5</v>
      </c>
      <c r="Z254" s="0" t="n">
        <v>105</v>
      </c>
      <c r="AA254" s="3" t="n">
        <f aca="false">IF(AND(W254&gt;0,Z254&gt;0),(Z254/((W254+X254)*10)),"")</f>
        <v>0.141891891891892</v>
      </c>
      <c r="AB254" s="0" t="n">
        <v>75</v>
      </c>
      <c r="AC254" s="0" t="n">
        <f aca="false">ROUND(AB254*1.6, 0)</f>
        <v>120</v>
      </c>
      <c r="AF254" s="0" t="n">
        <v>22.91</v>
      </c>
      <c r="AG254" s="0" t="n">
        <v>22.9</v>
      </c>
      <c r="AH254" s="0" t="n">
        <v>2.8</v>
      </c>
      <c r="AI254" s="0" t="n">
        <v>3.8</v>
      </c>
      <c r="AJ254" s="4" t="n">
        <v>93</v>
      </c>
      <c r="AK254" s="0" t="str">
        <f aca="false">CONCATENATE(VLOOKUP(AL254, 'Voxel Sizes'!$A$2:$B$18,2,FALSE()),"x",INT(AH254*15), "x", INT(AI254*15))</f>
        <v>214x42x57</v>
      </c>
      <c r="AL254" s="0" t="n">
        <f aca="false">ROUND(15*((AG254*10)/256),0)</f>
        <v>13</v>
      </c>
      <c r="AN254" s="0" t="str">
        <f aca="false">CONCATENATE(VLOOKUP(AL254,Constants!$A$2:$C$16,IF(AM254&lt;&gt;"", 3, 2), FALSE()),IF(AM254&lt;&gt;"",CONCATENATE(",",VLOOKUP(AM254,$B:$AN,39,FALSE())),""))</f>
        <v>4,5,4</v>
      </c>
      <c r="AR254" s="0" t="s">
        <v>912</v>
      </c>
      <c r="AT254" s="0" t="s">
        <v>833</v>
      </c>
      <c r="AX254" s="0" t="n">
        <v>32</v>
      </c>
      <c r="AY254" s="16" t="str">
        <f aca="false">IF(L254&lt;&gt;"",MAX(16,(L254-J254)+8),"")</f>
        <v/>
      </c>
      <c r="AZ254" s="0" t="n">
        <v>-10</v>
      </c>
      <c r="BA254" s="0" t="n">
        <v>-15</v>
      </c>
      <c r="BB254" s="0" t="n">
        <f aca="false">MIN(AB254/150, 1)*30</f>
        <v>15</v>
      </c>
      <c r="BC254" s="0" t="n">
        <f aca="false">MIN(N254/4000, 1)*20</f>
        <v>3.5</v>
      </c>
      <c r="BD254" s="0" t="n">
        <f aca="false">MIN(Z254/400,1)*20</f>
        <v>5.25</v>
      </c>
      <c r="BE254" s="3" t="n">
        <f aca="false">1-(MAX(J254-1900, 0)/750)</f>
        <v>0.878666666666667</v>
      </c>
      <c r="BF254" s="0" t="n">
        <f aca="false">((MAX($M254,1)*MIN($AJ254/300,1)))*IF(G254="Wagon",50,10)</f>
        <v>6.2</v>
      </c>
      <c r="BG254" s="0" t="n">
        <f aca="false">VLOOKUP($H254,Constants!$I:$K, 2, FALSE())</f>
        <v>1</v>
      </c>
      <c r="BH254" s="0" t="n">
        <f aca="false">VLOOKUP($H254,Constants!$I:$K, 3, FALSE())*IF(AND(G254="multiple_unit",AB254&lt;110),0.75,1)</f>
        <v>1.5</v>
      </c>
      <c r="BI254" s="0" t="n">
        <f aca="false">INT(POWER(((Constants!$G$2+$BB254+$BC254+$BD254+$BF254)*$BE254)*$BH254, 1.05))+$BA254</f>
        <v>40</v>
      </c>
      <c r="BJ254" s="0" t="n">
        <f aca="false">INT(POWER((((Constants!$G$1+$BB254+$BC254+$BD254+$BF254)*($BE254))*$BG254),IF($G254="wagon",1,1.2)))+$AZ254</f>
        <v>72</v>
      </c>
      <c r="BK254" s="17" t="n">
        <f aca="false">BI254*IF($G254="wagon",62.5,781.25)</f>
        <v>31250</v>
      </c>
      <c r="BL254" s="17" t="n">
        <f aca="false">BJ254*IF($G254="wagon",2.73,81.25)</f>
        <v>5850</v>
      </c>
      <c r="BV254" s="0" t="n">
        <v>9</v>
      </c>
      <c r="BW254" s="0" t="n">
        <v>185</v>
      </c>
      <c r="BZ254" s="0" t="s">
        <v>148</v>
      </c>
      <c r="CA254" s="0" t="str">
        <f aca="false">VLOOKUP(J254,Eras!$A$2:$C$10, 2, TRUE())</f>
        <v>lbr</v>
      </c>
      <c r="CB254" s="0" t="s">
        <v>834</v>
      </c>
      <c r="CC254" s="0" t="str">
        <f aca="false">CONCATENATE(CA254,"_",CB254)</f>
        <v>lbr_DMU</v>
      </c>
      <c r="CD254" s="0" t="str">
        <f aca="false">_xlfn.CONCAT(H254, "_",I254)</f>
        <v>diesel_RAIL</v>
      </c>
      <c r="CE254" s="6" t="str">
        <f aca="false" t="array" ref="CE254:CE254">_xlfn.CONCAT("{BLACK}Length: {GOLD}", TEXT(ROUNDUP(IF(AQ254&lt;&gt;"",SUM(VALUE(_xlfn.TEXTSPLIT(AQ254, ","))), SUM(VALUE(_xlfn.TEXTSPLIT(AN254, ",")))*IF(M254, M254, 1))/16, 1), "#,##0.0"), " tiles{}")</f>
        <v>{BLACK}Length: {GOLD}1.7 tiles{}</v>
      </c>
      <c r="CF254" s="0" t="str">
        <f aca="false">VLOOKUP($CD254, Constants!$M:$N, 2, FALSE())</f>
        <v>{BLACK}Powered by: {GOLD}Diesel</v>
      </c>
      <c r="CG254" s="0" t="str">
        <f aca="false">IF(M254&gt;1,_xlfn.CONCAT("{BLACK}Cars: {GOLD}", M254),"")</f>
        <v>{BLACK}Cars: {GOLD}2</v>
      </c>
      <c r="CH254" s="0" t="s">
        <v>913</v>
      </c>
      <c r="CI254" s="0" t="str">
        <f aca="false">IF($BU254="!param_no_gameplay_units","{GREEN}Included for gameplay purposes","")</f>
        <v/>
      </c>
      <c r="CJ254" s="0" t="str">
        <f aca="false">IF(BX254="buffet","{YELLOW}25% long distance bonus for consist{}",IF(BZ254="BRAKE","{YELLOW}Speed bonus for slow wagons{}",IF(BW254&gt;190,CONCATENATE("{YELLOW}",INT((BW254-185)/1.85),"% bonus for long distance travel{}"),IF(AND(BW254&lt;180,BW254&lt;&gt;0),CONCATENATE("{YELLOW}",INT((185-BW254)/1.85),"% penalty for long distance travel{}"),""))))</f>
        <v/>
      </c>
      <c r="CK254" s="0" t="str">
        <f aca="false">_xlfn.CONCAT(CF254,IF(CF254&lt;&gt;""," ",""),CG254,IF(OR(CG254&lt;&gt;"",CF254&lt;&gt;""),"{}",""),CE254,CJ254,"{SILVER}",CH254,IF(CI254&lt;&gt;"","{}{}",""),CI254)</f>
        <v>{BLACK}Powered by: {GOLD}Diesel {BLACK}Cars: {GOLD}2{}{BLACK}Length: {GOLD}1.7 tiles{}{SILVER}The Class 165 is a high capacity DMU with 2+3 seating.</v>
      </c>
    </row>
    <row r="255" customFormat="false" ht="14.25" hidden="false" customHeight="false" outlineLevel="0" collapsed="false">
      <c r="A255" s="0" t="s">
        <v>914</v>
      </c>
      <c r="B255" s="15" t="s">
        <v>915</v>
      </c>
      <c r="C255" s="0" t="n">
        <v>255</v>
      </c>
      <c r="E255" s="0" t="n">
        <v>158</v>
      </c>
      <c r="F255" s="0" t="s">
        <v>143</v>
      </c>
      <c r="G255" s="0" t="s">
        <v>827</v>
      </c>
      <c r="H255" s="0" t="s">
        <v>801</v>
      </c>
      <c r="I255" s="0" t="s">
        <v>802</v>
      </c>
      <c r="J255" s="0" t="n">
        <v>1995</v>
      </c>
      <c r="M255" s="0" t="n">
        <v>4</v>
      </c>
      <c r="N255" s="0" t="n">
        <v>1328</v>
      </c>
      <c r="W255" s="0" t="n">
        <v>138.5</v>
      </c>
      <c r="Y255" s="0" t="n">
        <v>5</v>
      </c>
      <c r="Z255" s="0" t="n">
        <v>160</v>
      </c>
      <c r="AA255" s="3" t="n">
        <f aca="false">IF(AND(W255&gt;0,Z255&gt;0),(Z255/((W255+X255)*10)),"")</f>
        <v>0.115523465703971</v>
      </c>
      <c r="AB255" s="0" t="n">
        <v>100</v>
      </c>
      <c r="AC255" s="0" t="n">
        <f aca="false">ROUND(AB255*1.6, 0)</f>
        <v>160</v>
      </c>
      <c r="AF255" s="0" t="n">
        <v>19.83</v>
      </c>
      <c r="AG255" s="0" t="n">
        <v>19.8</v>
      </c>
      <c r="AH255" s="0" t="n">
        <v>2.8</v>
      </c>
      <c r="AI255" s="0" t="n">
        <v>3.8</v>
      </c>
      <c r="AJ255" s="4" t="n">
        <v>78</v>
      </c>
      <c r="AK255" s="0" t="str">
        <f aca="false">CONCATENATE(VLOOKUP(AL255, 'Voxel Sizes'!$A$2:$B$18,2,FALSE()),"x",INT(AH255*15), "x", INT(AI255*15))</f>
        <v>198x42x57</v>
      </c>
      <c r="AL255" s="0" t="n">
        <f aca="false">ROUND(15*((AG255*10)/256),0)</f>
        <v>12</v>
      </c>
      <c r="AN255" s="0" t="str">
        <f aca="false">CONCATENATE(VLOOKUP(AL255,Constants!$A$2:$C$16,IF(AM255&lt;&gt;"", 3, 2), FALSE()),IF(AM255&lt;&gt;"",CONCATENATE(",",VLOOKUP(AM255,$B:$AN,39,FALSE())),""))</f>
        <v>4,4,4</v>
      </c>
      <c r="AR255" s="0" t="s">
        <v>916</v>
      </c>
      <c r="AS255" s="0" t="s">
        <v>917</v>
      </c>
      <c r="AT255" s="0" t="s">
        <v>881</v>
      </c>
      <c r="AX255" s="0" t="n">
        <v>30</v>
      </c>
      <c r="AY255" s="16" t="str">
        <f aca="false">IF(L255&lt;&gt;"",MAX(16,(L255-J255)+8),"")</f>
        <v/>
      </c>
      <c r="AZ255" s="0" t="n">
        <v>-15</v>
      </c>
      <c r="BA255" s="0" t="n">
        <v>-40</v>
      </c>
      <c r="BB255" s="0" t="n">
        <f aca="false">MIN(AB255/150, 1)*30</f>
        <v>20</v>
      </c>
      <c r="BC255" s="0" t="n">
        <f aca="false">MIN(N255/4000, 1)*20</f>
        <v>6.64</v>
      </c>
      <c r="BD255" s="0" t="n">
        <f aca="false">MIN(Z255/400,1)*20</f>
        <v>8</v>
      </c>
      <c r="BE255" s="3" t="n">
        <f aca="false">1-(MAX(J255-1900, 0)/750)</f>
        <v>0.873333333333333</v>
      </c>
      <c r="BF255" s="0" t="n">
        <f aca="false">((MAX($M255,1)*MIN($AJ255/300,1)))*IF(G255="Wagon",50,10)</f>
        <v>10.4</v>
      </c>
      <c r="BG255" s="0" t="n">
        <f aca="false">VLOOKUP($H255,Constants!$I:$K, 2, FALSE())</f>
        <v>0.85</v>
      </c>
      <c r="BH255" s="0" t="n">
        <f aca="false">VLOOKUP($H255,Constants!$I:$K, 3, FALSE())*IF(AND(G255="multiple_unit",AB255&lt;110),0.75,1)</f>
        <v>1.8</v>
      </c>
      <c r="BI255" s="0" t="n">
        <f aca="false">INT(POWER(((Constants!$G$2+$BB255+$BC255+$BD255+$BF255)*$BE255)*$BH255, 1.05))+$BA255</f>
        <v>57</v>
      </c>
      <c r="BJ255" s="0" t="n">
        <f aca="false">INT(POWER((((Constants!$G$1+$BB255+$BC255+$BD255+$BF255)*($BE255))*$BG255),IF($G255="wagon",1,1.2)))+$AZ255</f>
        <v>80</v>
      </c>
      <c r="BK255" s="17" t="n">
        <f aca="false">BI255*IF($G255="wagon",62.5,781.25)</f>
        <v>44531.25</v>
      </c>
      <c r="BL255" s="17" t="n">
        <f aca="false">BJ255*IF($G255="wagon",2.73,81.25)</f>
        <v>6500</v>
      </c>
      <c r="BV255" s="0" t="n">
        <v>2</v>
      </c>
      <c r="BW255" s="0" t="n">
        <v>185</v>
      </c>
      <c r="BZ255" s="0" t="s">
        <v>220</v>
      </c>
      <c r="CA255" s="0" t="str">
        <f aca="false">VLOOKUP(J255,Eras!$A$2:$C$10, 2, TRUE())</f>
        <v>prv</v>
      </c>
      <c r="CB255" s="0" t="s">
        <v>882</v>
      </c>
      <c r="CC255" s="0" t="str">
        <f aca="false">CONCATENATE(CA255,"_",CB255)</f>
        <v>prv_DMU (Express)</v>
      </c>
      <c r="CD255" s="0" t="str">
        <f aca="false">_xlfn.CONCAT(H255, "_",I255)</f>
        <v>dual_electric_DUAL_POWER</v>
      </c>
      <c r="CE255" s="6" t="str">
        <f aca="false" t="array" ref="CE255:CE255">_xlfn.CONCAT("{BLACK}Length: {GOLD}", TEXT(ROUNDUP(IF(AQ255&lt;&gt;"",SUM(VALUE(_xlfn.TEXTSPLIT(AQ255, ","))), SUM(VALUE(_xlfn.TEXTSPLIT(AN255, ",")))*IF(M255, M255, 1))/16, 1), "#,##0.0"), " tiles{}")</f>
        <v>{BLACK}Length: {GOLD}3.0 tiles{}</v>
      </c>
      <c r="CF255" s="0" t="str">
        <f aca="false">VLOOKUP($CD255, Constants!$M:$N, 2, FALSE())</f>
        <v>{BLACK}Powered by: {GOLD}25kV AC / 750V DC</v>
      </c>
      <c r="CG255" s="0" t="str">
        <f aca="false">IF(M255&gt;1,_xlfn.CONCAT("{BLACK}Cars: {GOLD}", M255),"")</f>
        <v>{BLACK}Cars: {GOLD}4</v>
      </c>
      <c r="CH255" s="0" t="s">
        <v>918</v>
      </c>
      <c r="CI255" s="0" t="str">
        <f aca="false">IF($BU255="!param_no_gameplay_units","{GREEN}Included for gameplay purposes","")</f>
        <v/>
      </c>
      <c r="CJ255" s="0" t="str">
        <f aca="false">IF(BX255="buffet","{YELLOW}25% long distance bonus for consist{}",IF(BZ255="BRAKE","{YELLOW}Speed bonus for slow wagons{}",IF(BW255&gt;190,CONCATENATE("{YELLOW}",INT((BW255-185)/1.85),"% bonus for long distance travel{}"),IF(AND(BW255&lt;180,BW255&lt;&gt;0),CONCATENATE("{YELLOW}",INT((185-BW255)/1.85),"% penalty for long distance travel{}"),""))))</f>
        <v/>
      </c>
      <c r="CK255" s="0" t="str">
        <f aca="false">_xlfn.CONCAT(CF255,IF(CF255&lt;&gt;""," ",""),CG255,IF(OR(CG255&lt;&gt;"",CF255&lt;&gt;""),"{}",""),CE255,CJ255,"{SILVER}",CH255,IF(CI255&lt;&gt;"","{}{}",""),CI255)</f>
        <v>{BLACK}Powered by: {GOLD}25kV AC / 750V DC {BLACK}Cars: {GOLD}4{}{BLACK}Length: {GOLD}3.0 tiles{}{SILVER}The Class 325 is a multiple unit designed for carrying mail and parcels more economically than a locomotive-hauled train. It is based on Class 319 hardware.</v>
      </c>
    </row>
    <row r="256" customFormat="false" ht="14.25" hidden="false" customHeight="false" outlineLevel="0" collapsed="false">
      <c r="A256" s="0" t="s">
        <v>919</v>
      </c>
      <c r="B256" s="15" t="s">
        <v>920</v>
      </c>
      <c r="C256" s="0" t="n">
        <v>257</v>
      </c>
      <c r="E256" s="0" t="n">
        <v>160</v>
      </c>
      <c r="F256" s="0" t="s">
        <v>143</v>
      </c>
      <c r="G256" s="0" t="s">
        <v>827</v>
      </c>
      <c r="H256" s="0" t="s">
        <v>670</v>
      </c>
      <c r="I256" s="0" t="s">
        <v>92</v>
      </c>
      <c r="J256" s="0" t="n">
        <v>2000</v>
      </c>
      <c r="M256" s="0" t="n">
        <v>2</v>
      </c>
      <c r="N256" s="0" t="n">
        <f aca="false">450*2</f>
        <v>900</v>
      </c>
      <c r="W256" s="0" t="n">
        <v>98</v>
      </c>
      <c r="Y256" s="0" t="n">
        <v>5</v>
      </c>
      <c r="Z256" s="0" t="n">
        <v>120</v>
      </c>
      <c r="AA256" s="3" t="n">
        <f aca="false">IF(AND(W256&gt;0,Z256&gt;0),(Z256/((W256+X256)*10)),"")</f>
        <v>0.122448979591837</v>
      </c>
      <c r="AB256" s="0" t="n">
        <v>100</v>
      </c>
      <c r="AC256" s="0" t="n">
        <f aca="false">ROUND(AB256*1.6, 0)</f>
        <v>160</v>
      </c>
      <c r="AF256" s="0" t="n">
        <v>23.71</v>
      </c>
      <c r="AG256" s="0" t="n">
        <v>23.71</v>
      </c>
      <c r="AJ256" s="4" t="n">
        <v>69</v>
      </c>
      <c r="AK256" s="0" t="str">
        <f aca="false">CONCATENATE(VLOOKUP(AL256, 'Voxel Sizes'!$A$2:$B$18,2,FALSE()),"x",INT(AH256*15), "x", INT(AI256*15))</f>
        <v>238x0x0</v>
      </c>
      <c r="AL256" s="0" t="n">
        <f aca="false">ROUND(15*((AG256*10)/256),0)</f>
        <v>14</v>
      </c>
      <c r="AN256" s="0" t="str">
        <f aca="false">CONCATENATE(VLOOKUP(AL256,Constants!$A$2:$C$16,IF(AM256&lt;&gt;"", 3, 2), FALSE()),IF(AM256&lt;&gt;"",CONCATENATE(",",VLOOKUP(AM256,$B:$AN,39,FALSE())),""))</f>
        <v>4,6,4</v>
      </c>
      <c r="AR256" s="0" t="s">
        <v>921</v>
      </c>
      <c r="AT256" s="0" t="s">
        <v>833</v>
      </c>
      <c r="AX256" s="0" t="n">
        <v>22</v>
      </c>
      <c r="AY256" s="16" t="str">
        <f aca="false">IF(L256&lt;&gt;"",MAX(16,(L256-J256)+8),"")</f>
        <v/>
      </c>
      <c r="AZ256" s="0" t="n">
        <v>-6</v>
      </c>
      <c r="BA256" s="0" t="n">
        <v>-25</v>
      </c>
      <c r="BB256" s="0" t="n">
        <f aca="false">MIN(AB256/150, 1)*30</f>
        <v>20</v>
      </c>
      <c r="BC256" s="0" t="n">
        <f aca="false">MIN(N256/4000, 1)*20</f>
        <v>4.5</v>
      </c>
      <c r="BD256" s="0" t="n">
        <f aca="false">MIN(Z256/400,1)*20</f>
        <v>6</v>
      </c>
      <c r="BE256" s="3" t="n">
        <f aca="false">1-(MAX(J256-1900, 0)/750)</f>
        <v>0.866666666666667</v>
      </c>
      <c r="BF256" s="0" t="n">
        <f aca="false">((MAX($M256,1)*MIN($AJ256/300,1)))*IF(G256="Wagon",50,10)</f>
        <v>4.6</v>
      </c>
      <c r="BG256" s="0" t="n">
        <f aca="false">VLOOKUP($H256,Constants!$I:$K, 2, FALSE())</f>
        <v>1</v>
      </c>
      <c r="BH256" s="0" t="n">
        <f aca="false">VLOOKUP($H256,Constants!$I:$K, 3, FALSE())*IF(AND(G256="multiple_unit",AB256&lt;110),0.75,1)</f>
        <v>1.5</v>
      </c>
      <c r="BI256" s="0" t="n">
        <f aca="false">INT(POWER(((Constants!$G$2+$BB256+$BC256+$BD256+$BF256)*$BE256)*$BH256, 1.05))+$BA256</f>
        <v>38</v>
      </c>
      <c r="BJ256" s="0" t="n">
        <f aca="false">INT(POWER((((Constants!$G$1+$BB256+$BC256+$BD256+$BF256)*($BE256))*$BG256),IF($G256="wagon",1,1.2)))+$AZ256</f>
        <v>86</v>
      </c>
      <c r="BK256" s="17" t="n">
        <f aca="false">BI256*IF($G256="wagon",62.5,781.25)</f>
        <v>29687.5</v>
      </c>
      <c r="BL256" s="17" t="n">
        <f aca="false">BJ256*IF($G256="wagon",2.73,81.25)</f>
        <v>6987.5</v>
      </c>
      <c r="BV256" s="0" t="n">
        <v>4</v>
      </c>
      <c r="BZ256" s="0" t="s">
        <v>148</v>
      </c>
      <c r="CA256" s="0" t="str">
        <f aca="false">VLOOKUP(J256,Eras!$A$2:$C$10, 2, TRUE())</f>
        <v>prv</v>
      </c>
      <c r="CB256" s="0" t="s">
        <v>834</v>
      </c>
      <c r="CC256" s="0" t="str">
        <f aca="false">CONCATENATE(CA256,"_",CB256)</f>
        <v>prv_DMU</v>
      </c>
      <c r="CD256" s="0" t="str">
        <f aca="false">_xlfn.CONCAT(H256, "_",I256)</f>
        <v>diesel_RAIL</v>
      </c>
      <c r="CE256" s="6" t="str">
        <f aca="false" t="array" ref="CE256:CE256">_xlfn.CONCAT("{BLACK}Length: {GOLD}", TEXT(ROUNDUP(IF(AQ256&lt;&gt;"",SUM(VALUE(_xlfn.TEXTSPLIT(AQ256, ","))), SUM(VALUE(_xlfn.TEXTSPLIT(AN256, ",")))*IF(M256, M256, 1))/16, 1), "#,##0.0"), " tiles{}")</f>
        <v>{BLACK}Length: {GOLD}1.8 tiles{}</v>
      </c>
      <c r="CH256" s="0" t="s">
        <v>922</v>
      </c>
      <c r="CI256" s="0" t="str">
        <f aca="false">IF($BU256="!param_no_gameplay_units","{GREEN}Included for gameplay purposes","")</f>
        <v/>
      </c>
      <c r="CJ256" s="0" t="str">
        <f aca="false">IF(BX256="buffet","{YELLOW}25% long distance bonus for consist{}",IF(BZ256="BRAKE","{YELLOW}Speed bonus for slow wagons{}",IF(BW256&gt;190,CONCATENATE("{YELLOW}",INT((BW256-185)/1.85),"% bonus for long distance travel{}"),IF(AND(BW256&lt;180,BW256&lt;&gt;0),CONCATENATE("{YELLOW}",INT((185-BW256)/1.85),"% penalty for long distance travel{}"),""))))</f>
        <v/>
      </c>
      <c r="CK256" s="0" t="str">
        <f aca="false">_xlfn.CONCAT(CF256,IF(CF256&lt;&gt;""," ",""),CG256,IF(OR(CG256&lt;&gt;"",CF256&lt;&gt;""),"{}",""),CE256,CJ256,"{SILVER}",CH256,IF(CI256&lt;&gt;"","{}{}",""),CI256)</f>
        <v>{BLACK}Length: {GOLD}1.8 tiles{}{SILVER}Originally operated by First North Western, the Class 175s were cascaded to services in Wales. They suffered early reliability problems, but work on braking systems and bogies has made a significant improvement.</v>
      </c>
    </row>
    <row r="257" customFormat="false" ht="14.25" hidden="false" customHeight="false" outlineLevel="0" collapsed="false">
      <c r="A257" s="0" t="s">
        <v>923</v>
      </c>
      <c r="B257" s="15" t="s">
        <v>924</v>
      </c>
      <c r="C257" s="0" t="n">
        <v>258</v>
      </c>
      <c r="E257" s="0" t="n">
        <v>161</v>
      </c>
      <c r="F257" s="0" t="s">
        <v>143</v>
      </c>
      <c r="G257" s="0" t="s">
        <v>827</v>
      </c>
      <c r="H257" s="0" t="s">
        <v>529</v>
      </c>
      <c r="I257" s="0" t="s">
        <v>641</v>
      </c>
      <c r="J257" s="0" t="n">
        <v>2000</v>
      </c>
      <c r="K257" s="0" t="n">
        <v>2001</v>
      </c>
      <c r="L257" s="0" t="n">
        <v>2012</v>
      </c>
      <c r="M257" s="0" t="n">
        <v>8</v>
      </c>
      <c r="N257" s="0" t="n">
        <v>3620</v>
      </c>
      <c r="W257" s="0" t="n">
        <v>319</v>
      </c>
      <c r="Y257" s="0" t="n">
        <v>5</v>
      </c>
      <c r="Z257" s="0" t="n">
        <v>240</v>
      </c>
      <c r="AA257" s="3" t="n">
        <f aca="false">IF(AND(W257&gt;0,Z257&gt;0),(Z257/((W257+X257)*10)),"")</f>
        <v>0.0752351097178683</v>
      </c>
      <c r="AB257" s="0" t="n">
        <v>100</v>
      </c>
      <c r="AC257" s="0" t="n">
        <f aca="false">ROUND(AB257*1.6, 0)</f>
        <v>160</v>
      </c>
      <c r="AG257" s="0" t="n">
        <v>21</v>
      </c>
      <c r="AJ257" s="4" t="n">
        <f aca="false">23*3</f>
        <v>69</v>
      </c>
      <c r="AK257" s="0" t="str">
        <f aca="false">CONCATENATE(VLOOKUP(AL257, 'Voxel Sizes'!$A$2:$B$18,2,FALSE()),"x",INT(AH257*15), "x", INT(AI257*15))</f>
        <v>198x0x0</v>
      </c>
      <c r="AL257" s="0" t="n">
        <f aca="false">ROUND(15*((AG257*10)/256),0)</f>
        <v>12</v>
      </c>
      <c r="AN257" s="0" t="str">
        <f aca="false">CONCATENATE(VLOOKUP(AL257,Constants!$A$2:$C$16,IF(AM257&lt;&gt;"", 3, 2), FALSE()),IF(AM257&lt;&gt;"",CONCATENATE(",",VLOOKUP(AM257,$B:$AN,39,FALSE())),""))</f>
        <v>4,4,4</v>
      </c>
      <c r="AR257" s="0" t="s">
        <v>925</v>
      </c>
      <c r="AT257" s="0" t="s">
        <v>926</v>
      </c>
      <c r="AX257" s="0" t="n">
        <v>27</v>
      </c>
      <c r="AY257" s="16" t="n">
        <f aca="false">IF(L257&lt;&gt;"",MAX(16,(L257-J257)+8),"")</f>
        <v>20</v>
      </c>
      <c r="AZ257" s="0" t="n">
        <v>-15</v>
      </c>
      <c r="BA257" s="0" t="n">
        <v>-30</v>
      </c>
      <c r="BB257" s="0" t="n">
        <f aca="false">MIN(AB257/150, 1)*30</f>
        <v>20</v>
      </c>
      <c r="BC257" s="0" t="n">
        <f aca="false">MIN(N257/4000, 1)*20</f>
        <v>18.1</v>
      </c>
      <c r="BD257" s="0" t="n">
        <f aca="false">MIN(Z257/400,1)*20</f>
        <v>12</v>
      </c>
      <c r="BE257" s="3" t="n">
        <f aca="false">1-(MAX(J257-1900, 0)/750)</f>
        <v>0.866666666666667</v>
      </c>
      <c r="BF257" s="0" t="n">
        <f aca="false">((MAX($M257,1)*MIN($AJ257/300,1)))*IF(G257="Wagon",50,10)</f>
        <v>18.4</v>
      </c>
      <c r="BG257" s="0" t="n">
        <f aca="false">VLOOKUP($H257,Constants!$I:$K, 2, FALSE())</f>
        <v>0.85</v>
      </c>
      <c r="BH257" s="0" t="n">
        <f aca="false">VLOOKUP($H257,Constants!$I:$K, 3, FALSE())*IF(AND(G257="multiple_unit",AB257&lt;110),0.75,1)</f>
        <v>1.725</v>
      </c>
      <c r="BI257" s="0" t="n">
        <f aca="false">INT(POWER(((Constants!$G$2+$BB257+$BC257+$BD257+$BF257)*$BE257)*$BH257, 1.05))+$BA257</f>
        <v>108</v>
      </c>
      <c r="BJ257" s="0" t="n">
        <f aca="false">INT(POWER((((Constants!$G$1+$BB257+$BC257+$BD257+$BF257)*($BE257))*$BG257),IF($G257="wagon",1,1.2)))+$AZ257</f>
        <v>125</v>
      </c>
      <c r="BK257" s="17" t="n">
        <f aca="false">BI257*IF($G257="wagon",62.5,781.25)</f>
        <v>84375</v>
      </c>
      <c r="BL257" s="17" t="n">
        <f aca="false">BJ257*IF($G257="wagon",2.73,81.25)</f>
        <v>10156.25</v>
      </c>
      <c r="BU257" s="0" t="s">
        <v>927</v>
      </c>
      <c r="BV257" s="0" t="n">
        <v>4</v>
      </c>
      <c r="BW257" s="0" t="n">
        <v>205</v>
      </c>
      <c r="BZ257" s="0" t="s">
        <v>148</v>
      </c>
      <c r="CA257" s="0" t="str">
        <f aca="false">VLOOKUP(J257,Eras!$A$2:$C$10, 2, TRUE())</f>
        <v>prv</v>
      </c>
      <c r="CB257" s="0" t="s">
        <v>850</v>
      </c>
      <c r="CC257" s="0" t="str">
        <f aca="false">CONCATENATE(CA257,"_",CB257)</f>
        <v>prv_EMU (Express)</v>
      </c>
      <c r="CD257" s="0" t="str">
        <f aca="false">_xlfn.CONCAT(H257, "_",I257)</f>
        <v>electric_THIRD_RAIL</v>
      </c>
      <c r="CE257" s="6" t="str">
        <f aca="false" t="array" ref="CE257:CE257">_xlfn.CONCAT("{BLACK}Length: {GOLD}", TEXT(ROUNDUP(IF(AQ257&lt;&gt;"",SUM(VALUE(_xlfn.TEXTSPLIT(AQ257, ","))), SUM(VALUE(_xlfn.TEXTSPLIT(AN257, ",")))*IF(M257, M257, 1))/16, 1), "#,##0.0"), " tiles{}")</f>
        <v>{BLACK}Length: {GOLD}6.0 tiles{}</v>
      </c>
      <c r="CF257" s="0" t="str">
        <f aca="false">VLOOKUP($CD257, Constants!$M:$N, 2, FALSE())</f>
        <v>{BLACK}Powered by: {GOLD}750V DC</v>
      </c>
      <c r="CG257" s="0" t="str">
        <f aca="false">IF(M257&gt;1,_xlfn.CONCAT("{BLACK}Cars: {GOLD}", M257),"")</f>
        <v>{BLACK}Cars: {GOLD}8</v>
      </c>
      <c r="CH257" s="0" t="s">
        <v>928</v>
      </c>
      <c r="CI257" s="0" t="str">
        <f aca="false">IF($BU257="!param_no_gameplay_units","{GREEN}Included for gameplay purposes","")</f>
        <v/>
      </c>
      <c r="CJ257" s="0" t="str">
        <f aca="false">IF(BX257="buffet","{YELLOW}25% long distance bonus for consist{}",IF(BZ257="BRAKE","{YELLOW}Speed bonus for slow wagons{}",IF(BW257&gt;190,CONCATENATE("{YELLOW}",INT((BW257-185)/1.85),"% bonus for long distance travel{}"),IF(AND(BW257&lt;180,BW257&lt;&gt;0),CONCATENATE("{YELLOW}",INT((185-BW257)/1.85),"% penalty for long distance travel{}"),""))))</f>
        <v>{YELLOW}10% bonus for long distance travel{}</v>
      </c>
      <c r="CK257" s="0" t="str">
        <f aca="false">_xlfn.CONCAT(CF257,IF(CF257&lt;&gt;""," ",""),CG257,IF(OR(CG257&lt;&gt;"",CF257&lt;&gt;""),"{}",""),CE257,CJ257,"{SILVER}",CH257,IF(CI257&lt;&gt;"","{}{}",""),CI257)</f>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8" customFormat="false" ht="14.25" hidden="false" customHeight="false" outlineLevel="0" collapsed="false">
      <c r="A258" s="0" t="s">
        <v>923</v>
      </c>
      <c r="B258" s="15" t="s">
        <v>929</v>
      </c>
      <c r="C258" s="0" t="n">
        <v>259</v>
      </c>
      <c r="E258" s="0" t="n">
        <v>162</v>
      </c>
      <c r="F258" s="0" t="s">
        <v>143</v>
      </c>
      <c r="G258" s="0" t="s">
        <v>827</v>
      </c>
      <c r="H258" s="0" t="s">
        <v>529</v>
      </c>
      <c r="I258" s="0" t="s">
        <v>641</v>
      </c>
      <c r="J258" s="0" t="n">
        <v>2000</v>
      </c>
      <c r="K258" s="0" t="n">
        <v>2001</v>
      </c>
      <c r="L258" s="0" t="n">
        <v>2012</v>
      </c>
      <c r="M258" s="0" t="n">
        <v>5</v>
      </c>
      <c r="N258" s="0" t="n">
        <v>3620</v>
      </c>
      <c r="W258" s="0" t="n">
        <f aca="false">319/8*5</f>
        <v>199.375</v>
      </c>
      <c r="Y258" s="0" t="n">
        <v>5</v>
      </c>
      <c r="Z258" s="0" t="n">
        <v>240</v>
      </c>
      <c r="AA258" s="3" t="n">
        <f aca="false">IF(AND(W258&gt;0,Z258&gt;0),(Z258/((W258+X258)*10)),"")</f>
        <v>0.120376175548589</v>
      </c>
      <c r="AB258" s="0" t="n">
        <v>100</v>
      </c>
      <c r="AC258" s="0" t="n">
        <f aca="false">ROUND(AB258*1.6, 0)</f>
        <v>160</v>
      </c>
      <c r="AG258" s="0" t="n">
        <v>21</v>
      </c>
      <c r="AJ258" s="4" t="n">
        <f aca="false">23*3</f>
        <v>69</v>
      </c>
      <c r="AK258" s="0" t="str">
        <f aca="false">CONCATENATE(VLOOKUP(AL258, 'Voxel Sizes'!$A$2:$B$18,2,FALSE()),"x",INT(AH258*15), "x", INT(AI258*15))</f>
        <v>198x0x0</v>
      </c>
      <c r="AL258" s="0" t="n">
        <f aca="false">ROUND(15*((AG258*10)/256),0)</f>
        <v>12</v>
      </c>
      <c r="AN258" s="0" t="str">
        <f aca="false">CONCATENATE(VLOOKUP(AL258,Constants!$A$2:$C$16,IF(AM258&lt;&gt;"", 3, 2), FALSE()),IF(AM258&lt;&gt;"",CONCATENATE(",",VLOOKUP(AM258,$B:$AN,39,FALSE())),""))</f>
        <v>4,4,4</v>
      </c>
      <c r="AR258" s="0" t="s">
        <v>930</v>
      </c>
      <c r="AT258" s="0" t="s">
        <v>931</v>
      </c>
      <c r="AU258" s="0" t="s">
        <v>924</v>
      </c>
      <c r="AX258" s="0" t="n">
        <v>27</v>
      </c>
      <c r="AY258" s="16" t="n">
        <f aca="false">IF(L258&lt;&gt;"",MAX(16,(L258-J258)+8),"")</f>
        <v>20</v>
      </c>
      <c r="AZ258" s="0" t="n">
        <v>-15</v>
      </c>
      <c r="BA258" s="0" t="n">
        <v>-30</v>
      </c>
      <c r="BB258" s="0" t="n">
        <f aca="false">MIN(AB258/150, 1)*30</f>
        <v>20</v>
      </c>
      <c r="BC258" s="0" t="n">
        <f aca="false">MIN(N258/4000, 1)*20</f>
        <v>18.1</v>
      </c>
      <c r="BD258" s="0" t="n">
        <f aca="false">MIN(Z258/400,1)*20</f>
        <v>12</v>
      </c>
      <c r="BE258" s="3" t="n">
        <f aca="false">1-(MAX(J258-1900, 0)/750)</f>
        <v>0.866666666666667</v>
      </c>
      <c r="BF258" s="0" t="n">
        <f aca="false">((MAX($M258,1)*MIN($AJ258/300,1)))*IF(G258="Wagon",50,10)</f>
        <v>11.5</v>
      </c>
      <c r="BG258" s="0" t="n">
        <f aca="false">VLOOKUP($H258,Constants!$I:$K, 2, FALSE())</f>
        <v>0.85</v>
      </c>
      <c r="BH258" s="0" t="n">
        <f aca="false">VLOOKUP($H258,Constants!$I:$K, 3, FALSE())*IF(AND(G258="multiple_unit",AB258&lt;110),0.75,1)</f>
        <v>1.725</v>
      </c>
      <c r="BI258" s="0" t="n">
        <f aca="false">INT(POWER(((Constants!$G$2+$BB258+$BC258+$BD258+$BF258)*$BE258)*$BH258, 1.05))+$BA258</f>
        <v>95</v>
      </c>
      <c r="BJ258" s="0" t="n">
        <f aca="false">INT(POWER((((Constants!$G$1+$BB258+$BC258+$BD258+$BF258)*($BE258))*$BG258),IF($G258="wagon",1,1.2)))+$AZ258</f>
        <v>111</v>
      </c>
      <c r="BK258" s="17" t="n">
        <f aca="false">BI258*IF($G258="wagon",62.5,781.25)</f>
        <v>74218.75</v>
      </c>
      <c r="BL258" s="17" t="n">
        <f aca="false">BJ258*IF($G258="wagon",2.73,81.25)</f>
        <v>9018.75</v>
      </c>
      <c r="BR258" s="0" t="s">
        <v>932</v>
      </c>
      <c r="BU258" s="0" t="s">
        <v>933</v>
      </c>
      <c r="BV258" s="0" t="n">
        <v>4</v>
      </c>
      <c r="BW258" s="0" t="n">
        <v>205</v>
      </c>
      <c r="BZ258" s="0" t="s">
        <v>148</v>
      </c>
      <c r="CA258" s="0" t="str">
        <f aca="false">VLOOKUP(J258,Eras!$A$2:$C$10, 2, TRUE())</f>
        <v>prv</v>
      </c>
      <c r="CB258" s="0" t="s">
        <v>850</v>
      </c>
      <c r="CC258" s="0" t="str">
        <f aca="false">CONCATENATE(CA258,"_",CB258)</f>
        <v>prv_EMU (Express)</v>
      </c>
      <c r="CD258" s="0" t="str">
        <f aca="false">_xlfn.CONCAT(H258, "_",I258)</f>
        <v>electric_THIRD_RAIL</v>
      </c>
      <c r="CE258" s="6" t="str">
        <f aca="false" t="array" ref="CE258:CE258">_xlfn.CONCAT("{BLACK}Length: {GOLD}", TEXT(ROUNDUP(IF(AQ258&lt;&gt;"",SUM(VALUE(_xlfn.TEXTSPLIT(AQ258, ","))), SUM(VALUE(_xlfn.TEXTSPLIT(AN258, ",")))*IF(M258, M258, 1))/16, 1), "#,##0.0"), " tiles{}")</f>
        <v>{BLACK}Length: {GOLD}3.8 tiles{}</v>
      </c>
      <c r="CF258" s="0" t="str">
        <f aca="false">VLOOKUP($CD258, Constants!$M:$N, 2, FALSE())</f>
        <v>{BLACK}Powered by: {GOLD}750V DC</v>
      </c>
      <c r="CG258" s="0" t="str">
        <f aca="false">IF(M258&gt;1,_xlfn.CONCAT("{BLACK}Cars: {GOLD}", M258),"")</f>
        <v>{BLACK}Cars: {GOLD}5</v>
      </c>
      <c r="CH258" s="0" t="s">
        <v>928</v>
      </c>
      <c r="CI258" s="0" t="str">
        <f aca="false">IF($BU258="!param_no_gameplay_units","{GREEN}Included for gameplay purposes","")</f>
        <v/>
      </c>
      <c r="CJ258" s="0" t="str">
        <f aca="false">IF(BX258="buffet","{YELLOW}25% long distance bonus for consist{}",IF(BZ258="BRAKE","{YELLOW}Speed bonus for slow wagons{}",IF(BW258&gt;190,CONCATENATE("{YELLOW}",INT((BW258-185)/1.85),"% bonus for long distance travel{}"),IF(AND(BW258&lt;180,BW258&lt;&gt;0),CONCATENATE("{YELLOW}",INT((185-BW258)/1.85),"% penalty for long distance travel{}"),""))))</f>
        <v>{YELLOW}10% bonus for long distance travel{}</v>
      </c>
      <c r="CK258" s="0" t="str">
        <f aca="false">_xlfn.CONCAT(CF258,IF(CF258&lt;&gt;""," ",""),CG258,IF(OR(CG258&lt;&gt;"",CF258&lt;&gt;""),"{}",""),CE258,CJ258,"{SILVER}",CH258,IF(CI258&lt;&gt;"","{}{}",""),CI258)</f>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9" s="19" customFormat="true" ht="14.25" hidden="false" customHeight="false" outlineLevel="0" collapsed="false">
      <c r="A259" s="19" t="s">
        <v>934</v>
      </c>
      <c r="B259" s="20" t="s">
        <v>932</v>
      </c>
      <c r="C259" s="21" t="n">
        <v>3086</v>
      </c>
      <c r="D259" s="19" t="n">
        <v>258</v>
      </c>
      <c r="E259" s="19" t="n">
        <v>500</v>
      </c>
      <c r="F259" s="19" t="s">
        <v>143</v>
      </c>
      <c r="G259" s="19" t="s">
        <v>827</v>
      </c>
      <c r="H259" s="19" t="s">
        <v>529</v>
      </c>
      <c r="I259" s="19" t="s">
        <v>641</v>
      </c>
      <c r="J259" s="19" t="n">
        <v>2012</v>
      </c>
      <c r="M259" s="19" t="n">
        <v>5</v>
      </c>
      <c r="N259" s="19" t="n">
        <v>3620</v>
      </c>
      <c r="O259" s="22"/>
      <c r="P259" s="23"/>
      <c r="Q259" s="23"/>
      <c r="R259" s="23"/>
      <c r="S259" s="23"/>
      <c r="T259" s="23"/>
      <c r="U259" s="23"/>
      <c r="V259" s="23"/>
      <c r="W259" s="19" t="n">
        <v>200</v>
      </c>
      <c r="X259" s="22"/>
      <c r="Y259" s="19" t="n">
        <v>5</v>
      </c>
      <c r="Z259" s="19" t="n">
        <v>240</v>
      </c>
      <c r="AA259" s="24" t="n">
        <f aca="false">IF(AND(W259&gt;0,Z259&gt;0),(Z259/((W259+X259)*10)),"")</f>
        <v>0.12</v>
      </c>
      <c r="AB259" s="19" t="n">
        <v>100</v>
      </c>
      <c r="AC259" s="19" t="n">
        <f aca="false">ROUND(AB259*1.6, 0)</f>
        <v>160</v>
      </c>
      <c r="AG259" s="19" t="n">
        <v>21</v>
      </c>
      <c r="AJ259" s="25" t="n">
        <v>54</v>
      </c>
      <c r="AK259" s="26" t="str">
        <f aca="false">CONCATENATE(VLOOKUP(AL259, '[1]Voxel Sizes'!$A$2:$B$18,2,FALSE()),"x",INT(AH259*15), "x", INT(AI259*15))</f>
        <v>198x0x0</v>
      </c>
      <c r="AL259" s="19" t="n">
        <f aca="false">ROUND(15*((AG259*10)/256),0)</f>
        <v>12</v>
      </c>
      <c r="AN259" s="19" t="str">
        <f aca="false">CONCATENATE(VLOOKUP(AL259,[1]Constants!$A$2:$C$16,IF(AM259&lt;&gt;"", 3, 2), FALSE()),IF(AM259&lt;&gt;"",CONCATENATE(",",VLOOKUP(AM259,$B:$AN,38,FALSE())),""))</f>
        <v>4,4,4</v>
      </c>
      <c r="AP259" s="27"/>
      <c r="AQ259" s="27"/>
      <c r="AR259" s="19" t="s">
        <v>935</v>
      </c>
      <c r="AT259" s="19" t="s">
        <v>849</v>
      </c>
      <c r="AU259" s="19" t="s">
        <v>936</v>
      </c>
      <c r="AX259" s="19" t="n">
        <v>27</v>
      </c>
      <c r="AY259" s="28" t="str">
        <f aca="false">IF(L259&lt;&gt;"",MAX(16,(L259-J259)+8),"")</f>
        <v/>
      </c>
      <c r="AZ259" s="19" t="n">
        <v>-15</v>
      </c>
      <c r="BA259" s="19" t="n">
        <v>-30</v>
      </c>
      <c r="BB259" s="19" t="n">
        <f aca="false">MIN(AB259/150, 1)*30</f>
        <v>20</v>
      </c>
      <c r="BC259" s="19" t="n">
        <f aca="false">MIN(N259/4000, 1)*20</f>
        <v>18.1</v>
      </c>
      <c r="BD259" s="19" t="n">
        <f aca="false">MIN(Z259/400,1)*20</f>
        <v>12</v>
      </c>
      <c r="BE259" s="24" t="n">
        <f aca="false">1-(MAX(J259-1900, 0)/750)</f>
        <v>0.850666666666667</v>
      </c>
      <c r="BF259" s="19" t="n">
        <f aca="false">((MAX($M259,1)*MIN($AJ259/300,1)))*IF(G259="Wagon",50,10)</f>
        <v>9</v>
      </c>
      <c r="BG259" s="19" t="n">
        <f aca="false">VLOOKUP($H259,[1]Constants!$I$1:$K$1048576, 2, FALSE())</f>
        <v>0.85</v>
      </c>
      <c r="BH259" s="19" t="n">
        <f aca="false">VLOOKUP($H259,[1]Constants!$I$1:$K$1048576, 3, FALSE())*IF(AND(G259="multiple_unit",AB259&lt;110),0.75,1)</f>
        <v>1.725</v>
      </c>
      <c r="BI259" s="19" t="n">
        <f aca="false">INT(POWER((([1]Constants!$G$2+$BB259+$BC259+$BD259+$BF259)*$BE259)*$BH259, 1.05))+$BA259</f>
        <v>88</v>
      </c>
      <c r="BJ259" s="19" t="n">
        <f aca="false">INT(POWER(((([1]Constants!$G$1+$BB259+$BC259+$BD259+$BF259)*($BE259))*$BG259),IF($G259="wagon",1,1.2)))+$AZ259</f>
        <v>103</v>
      </c>
      <c r="BK259" s="29" t="n">
        <f aca="false">BI259*IF($G259="wagon",62.5,781.25)</f>
        <v>68750</v>
      </c>
      <c r="BL259" s="29" t="n">
        <f aca="false">BJ259*IF($G259="wagon",2.73,81.25)</f>
        <v>8368.75</v>
      </c>
      <c r="BR259" s="19" t="s">
        <v>937</v>
      </c>
      <c r="BV259" s="19" t="n">
        <v>4</v>
      </c>
      <c r="BW259" s="19" t="n">
        <v>205</v>
      </c>
      <c r="BZ259" s="19" t="s">
        <v>148</v>
      </c>
      <c r="CA259" s="19" t="s">
        <v>938</v>
      </c>
      <c r="CB259" s="30" t="s">
        <v>850</v>
      </c>
      <c r="CC259" s="19" t="str">
        <f aca="false">CONCATENATE(CA259,"_",CB259)</f>
        <v>mod_EMU (Express)</v>
      </c>
      <c r="CD259" s="19" t="str">
        <f aca="false">_xlfn.CONCAT(H259, "_",I259)</f>
        <v>electric_THIRD_RAIL</v>
      </c>
      <c r="CE259" s="31" t="str">
        <f aca="false">_xlfn.CONCAT("{BLACK}Length: {GOLD}", TEXT(ROUNDUP(IF(AQ259&lt;&gt;"",SUM(VALUE(_xlfn.TEXTSPLIT(AQ259, ","))), SUM(VALUE(_xlfn.TEXTSPLIT(AN259, ",")))*IF(M259, M259, 1))/16, 1), "#,##0.0"), " tiles{}")</f>
        <v>{BLACK}Length: {GOLD}3.8 tiles{}</v>
      </c>
      <c r="CF259" s="19" t="str">
        <f aca="false">VLOOKUP($CD259, [1]Constants!$M$1:$N$1048576, 2, FALSE())</f>
        <v>{BLACK}Powered by: {GOLD}750V DC</v>
      </c>
      <c r="CG259" s="19" t="str">
        <f aca="false">IF(M259&gt;1,_xlfn.CONCAT("{BLACK}Cars: {GOLD}", M259),"")</f>
        <v>{BLACK}Cars: {GOLD}5</v>
      </c>
      <c r="CH259" s="19" t="s">
        <v>939</v>
      </c>
      <c r="CJ259" s="19" t="str">
        <f aca="false">IF(BX259="buffet","{YELLOW}25% long distance bonus for consist{}",IF(CA259="BRAKE","{YELLOW}Speed bonus for slow wagons{}",IF(BW259&gt;190,CONCATENATE("{YELLOW}",INT((BW259-185)/1.85),"% bonus for long distance travel{}"),IF(AND(BW259&lt;180,BW259&lt;&gt;0),CONCATENATE("{YELLOW}",INT((185-BW259)/1.85),"% penalty for long distance travel{}"),""))))</f>
        <v>{YELLOW}10% bonus for long distance travel{}</v>
      </c>
      <c r="CK259" s="19" t="str">
        <f aca="false">_xlfn.CONCAT(CF259,IF(CF259 &lt;&gt; "", " ", ""),CG259,IF(OR(CG259&lt;&gt;"", CF259&lt;&gt;""), "{}",""), CE259, CJ259,"{SILVER}", CH259)</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260" customFormat="false" ht="14.25" hidden="false" customHeight="false" outlineLevel="0" collapsed="false">
      <c r="A260" s="0" t="s">
        <v>940</v>
      </c>
      <c r="B260" s="15" t="s">
        <v>941</v>
      </c>
      <c r="C260" s="0" t="n">
        <v>260</v>
      </c>
      <c r="E260" s="0" t="n">
        <v>163</v>
      </c>
      <c r="F260" s="0" t="s">
        <v>143</v>
      </c>
      <c r="G260" s="0" t="s">
        <v>827</v>
      </c>
      <c r="H260" s="0" t="s">
        <v>670</v>
      </c>
      <c r="I260" s="0" t="s">
        <v>92</v>
      </c>
      <c r="J260" s="0" t="n">
        <v>2001</v>
      </c>
      <c r="M260" s="0" t="n">
        <v>5</v>
      </c>
      <c r="N260" s="0" t="n">
        <f aca="false">750*3</f>
        <v>2250</v>
      </c>
      <c r="W260" s="0" t="n">
        <v>252.5</v>
      </c>
      <c r="Y260" s="0" t="n">
        <v>4</v>
      </c>
      <c r="Z260" s="0" t="n">
        <v>190</v>
      </c>
      <c r="AA260" s="3" t="n">
        <f aca="false">IF(AND(W260&gt;0,Z260&gt;0),(Z260/((W260+X260)*10)),"")</f>
        <v>0.0752475247524752</v>
      </c>
      <c r="AB260" s="0" t="n">
        <v>125</v>
      </c>
      <c r="AC260" s="0" t="n">
        <f aca="false">ROUND(AB260*1.6, 0)</f>
        <v>200</v>
      </c>
      <c r="AF260" s="0" t="n">
        <v>23.71</v>
      </c>
      <c r="AG260" s="0" t="n">
        <v>23.71</v>
      </c>
      <c r="AJ260" s="4" t="n">
        <v>57</v>
      </c>
      <c r="AK260" s="0" t="str">
        <f aca="false">CONCATENATE(VLOOKUP(AL260, 'Voxel Sizes'!$A$2:$B$18,2,FALSE()),"x",INT(AH260*15), "x", INT(AI260*15))</f>
        <v>238x0x0</v>
      </c>
      <c r="AL260" s="0" t="n">
        <f aca="false">ROUND(15*((AG260*10)/256),0)</f>
        <v>14</v>
      </c>
      <c r="AN260" s="0" t="str">
        <f aca="false">CONCATENATE(VLOOKUP(AL260,Constants!$A$2:$C$16,IF(AM260&lt;&gt;"", 3, 2), FALSE()),IF(AM260&lt;&gt;"",CONCATENATE(",",VLOOKUP(AM260,$B:$AN,39,FALSE())),""))</f>
        <v>4,6,4</v>
      </c>
      <c r="AR260" s="0" t="s">
        <v>942</v>
      </c>
      <c r="AT260" s="0" t="s">
        <v>943</v>
      </c>
      <c r="AX260" s="0" t="n">
        <v>22</v>
      </c>
      <c r="AY260" s="16" t="str">
        <f aca="false">IF(L260&lt;&gt;"",MAX(16,(L260-J260)+8),"")</f>
        <v/>
      </c>
      <c r="AZ260" s="0" t="n">
        <v>-8</v>
      </c>
      <c r="BA260" s="0" t="n">
        <v>-30</v>
      </c>
      <c r="BB260" s="0" t="n">
        <f aca="false">MIN(AB260/150, 1)*30</f>
        <v>25</v>
      </c>
      <c r="BC260" s="0" t="n">
        <f aca="false">MIN(N260/4000, 1)*20</f>
        <v>11.25</v>
      </c>
      <c r="BD260" s="0" t="n">
        <f aca="false">MIN(Z260/400,1)*20</f>
        <v>9.5</v>
      </c>
      <c r="BE260" s="3" t="n">
        <f aca="false">1-(MAX(J260-1900, 0)/750)</f>
        <v>0.865333333333333</v>
      </c>
      <c r="BF260" s="0" t="n">
        <f aca="false">((MAX($M260,1)*MIN($AJ260/300,1)))*IF(G260="Wagon",50,10)</f>
        <v>9.5</v>
      </c>
      <c r="BG260" s="0" t="n">
        <f aca="false">VLOOKUP($H260,Constants!$I:$K, 2, FALSE())</f>
        <v>1</v>
      </c>
      <c r="BH260" s="0" t="n">
        <f aca="false">VLOOKUP($H260,Constants!$I:$K, 3, FALSE())*IF(AND(G260="multiple_unit",AB260&lt;110),0.75,1)</f>
        <v>2</v>
      </c>
      <c r="BI260" s="0" t="n">
        <f aca="false">INT(POWER(((Constants!$G$2+$BB260+$BC260+$BD260+$BF260)*$BE260)*$BH260, 1.05))+$BA260</f>
        <v>101</v>
      </c>
      <c r="BJ260" s="0" t="n">
        <f aca="false">INT(POWER((((Constants!$G$1+$BB260+$BC260+$BD260+$BF260)*($BE260))*$BG260),IF($G260="wagon",1,1.2)))+$AZ260</f>
        <v>130</v>
      </c>
      <c r="BK260" s="17" t="n">
        <f aca="false">BI260*IF($G260="wagon",62.5,781.25)</f>
        <v>78906.25</v>
      </c>
      <c r="BL260" s="17" t="n">
        <f aca="false">BJ260*IF($G260="wagon",2.73,81.25)</f>
        <v>10562.5</v>
      </c>
      <c r="BU260" s="0" t="s">
        <v>927</v>
      </c>
      <c r="BV260" s="0" t="n">
        <v>7</v>
      </c>
      <c r="BZ260" s="0" t="s">
        <v>148</v>
      </c>
      <c r="CA260" s="0" t="str">
        <f aca="false">VLOOKUP(J260,Eras!$A$2:$C$10, 2, TRUE())</f>
        <v>prv</v>
      </c>
      <c r="CB260" s="0" t="s">
        <v>882</v>
      </c>
      <c r="CC260" s="0" t="str">
        <f aca="false">CONCATENATE(CA260,"_",CB260)</f>
        <v>prv_DMU (Express)</v>
      </c>
      <c r="CD260" s="0" t="str">
        <f aca="false">_xlfn.CONCAT(H260, "_",I260)</f>
        <v>diesel_RAIL</v>
      </c>
      <c r="CE260" s="6" t="str">
        <f aca="false" t="array" ref="CE260:CE260">_xlfn.CONCAT("{BLACK}Length: {GOLD}", TEXT(ROUNDUP(IF(AQ260&lt;&gt;"",SUM(VALUE(_xlfn.TEXTSPLIT(AQ260, ","))), SUM(VALUE(_xlfn.TEXTSPLIT(AN260, ",")))*IF(M260, M260, 1))/16, 1), "#,##0.0"), " tiles{}")</f>
        <v>{BLACK}Length: {GOLD}4.4 tiles{}</v>
      </c>
      <c r="CH260" s="0" t="s">
        <v>944</v>
      </c>
      <c r="CI260" s="0" t="str">
        <f aca="false">IF($BU260="!param_no_gameplay_units","{GREEN}Included for gameplay purposes","")</f>
        <v/>
      </c>
      <c r="CJ260" s="0" t="str">
        <f aca="false">IF(BX260="buffet","{YELLOW}25% long distance bonus for consist{}",IF(BZ260="BRAKE","{YELLOW}Speed bonus for slow wagons{}",IF(BW260&gt;190,CONCATENATE("{YELLOW}",INT((BW260-185)/1.85),"% bonus for long distance travel{}"),IF(AND(BW260&lt;180,BW260&lt;&gt;0),CONCATENATE("{YELLOW}",INT((185-BW260)/1.85),"% penalty for long distance travel{}"),""))))</f>
        <v/>
      </c>
      <c r="CK260" s="0" t="str">
        <f aca="false">_xlfn.CONCAT(CF260,IF(CF260&lt;&gt;""," ",""),CG260,IF(OR(CG260&lt;&gt;"",CF260&lt;&gt;""),"{}",""),CE260,CJ260,"{SILVER}",CH260,IF(CI260&lt;&gt;"","{}{}",""),CI260)</f>
        <v>{BLACK}Length: {GOLD}4.4 tiles{}{SILVER}Unusually for a high speed unit, the Class 180 uses a diesel-hydraulic transmission. Unfortunately the units suffered reliability problems both before and after launch.</v>
      </c>
    </row>
    <row r="261" customFormat="false" ht="14.25" hidden="false" customHeight="false" outlineLevel="0" collapsed="false">
      <c r="A261" s="0" t="s">
        <v>940</v>
      </c>
      <c r="B261" s="15" t="s">
        <v>945</v>
      </c>
      <c r="C261" s="0" t="n">
        <v>261</v>
      </c>
      <c r="E261" s="0" t="n">
        <v>164</v>
      </c>
      <c r="F261" s="0" t="s">
        <v>143</v>
      </c>
      <c r="G261" s="0" t="s">
        <v>827</v>
      </c>
      <c r="H261" s="0" t="s">
        <v>670</v>
      </c>
      <c r="I261" s="0" t="s">
        <v>92</v>
      </c>
      <c r="J261" s="0" t="n">
        <v>2001</v>
      </c>
      <c r="M261" s="0" t="n">
        <v>4</v>
      </c>
      <c r="N261" s="0" t="n">
        <f aca="false">750*3</f>
        <v>2250</v>
      </c>
      <c r="W261" s="0" t="n">
        <v>203</v>
      </c>
      <c r="Y261" s="0" t="n">
        <v>4</v>
      </c>
      <c r="Z261" s="0" t="n">
        <v>190</v>
      </c>
      <c r="AA261" s="3" t="n">
        <f aca="false">IF(AND(W261&gt;0,Z261&gt;0),(Z261/((W261+X261)*10)),"")</f>
        <v>0.0935960591133005</v>
      </c>
      <c r="AB261" s="0" t="n">
        <v>125</v>
      </c>
      <c r="AC261" s="0" t="n">
        <f aca="false">ROUND(AB261*1.6, 0)</f>
        <v>200</v>
      </c>
      <c r="AF261" s="0" t="n">
        <v>23.71</v>
      </c>
      <c r="AG261" s="0" t="n">
        <v>23.71</v>
      </c>
      <c r="AJ261" s="4" t="n">
        <v>57</v>
      </c>
      <c r="AK261" s="0" t="str">
        <f aca="false">CONCATENATE(VLOOKUP(AL261, 'Voxel Sizes'!$A$2:$B$18,2,FALSE()),"x",INT(AH261*15), "x", INT(AI261*15))</f>
        <v>238x0x0</v>
      </c>
      <c r="AL261" s="0" t="n">
        <f aca="false">ROUND(15*((AG261*10)/256),0)</f>
        <v>14</v>
      </c>
      <c r="AN261" s="0" t="str">
        <f aca="false">CONCATENATE(VLOOKUP(AL261,Constants!$A$2:$C$16,IF(AM261&lt;&gt;"", 3, 2), FALSE()),IF(AM261&lt;&gt;"",CONCATENATE(",",VLOOKUP(AM261,$B:$AN,39,FALSE())),""))</f>
        <v>4,6,4</v>
      </c>
      <c r="AR261" s="0" t="s">
        <v>946</v>
      </c>
      <c r="AT261" s="0" t="s">
        <v>947</v>
      </c>
      <c r="AU261" s="0" t="s">
        <v>941</v>
      </c>
      <c r="AX261" s="0" t="n">
        <v>22</v>
      </c>
      <c r="AY261" s="16" t="str">
        <f aca="false">IF(L261&lt;&gt;"",MAX(16,(L261-J261)+8),"")</f>
        <v/>
      </c>
      <c r="AZ261" s="0" t="n">
        <v>-8</v>
      </c>
      <c r="BA261" s="0" t="n">
        <v>-30</v>
      </c>
      <c r="BB261" s="0" t="n">
        <f aca="false">MIN(AB261/150, 1)*30</f>
        <v>25</v>
      </c>
      <c r="BC261" s="0" t="n">
        <f aca="false">MIN(N261/4000, 1)*20</f>
        <v>11.25</v>
      </c>
      <c r="BD261" s="0" t="n">
        <f aca="false">MIN(Z261/400,1)*20</f>
        <v>9.5</v>
      </c>
      <c r="BE261" s="3" t="n">
        <f aca="false">1-(MAX(J261-1900, 0)/750)</f>
        <v>0.865333333333333</v>
      </c>
      <c r="BF261" s="0" t="n">
        <f aca="false">((MAX($M261,1)*MIN($AJ261/300,1)))*IF(G261="Wagon",50,10)</f>
        <v>7.6</v>
      </c>
      <c r="BG261" s="0" t="n">
        <f aca="false">VLOOKUP($H261,Constants!$I:$K, 2, FALSE())</f>
        <v>1</v>
      </c>
      <c r="BH261" s="0" t="n">
        <f aca="false">VLOOKUP($H261,Constants!$I:$K, 3, FALSE())*IF(AND(G261="multiple_unit",AB261&lt;110),0.75,1)</f>
        <v>2</v>
      </c>
      <c r="BI261" s="0" t="n">
        <f aca="false">INT(POWER(((Constants!$G$2+$BB261+$BC261+$BD261+$BF261)*$BE261)*$BH261, 1.05))+$BA261</f>
        <v>97</v>
      </c>
      <c r="BJ261" s="0" t="n">
        <f aca="false">INT(POWER((((Constants!$G$1+$BB261+$BC261+$BD261+$BF261)*($BE261))*$BG261),IF($G261="wagon",1,1.2)))+$AZ261</f>
        <v>125</v>
      </c>
      <c r="BK261" s="17" t="n">
        <f aca="false">BI261*IF($G261="wagon",62.5,781.25)</f>
        <v>75781.25</v>
      </c>
      <c r="BL261" s="17" t="n">
        <f aca="false">BJ261*IF($G261="wagon",2.73,81.25)</f>
        <v>10156.25</v>
      </c>
      <c r="BU261" s="0" t="s">
        <v>933</v>
      </c>
      <c r="BV261" s="0" t="n">
        <v>7</v>
      </c>
      <c r="BZ261" s="0" t="s">
        <v>148</v>
      </c>
      <c r="CA261" s="0" t="str">
        <f aca="false">VLOOKUP(J261,Eras!$A$2:$C$10, 2, TRUE())</f>
        <v>prv</v>
      </c>
      <c r="CB261" s="0" t="s">
        <v>882</v>
      </c>
      <c r="CC261" s="0" t="str">
        <f aca="false">CONCATENATE(CA261,"_",CB261)</f>
        <v>prv_DMU (Express)</v>
      </c>
      <c r="CD261" s="0" t="str">
        <f aca="false">_xlfn.CONCAT(H261, "_",I261)</f>
        <v>diesel_RAIL</v>
      </c>
      <c r="CE261" s="6" t="str">
        <f aca="false" t="array" ref="CE261:CE261">_xlfn.CONCAT("{BLACK}Length: {GOLD}", TEXT(ROUNDUP(IF(AQ261&lt;&gt;"",SUM(VALUE(_xlfn.TEXTSPLIT(AQ261, ","))), SUM(VALUE(_xlfn.TEXTSPLIT(AN261, ",")))*IF(M261, M261, 1))/16, 1), "#,##0.0"), " tiles{}")</f>
        <v>{BLACK}Length: {GOLD}3.5 tiles{}</v>
      </c>
      <c r="CH261" s="0" t="s">
        <v>944</v>
      </c>
      <c r="CI261" s="0" t="str">
        <f aca="false">IF($BU261="!param_no_gameplay_units","{GREEN}Included for gameplay purposes","")</f>
        <v/>
      </c>
      <c r="CJ261" s="0" t="str">
        <f aca="false">IF(BX261="buffet","{YELLOW}25% long distance bonus for consist{}",IF(BZ261="BRAKE","{YELLOW}Speed bonus for slow wagons{}",IF(BW261&gt;190,CONCATENATE("{YELLOW}",INT((BW261-185)/1.85),"% bonus for long distance travel{}"),IF(AND(BW261&lt;180,BW261&lt;&gt;0),CONCATENATE("{YELLOW}",INT((185-BW261)/1.85),"% penalty for long distance travel{}"),""))))</f>
        <v/>
      </c>
      <c r="CK261" s="0" t="str">
        <f aca="false">_xlfn.CONCAT(CF261,IF(CF261&lt;&gt;""," ",""),CG261,IF(OR(CG261&lt;&gt;"",CF261&lt;&gt;""),"{}",""),CE261,CJ261,"{SILVER}",CH261,IF(CI261&lt;&gt;"","{}{}",""),CI261)</f>
        <v>{BLACK}Length: {GOLD}3.5 tiles{}{SILVER}Unusually for a high speed unit, the Class 180 uses a diesel-hydraulic transmission. Unfortunately the units suffered reliability problems both before and after launch.</v>
      </c>
    </row>
    <row r="262" customFormat="false" ht="14.25" hidden="false" customHeight="false" outlineLevel="0" collapsed="false">
      <c r="A262" s="0" t="s">
        <v>948</v>
      </c>
      <c r="B262" s="15" t="s">
        <v>949</v>
      </c>
      <c r="C262" s="0" t="n">
        <v>262</v>
      </c>
      <c r="E262" s="0" t="n">
        <v>165</v>
      </c>
      <c r="F262" s="0" t="s">
        <v>143</v>
      </c>
      <c r="G262" s="0" t="s">
        <v>827</v>
      </c>
      <c r="H262" s="0" t="s">
        <v>529</v>
      </c>
      <c r="I262" s="0" t="s">
        <v>530</v>
      </c>
      <c r="J262" s="0" t="n">
        <v>2002</v>
      </c>
      <c r="M262" s="0" t="n">
        <v>8</v>
      </c>
      <c r="N262" s="0" t="n">
        <v>6840</v>
      </c>
      <c r="W262" s="0" t="n">
        <v>466</v>
      </c>
      <c r="Y262" s="0" t="n">
        <v>4</v>
      </c>
      <c r="Z262" s="0" t="n">
        <v>325</v>
      </c>
      <c r="AA262" s="3" t="n">
        <f aca="false">IF(AND(W262&gt;0,Z262&gt;0),(Z262/((W262+X262)*10)),"")</f>
        <v>0.0697424892703863</v>
      </c>
      <c r="AB262" s="0" t="n">
        <v>140</v>
      </c>
      <c r="AC262" s="0" t="n">
        <f aca="false">ROUND(AB262*1.6, 0)</f>
        <v>224</v>
      </c>
      <c r="AF262" s="0" t="n">
        <v>23.9</v>
      </c>
      <c r="AG262" s="0" t="n">
        <v>23.9</v>
      </c>
      <c r="AH262" s="0" t="n">
        <v>2.73</v>
      </c>
      <c r="AI262" s="0" t="n">
        <v>3.56</v>
      </c>
      <c r="AJ262" s="4" t="n">
        <v>60</v>
      </c>
      <c r="AK262" s="0" t="str">
        <f aca="false">CONCATENATE(VLOOKUP(AL262, 'Voxel Sizes'!$A$2:$B$18,2,FALSE()),"x",INT(AH262*15), "x", INT(AI262*15))</f>
        <v>238x40x53</v>
      </c>
      <c r="AL262" s="0" t="n">
        <f aca="false">ROUND(15*((AG262*10)/256),0)</f>
        <v>14</v>
      </c>
      <c r="AN262" s="0" t="str">
        <f aca="false">CONCATENATE(VLOOKUP(AL262,Constants!$A$2:$C$16,IF(AM262&lt;&gt;"", 3, 2), FALSE()),IF(AM262&lt;&gt;"",CONCATENATE(",",VLOOKUP(AM262,$B:$AN,39,FALSE())),""))</f>
        <v>4,6,4</v>
      </c>
      <c r="AR262" s="0" t="s">
        <v>950</v>
      </c>
      <c r="AT262" s="0" t="s">
        <v>951</v>
      </c>
      <c r="AX262" s="0" t="n">
        <v>29</v>
      </c>
      <c r="AY262" s="16" t="str">
        <f aca="false">IF(L262&lt;&gt;"",MAX(16,(L262-J262)+8),"")</f>
        <v/>
      </c>
      <c r="AZ262" s="0" t="n">
        <v>-15</v>
      </c>
      <c r="BA262" s="0" t="n">
        <v>-35</v>
      </c>
      <c r="BB262" s="0" t="n">
        <f aca="false">MIN(AB262/150, 1)*30</f>
        <v>28</v>
      </c>
      <c r="BC262" s="0" t="n">
        <f aca="false">MIN(N262/4000, 1)*20</f>
        <v>20</v>
      </c>
      <c r="BD262" s="0" t="n">
        <f aca="false">MIN(Z262/400,1)*20</f>
        <v>16.25</v>
      </c>
      <c r="BE262" s="3" t="n">
        <f aca="false">1-(MAX(J262-1900, 0)/750)</f>
        <v>0.864</v>
      </c>
      <c r="BF262" s="0" t="n">
        <f aca="false">((MAX($M262,1)*MIN($AJ262/300,1)))*IF(G262="Wagon",50,10)</f>
        <v>16</v>
      </c>
      <c r="BG262" s="0" t="n">
        <f aca="false">VLOOKUP($H262,Constants!$I:$K, 2, FALSE())</f>
        <v>0.85</v>
      </c>
      <c r="BH262" s="0" t="n">
        <f aca="false">VLOOKUP($H262,Constants!$I:$K, 3, FALSE())*IF(AND(G262="multiple_unit",AB262&lt;110),0.75,1)</f>
        <v>2.3</v>
      </c>
      <c r="BI262" s="0" t="n">
        <f aca="false">INT(POWER(((Constants!$G$2+$BB262+$BC262+$BD262+$BF262)*$BE262)*$BH262, 1.05))+$BA262</f>
        <v>183</v>
      </c>
      <c r="BJ262" s="0" t="n">
        <f aca="false">INT(POWER((((Constants!$G$1+$BB262+$BC262+$BD262+$BF262)*($BE262))*$BG262),IF($G262="wagon",1,1.2)))+$AZ262</f>
        <v>148</v>
      </c>
      <c r="BK262" s="17" t="n">
        <f aca="false">BI262*IF($G262="wagon",62.5,781.25)</f>
        <v>142968.75</v>
      </c>
      <c r="BL262" s="17" t="n">
        <f aca="false">BJ262*IF($G262="wagon",2.73,81.25)</f>
        <v>12025</v>
      </c>
      <c r="BQ262" s="0" t="n">
        <v>1</v>
      </c>
      <c r="BU262" s="0" t="s">
        <v>952</v>
      </c>
      <c r="BV262" s="0" t="n">
        <v>6</v>
      </c>
      <c r="BW262" s="0" t="n">
        <v>205</v>
      </c>
      <c r="BZ262" s="0" t="s">
        <v>148</v>
      </c>
      <c r="CA262" s="0" t="str">
        <f aca="false">VLOOKUP(J262,Eras!$A$2:$C$10, 2, TRUE())</f>
        <v>prv</v>
      </c>
      <c r="CB262" s="0" t="s">
        <v>850</v>
      </c>
      <c r="CC262" s="0" t="str">
        <f aca="false">CONCATENATE(CA262,"_",CB262)</f>
        <v>prv_EMU (Express)</v>
      </c>
      <c r="CD262" s="0" t="str">
        <f aca="false">_xlfn.CONCAT(H262, "_",I262)</f>
        <v>electric_ELRL</v>
      </c>
      <c r="CE262" s="6" t="str">
        <f aca="false" t="array" ref="CE262:CE262">_xlfn.CONCAT("{BLACK}Length: {GOLD}", TEXT(ROUNDUP(IF(AQ262&lt;&gt;"",SUM(VALUE(_xlfn.TEXTSPLIT(AQ262, ","))), SUM(VALUE(_xlfn.TEXTSPLIT(AN262, ",")))*IF(M262, M262, 1))/16, 1), "#,##0.0"), " tiles{}")</f>
        <v>{BLACK}Length: {GOLD}7.0 tiles{}</v>
      </c>
      <c r="CF262" s="0" t="str">
        <f aca="false">VLOOKUP($CD262, Constants!$M:$N, 2, FALSE())</f>
        <v>{BLACK}Powered by: {GOLD}25kV AC</v>
      </c>
      <c r="CG262" s="0" t="str">
        <f aca="false">IF(M262&gt;1,_xlfn.CONCAT("{BLACK}Cars: {GOLD}", M262),"")</f>
        <v>{BLACK}Cars: {GOLD}8</v>
      </c>
      <c r="CH262" s="0" t="s">
        <v>953</v>
      </c>
      <c r="CI262" s="0" t="str">
        <f aca="false">IF($BU262="!param_no_gameplay_units","{GREEN}Included for gameplay purposes","")</f>
        <v/>
      </c>
      <c r="CJ262" s="0" t="str">
        <f aca="false">IF(BX262="buffet","{YELLOW}25% long distance bonus for consist{}",IF(BZ262="BRAKE","{YELLOW}Speed bonus for slow wagons{}",IF(BW262&gt;190,CONCATENATE("{YELLOW}",INT((BW262-185)/1.85),"% bonus for long distance travel{}"),IF(AND(BW262&lt;180,BW262&lt;&gt;0),CONCATENATE("{YELLOW}",INT((185-BW262)/1.85),"% penalty for long distance travel{}"),""))))</f>
        <v>{YELLOW}10% bonus for long distance travel{}</v>
      </c>
      <c r="CK262" s="0" t="str">
        <f aca="false">_xlfn.CONCAT(CF262,IF(CF262&lt;&gt;""," ",""),CG262,IF(OR(CG262&lt;&gt;"",CF262&lt;&gt;""),"{}",""),CE262,CJ262,"{SILVER}",CH262,IF(CI262&lt;&gt;"","{}{}",""),CI262)</f>
        <v>{BLACK}Powered by: {GOLD}25kV AC {BLACK}Cars: {GOLD}8{}{BLACK}Length: {GOLD}7.0 tiles{}{YELLOW}10% bonus for long distance travel{}{SILVER}The Pendolino is a tilting multiple unit with a design speed of 140mph.  The tilt system is supplied by Fiat Ferroviaria.</v>
      </c>
    </row>
    <row r="263" customFormat="false" ht="14.25" hidden="false" customHeight="false" outlineLevel="0" collapsed="false">
      <c r="A263" s="0" t="s">
        <v>948</v>
      </c>
      <c r="B263" s="15" t="s">
        <v>954</v>
      </c>
      <c r="C263" s="0" t="n">
        <v>263</v>
      </c>
      <c r="E263" s="0" t="n">
        <v>166</v>
      </c>
      <c r="F263" s="0" t="s">
        <v>143</v>
      </c>
      <c r="G263" s="0" t="s">
        <v>827</v>
      </c>
      <c r="H263" s="0" t="s">
        <v>529</v>
      </c>
      <c r="I263" s="0" t="s">
        <v>530</v>
      </c>
      <c r="J263" s="0" t="n">
        <v>2002</v>
      </c>
      <c r="M263" s="0" t="n">
        <v>6</v>
      </c>
      <c r="N263" s="0" t="n">
        <v>6840</v>
      </c>
      <c r="W263" s="0" t="n">
        <f aca="false">(466/8)*6</f>
        <v>349.5</v>
      </c>
      <c r="Y263" s="0" t="n">
        <v>4</v>
      </c>
      <c r="Z263" s="0" t="n">
        <v>325</v>
      </c>
      <c r="AA263" s="3" t="n">
        <f aca="false">IF(AND(W263&gt;0,Z263&gt;0),(Z263/((W263+X263)*10)),"")</f>
        <v>0.0929899856938484</v>
      </c>
      <c r="AB263" s="0" t="n">
        <v>140</v>
      </c>
      <c r="AC263" s="0" t="n">
        <f aca="false">ROUND(AB263*1.6, 0)</f>
        <v>224</v>
      </c>
      <c r="AF263" s="0" t="n">
        <v>23.9</v>
      </c>
      <c r="AG263" s="0" t="n">
        <v>23.9</v>
      </c>
      <c r="AH263" s="0" t="n">
        <v>2.73</v>
      </c>
      <c r="AI263" s="0" t="n">
        <v>3.56</v>
      </c>
      <c r="AJ263" s="4" t="n">
        <v>60</v>
      </c>
      <c r="AK263" s="0" t="str">
        <f aca="false">CONCATENATE(VLOOKUP(AL263, 'Voxel Sizes'!$A$2:$B$18,2,FALSE()),"x",INT(AH263*15), "x", INT(AI263*15))</f>
        <v>238x40x53</v>
      </c>
      <c r="AL263" s="0" t="n">
        <f aca="false">ROUND(15*((AG263*10)/256),0)</f>
        <v>14</v>
      </c>
      <c r="AN263" s="0" t="str">
        <f aca="false">CONCATENATE(VLOOKUP(AL263,Constants!$A$2:$C$16,IF(AM263&lt;&gt;"", 3, 2), FALSE()),IF(AM263&lt;&gt;"",CONCATENATE(",",VLOOKUP(AM263,$B:$AN,39,FALSE())),""))</f>
        <v>4,6,4</v>
      </c>
      <c r="AR263" s="0" t="s">
        <v>955</v>
      </c>
      <c r="AT263" s="0" t="s">
        <v>956</v>
      </c>
      <c r="AU263" s="0" t="s">
        <v>949</v>
      </c>
      <c r="AX263" s="0" t="n">
        <v>29</v>
      </c>
      <c r="AY263" s="16" t="str">
        <f aca="false">IF(L263&lt;&gt;"",MAX(16,(L263-J263)+8),"")</f>
        <v/>
      </c>
      <c r="AZ263" s="0" t="n">
        <v>-15</v>
      </c>
      <c r="BA263" s="0" t="n">
        <v>-35</v>
      </c>
      <c r="BB263" s="0" t="n">
        <f aca="false">MIN(AB263/150, 1)*30</f>
        <v>28</v>
      </c>
      <c r="BC263" s="0" t="n">
        <f aca="false">MIN(N263/4000, 1)*20</f>
        <v>20</v>
      </c>
      <c r="BD263" s="0" t="n">
        <f aca="false">MIN(Z263/400,1)*20</f>
        <v>16.25</v>
      </c>
      <c r="BE263" s="3" t="n">
        <f aca="false">1-(MAX(J263-1900, 0)/750)</f>
        <v>0.864</v>
      </c>
      <c r="BF263" s="0" t="n">
        <f aca="false">((MAX($M263,1)*MIN($AJ263/300,1)))*IF(G263="Wagon",50,10)</f>
        <v>12</v>
      </c>
      <c r="BG263" s="0" t="n">
        <f aca="false">VLOOKUP($H263,Constants!$I:$K, 2, FALSE())</f>
        <v>0.85</v>
      </c>
      <c r="BH263" s="0" t="n">
        <f aca="false">VLOOKUP($H263,Constants!$I:$K, 3, FALSE())*IF(AND(G263="multiple_unit",AB263&lt;110),0.75,1)</f>
        <v>2.3</v>
      </c>
      <c r="BI263" s="0" t="n">
        <f aca="false">INT(POWER(((Constants!$G$2+$BB263+$BC263+$BD263+$BF263)*$BE263)*$BH263, 1.05))+$BA263</f>
        <v>173</v>
      </c>
      <c r="BJ263" s="0" t="n">
        <f aca="false">INT(POWER((((Constants!$G$1+$BB263+$BC263+$BD263+$BF263)*($BE263))*$BG263),IF($G263="wagon",1,1.2)))+$AZ263</f>
        <v>140</v>
      </c>
      <c r="BK263" s="17" t="n">
        <f aca="false">BI263*IF($G263="wagon",62.5,781.25)</f>
        <v>135156.25</v>
      </c>
      <c r="BL263" s="17" t="n">
        <f aca="false">BJ263*IF($G263="wagon",2.73,81.25)</f>
        <v>11375</v>
      </c>
      <c r="BQ263" s="0" t="n">
        <v>1</v>
      </c>
      <c r="BU263" s="0" t="s">
        <v>957</v>
      </c>
      <c r="BV263" s="0" t="n">
        <v>6</v>
      </c>
      <c r="BW263" s="0" t="n">
        <v>205</v>
      </c>
      <c r="BZ263" s="0" t="s">
        <v>148</v>
      </c>
      <c r="CA263" s="0" t="str">
        <f aca="false">VLOOKUP(J263,Eras!$A$2:$C$10, 2, TRUE())</f>
        <v>prv</v>
      </c>
      <c r="CB263" s="0" t="s">
        <v>850</v>
      </c>
      <c r="CC263" s="0" t="str">
        <f aca="false">CONCATENATE(CA263,"_",CB263)</f>
        <v>prv_EMU (Express)</v>
      </c>
      <c r="CD263" s="0" t="str">
        <f aca="false">_xlfn.CONCAT(H263, "_",I263)</f>
        <v>electric_ELRL</v>
      </c>
      <c r="CE263" s="6" t="str">
        <f aca="false" t="array" ref="CE263:CE263">_xlfn.CONCAT("{BLACK}Length: {GOLD}", TEXT(ROUNDUP(IF(AQ263&lt;&gt;"",SUM(VALUE(_xlfn.TEXTSPLIT(AQ263, ","))), SUM(VALUE(_xlfn.TEXTSPLIT(AN263, ",")))*IF(M263, M263, 1))/16, 1), "#,##0.0"), " tiles{}")</f>
        <v>{BLACK}Length: {GOLD}5.3 tiles{}</v>
      </c>
      <c r="CF263" s="0" t="str">
        <f aca="false">VLOOKUP($CD263, Constants!$M:$N, 2, FALSE())</f>
        <v>{BLACK}Powered by: {GOLD}25kV AC</v>
      </c>
      <c r="CG263" s="0" t="str">
        <f aca="false">IF(M263&gt;1,_xlfn.CONCAT("{BLACK}Cars: {GOLD}", M263),"")</f>
        <v>{BLACK}Cars: {GOLD}6</v>
      </c>
      <c r="CH263" s="0" t="s">
        <v>953</v>
      </c>
      <c r="CI263" s="0" t="str">
        <f aca="false">IF($BU263="!param_no_gameplay_units","{GREEN}Included for gameplay purposes","")</f>
        <v/>
      </c>
      <c r="CJ263" s="0" t="str">
        <f aca="false">IF(BX263="buffet","{YELLOW}25% long distance bonus for consist{}",IF(BZ263="BRAKE","{YELLOW}Speed bonus for slow wagons{}",IF(BW263&gt;190,CONCATENATE("{YELLOW}",INT((BW263-185)/1.85),"% bonus for long distance travel{}"),IF(AND(BW263&lt;180,BW263&lt;&gt;0),CONCATENATE("{YELLOW}",INT((185-BW263)/1.85),"% penalty for long distance travel{}"),""))))</f>
        <v>{YELLOW}10% bonus for long distance travel{}</v>
      </c>
      <c r="CK263" s="0" t="str">
        <f aca="false">_xlfn.CONCAT(CF263,IF(CF263&lt;&gt;""," ",""),CG263,IF(OR(CG263&lt;&gt;"",CF263&lt;&gt;""),"{}",""),CE263,CJ263,"{SILVER}",CH263,IF(CI263&lt;&gt;"","{}{}",""),CI263)</f>
        <v>{BLACK}Powered by: {GOLD}25kV AC {BLACK}Cars: {GOLD}6{}{BLACK}Length: {GOLD}5.3 tiles{}{YELLOW}10% bonus for long distance travel{}{SILVER}The Pendolino is a tilting multiple unit with a design speed of 140mph.  The tilt system is supplied by Fiat Ferroviaria.</v>
      </c>
    </row>
    <row r="264" customFormat="false" ht="14.25" hidden="false" customHeight="false" outlineLevel="0" collapsed="false">
      <c r="A264" s="0" t="s">
        <v>948</v>
      </c>
      <c r="B264" s="15" t="s">
        <v>958</v>
      </c>
      <c r="C264" s="0" t="n">
        <v>264</v>
      </c>
      <c r="E264" s="0" t="n">
        <v>167</v>
      </c>
      <c r="F264" s="0" t="s">
        <v>143</v>
      </c>
      <c r="G264" s="0" t="s">
        <v>827</v>
      </c>
      <c r="H264" s="0" t="s">
        <v>529</v>
      </c>
      <c r="I264" s="0" t="s">
        <v>530</v>
      </c>
      <c r="J264" s="0" t="n">
        <v>2002</v>
      </c>
      <c r="M264" s="0" t="n">
        <v>4</v>
      </c>
      <c r="N264" s="0" t="n">
        <v>6840</v>
      </c>
      <c r="W264" s="0" t="n">
        <f aca="false">(466/8)*4</f>
        <v>233</v>
      </c>
      <c r="Y264" s="0" t="n">
        <v>4</v>
      </c>
      <c r="Z264" s="0" t="n">
        <v>325</v>
      </c>
      <c r="AA264" s="3" t="n">
        <f aca="false">IF(AND(W264&gt;0,Z264&gt;0),(Z264/((W264+X264)*10)),"")</f>
        <v>0.139484978540773</v>
      </c>
      <c r="AB264" s="0" t="n">
        <v>140</v>
      </c>
      <c r="AC264" s="0" t="n">
        <f aca="false">ROUND(AB264*1.6, 0)</f>
        <v>224</v>
      </c>
      <c r="AF264" s="0" t="n">
        <v>23.9</v>
      </c>
      <c r="AG264" s="0" t="n">
        <v>23.9</v>
      </c>
      <c r="AH264" s="0" t="n">
        <v>2.73</v>
      </c>
      <c r="AI264" s="0" t="n">
        <v>3.56</v>
      </c>
      <c r="AJ264" s="4" t="n">
        <v>60</v>
      </c>
      <c r="AK264" s="0" t="str">
        <f aca="false">CONCATENATE(VLOOKUP(AL264, 'Voxel Sizes'!$A$2:$B$18,2,FALSE()),"x",INT(AH264*15), "x", INT(AI264*15))</f>
        <v>238x40x53</v>
      </c>
      <c r="AL264" s="0" t="n">
        <f aca="false">ROUND(15*((AG264*10)/256),0)</f>
        <v>14</v>
      </c>
      <c r="AN264" s="0" t="str">
        <f aca="false">CONCATENATE(VLOOKUP(AL264,Constants!$A$2:$C$16,IF(AM264&lt;&gt;"", 3, 2), FALSE()),IF(AM264&lt;&gt;"",CONCATENATE(",",VLOOKUP(AM264,$B:$AN,39,FALSE())),""))</f>
        <v>4,6,4</v>
      </c>
      <c r="AR264" s="0" t="s">
        <v>959</v>
      </c>
      <c r="AT264" s="0" t="s">
        <v>947</v>
      </c>
      <c r="AU264" s="0" t="s">
        <v>949</v>
      </c>
      <c r="AX264" s="0" t="n">
        <v>29</v>
      </c>
      <c r="AY264" s="16" t="str">
        <f aca="false">IF(L264&lt;&gt;"",MAX(16,(L264-J264)+8),"")</f>
        <v/>
      </c>
      <c r="AZ264" s="0" t="n">
        <v>-15</v>
      </c>
      <c r="BA264" s="0" t="n">
        <v>-35</v>
      </c>
      <c r="BB264" s="0" t="n">
        <f aca="false">MIN(AB264/150, 1)*30</f>
        <v>28</v>
      </c>
      <c r="BC264" s="0" t="n">
        <f aca="false">MIN(N264/4000, 1)*20</f>
        <v>20</v>
      </c>
      <c r="BD264" s="0" t="n">
        <f aca="false">MIN(Z264/400,1)*20</f>
        <v>16.25</v>
      </c>
      <c r="BE264" s="3" t="n">
        <f aca="false">1-(MAX(J264-1900, 0)/750)</f>
        <v>0.864</v>
      </c>
      <c r="BF264" s="0" t="n">
        <f aca="false">((MAX($M264,1)*MIN($AJ264/300,1)))*IF(G264="Wagon",50,10)</f>
        <v>8</v>
      </c>
      <c r="BG264" s="0" t="n">
        <f aca="false">VLOOKUP($H264,Constants!$I:$K, 2, FALSE())</f>
        <v>0.85</v>
      </c>
      <c r="BH264" s="0" t="n">
        <f aca="false">VLOOKUP($H264,Constants!$I:$K, 3, FALSE())*IF(AND(G264="multiple_unit",AB264&lt;110),0.75,1)</f>
        <v>2.3</v>
      </c>
      <c r="BI264" s="0" t="n">
        <f aca="false">INT(POWER(((Constants!$G$2+$BB264+$BC264+$BD264+$BF264)*$BE264)*$BH264, 1.05))+$BA264</f>
        <v>162</v>
      </c>
      <c r="BJ264" s="0" t="n">
        <f aca="false">INT(POWER((((Constants!$G$1+$BB264+$BC264+$BD264+$BF264)*($BE264))*$BG264),IF($G264="wagon",1,1.2)))+$AZ264</f>
        <v>132</v>
      </c>
      <c r="BK264" s="17" t="n">
        <f aca="false">BI264*IF($G264="wagon",62.5,781.25)</f>
        <v>126562.5</v>
      </c>
      <c r="BL264" s="17" t="n">
        <f aca="false">BJ264*IF($G264="wagon",2.73,81.25)</f>
        <v>10725</v>
      </c>
      <c r="BQ264" s="0" t="n">
        <v>1</v>
      </c>
      <c r="BU264" s="0" t="s">
        <v>933</v>
      </c>
      <c r="BV264" s="0" t="n">
        <v>6</v>
      </c>
      <c r="BW264" s="0" t="n">
        <v>205</v>
      </c>
      <c r="BZ264" s="0" t="s">
        <v>148</v>
      </c>
      <c r="CA264" s="0" t="str">
        <f aca="false">VLOOKUP(J264,Eras!$A$2:$C$10, 2, TRUE())</f>
        <v>prv</v>
      </c>
      <c r="CB264" s="0" t="s">
        <v>850</v>
      </c>
      <c r="CC264" s="0" t="str">
        <f aca="false">CONCATENATE(CA264,"_",CB264)</f>
        <v>prv_EMU (Express)</v>
      </c>
      <c r="CD264" s="0" t="str">
        <f aca="false">_xlfn.CONCAT(H264, "_",I264)</f>
        <v>electric_ELRL</v>
      </c>
      <c r="CE264" s="6" t="str">
        <f aca="false" t="array" ref="CE264:CE264">_xlfn.CONCAT("{BLACK}Length: {GOLD}", TEXT(ROUNDUP(IF(AQ264&lt;&gt;"",SUM(VALUE(_xlfn.TEXTSPLIT(AQ264, ","))), SUM(VALUE(_xlfn.TEXTSPLIT(AN264, ",")))*IF(M264, M264, 1))/16, 1), "#,##0.0"), " tiles{}")</f>
        <v>{BLACK}Length: {GOLD}3.5 tiles{}</v>
      </c>
      <c r="CF264" s="0" t="str">
        <f aca="false">VLOOKUP($CD264, Constants!$M:$N, 2, FALSE())</f>
        <v>{BLACK}Powered by: {GOLD}25kV AC</v>
      </c>
      <c r="CG264" s="0" t="str">
        <f aca="false">IF(M264&gt;1,_xlfn.CONCAT("{BLACK}Cars: {GOLD}", M264),"")</f>
        <v>{BLACK}Cars: {GOLD}4</v>
      </c>
      <c r="CH264" s="0" t="s">
        <v>953</v>
      </c>
      <c r="CI264" s="0" t="str">
        <f aca="false">IF($BU264="!param_no_gameplay_units","{GREEN}Included for gameplay purposes","")</f>
        <v/>
      </c>
      <c r="CJ264" s="0" t="str">
        <f aca="false">IF(BX264="buffet","{YELLOW}25% long distance bonus for consist{}",IF(BZ264="BRAKE","{YELLOW}Speed bonus for slow wagons{}",IF(BW264&gt;190,CONCATENATE("{YELLOW}",INT((BW264-185)/1.85),"% bonus for long distance travel{}"),IF(AND(BW264&lt;180,BW264&lt;&gt;0),CONCATENATE("{YELLOW}",INT((185-BW264)/1.85),"% penalty for long distance travel{}"),""))))</f>
        <v>{YELLOW}10% bonus for long distance travel{}</v>
      </c>
      <c r="CK264" s="0" t="str">
        <f aca="false">_xlfn.CONCAT(CF264,IF(CF264&lt;&gt;""," ",""),CG264,IF(OR(CG264&lt;&gt;"",CF264&lt;&gt;""),"{}",""),CE264,CJ264,"{SILVER}",CH264,IF(CI264&lt;&gt;"","{}{}",""),CI264)</f>
        <v>{BLACK}Powered by: {GOLD}25kV AC {BLACK}Cars: {GOLD}4{}{BLACK}Length: {GOLD}3.5 tiles{}{YELLOW}10% bonus for long distance travel{}{SILVER}The Pendolino is a tilting multiple unit with a design speed of 140mph.  The tilt system is supplied by Fiat Ferroviaria.</v>
      </c>
    </row>
    <row r="265" customFormat="false" ht="14.25" hidden="false" customHeight="false" outlineLevel="0" collapsed="false">
      <c r="A265" s="0" t="s">
        <v>960</v>
      </c>
      <c r="B265" s="15" t="s">
        <v>961</v>
      </c>
      <c r="C265" s="0" t="n">
        <v>265</v>
      </c>
      <c r="E265" s="0" t="n">
        <v>168</v>
      </c>
      <c r="F265" s="0" t="s">
        <v>143</v>
      </c>
      <c r="G265" s="0" t="s">
        <v>827</v>
      </c>
      <c r="H265" s="0" t="s">
        <v>670</v>
      </c>
      <c r="I265" s="0" t="s">
        <v>92</v>
      </c>
      <c r="J265" s="0" t="n">
        <v>2002</v>
      </c>
      <c r="M265" s="0" t="n">
        <v>4</v>
      </c>
      <c r="N265" s="0" t="n">
        <v>3000</v>
      </c>
      <c r="W265" s="0" t="n">
        <v>185.6</v>
      </c>
      <c r="Y265" s="0" t="n">
        <v>5</v>
      </c>
      <c r="Z265" s="0" t="n">
        <v>185</v>
      </c>
      <c r="AA265" s="3" t="n">
        <f aca="false">IF(AND(W265&gt;0,Z265&gt;0),(Z265/((W265+X265)*10)),"")</f>
        <v>0.099676724137931</v>
      </c>
      <c r="AB265" s="0" t="n">
        <v>125</v>
      </c>
      <c r="AC265" s="0" t="n">
        <f aca="false">ROUND(AB265*1.6, 0)</f>
        <v>200</v>
      </c>
      <c r="AF265" s="0" t="n">
        <v>23.8</v>
      </c>
      <c r="AG265" s="0" t="n">
        <v>23.8</v>
      </c>
      <c r="AH265" s="0" t="n">
        <v>2.73</v>
      </c>
      <c r="AJ265" s="4" t="n">
        <v>51</v>
      </c>
      <c r="AK265" s="0" t="str">
        <f aca="false">CONCATENATE(VLOOKUP(AL265, 'Voxel Sizes'!$A$2:$B$18,2,FALSE()),"x",INT(AH265*15), "x", INT(AI265*15))</f>
        <v>238x40x0</v>
      </c>
      <c r="AL265" s="0" t="n">
        <f aca="false">ROUND(15*((AG265*10)/256),0)</f>
        <v>14</v>
      </c>
      <c r="AN265" s="0" t="str">
        <f aca="false">CONCATENATE(VLOOKUP(AL265,Constants!$A$2:$C$16,IF(AM265&lt;&gt;"", 3, 2), FALSE()),IF(AM265&lt;&gt;"",CONCATENATE(",",VLOOKUP(AM265,$B:$AN,39,FALSE())),""))</f>
        <v>4,6,4</v>
      </c>
      <c r="AR265" s="0" t="s">
        <v>962</v>
      </c>
      <c r="AT265" s="0" t="s">
        <v>855</v>
      </c>
      <c r="AX265" s="0" t="n">
        <v>29</v>
      </c>
      <c r="AY265" s="16" t="str">
        <f aca="false">IF(L265&lt;&gt;"",MAX(16,(L265-J265)+8),"")</f>
        <v/>
      </c>
      <c r="AZ265" s="0" t="n">
        <v>-15</v>
      </c>
      <c r="BA265" s="0" t="n">
        <v>-35</v>
      </c>
      <c r="BB265" s="0" t="n">
        <f aca="false">MIN(AB265/150, 1)*30</f>
        <v>25</v>
      </c>
      <c r="BC265" s="0" t="n">
        <f aca="false">MIN(N265/4000, 1)*20</f>
        <v>15</v>
      </c>
      <c r="BD265" s="0" t="n">
        <f aca="false">MIN(Z265/400,1)*20</f>
        <v>9.25</v>
      </c>
      <c r="BE265" s="3" t="n">
        <f aca="false">1-(MAX(J265-1900, 0)/750)</f>
        <v>0.864</v>
      </c>
      <c r="BF265" s="0" t="n">
        <f aca="false">((MAX($M265,1)*MIN($AJ265/300,1)))*IF(G265="Wagon",50,10)</f>
        <v>6.8</v>
      </c>
      <c r="BG265" s="0" t="n">
        <f aca="false">VLOOKUP($H265,Constants!$I:$K, 2, FALSE())</f>
        <v>1</v>
      </c>
      <c r="BH265" s="0" t="n">
        <f aca="false">VLOOKUP($H265,Constants!$I:$K, 3, FALSE())*IF(AND(G265="multiple_unit",AB265&lt;110),0.75,1)</f>
        <v>2</v>
      </c>
      <c r="BI265" s="0" t="n">
        <f aca="false">INT(POWER(((Constants!$G$2+$BB265+$BC265+$BD265+$BF265)*$BE265)*$BH265, 1.05))+$BA265</f>
        <v>98</v>
      </c>
      <c r="BJ265" s="0" t="n">
        <f aca="false">INT(POWER((((Constants!$G$1+$BB265+$BC265+$BD265+$BF265)*($BE265))*$BG265),IF($G265="wagon",1,1.2)))+$AZ265</f>
        <v>124</v>
      </c>
      <c r="BK265" s="17" t="n">
        <f aca="false">BI265*IF($G265="wagon",62.5,781.25)</f>
        <v>76562.5</v>
      </c>
      <c r="BL265" s="17" t="n">
        <f aca="false">BJ265*IF($G265="wagon",2.73,81.25)</f>
        <v>10075</v>
      </c>
      <c r="BV265" s="0" t="n">
        <v>9</v>
      </c>
      <c r="BW265" s="0" t="n">
        <v>205</v>
      </c>
      <c r="BZ265" s="0" t="s">
        <v>148</v>
      </c>
      <c r="CA265" s="0" t="str">
        <f aca="false">VLOOKUP(J265,Eras!$A$2:$C$10, 2, TRUE())</f>
        <v>prv</v>
      </c>
      <c r="CB265" s="0" t="s">
        <v>882</v>
      </c>
      <c r="CC265" s="0" t="str">
        <f aca="false">CONCATENATE(CA265,"_",CB265)</f>
        <v>prv_DMU (Express)</v>
      </c>
      <c r="CD265" s="0" t="str">
        <f aca="false">_xlfn.CONCAT(H265, "_",I265)</f>
        <v>diesel_RAIL</v>
      </c>
      <c r="CE265" s="6" t="str">
        <f aca="false" t="array" ref="CE265:CE265">_xlfn.CONCAT("{BLACK}Length: {GOLD}", TEXT(ROUNDUP(IF(AQ265&lt;&gt;"",SUM(VALUE(_xlfn.TEXTSPLIT(AQ265, ","))), SUM(VALUE(_xlfn.TEXTSPLIT(AN265, ",")))*IF(M265, M265, 1))/16, 1), "#,##0.0"), " tiles{}")</f>
        <v>{BLACK}Length: {GOLD}3.5 tiles{}</v>
      </c>
      <c r="CF265" s="0" t="str">
        <f aca="false">VLOOKUP($CD265, Constants!$M:$N, 2, FALSE())</f>
        <v>{BLACK}Powered by: {GOLD}Diesel</v>
      </c>
      <c r="CG265" s="0" t="str">
        <f aca="false">IF(M265&gt;1,_xlfn.CONCAT("{BLACK}Cars: {GOLD}", M265),"")</f>
        <v>{BLACK}Cars: {GOLD}4</v>
      </c>
      <c r="CH265" s="0" t="s">
        <v>963</v>
      </c>
      <c r="CI265" s="0" t="str">
        <f aca="false">IF($BU265="!param_no_gameplay_units","{GREEN}Included for gameplay purposes","")</f>
        <v/>
      </c>
      <c r="CJ265" s="0" t="str">
        <f aca="false">IF(BX265="buffet","{YELLOW}25% long distance bonus for consist{}",IF(BZ265="BRAKE","{YELLOW}Speed bonus for slow wagons{}",IF(BW265&gt;190,CONCATENATE("{YELLOW}",INT((BW265-185)/1.85),"% bonus for long distance travel{}"),IF(AND(BW265&lt;180,BW265&lt;&gt;0),CONCATENATE("{YELLOW}",INT((185-BW265)/1.85),"% penalty for long distance travel{}"),""))))</f>
        <v>{YELLOW}10% bonus for long distance travel{}</v>
      </c>
      <c r="CK265" s="0" t="str">
        <f aca="false">_xlfn.CONCAT(CF265,IF(CF265&lt;&gt;""," ",""),CG265,IF(OR(CG265&lt;&gt;"",CF265&lt;&gt;""),"{}",""),CE265,CJ265,"{SILVER}",CH265,IF(CI265&lt;&gt;"","{}{}",""),CI265)</f>
        <v>{BLACK}Powered by: {GOLD}Diesel {BLACK}Cars: {GOLD}4{}{BLACK}Length: {GOLD}3.5 tiles{}{YELLOW}10% bonus for long distance travel{}{SILVER}The Voyager is a high speed diesel multiple unit, built to replace both the HST and locomotive-hauled passenger services on the Cross Country route.</v>
      </c>
    </row>
    <row r="266" customFormat="false" ht="14.25" hidden="false" customHeight="false" outlineLevel="0" collapsed="false">
      <c r="A266" s="0" t="s">
        <v>964</v>
      </c>
      <c r="B266" s="15" t="s">
        <v>965</v>
      </c>
      <c r="C266" s="0" t="n">
        <v>266</v>
      </c>
      <c r="E266" s="0" t="n">
        <v>169</v>
      </c>
      <c r="F266" s="0" t="s">
        <v>143</v>
      </c>
      <c r="G266" s="0" t="s">
        <v>827</v>
      </c>
      <c r="H266" s="0" t="s">
        <v>670</v>
      </c>
      <c r="I266" s="0" t="s">
        <v>92</v>
      </c>
      <c r="J266" s="0" t="n">
        <v>2002</v>
      </c>
      <c r="M266" s="0" t="n">
        <v>5</v>
      </c>
      <c r="N266" s="0" t="n">
        <f aca="false">750*5</f>
        <v>3750</v>
      </c>
      <c r="W266" s="0" t="n">
        <v>282</v>
      </c>
      <c r="Y266" s="0" t="n">
        <v>5</v>
      </c>
      <c r="Z266" s="0" t="n">
        <v>270</v>
      </c>
      <c r="AA266" s="3" t="n">
        <f aca="false">IF(AND(W266&gt;0,Z266&gt;0),(Z266/((W266+X266)*10)),"")</f>
        <v>0.0957446808510638</v>
      </c>
      <c r="AB266" s="0" t="n">
        <v>125</v>
      </c>
      <c r="AC266" s="0" t="n">
        <f aca="false">ROUND(AB266*1.6, 0)</f>
        <v>200</v>
      </c>
      <c r="AF266" s="0" t="n">
        <v>23.8</v>
      </c>
      <c r="AG266" s="0" t="n">
        <v>23.8</v>
      </c>
      <c r="AH266" s="0" t="n">
        <v>2.73</v>
      </c>
      <c r="AJ266" s="4" t="n">
        <v>51</v>
      </c>
      <c r="AK266" s="0" t="str">
        <f aca="false">CONCATENATE(VLOOKUP(AL266, 'Voxel Sizes'!$A$2:$B$18,2,FALSE()),"x",INT(AH266*15), "x", INT(AI266*15))</f>
        <v>238x40x0</v>
      </c>
      <c r="AL266" s="0" t="n">
        <f aca="false">ROUND(15*((AG266*10)/256),0)</f>
        <v>14</v>
      </c>
      <c r="AN266" s="0" t="str">
        <f aca="false">CONCATENATE(VLOOKUP(AL266,Constants!$A$2:$C$16,IF(AM266&lt;&gt;"", 3, 2), FALSE()),IF(AM266&lt;&gt;"",CONCATENATE(",",VLOOKUP(AM266,$B:$AN,39,FALSE())),""))</f>
        <v>4,6,4</v>
      </c>
      <c r="AR266" s="0" t="s">
        <v>966</v>
      </c>
      <c r="AT266" s="0" t="s">
        <v>931</v>
      </c>
      <c r="AU266" s="0" t="s">
        <v>961</v>
      </c>
      <c r="AX266" s="0" t="n">
        <v>29</v>
      </c>
      <c r="AY266" s="16" t="str">
        <f aca="false">IF(L266&lt;&gt;"",MAX(16,(L266-J266)+8),"")</f>
        <v/>
      </c>
      <c r="AZ266" s="0" t="n">
        <v>-15</v>
      </c>
      <c r="BA266" s="0" t="n">
        <v>-35</v>
      </c>
      <c r="BB266" s="0" t="n">
        <f aca="false">MIN(AB266/150, 1)*30</f>
        <v>25</v>
      </c>
      <c r="BC266" s="0" t="n">
        <f aca="false">MIN(N266/4000, 1)*20</f>
        <v>18.75</v>
      </c>
      <c r="BD266" s="0" t="n">
        <f aca="false">MIN(Z266/400,1)*20</f>
        <v>13.5</v>
      </c>
      <c r="BE266" s="3" t="n">
        <f aca="false">1-(MAX(J266-1900, 0)/750)</f>
        <v>0.864</v>
      </c>
      <c r="BF266" s="0" t="n">
        <f aca="false">((MAX($M266,1)*MIN($AJ266/300,1)))*IF(G266="Wagon",50,10)</f>
        <v>8.5</v>
      </c>
      <c r="BG266" s="0" t="n">
        <f aca="false">VLOOKUP($H266,Constants!$I:$K, 2, FALSE())</f>
        <v>1</v>
      </c>
      <c r="BH266" s="0" t="n">
        <f aca="false">VLOOKUP($H266,Constants!$I:$K, 3, FALSE())*IF(AND(G266="multiple_unit",AB266&lt;110),0.75,1)</f>
        <v>2</v>
      </c>
      <c r="BI266" s="0" t="n">
        <f aca="false">INT(POWER(((Constants!$G$2+$BB266+$BC266+$BD266+$BF266)*$BE266)*$BH266, 1.05))+$BA266</f>
        <v>120</v>
      </c>
      <c r="BJ266" s="0" t="n">
        <f aca="false">INT(POWER((((Constants!$G$1+$BB266+$BC266+$BD266+$BF266)*($BE266))*$BG266),IF($G266="wagon",1,1.2)))+$AZ266</f>
        <v>148</v>
      </c>
      <c r="BK266" s="17" t="n">
        <f aca="false">BI266*IF($G266="wagon",62.5,781.25)</f>
        <v>93750</v>
      </c>
      <c r="BL266" s="17" t="n">
        <f aca="false">BJ266*IF($G266="wagon",2.73,81.25)</f>
        <v>12025</v>
      </c>
      <c r="BQ266" s="0" t="n">
        <v>1</v>
      </c>
      <c r="BU266" s="0" t="s">
        <v>927</v>
      </c>
      <c r="BV266" s="0" t="n">
        <v>10</v>
      </c>
      <c r="BW266" s="0" t="n">
        <v>205</v>
      </c>
      <c r="BZ266" s="0" t="s">
        <v>148</v>
      </c>
      <c r="CA266" s="0" t="str">
        <f aca="false">VLOOKUP(J266,Eras!$A$2:$C$10, 2, TRUE())</f>
        <v>prv</v>
      </c>
      <c r="CB266" s="0" t="s">
        <v>882</v>
      </c>
      <c r="CC266" s="0" t="str">
        <f aca="false">CONCATENATE(CA266,"_",CB266)</f>
        <v>prv_DMU (Express)</v>
      </c>
      <c r="CD266" s="0" t="str">
        <f aca="false">_xlfn.CONCAT(H266, "_",I266)</f>
        <v>diesel_RAIL</v>
      </c>
      <c r="CE266" s="6" t="str">
        <f aca="false" t="array" ref="CE266:CE266">_xlfn.CONCAT("{BLACK}Length: {GOLD}", TEXT(ROUNDUP(IF(AQ266&lt;&gt;"",SUM(VALUE(_xlfn.TEXTSPLIT(AQ266, ","))), SUM(VALUE(_xlfn.TEXTSPLIT(AN266, ",")))*IF(M266, M266, 1))/16, 1), "#,##0.0"), " tiles{}")</f>
        <v>{BLACK}Length: {GOLD}4.4 tiles{}</v>
      </c>
      <c r="CF266" s="0" t="str">
        <f aca="false">VLOOKUP($CD266, Constants!$M:$N, 2, FALSE())</f>
        <v>{BLACK}Powered by: {GOLD}Diesel</v>
      </c>
      <c r="CG266" s="0" t="str">
        <f aca="false">IF(M266&gt;1,_xlfn.CONCAT("{BLACK}Cars: {GOLD}", M266),"")</f>
        <v>{BLACK}Cars: {GOLD}5</v>
      </c>
      <c r="CH266" s="0" t="s">
        <v>967</v>
      </c>
      <c r="CI266" s="0" t="str">
        <f aca="false">IF($BU266="!param_no_gameplay_units","{GREEN}Included for gameplay purposes","")</f>
        <v/>
      </c>
      <c r="CJ266" s="0" t="str">
        <f aca="false">IF(BX266="buffet","{YELLOW}25% long distance bonus for consist{}",IF(BZ266="BRAKE","{YELLOW}Speed bonus for slow wagons{}",IF(BW266&gt;190,CONCATENATE("{YELLOW}",INT((BW266-185)/1.85),"% bonus for long distance travel{}"),IF(AND(BW266&lt;180,BW266&lt;&gt;0),CONCATENATE("{YELLOW}",INT((185-BW266)/1.85),"% penalty for long distance travel{}"),""))))</f>
        <v>{YELLOW}10% bonus for long distance travel{}</v>
      </c>
      <c r="CK266" s="0" t="str">
        <f aca="false">_xlfn.CONCAT(CF266,IF(CF266&lt;&gt;""," ",""),CG266,IF(OR(CG266&lt;&gt;"",CF266&lt;&gt;""),"{}",""),CE266,CJ266,"{SILVER}",CH266,IF(CI266&lt;&gt;"","{}{}",""),CI266)</f>
        <v>{BLACK}Powered by: {GOLD}Diesel {BLACK}Cars: {GOLD}5{}{BLACK}Length: {GOLD}4.4 tiles{}{YELLOW}10% bonus for long distance travel{}{SILVER}The Class 221 is outwardly very similar to the Class 220, but internally it has different bogies and features a tilt mechanism for faster cornering.</v>
      </c>
    </row>
    <row r="267" customFormat="false" ht="14.25" hidden="false" customHeight="false" outlineLevel="0" collapsed="false">
      <c r="A267" s="0" t="s">
        <v>964</v>
      </c>
      <c r="B267" s="15" t="s">
        <v>968</v>
      </c>
      <c r="C267" s="0" t="n">
        <v>267</v>
      </c>
      <c r="E267" s="0" t="n">
        <v>170</v>
      </c>
      <c r="F267" s="0" t="s">
        <v>143</v>
      </c>
      <c r="G267" s="0" t="s">
        <v>827</v>
      </c>
      <c r="H267" s="0" t="s">
        <v>670</v>
      </c>
      <c r="I267" s="0" t="s">
        <v>92</v>
      </c>
      <c r="J267" s="0" t="n">
        <v>2002</v>
      </c>
      <c r="M267" s="0" t="n">
        <v>4</v>
      </c>
      <c r="N267" s="0" t="n">
        <f aca="false">750*5</f>
        <v>3750</v>
      </c>
      <c r="W267" s="0" t="n">
        <f aca="false">282/5*4</f>
        <v>225.6</v>
      </c>
      <c r="Y267" s="0" t="n">
        <v>5</v>
      </c>
      <c r="Z267" s="0" t="n">
        <v>270</v>
      </c>
      <c r="AA267" s="3" t="n">
        <f aca="false">IF(AND(W267&gt;0,Z267&gt;0),(Z267/((W267+X267)*10)),"")</f>
        <v>0.11968085106383</v>
      </c>
      <c r="AB267" s="0" t="n">
        <v>125</v>
      </c>
      <c r="AC267" s="0" t="n">
        <f aca="false">ROUND(AB267*1.6, 0)</f>
        <v>200</v>
      </c>
      <c r="AF267" s="0" t="n">
        <v>23.8</v>
      </c>
      <c r="AG267" s="0" t="n">
        <v>23.8</v>
      </c>
      <c r="AH267" s="0" t="n">
        <v>2.73</v>
      </c>
      <c r="AJ267" s="4" t="n">
        <v>51</v>
      </c>
      <c r="AK267" s="0" t="str">
        <f aca="false">CONCATENATE(VLOOKUP(AL267, 'Voxel Sizes'!$A$2:$B$18,2,FALSE()),"x",INT(AH267*15), "x", INT(AI267*15))</f>
        <v>238x40x0</v>
      </c>
      <c r="AL267" s="0" t="n">
        <f aca="false">ROUND(15*((AG267*10)/256),0)</f>
        <v>14</v>
      </c>
      <c r="AN267" s="0" t="str">
        <f aca="false">CONCATENATE(VLOOKUP(AL267,Constants!$A$2:$C$16,IF(AM267&lt;&gt;"", 3, 2), FALSE()),IF(AM267&lt;&gt;"",CONCATENATE(",",VLOOKUP(AM267,$B:$AN,39,FALSE())),""))</f>
        <v>4,6,4</v>
      </c>
      <c r="AR267" s="0" t="s">
        <v>962</v>
      </c>
      <c r="AT267" s="0" t="s">
        <v>947</v>
      </c>
      <c r="AU267" s="0" t="s">
        <v>961</v>
      </c>
      <c r="AX267" s="0" t="n">
        <v>29</v>
      </c>
      <c r="AY267" s="16" t="str">
        <f aca="false">IF(L267&lt;&gt;"",MAX(16,(L267-J267)+8),"")</f>
        <v/>
      </c>
      <c r="AZ267" s="0" t="n">
        <v>-15</v>
      </c>
      <c r="BA267" s="0" t="n">
        <v>-35</v>
      </c>
      <c r="BB267" s="0" t="n">
        <f aca="false">MIN(AB267/150, 1)*30</f>
        <v>25</v>
      </c>
      <c r="BC267" s="0" t="n">
        <f aca="false">MIN(N267/4000, 1)*20</f>
        <v>18.75</v>
      </c>
      <c r="BD267" s="0" t="n">
        <f aca="false">MIN(Z267/400,1)*20</f>
        <v>13.5</v>
      </c>
      <c r="BE267" s="3" t="n">
        <f aca="false">1-(MAX(J267-1900, 0)/750)</f>
        <v>0.864</v>
      </c>
      <c r="BF267" s="0" t="n">
        <f aca="false">((MAX($M267,1)*MIN($AJ267/300,1)))*IF(G267="Wagon",50,10)</f>
        <v>6.8</v>
      </c>
      <c r="BG267" s="0" t="n">
        <f aca="false">VLOOKUP($H267,Constants!$I:$K, 2, FALSE())</f>
        <v>1</v>
      </c>
      <c r="BH267" s="0" t="n">
        <f aca="false">VLOOKUP($H267,Constants!$I:$K, 3, FALSE())*IF(AND(G267="multiple_unit",AB267&lt;110),0.75,1)</f>
        <v>2</v>
      </c>
      <c r="BI267" s="0" t="n">
        <f aca="false">INT(POWER(((Constants!$G$2+$BB267+$BC267+$BD267+$BF267)*$BE267)*$BH267, 1.05))+$BA267</f>
        <v>116</v>
      </c>
      <c r="BJ267" s="0" t="n">
        <f aca="false">INT(POWER((((Constants!$G$1+$BB267+$BC267+$BD267+$BF267)*($BE267))*$BG267),IF($G267="wagon",1,1.2)))+$AZ267</f>
        <v>143</v>
      </c>
      <c r="BK267" s="17" t="n">
        <f aca="false">BI267*IF($G267="wagon",62.5,781.25)</f>
        <v>90625</v>
      </c>
      <c r="BL267" s="17" t="n">
        <f aca="false">BJ267*IF($G267="wagon",2.73,81.25)</f>
        <v>11618.75</v>
      </c>
      <c r="BQ267" s="0" t="n">
        <v>1</v>
      </c>
      <c r="BU267" s="0" t="s">
        <v>933</v>
      </c>
      <c r="BV267" s="0" t="n">
        <v>10</v>
      </c>
      <c r="BW267" s="0" t="n">
        <v>205</v>
      </c>
      <c r="BZ267" s="0" t="s">
        <v>148</v>
      </c>
      <c r="CA267" s="0" t="str">
        <f aca="false">VLOOKUP(J267,Eras!$A$2:$C$10, 2, TRUE())</f>
        <v>prv</v>
      </c>
      <c r="CB267" s="0" t="s">
        <v>882</v>
      </c>
      <c r="CC267" s="0" t="str">
        <f aca="false">CONCATENATE(CA267,"_",CB267)</f>
        <v>prv_DMU (Express)</v>
      </c>
      <c r="CD267" s="0" t="str">
        <f aca="false">_xlfn.CONCAT(H267, "_",I267)</f>
        <v>diesel_RAIL</v>
      </c>
      <c r="CE267" s="6" t="str">
        <f aca="false" t="array" ref="CE267:CE267">_xlfn.CONCAT("{BLACK}Length: {GOLD}", TEXT(ROUNDUP(IF(AQ267&lt;&gt;"",SUM(VALUE(_xlfn.TEXTSPLIT(AQ267, ","))), SUM(VALUE(_xlfn.TEXTSPLIT(AN267, ",")))*IF(M267, M267, 1))/16, 1), "#,##0.0"), " tiles{}")</f>
        <v>{BLACK}Length: {GOLD}3.5 tiles{}</v>
      </c>
      <c r="CF267" s="0" t="str">
        <f aca="false">VLOOKUP($CD267, Constants!$M:$N, 2, FALSE())</f>
        <v>{BLACK}Powered by: {GOLD}Diesel</v>
      </c>
      <c r="CG267" s="0" t="str">
        <f aca="false">IF(M267&gt;1,_xlfn.CONCAT("{BLACK}Cars: {GOLD}", M267),"")</f>
        <v>{BLACK}Cars: {GOLD}4</v>
      </c>
      <c r="CH267" s="0" t="s">
        <v>967</v>
      </c>
      <c r="CI267" s="0" t="str">
        <f aca="false">IF($BU267="!param_no_gameplay_units","{GREEN}Included for gameplay purposes","")</f>
        <v/>
      </c>
      <c r="CJ267" s="0" t="str">
        <f aca="false">IF(BX267="buffet","{YELLOW}25% long distance bonus for consist{}",IF(BZ267="BRAKE","{YELLOW}Speed bonus for slow wagons{}",IF(BW267&gt;190,CONCATENATE("{YELLOW}",INT((BW267-185)/1.85),"% bonus for long distance travel{}"),IF(AND(BW267&lt;180,BW267&lt;&gt;0),CONCATENATE("{YELLOW}",INT((185-BW267)/1.85),"% penalty for long distance travel{}"),""))))</f>
        <v>{YELLOW}10% bonus for long distance travel{}</v>
      </c>
      <c r="CK267" s="0" t="str">
        <f aca="false">_xlfn.CONCAT(CF267,IF(CF267&lt;&gt;""," ",""),CG267,IF(OR(CG267&lt;&gt;"",CF267&lt;&gt;""),"{}",""),CE267,CJ267,"{SILVER}",CH267,IF(CI267&lt;&gt;"","{}{}",""),CI267)</f>
        <v>{BLACK}Powered by: {GOLD}Diesel {BLACK}Cars: {GOLD}4{}{BLACK}Length: {GOLD}3.5 tiles{}{YELLOW}10% bonus for long distance travel{}{SILVER}The Class 221 is outwardly very similar to the Class 220, but internally it has different bogies and features a tilt mechanism for faster cornering.</v>
      </c>
    </row>
    <row r="268" customFormat="false" ht="14.25" hidden="false" customHeight="false" outlineLevel="0" collapsed="false">
      <c r="A268" s="0" t="s">
        <v>969</v>
      </c>
      <c r="B268" s="15" t="s">
        <v>970</v>
      </c>
      <c r="C268" s="0" t="n">
        <v>268</v>
      </c>
      <c r="E268" s="0" t="n">
        <v>171</v>
      </c>
      <c r="F268" s="0" t="s">
        <v>143</v>
      </c>
      <c r="G268" s="0" t="s">
        <v>827</v>
      </c>
      <c r="H268" s="0" t="s">
        <v>529</v>
      </c>
      <c r="I268" s="0" t="s">
        <v>530</v>
      </c>
      <c r="J268" s="0" t="n">
        <v>2002</v>
      </c>
      <c r="K268" s="0" t="n">
        <v>2006</v>
      </c>
      <c r="M268" s="0" t="n">
        <v>4</v>
      </c>
      <c r="N268" s="0" t="n">
        <v>2080</v>
      </c>
      <c r="W268" s="0" t="n">
        <v>170</v>
      </c>
      <c r="Y268" s="0" t="n">
        <v>5</v>
      </c>
      <c r="Z268" s="0" t="n">
        <v>180</v>
      </c>
      <c r="AA268" s="3" t="n">
        <f aca="false">IF(AND(W268&gt;0,Z268&gt;0),(Z268/((W268+X268)*10)),"")</f>
        <v>0.105882352941176</v>
      </c>
      <c r="AB268" s="0" t="n">
        <v>100</v>
      </c>
      <c r="AC268" s="0" t="n">
        <f aca="false">ROUND(AB268*1.6, 0)</f>
        <v>160</v>
      </c>
      <c r="AF268" s="0" t="n">
        <v>20.4</v>
      </c>
      <c r="AG268" s="0" t="n">
        <v>20.4</v>
      </c>
      <c r="AH268" s="0" t="n">
        <v>2.8</v>
      </c>
      <c r="AJ268" s="4" t="n">
        <v>69</v>
      </c>
      <c r="AK268" s="0" t="str">
        <f aca="false">CONCATENATE(VLOOKUP(AL268, 'Voxel Sizes'!$A$2:$B$18,2,FALSE()),"x",INT(AH268*15), "x", INT(AI268*15))</f>
        <v>198x42x0</v>
      </c>
      <c r="AL268" s="0" t="n">
        <f aca="false">ROUND(15*((AG268*10)/256),0)</f>
        <v>12</v>
      </c>
      <c r="AN268" s="0" t="str">
        <f aca="false">CONCATENATE(VLOOKUP(AL268,Constants!$A$2:$C$16,IF(AM268&lt;&gt;"", 3, 2), FALSE()),IF(AM268&lt;&gt;"",CONCATENATE(",",VLOOKUP(AM268,$B:$AN,39,FALSE())),""))</f>
        <v>4,4,4</v>
      </c>
      <c r="AR268" s="0" t="s">
        <v>971</v>
      </c>
      <c r="AT268" s="0" t="s">
        <v>881</v>
      </c>
      <c r="AX268" s="0" t="n">
        <v>28</v>
      </c>
      <c r="AY268" s="16" t="str">
        <f aca="false">IF(L268&lt;&gt;"",MAX(16,(L268-J268)+8),"")</f>
        <v/>
      </c>
      <c r="AZ268" s="0" t="n">
        <v>-15</v>
      </c>
      <c r="BA268" s="0" t="n">
        <v>-30</v>
      </c>
      <c r="BB268" s="0" t="n">
        <f aca="false">MIN(AB268/150, 1)*30</f>
        <v>20</v>
      </c>
      <c r="BC268" s="0" t="n">
        <f aca="false">MIN(N268/4000, 1)*20</f>
        <v>10.4</v>
      </c>
      <c r="BD268" s="0" t="n">
        <f aca="false">MIN(Z268/400,1)*20</f>
        <v>9</v>
      </c>
      <c r="BE268" s="3" t="n">
        <f aca="false">1-(MAX(J268-1900, 0)/750)</f>
        <v>0.864</v>
      </c>
      <c r="BF268" s="0" t="n">
        <f aca="false">((MAX($M268,1)*MIN($AJ268/300,1)))*IF(G268="Wagon",50,10)</f>
        <v>9.2</v>
      </c>
      <c r="BG268" s="0" t="n">
        <f aca="false">VLOOKUP($H268,Constants!$I:$K, 2, FALSE())</f>
        <v>0.85</v>
      </c>
      <c r="BH268" s="0" t="n">
        <f aca="false">VLOOKUP($H268,Constants!$I:$K, 3, FALSE())*IF(AND(G268="multiple_unit",AB268&lt;110),0.75,1)</f>
        <v>1.725</v>
      </c>
      <c r="BI268" s="0" t="n">
        <f aca="false">INT(POWER(((Constants!$G$2+$BB268+$BC268+$BD268+$BF268)*$BE268)*$BH268, 1.05))+$BA268</f>
        <v>69</v>
      </c>
      <c r="BJ268" s="0" t="n">
        <f aca="false">INT(POWER((((Constants!$G$1+$BB268+$BC268+$BD268+$BF268)*($BE268))*$BG268),IF($G268="wagon",1,1.2)))+$AZ268</f>
        <v>85</v>
      </c>
      <c r="BK268" s="17" t="n">
        <f aca="false">BI268*IF($G268="wagon",62.5,781.25)</f>
        <v>53906.25</v>
      </c>
      <c r="BL268" s="17" t="n">
        <f aca="false">BJ268*IF($G268="wagon",2.73,81.25)</f>
        <v>6906.25</v>
      </c>
      <c r="BV268" s="0" t="n">
        <v>3</v>
      </c>
      <c r="BW268" s="0" t="n">
        <v>185</v>
      </c>
      <c r="BZ268" s="0" t="s">
        <v>148</v>
      </c>
      <c r="CA268" s="0" t="str">
        <f aca="false">VLOOKUP(J268,Eras!$A$2:$C$10, 2, TRUE())</f>
        <v>prv</v>
      </c>
      <c r="CB268" s="0" t="s">
        <v>844</v>
      </c>
      <c r="CC268" s="0" t="str">
        <f aca="false">CONCATENATE(CA268,"_",CB268)</f>
        <v>prv_EMU</v>
      </c>
      <c r="CD268" s="0" t="str">
        <f aca="false">_xlfn.CONCAT(H268, "_",I268)</f>
        <v>electric_ELRL</v>
      </c>
      <c r="CE268" s="6" t="str">
        <f aca="false" t="array" ref="CE268:CE268">_xlfn.CONCAT("{BLACK}Length: {GOLD}", TEXT(ROUNDUP(IF(AQ268&lt;&gt;"",SUM(VALUE(_xlfn.TEXTSPLIT(AQ268, ","))), SUM(VALUE(_xlfn.TEXTSPLIT(AN268, ",")))*IF(M268, M268, 1))/16, 1), "#,##0.0"), " tiles{}")</f>
        <v>{BLACK}Length: {GOLD}3.0 tiles{}</v>
      </c>
      <c r="CF268" s="0" t="str">
        <f aca="false">VLOOKUP($CD268, Constants!$M:$N, 2, FALSE())</f>
        <v>{BLACK}Powered by: {GOLD}25kV AC</v>
      </c>
      <c r="CG268" s="0" t="str">
        <f aca="false">IF(M268&gt;1,_xlfn.CONCAT("{BLACK}Cars: {GOLD}", M268),"")</f>
        <v>{BLACK}Cars: {GOLD}4</v>
      </c>
      <c r="CH268" s="0" t="s">
        <v>972</v>
      </c>
      <c r="CI268" s="0" t="str">
        <f aca="false">IF($BU268="!param_no_gameplay_units","{GREEN}Included for gameplay purposes","")</f>
        <v/>
      </c>
      <c r="CJ268" s="0" t="str">
        <f aca="false">IF(BX268="buffet","{YELLOW}25% long distance bonus for consist{}",IF(BZ268="BRAKE","{YELLOW}Speed bonus for slow wagons{}",IF(BW268&gt;190,CONCATENATE("{YELLOW}",INT((BW268-185)/1.85),"% bonus for long distance travel{}"),IF(AND(BW268&lt;180,BW268&lt;&gt;0),CONCATENATE("{YELLOW}",INT((185-BW268)/1.85),"% penalty for long distance travel{}"),""))))</f>
        <v/>
      </c>
      <c r="CK268" s="0" t="str">
        <f aca="false">_xlfn.CONCAT(CF268,IF(CF268&lt;&gt;""," ",""),CG268,IF(OR(CG268&lt;&gt;"",CF268&lt;&gt;""),"{}",""),CE268,CJ268,"{SILVER}",CH268,IF(CI268&lt;&gt;"","{}{}",""),CI268)</f>
        <v>{BLACK}Powered by: {GOLD}25kV AC {BLACK}Cars: {GOLD}4{}{BLACK}Length: {GOLD}3.0 tiles{}{SILVER}The Class 360 is an AC version of the Desiro family of units, ordered to replace slam-door stock on the Great Eastern Main Line.</v>
      </c>
    </row>
    <row r="269" customFormat="false" ht="14.25" hidden="false" customHeight="false" outlineLevel="0" collapsed="false">
      <c r="A269" s="0" t="s">
        <v>973</v>
      </c>
      <c r="B269" s="15" t="s">
        <v>974</v>
      </c>
      <c r="C269" s="0" t="n">
        <v>269</v>
      </c>
      <c r="E269" s="0" t="n">
        <v>172</v>
      </c>
      <c r="F269" s="0" t="s">
        <v>143</v>
      </c>
      <c r="G269" s="0" t="s">
        <v>827</v>
      </c>
      <c r="H269" s="0" t="s">
        <v>801</v>
      </c>
      <c r="I269" s="0" t="s">
        <v>802</v>
      </c>
      <c r="J269" s="0" t="n">
        <v>2003</v>
      </c>
      <c r="M269" s="0" t="n">
        <v>4</v>
      </c>
      <c r="N269" s="0" t="n">
        <v>1600</v>
      </c>
      <c r="W269" s="0" t="n">
        <v>173.6</v>
      </c>
      <c r="Y269" s="0" t="n">
        <v>5</v>
      </c>
      <c r="Z269" s="0" t="n">
        <v>175</v>
      </c>
      <c r="AA269" s="3" t="n">
        <f aca="false">IF(AND(W269&gt;0,Z269&gt;0),(Z269/((W269+X269)*10)),"")</f>
        <v>0.100806451612903</v>
      </c>
      <c r="AB269" s="0" t="n">
        <v>100</v>
      </c>
      <c r="AC269" s="0" t="n">
        <f aca="false">ROUND(AB269*1.6, 0)</f>
        <v>160</v>
      </c>
      <c r="AF269" s="0" t="n">
        <v>20.4</v>
      </c>
      <c r="AG269" s="0" t="n">
        <v>20.4</v>
      </c>
      <c r="AI269" s="0" t="n">
        <v>3.78</v>
      </c>
      <c r="AJ269" s="4" t="n">
        <v>60</v>
      </c>
      <c r="AK269" s="0" t="str">
        <f aca="false">CONCATENATE(VLOOKUP(AL269, 'Voxel Sizes'!$A$2:$B$18,2,FALSE()),"x",INT(AH269*15), "x", INT(AI269*15))</f>
        <v>198x0x56</v>
      </c>
      <c r="AL269" s="0" t="n">
        <f aca="false">ROUND(15*((AG269*10)/256),0)</f>
        <v>12</v>
      </c>
      <c r="AN269" s="0" t="str">
        <f aca="false">CONCATENATE(VLOOKUP(AL269,Constants!$A$2:$C$16,IF(AM269&lt;&gt;"", 3, 2), FALSE()),IF(AM269&lt;&gt;"",CONCATENATE(",",VLOOKUP(AM269,$B:$AN,39,FALSE())),""))</f>
        <v>4,4,4</v>
      </c>
      <c r="AR269" s="0" t="s">
        <v>975</v>
      </c>
      <c r="AS269" s="0" t="s">
        <v>976</v>
      </c>
      <c r="AT269" s="0" t="s">
        <v>881</v>
      </c>
      <c r="AX269" s="0" t="n">
        <v>29</v>
      </c>
      <c r="AY269" s="16" t="str">
        <f aca="false">IF(L269&lt;&gt;"",MAX(16,(L269-J269)+8),"")</f>
        <v/>
      </c>
      <c r="AZ269" s="0" t="n">
        <v>-15</v>
      </c>
      <c r="BA269" s="0" t="n">
        <v>-30</v>
      </c>
      <c r="BB269" s="0" t="n">
        <f aca="false">MIN(AB269/150, 1)*30</f>
        <v>20</v>
      </c>
      <c r="BC269" s="0" t="n">
        <f aca="false">MIN(N269/4000, 1)*20</f>
        <v>8</v>
      </c>
      <c r="BD269" s="0" t="n">
        <f aca="false">MIN(Z269/400,1)*20</f>
        <v>8.75</v>
      </c>
      <c r="BE269" s="3" t="n">
        <f aca="false">1-(MAX(J269-1900, 0)/750)</f>
        <v>0.862666666666667</v>
      </c>
      <c r="BF269" s="0" t="n">
        <f aca="false">((MAX($M269,1)*MIN($AJ269/300,1)))*IF(G269="Wagon",50,10)</f>
        <v>8</v>
      </c>
      <c r="BG269" s="0" t="n">
        <f aca="false">VLOOKUP($H269,Constants!$I:$K, 2, FALSE())</f>
        <v>0.85</v>
      </c>
      <c r="BH269" s="0" t="n">
        <f aca="false">VLOOKUP($H269,Constants!$I:$K, 3, FALSE())*IF(AND(G269="multiple_unit",AB269&lt;110),0.75,1)</f>
        <v>1.8</v>
      </c>
      <c r="BI269" s="0" t="n">
        <f aca="false">INT(POWER(((Constants!$G$2+$BB269+$BC269+$BD269+$BF269)*$BE269)*$BH269, 1.05))+$BA269</f>
        <v>66</v>
      </c>
      <c r="BJ269" s="0" t="n">
        <f aca="false">INT(POWER((((Constants!$G$1+$BB269+$BC269+$BD269+$BF269)*($BE269))*$BG269),IF($G269="wagon",1,1.2)))+$AZ269</f>
        <v>78</v>
      </c>
      <c r="BK269" s="17" t="n">
        <f aca="false">BI269*IF($G269="wagon",62.5,781.25)</f>
        <v>51562.5</v>
      </c>
      <c r="BL269" s="17" t="n">
        <f aca="false">BJ269*IF($G269="wagon",2.73,81.25)</f>
        <v>6337.5</v>
      </c>
      <c r="BV269" s="0" t="n">
        <v>12</v>
      </c>
      <c r="BW269" s="0" t="n">
        <v>185</v>
      </c>
      <c r="BZ269" s="0" t="s">
        <v>148</v>
      </c>
      <c r="CA269" s="0" t="str">
        <f aca="false">VLOOKUP(J269,Eras!$A$2:$C$10, 2, TRUE())</f>
        <v>prv</v>
      </c>
      <c r="CB269" s="0" t="s">
        <v>844</v>
      </c>
      <c r="CC269" s="0" t="str">
        <f aca="false">CONCATENATE(CA269,"_",CB269)</f>
        <v>prv_EMU</v>
      </c>
      <c r="CD269" s="0" t="str">
        <f aca="false">_xlfn.CONCAT(H269, "_",I269)</f>
        <v>dual_electric_DUAL_POWER</v>
      </c>
      <c r="CE269" s="6" t="str">
        <f aca="false" t="array" ref="CE269:CE269">_xlfn.CONCAT("{BLACK}Length: {GOLD}", TEXT(ROUNDUP(IF(AQ269&lt;&gt;"",SUM(VALUE(_xlfn.TEXTSPLIT(AQ269, ","))), SUM(VALUE(_xlfn.TEXTSPLIT(AN269, ",")))*IF(M269, M269, 1))/16, 1), "#,##0.0"), " tiles{}")</f>
        <v>{BLACK}Length: {GOLD}3.0 tiles{}</v>
      </c>
      <c r="CF269" s="0" t="str">
        <f aca="false">VLOOKUP($CD269, Constants!$M:$N, 2, FALSE())</f>
        <v>{BLACK}Powered by: {GOLD}25kV AC / 750V DC</v>
      </c>
      <c r="CG269" s="0" t="str">
        <f aca="false">IF(M269&gt;1,_xlfn.CONCAT("{BLACK}Cars: {GOLD}", M269),"")</f>
        <v>{BLACK}Cars: {GOLD}4</v>
      </c>
      <c r="CH269" s="0" t="s">
        <v>977</v>
      </c>
      <c r="CI269" s="0" t="str">
        <f aca="false">IF($BU269="!param_no_gameplay_units","{GREEN}Included for gameplay purposes","")</f>
        <v/>
      </c>
      <c r="CJ269" s="0" t="str">
        <f aca="false">IF(BX269="buffet","{YELLOW}25% long distance bonus for consist{}",IF(BZ269="BRAKE","{YELLOW}Speed bonus for slow wagons{}",IF(BW269&gt;190,CONCATENATE("{YELLOW}",INT((BW269-185)/1.85),"% bonus for long distance travel{}"),IF(AND(BW269&lt;180,BW269&lt;&gt;0),CONCATENATE("{YELLOW}",INT((185-BW269)/1.85),"% penalty for long distance travel{}"),""))))</f>
        <v/>
      </c>
      <c r="CK269" s="0" t="str">
        <f aca="false">_xlfn.CONCAT(CF269,IF(CF269&lt;&gt;""," ",""),CG269,IF(OR(CG269&lt;&gt;"",CF269&lt;&gt;""),"{}",""),CE269,CJ269,"{SILVER}",CH269,IF(CI269&lt;&gt;"","{}{}",""),CI269)</f>
        <v>{BLACK}Powered by: {GOLD}25kV AC / 750V DC {BLACK}Cars: {GOLD}4{}{BLACK}Length: {GOLD}3.0 tiles{}{SILVER}The Class 377 is a dual-voltage EMU, and is a common sight around London and South East England.</v>
      </c>
    </row>
    <row r="270" customFormat="false" ht="14.25" hidden="false" customHeight="false" outlineLevel="0" collapsed="false">
      <c r="A270" s="0" t="s">
        <v>978</v>
      </c>
      <c r="B270" s="15" t="s">
        <v>979</v>
      </c>
      <c r="C270" s="0" t="n">
        <v>270</v>
      </c>
      <c r="E270" s="0" t="n">
        <v>173</v>
      </c>
      <c r="F270" s="0" t="s">
        <v>143</v>
      </c>
      <c r="G270" s="0" t="s">
        <v>827</v>
      </c>
      <c r="H270" s="0" t="s">
        <v>529</v>
      </c>
      <c r="I270" s="0" t="s">
        <v>641</v>
      </c>
      <c r="J270" s="0" t="n">
        <v>2003</v>
      </c>
      <c r="K270" s="0" t="n">
        <v>2006</v>
      </c>
      <c r="M270" s="0" t="n">
        <v>4</v>
      </c>
      <c r="N270" s="0" t="n">
        <v>2010</v>
      </c>
      <c r="W270" s="0" t="n">
        <v>170</v>
      </c>
      <c r="Y270" s="0" t="n">
        <v>5</v>
      </c>
      <c r="Z270" s="0" t="n">
        <v>180</v>
      </c>
      <c r="AA270" s="3" t="n">
        <f aca="false">IF(AND(W270&gt;0,Z270&gt;0),(Z270/((W270+X270)*10)),"")</f>
        <v>0.105882352941176</v>
      </c>
      <c r="AB270" s="0" t="n">
        <v>100</v>
      </c>
      <c r="AC270" s="0" t="n">
        <f aca="false">ROUND(AB270*1.6, 0)</f>
        <v>160</v>
      </c>
      <c r="AF270" s="0" t="n">
        <v>20.4</v>
      </c>
      <c r="AG270" s="0" t="n">
        <v>20.4</v>
      </c>
      <c r="AH270" s="0" t="n">
        <v>2.8</v>
      </c>
      <c r="AJ270" s="4" t="n">
        <v>66</v>
      </c>
      <c r="AK270" s="0" t="str">
        <f aca="false">CONCATENATE(VLOOKUP(AL270, 'Voxel Sizes'!$A$2:$B$18,2,FALSE()),"x",INT(AH270*15), "x", INT(AI270*15))</f>
        <v>198x42x0</v>
      </c>
      <c r="AL270" s="0" t="n">
        <f aca="false">ROUND(15*((AG270*10)/256),0)</f>
        <v>12</v>
      </c>
      <c r="AN270" s="0" t="str">
        <f aca="false">CONCATENATE(VLOOKUP(AL270,Constants!$A$2:$C$16,IF(AM270&lt;&gt;"", 3, 2), FALSE()),IF(AM270&lt;&gt;"",CONCATENATE(",",VLOOKUP(AM270,$B:$AN,39,FALSE())),""))</f>
        <v>4,4,4</v>
      </c>
      <c r="AR270" s="0" t="s">
        <v>980</v>
      </c>
      <c r="AT270" s="0" t="s">
        <v>881</v>
      </c>
      <c r="AX270" s="0" t="n">
        <v>28</v>
      </c>
      <c r="AY270" s="16" t="str">
        <f aca="false">IF(L270&lt;&gt;"",MAX(16,(L270-J270)+8),"")</f>
        <v/>
      </c>
      <c r="AZ270" s="0" t="n">
        <v>-16</v>
      </c>
      <c r="BA270" s="0" t="n">
        <v>-28</v>
      </c>
      <c r="BB270" s="0" t="n">
        <f aca="false">MIN(AB270/150, 1)*30</f>
        <v>20</v>
      </c>
      <c r="BC270" s="0" t="n">
        <f aca="false">MIN(N270/4000, 1)*20</f>
        <v>10.05</v>
      </c>
      <c r="BD270" s="0" t="n">
        <f aca="false">MIN(Z270/400,1)*20</f>
        <v>9</v>
      </c>
      <c r="BE270" s="3" t="n">
        <f aca="false">1-(MAX(J270-1900, 0)/750)</f>
        <v>0.862666666666667</v>
      </c>
      <c r="BF270" s="0" t="n">
        <f aca="false">((MAX($M270,1)*MIN($AJ270/300,1)))*IF(G270="Wagon",50,10)</f>
        <v>8.8</v>
      </c>
      <c r="BG270" s="0" t="n">
        <f aca="false">VLOOKUP($H270,Constants!$I:$K, 2, FALSE())</f>
        <v>0.85</v>
      </c>
      <c r="BH270" s="0" t="n">
        <f aca="false">VLOOKUP($H270,Constants!$I:$K, 3, FALSE())*IF(AND(G270="multiple_unit",AB270&lt;110),0.75,1)</f>
        <v>1.725</v>
      </c>
      <c r="BI270" s="0" t="n">
        <f aca="false">INT(POWER(((Constants!$G$2+$BB270+$BC270+$BD270+$BF270)*$BE270)*$BH270, 1.05))+$BA270</f>
        <v>69</v>
      </c>
      <c r="BJ270" s="0" t="n">
        <f aca="false">INT(POWER((((Constants!$G$1+$BB270+$BC270+$BD270+$BF270)*($BE270))*$BG270),IF($G270="wagon",1,1.2)))+$AZ270</f>
        <v>83</v>
      </c>
      <c r="BK270" s="17" t="n">
        <f aca="false">BI270*IF($G270="wagon",62.5,781.25)</f>
        <v>53906.25</v>
      </c>
      <c r="BL270" s="17" t="n">
        <f aca="false">BJ270*IF($G270="wagon",2.73,81.25)</f>
        <v>6743.75</v>
      </c>
      <c r="BR270" s="0" t="s">
        <v>981</v>
      </c>
      <c r="BV270" s="0" t="n">
        <v>1</v>
      </c>
      <c r="BW270" s="0" t="n">
        <v>185</v>
      </c>
      <c r="BZ270" s="0" t="s">
        <v>148</v>
      </c>
      <c r="CA270" s="0" t="str">
        <f aca="false">VLOOKUP(J270,Eras!$A$2:$C$10, 2, TRUE())</f>
        <v>prv</v>
      </c>
      <c r="CB270" s="0" t="s">
        <v>844</v>
      </c>
      <c r="CC270" s="0" t="str">
        <f aca="false">CONCATENATE(CA270,"_",CB270)</f>
        <v>prv_EMU</v>
      </c>
      <c r="CD270" s="0" t="str">
        <f aca="false">_xlfn.CONCAT(H270, "_",I270)</f>
        <v>electric_THIRD_RAIL</v>
      </c>
      <c r="CE270" s="6" t="str">
        <f aca="false" t="array" ref="CE270:CE270">_xlfn.CONCAT("{BLACK}Length: {GOLD}", TEXT(ROUNDUP(IF(AQ270&lt;&gt;"",SUM(VALUE(_xlfn.TEXTSPLIT(AQ270, ","))), SUM(VALUE(_xlfn.TEXTSPLIT(AN270, ",")))*IF(M270, M270, 1))/16, 1), "#,##0.0"), " tiles{}")</f>
        <v>{BLACK}Length: {GOLD}3.0 tiles{}</v>
      </c>
      <c r="CF270" s="0" t="str">
        <f aca="false">VLOOKUP($CD270, Constants!$M:$N, 2, FALSE())</f>
        <v>{BLACK}Powered by: {GOLD}750V DC</v>
      </c>
      <c r="CG270" s="0" t="str">
        <f aca="false">IF(M270&gt;1,_xlfn.CONCAT("{BLACK}Cars: {GOLD}", M270),"")</f>
        <v>{BLACK}Cars: {GOLD}4</v>
      </c>
      <c r="CH270" s="0" t="s">
        <v>982</v>
      </c>
      <c r="CI270" s="0" t="str">
        <f aca="false">IF($BU270="!param_no_gameplay_units","{GREEN}Included for gameplay purposes","")</f>
        <v/>
      </c>
      <c r="CJ270" s="0" t="str">
        <f aca="false">IF(BX270="buffet","{YELLOW}25% long distance bonus for consist{}",IF(BZ270="BRAKE","{YELLOW}Speed bonus for slow wagons{}",IF(BW270&gt;190,CONCATENATE("{YELLOW}",INT((BW270-185)/1.85),"% bonus for long distance travel{}"),IF(AND(BW270&lt;180,BW270&lt;&gt;0),CONCATENATE("{YELLOW}",INT((185-BW270)/1.85),"% penalty for long distance travel{}"),""))))</f>
        <v/>
      </c>
      <c r="CK270" s="0" t="str">
        <f aca="false">_xlfn.CONCAT(CF270,IF(CF270&lt;&gt;""," ",""),CG270,IF(OR(CG270&lt;&gt;"",CF270&lt;&gt;""),"{}",""),CE270,CJ270,"{SILVER}",CH270,IF(CI270&lt;&gt;"","{}{}",""),CI270)</f>
        <v>{BLACK}Powered by: {GOLD}750V DC {BLACK}Cars: {GOLD}4{}{BLACK}Length: {GOLD}3.0 tiles{}{SILVER}The Class 450 was designed for South West Trains to replace all slam-door stock. The large order meant the Class 450 became the most numerous type of Desiro unit in the UK.</v>
      </c>
    </row>
    <row r="271" customFormat="false" ht="14.25" hidden="false" customHeight="false" outlineLevel="0" collapsed="false">
      <c r="A271" s="0" t="s">
        <v>983</v>
      </c>
      <c r="B271" s="15" t="s">
        <v>981</v>
      </c>
      <c r="C271" s="0" t="n">
        <v>271</v>
      </c>
      <c r="E271" s="0" t="n">
        <v>174</v>
      </c>
      <c r="F271" s="0" t="s">
        <v>143</v>
      </c>
      <c r="G271" s="0" t="s">
        <v>827</v>
      </c>
      <c r="H271" s="0" t="s">
        <v>529</v>
      </c>
      <c r="I271" s="0" t="s">
        <v>641</v>
      </c>
      <c r="J271" s="0" t="n">
        <v>2004</v>
      </c>
      <c r="M271" s="0" t="n">
        <v>5</v>
      </c>
      <c r="N271" s="0" t="n">
        <v>2680</v>
      </c>
      <c r="W271" s="0" t="n">
        <v>227</v>
      </c>
      <c r="Y271" s="0" t="n">
        <v>5</v>
      </c>
      <c r="Z271" s="0" t="n">
        <v>210</v>
      </c>
      <c r="AA271" s="3" t="n">
        <f aca="false">IF(AND(W271&gt;0,Z271&gt;0),(Z271/((W271+X271)*10)),"")</f>
        <v>0.092511013215859</v>
      </c>
      <c r="AB271" s="0" t="n">
        <v>100</v>
      </c>
      <c r="AC271" s="0" t="n">
        <f aca="false">ROUND(AB271*1.6, 0)</f>
        <v>160</v>
      </c>
      <c r="AF271" s="0" t="n">
        <v>23</v>
      </c>
      <c r="AG271" s="0" t="n">
        <v>23</v>
      </c>
      <c r="AH271" s="0" t="n">
        <v>2.8</v>
      </c>
      <c r="AJ271" s="4" t="n">
        <v>66</v>
      </c>
      <c r="AK271" s="0" t="str">
        <f aca="false">CONCATENATE(VLOOKUP(AL271, 'Voxel Sizes'!$A$2:$B$18,2,FALSE()),"x",INT(AH271*15), "x", INT(AI271*15))</f>
        <v>214x42x0</v>
      </c>
      <c r="AL271" s="0" t="n">
        <f aca="false">ROUND(15*((AG271*10)/256),0)</f>
        <v>13</v>
      </c>
      <c r="AN271" s="0" t="str">
        <f aca="false">CONCATENATE(VLOOKUP(AL271,Constants!$A$2:$C$16,IF(AM271&lt;&gt;"", 3, 2), FALSE()),IF(AM271&lt;&gt;"",CONCATENATE(",",VLOOKUP(AM271,$B:$AN,39,FALSE())),""))</f>
        <v>4,5,4</v>
      </c>
      <c r="AR271" s="0" t="s">
        <v>984</v>
      </c>
      <c r="AT271" s="0" t="s">
        <v>943</v>
      </c>
      <c r="AX271" s="0" t="n">
        <v>28</v>
      </c>
      <c r="AY271" s="16" t="str">
        <f aca="false">IF(L271&lt;&gt;"",MAX(16,(L271-J271)+8),"")</f>
        <v/>
      </c>
      <c r="AZ271" s="0" t="n">
        <v>-15</v>
      </c>
      <c r="BA271" s="0" t="n">
        <v>-35</v>
      </c>
      <c r="BB271" s="0" t="n">
        <f aca="false">MIN(AB271/150, 1)*30</f>
        <v>20</v>
      </c>
      <c r="BC271" s="0" t="n">
        <f aca="false">MIN(N271/4000, 1)*20</f>
        <v>13.4</v>
      </c>
      <c r="BD271" s="0" t="n">
        <f aca="false">MIN(Z271/400,1)*20</f>
        <v>10.5</v>
      </c>
      <c r="BE271" s="3" t="n">
        <f aca="false">1-(MAX(J271-1900, 0)/750)</f>
        <v>0.861333333333333</v>
      </c>
      <c r="BF271" s="0" t="n">
        <f aca="false">((MAX($M271,1)*MIN($AJ271/300,1)))*IF(G271="Wagon",50,10)</f>
        <v>11</v>
      </c>
      <c r="BG271" s="0" t="n">
        <f aca="false">VLOOKUP($H271,Constants!$I:$K, 2, FALSE())</f>
        <v>0.85</v>
      </c>
      <c r="BH271" s="0" t="n">
        <f aca="false">VLOOKUP($H271,Constants!$I:$K, 3, FALSE())*IF(AND(G271="multiple_unit",AB271&lt;110),0.75,1)</f>
        <v>1.725</v>
      </c>
      <c r="BI271" s="0" t="n">
        <f aca="false">INT(POWER(((Constants!$G$2+$BB271+$BC271+$BD271+$BF271)*$BE271)*$BH271, 1.05))+$BA271</f>
        <v>76</v>
      </c>
      <c r="BJ271" s="0" t="n">
        <f aca="false">INT(POWER((((Constants!$G$1+$BB271+$BC271+$BD271+$BF271)*($BE271))*$BG271),IF($G271="wagon",1,1.2)))+$AZ271</f>
        <v>97</v>
      </c>
      <c r="BK271" s="17" t="n">
        <f aca="false">BI271*IF($G271="wagon",62.5,781.25)</f>
        <v>59375</v>
      </c>
      <c r="BL271" s="17" t="n">
        <f aca="false">BJ271*IF($G271="wagon",2.73,81.25)</f>
        <v>7881.25</v>
      </c>
      <c r="BR271" s="0" t="s">
        <v>979</v>
      </c>
      <c r="BU271" s="0" t="s">
        <v>927</v>
      </c>
      <c r="BV271" s="0" t="n">
        <v>3</v>
      </c>
      <c r="BW271" s="0" t="n">
        <v>205</v>
      </c>
      <c r="BZ271" s="0" t="s">
        <v>148</v>
      </c>
      <c r="CA271" s="0" t="str">
        <f aca="false">VLOOKUP(J271,Eras!$A$2:$C$10, 2, TRUE())</f>
        <v>prv</v>
      </c>
      <c r="CB271" s="0" t="s">
        <v>850</v>
      </c>
      <c r="CC271" s="0" t="str">
        <f aca="false">CONCATENATE(CA271,"_",CB271)</f>
        <v>prv_EMU (Express)</v>
      </c>
      <c r="CD271" s="0" t="str">
        <f aca="false">_xlfn.CONCAT(H271, "_",I271)</f>
        <v>electric_THIRD_RAIL</v>
      </c>
      <c r="CE271" s="6" t="str">
        <f aca="false" t="array" ref="CE271:CE271">_xlfn.CONCAT("{BLACK}Length: {GOLD}", TEXT(ROUNDUP(IF(AQ271&lt;&gt;"",SUM(VALUE(_xlfn.TEXTSPLIT(AQ271, ","))), SUM(VALUE(_xlfn.TEXTSPLIT(AN271, ",")))*IF(M271, M271, 1))/16, 1), "#,##0.0"), " tiles{}")</f>
        <v>{BLACK}Length: {GOLD}4.1 tiles{}</v>
      </c>
      <c r="CF271" s="0" t="str">
        <f aca="false">VLOOKUP($CD271, Constants!$M:$N, 2, FALSE())</f>
        <v>{BLACK}Powered by: {GOLD}750V DC</v>
      </c>
      <c r="CG271" s="0" t="str">
        <f aca="false">IF(M271&gt;1,_xlfn.CONCAT("{BLACK}Cars: {GOLD}", M271),"")</f>
        <v>{BLACK}Cars: {GOLD}5</v>
      </c>
      <c r="CH271" s="0" t="s">
        <v>985</v>
      </c>
      <c r="CI271" s="0" t="str">
        <f aca="false">IF($BU271="!param_no_gameplay_units","{GREEN}Included for gameplay purposes","")</f>
        <v/>
      </c>
      <c r="CJ271" s="0" t="str">
        <f aca="false">IF(BX271="buffet","{YELLOW}25% long distance bonus for consist{}",IF(BZ271="BRAKE","{YELLOW}Speed bonus for slow wagons{}",IF(BW271&gt;190,CONCATENATE("{YELLOW}",INT((BW271-185)/1.85),"% bonus for long distance travel{}"),IF(AND(BW271&lt;180,BW271&lt;&gt;0),CONCATENATE("{YELLOW}",INT((185-BW271)/1.85),"% penalty for long distance travel{}"),""))))</f>
        <v>{YELLOW}10% bonus for long distance travel{}</v>
      </c>
      <c r="CK271" s="0" t="str">
        <f aca="false">_xlfn.CONCAT(CF271,IF(CF271&lt;&gt;""," ",""),CG271,IF(OR(CG271&lt;&gt;"",CF271&lt;&gt;""),"{}",""),CE271,CJ271,"{SILVER}",CH271,IF(CI271&lt;&gt;"","{}{}",""),CI271)</f>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72" customFormat="false" ht="14.25" hidden="false" customHeight="false" outlineLevel="0" collapsed="false">
      <c r="A272" s="0" t="s">
        <v>983</v>
      </c>
      <c r="B272" s="15" t="s">
        <v>986</v>
      </c>
      <c r="C272" s="0" t="n">
        <v>272</v>
      </c>
      <c r="E272" s="0" t="n">
        <v>175</v>
      </c>
      <c r="F272" s="0" t="s">
        <v>143</v>
      </c>
      <c r="G272" s="0" t="s">
        <v>827</v>
      </c>
      <c r="H272" s="0" t="s">
        <v>529</v>
      </c>
      <c r="I272" s="0" t="s">
        <v>641</v>
      </c>
      <c r="J272" s="0" t="n">
        <v>2004</v>
      </c>
      <c r="M272" s="0" t="n">
        <v>4</v>
      </c>
      <c r="N272" s="0" t="n">
        <v>2680</v>
      </c>
      <c r="W272" s="0" t="n">
        <f aca="false">227/5*4</f>
        <v>181.6</v>
      </c>
      <c r="Y272" s="0" t="n">
        <v>5</v>
      </c>
      <c r="Z272" s="0" t="n">
        <v>210</v>
      </c>
      <c r="AA272" s="3" t="n">
        <f aca="false">IF(AND(W272&gt;0,Z272&gt;0),(Z272/((W272+X272)*10)),"")</f>
        <v>0.115638766519824</v>
      </c>
      <c r="AB272" s="0" t="n">
        <v>100</v>
      </c>
      <c r="AC272" s="0" t="n">
        <f aca="false">ROUND(AB272*1.6, 0)</f>
        <v>160</v>
      </c>
      <c r="AF272" s="0" t="n">
        <v>23</v>
      </c>
      <c r="AG272" s="0" t="n">
        <v>23</v>
      </c>
      <c r="AH272" s="0" t="n">
        <v>2.8</v>
      </c>
      <c r="AJ272" s="4" t="n">
        <v>66</v>
      </c>
      <c r="AK272" s="0" t="str">
        <f aca="false">CONCATENATE(VLOOKUP(AL272, 'Voxel Sizes'!$A$2:$B$18,2,FALSE()),"x",INT(AH272*15), "x", INT(AI272*15))</f>
        <v>214x42x0</v>
      </c>
      <c r="AL272" s="0" t="n">
        <f aca="false">ROUND(15*((AG272*10)/256),0)</f>
        <v>13</v>
      </c>
      <c r="AN272" s="0" t="str">
        <f aca="false">CONCATENATE(VLOOKUP(AL272,Constants!$A$2:$C$16,IF(AM272&lt;&gt;"", 3, 2), FALSE()),IF(AM272&lt;&gt;"",CONCATENATE(",",VLOOKUP(AM272,$B:$AN,39,FALSE())),""))</f>
        <v>4,5,4</v>
      </c>
      <c r="AR272" s="0" t="s">
        <v>987</v>
      </c>
      <c r="AT272" s="0" t="s">
        <v>947</v>
      </c>
      <c r="AU272" s="0" t="s">
        <v>981</v>
      </c>
      <c r="AX272" s="0" t="n">
        <v>28</v>
      </c>
      <c r="AY272" s="16" t="str">
        <f aca="false">IF(L272&lt;&gt;"",MAX(16,(L272-J272)+8),"")</f>
        <v/>
      </c>
      <c r="AZ272" s="0" t="n">
        <v>-15</v>
      </c>
      <c r="BA272" s="0" t="n">
        <v>-35</v>
      </c>
      <c r="BB272" s="0" t="n">
        <f aca="false">MIN(AB272/150, 1)*30</f>
        <v>20</v>
      </c>
      <c r="BC272" s="0" t="n">
        <f aca="false">MIN(N272/4000, 1)*20</f>
        <v>13.4</v>
      </c>
      <c r="BD272" s="0" t="n">
        <f aca="false">MIN(Z272/400,1)*20</f>
        <v>10.5</v>
      </c>
      <c r="BE272" s="3" t="n">
        <f aca="false">1-(MAX(J272-1900, 0)/750)</f>
        <v>0.861333333333333</v>
      </c>
      <c r="BF272" s="0" t="n">
        <f aca="false">((MAX($M272,1)*MIN($AJ272/300,1)))*IF(G272="Wagon",50,10)</f>
        <v>8.8</v>
      </c>
      <c r="BG272" s="0" t="n">
        <f aca="false">VLOOKUP($H272,Constants!$I:$K, 2, FALSE())</f>
        <v>0.85</v>
      </c>
      <c r="BH272" s="0" t="n">
        <f aca="false">VLOOKUP($H272,Constants!$I:$K, 3, FALSE())*IF(AND(G272="multiple_unit",AB272&lt;110),0.75,1)</f>
        <v>1.725</v>
      </c>
      <c r="BI272" s="0" t="n">
        <f aca="false">INT(POWER(((Constants!$G$2+$BB272+$BC272+$BD272+$BF272)*$BE272)*$BH272, 1.05))+$BA272</f>
        <v>72</v>
      </c>
      <c r="BJ272" s="0" t="n">
        <f aca="false">INT(POWER((((Constants!$G$1+$BB272+$BC272+$BD272+$BF272)*($BE272))*$BG272),IF($G272="wagon",1,1.2)))+$AZ272</f>
        <v>93</v>
      </c>
      <c r="BK272" s="17" t="n">
        <f aca="false">BI272*IF($G272="wagon",62.5,781.25)</f>
        <v>56250</v>
      </c>
      <c r="BL272" s="17" t="n">
        <f aca="false">BJ272*IF($G272="wagon",2.73,81.25)</f>
        <v>7556.25</v>
      </c>
      <c r="BR272" s="0" t="s">
        <v>979</v>
      </c>
      <c r="BU272" s="0" t="s">
        <v>933</v>
      </c>
      <c r="BV272" s="0" t="n">
        <v>4</v>
      </c>
      <c r="BW272" s="0" t="n">
        <v>205</v>
      </c>
      <c r="BZ272" s="0" t="s">
        <v>148</v>
      </c>
      <c r="CA272" s="0" t="str">
        <f aca="false">VLOOKUP(J272,Eras!$A$2:$C$10, 2, TRUE())</f>
        <v>prv</v>
      </c>
      <c r="CB272" s="0" t="s">
        <v>850</v>
      </c>
      <c r="CC272" s="0" t="str">
        <f aca="false">CONCATENATE(CA272,"_",CB272)</f>
        <v>prv_EMU (Express)</v>
      </c>
      <c r="CD272" s="0" t="str">
        <f aca="false">_xlfn.CONCAT(H272, "_",I272)</f>
        <v>electric_THIRD_RAIL</v>
      </c>
      <c r="CE272" s="6" t="str">
        <f aca="false" t="array" ref="CE272:CE272">_xlfn.CONCAT("{BLACK}Length: {GOLD}", TEXT(ROUNDUP(IF(AQ272&lt;&gt;"",SUM(VALUE(_xlfn.TEXTSPLIT(AQ272, ","))), SUM(VALUE(_xlfn.TEXTSPLIT(AN272, ",")))*IF(M272, M272, 1))/16, 1), "#,##0.0"), " tiles{}")</f>
        <v>{BLACK}Length: {GOLD}3.3 tiles{}</v>
      </c>
      <c r="CF272" s="0" t="str">
        <f aca="false">VLOOKUP($CD272, Constants!$M:$N, 2, FALSE())</f>
        <v>{BLACK}Powered by: {GOLD}750V DC</v>
      </c>
      <c r="CG272" s="0" t="str">
        <f aca="false">IF(M272&gt;1,_xlfn.CONCAT("{BLACK}Cars: {GOLD}", M272),"")</f>
        <v>{BLACK}Cars: {GOLD}4</v>
      </c>
      <c r="CH272" s="0" t="s">
        <v>985</v>
      </c>
      <c r="CI272" s="0" t="str">
        <f aca="false">IF($BU272="!param_no_gameplay_units","{GREEN}Included for gameplay purposes","")</f>
        <v/>
      </c>
      <c r="CJ272" s="0" t="str">
        <f aca="false">IF(BX272="buffet","{YELLOW}25% long distance bonus for consist{}",IF(BZ272="BRAKE","{YELLOW}Speed bonus for slow wagons{}",IF(BW272&gt;190,CONCATENATE("{YELLOW}",INT((BW272-185)/1.85),"% bonus for long distance travel{}"),IF(AND(BW272&lt;180,BW272&lt;&gt;0),CONCATENATE("{YELLOW}",INT((185-BW272)/1.85),"% penalty for long distance travel{}"),""))))</f>
        <v>{YELLOW}10% bonus for long distance travel{}</v>
      </c>
      <c r="CK272" s="0" t="str">
        <f aca="false">_xlfn.CONCAT(CF272,IF(CF272&lt;&gt;""," ",""),CG272,IF(OR(CG272&lt;&gt;"",CF272&lt;&gt;""),"{}",""),CE272,CJ272,"{SILVER}",CH272,IF(CI272&lt;&gt;"","{}{}",""),CI272)</f>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73" customFormat="false" ht="14.25" hidden="false" customHeight="false" outlineLevel="0" collapsed="false">
      <c r="A273" s="0" t="s">
        <v>988</v>
      </c>
      <c r="B273" s="15" t="s">
        <v>989</v>
      </c>
      <c r="C273" s="0" t="n">
        <v>273</v>
      </c>
      <c r="E273" s="0" t="n">
        <v>176</v>
      </c>
      <c r="F273" s="0" t="s">
        <v>143</v>
      </c>
      <c r="G273" s="0" t="s">
        <v>827</v>
      </c>
      <c r="H273" s="0" t="s">
        <v>990</v>
      </c>
      <c r="I273" s="0" t="s">
        <v>92</v>
      </c>
      <c r="J273" s="0" t="n">
        <v>2009</v>
      </c>
      <c r="M273" s="0" t="n">
        <v>1</v>
      </c>
      <c r="N273" s="0" t="n">
        <v>86</v>
      </c>
      <c r="W273" s="0" t="n">
        <v>12</v>
      </c>
      <c r="Y273" s="0" t="n">
        <v>5</v>
      </c>
      <c r="Z273" s="0" t="n">
        <v>35</v>
      </c>
      <c r="AA273" s="3" t="n">
        <f aca="false">IF(AND(W273&gt;0,Z273&gt;0),(Z273/((W273+X273)*10)),"")</f>
        <v>0.291666666666667</v>
      </c>
      <c r="AB273" s="0" t="n">
        <v>35</v>
      </c>
      <c r="AC273" s="0" t="n">
        <f aca="false">ROUND(AB273*1.6, 0)</f>
        <v>56</v>
      </c>
      <c r="AF273" s="0" t="n">
        <v>9.6</v>
      </c>
      <c r="AG273" s="0" t="n">
        <v>9.6</v>
      </c>
      <c r="AH273" s="0" t="n">
        <v>2.4</v>
      </c>
      <c r="AI273" s="0" t="n">
        <v>3.2</v>
      </c>
      <c r="AJ273" s="4" t="n">
        <v>42</v>
      </c>
      <c r="AK273" s="0" t="str">
        <f aca="false">CONCATENATE(VLOOKUP(AL273, 'Voxel Sizes'!$A$2:$B$18,2,FALSE()),"x",INT(AH273*15), "x", INT(AI273*15))</f>
        <v>102x36x48</v>
      </c>
      <c r="AL273" s="0" t="n">
        <f aca="false">ROUND(15*((AG273*10)/256),0)</f>
        <v>6</v>
      </c>
      <c r="AN273" s="0" t="str">
        <f aca="false">CONCATENATE(VLOOKUP(AL273,Constants!$A$2:$C$16,IF(AM273&lt;&gt;"", 3, 2), FALSE()),IF(AM273&lt;&gt;"",CONCATENATE(",",VLOOKUP(AM273,$B:$AN,39,FALSE())),""))</f>
        <v>2,2,2</v>
      </c>
      <c r="AR273" s="0" t="s">
        <v>989</v>
      </c>
      <c r="AT273" s="0" t="n">
        <v>1</v>
      </c>
      <c r="AX273" s="0" t="n">
        <v>28</v>
      </c>
      <c r="AY273" s="16" t="str">
        <f aca="false">IF(L273&lt;&gt;"",MAX(16,(L273-J273)+8),"")</f>
        <v/>
      </c>
      <c r="BB273" s="0" t="n">
        <f aca="false">MIN(AB273/150, 1)*30</f>
        <v>7</v>
      </c>
      <c r="BC273" s="0" t="n">
        <f aca="false">MIN(N273/4000, 1)*20</f>
        <v>0.43</v>
      </c>
      <c r="BD273" s="0" t="n">
        <f aca="false">MIN(Z273/400,1)*20</f>
        <v>1.75</v>
      </c>
      <c r="BE273" s="3" t="n">
        <f aca="false">1-(MAX(J273-1900, 0)/750)</f>
        <v>0.854666666666667</v>
      </c>
      <c r="BF273" s="0" t="n">
        <f aca="false">((MAX($M273,1)*MIN($AJ273/300,1)))*IF(G273="Wagon",50,10)</f>
        <v>1.4</v>
      </c>
      <c r="BG273" s="0" t="n">
        <f aca="false">VLOOKUP($H273,Constants!$I:$K, 2, FALSE())</f>
        <v>0.98</v>
      </c>
      <c r="BH273" s="0" t="n">
        <f aca="false">VLOOKUP($H273,Constants!$I:$K, 3, FALSE())*IF(AND(G273="multiple_unit",AB273&lt;110),0.75,1)</f>
        <v>1.41</v>
      </c>
      <c r="BI273" s="0" t="n">
        <f aca="false">INT(POWER(((Constants!$G$2+$BB273+$BC273+$BD273+$BF273)*$BE273)*$BH273, 1.05))+$BA273</f>
        <v>21</v>
      </c>
      <c r="BJ273" s="0" t="n">
        <f aca="false">INT(POWER((((Constants!$G$1+$BB273+$BC273+$BD273+$BF273)*($BE273))*$BG273),IF($G273="wagon",1,1.2)))+$AZ273</f>
        <v>39</v>
      </c>
      <c r="BK273" s="17" t="n">
        <f aca="false">BI273*IF($G273="wagon",62.5,781.25)</f>
        <v>16406.25</v>
      </c>
      <c r="BL273" s="17" t="n">
        <f aca="false">BJ273*IF($G273="wagon",2.73,81.25)</f>
        <v>3168.75</v>
      </c>
      <c r="BV273" s="0" t="n">
        <v>6</v>
      </c>
      <c r="BZ273" s="0" t="s">
        <v>148</v>
      </c>
      <c r="CA273" s="0" t="str">
        <f aca="false">VLOOKUP(J273,Eras!$A$2:$C$10, 2, TRUE())</f>
        <v>mod</v>
      </c>
      <c r="CB273" s="0" t="s">
        <v>828</v>
      </c>
      <c r="CC273" s="0" t="str">
        <f aca="false">CONCATENATE(CA273,"_",CB273)</f>
        <v>mod_DMU (Cheap)</v>
      </c>
      <c r="CD273" s="0" t="str">
        <f aca="false">_xlfn.CONCAT(H273, "_",I273)</f>
        <v>lpgflywheel_RAIL</v>
      </c>
      <c r="CE273" s="6" t="str">
        <f aca="false" t="array" ref="CE273:CE273">_xlfn.CONCAT("{BLACK}Length: {GOLD}", TEXT(ROUNDUP(IF(AQ273&lt;&gt;"",SUM(VALUE(_xlfn.TEXTSPLIT(AQ273, ","))), SUM(VALUE(_xlfn.TEXTSPLIT(AN273, ",")))*IF(M273, M273, 1))/16, 1), "#,##0.0"), " tiles{}")</f>
        <v>{BLACK}Length: {GOLD}0.4 tiles{}</v>
      </c>
      <c r="CF273" s="0" t="str">
        <f aca="false">VLOOKUP($CD273, Constants!$M:$N, 2, FALSE())</f>
        <v>{BLACK}Powered by: {GOLD}LPG / Flywheel</v>
      </c>
      <c r="CH273" s="0" t="s">
        <v>991</v>
      </c>
      <c r="CI273" s="0" t="str">
        <f aca="false">IF($BU273="!param_no_gameplay_units","{GREEN}Included for gameplay purposes","")</f>
        <v/>
      </c>
      <c r="CJ273" s="0" t="str">
        <f aca="false">IF(BX273="buffet","{YELLOW}25% long distance bonus for consist{}",IF(BZ273="BRAKE","{YELLOW}Speed bonus for slow wagons{}",IF(BW273&gt;190,CONCATENATE("{YELLOW}",INT((BW273-185)/1.85),"% bonus for long distance travel{}"),IF(AND(BW273&lt;180,BW273&lt;&gt;0),CONCATENATE("{YELLOW}",INT((185-BW273)/1.85),"% penalty for long distance travel{}"),""))))</f>
        <v/>
      </c>
      <c r="CK273" s="0" t="str">
        <f aca="false">_xlfn.CONCAT(CF273,IF(CF273&lt;&gt;""," ",""),CG273,IF(OR(CG273&lt;&gt;"",CF273&lt;&gt;""),"{}",""),CE273,CJ273,"{SILVER}",CH273,IF(CI273&lt;&gt;"","{}{}",""),CI273)</f>
        <v>{BLACK}Powered by: {GOLD}LPG / Flywheel {}{BLACK}Length: {GOLD}0.4 tiles{}{SILVER}The Parry People Mover PPM60 uses a small LPG engine with a flywheel to capture energy from braking. The units are currently used on the Stourbridge Town Branch Line, where they are limited to 20mph.</v>
      </c>
    </row>
    <row r="274" customFormat="false" ht="14.25" hidden="false" customHeight="false" outlineLevel="0" collapsed="false">
      <c r="A274" s="0" t="s">
        <v>992</v>
      </c>
      <c r="B274" s="15" t="s">
        <v>993</v>
      </c>
      <c r="C274" s="0" t="n">
        <v>274</v>
      </c>
      <c r="E274" s="0" t="n">
        <v>177</v>
      </c>
      <c r="F274" s="0" t="s">
        <v>143</v>
      </c>
      <c r="G274" s="0" t="s">
        <v>827</v>
      </c>
      <c r="H274" s="0" t="s">
        <v>801</v>
      </c>
      <c r="I274" s="0" t="s">
        <v>802</v>
      </c>
      <c r="J274" s="0" t="n">
        <v>2007</v>
      </c>
      <c r="K274" s="0" t="n">
        <v>2009</v>
      </c>
      <c r="M274" s="0" t="n">
        <v>6</v>
      </c>
      <c r="N274" s="0" t="n">
        <f aca="false">16*280</f>
        <v>4480</v>
      </c>
      <c r="O274" s="1" t="n">
        <v>2800</v>
      </c>
      <c r="W274" s="0" t="n">
        <v>265</v>
      </c>
      <c r="Y274" s="0" t="n">
        <v>4</v>
      </c>
      <c r="Z274" s="0" t="n">
        <v>210</v>
      </c>
      <c r="AA274" s="3" t="n">
        <f aca="false">IF(AND(W274&gt;0,Z274&gt;0),(Z274/((W274+X274)*10)),"")</f>
        <v>0.0792452830188679</v>
      </c>
      <c r="AB274" s="0" t="n">
        <v>157</v>
      </c>
      <c r="AC274" s="0" t="n">
        <f aca="false">ROUND(AB274*1.6, 0)</f>
        <v>251</v>
      </c>
      <c r="AF274" s="0" t="n">
        <v>20.88</v>
      </c>
      <c r="AG274" s="0" t="n">
        <v>20.88</v>
      </c>
      <c r="AI274" s="0" t="n">
        <v>3.82</v>
      </c>
      <c r="AJ274" s="4" t="n">
        <v>57</v>
      </c>
      <c r="AK274" s="0" t="str">
        <f aca="false">CONCATENATE(VLOOKUP(AL274, 'Voxel Sizes'!$A$2:$B$18,2,FALSE()),"x",INT(AH274*15), "x", INT(AI274*15))</f>
        <v>198x0x57</v>
      </c>
      <c r="AL274" s="0" t="n">
        <f aca="false">ROUND(15*((AG274*10)/256),0)</f>
        <v>12</v>
      </c>
      <c r="AN274" s="0" t="str">
        <f aca="false">CONCATENATE(VLOOKUP(AL274,Constants!$A$2:$C$16,IF(AM274&lt;&gt;"", 3, 2), FALSE()),IF(AM274&lt;&gt;"",CONCATENATE(",",VLOOKUP(AM274,$B:$AN,39,FALSE())),""))</f>
        <v>4,4,4</v>
      </c>
      <c r="AR274" s="0" t="s">
        <v>994</v>
      </c>
      <c r="AT274" s="0" t="s">
        <v>995</v>
      </c>
      <c r="AX274" s="0" t="n">
        <v>30</v>
      </c>
      <c r="AY274" s="16" t="str">
        <f aca="false">IF(L274&lt;&gt;"",MAX(16,(L274-J274)+8),"")</f>
        <v/>
      </c>
      <c r="AZ274" s="0" t="n">
        <v>-15</v>
      </c>
      <c r="BA274" s="0" t="n">
        <v>-30</v>
      </c>
      <c r="BB274" s="0" t="n">
        <f aca="false">MIN(AB274/150, 1)*30</f>
        <v>30</v>
      </c>
      <c r="BC274" s="0" t="n">
        <f aca="false">MIN(N274/4000, 1)*20</f>
        <v>20</v>
      </c>
      <c r="BD274" s="0" t="n">
        <f aca="false">MIN(Z274/400,1)*20</f>
        <v>10.5</v>
      </c>
      <c r="BE274" s="3" t="n">
        <f aca="false">1-(MAX(J274-1900, 0)/750)</f>
        <v>0.857333333333333</v>
      </c>
      <c r="BF274" s="0" t="n">
        <f aca="false">((MAX($M274,1)*MIN($AJ274/300,1)))*IF(G274="Wagon",50,10)</f>
        <v>11.4</v>
      </c>
      <c r="BG274" s="0" t="n">
        <f aca="false">VLOOKUP($H274,Constants!$I:$K, 2, FALSE())</f>
        <v>0.85</v>
      </c>
      <c r="BH274" s="0" t="n">
        <f aca="false">VLOOKUP($H274,Constants!$I:$K, 3, FALSE())*IF(AND(G274="multiple_unit",AB274&lt;110),0.75,1)</f>
        <v>2.4</v>
      </c>
      <c r="BI274" s="0" t="n">
        <f aca="false">INT(POWER(((Constants!$G$2+$BB274+$BC274+$BD274+$BF274)*$BE274)*$BH274, 1.05))+$BA274</f>
        <v>173</v>
      </c>
      <c r="BJ274" s="0" t="n">
        <f aca="false">INT(POWER((((Constants!$G$1+$BB274+$BC274+$BD274+$BF274)*($BE274))*$BG274),IF($G274="wagon",1,1.2)))+$AZ274</f>
        <v>130</v>
      </c>
      <c r="BK274" s="17" t="n">
        <f aca="false">BI274*IF($G274="wagon",62.5,781.25)</f>
        <v>135156.25</v>
      </c>
      <c r="BL274" s="17" t="n">
        <f aca="false">BJ274*IF($G274="wagon",2.73,81.25)</f>
        <v>10562.5</v>
      </c>
      <c r="BU274" s="0" t="s">
        <v>927</v>
      </c>
      <c r="BV274" s="0" t="n">
        <v>5</v>
      </c>
      <c r="BW274" s="0" t="n">
        <v>205</v>
      </c>
      <c r="BZ274" s="0" t="s">
        <v>148</v>
      </c>
      <c r="CA274" s="0" t="str">
        <f aca="false">VLOOKUP(J274,Eras!$A$2:$C$10, 2, TRUE())</f>
        <v>mod</v>
      </c>
      <c r="CB274" s="0" t="s">
        <v>850</v>
      </c>
      <c r="CC274" s="0" t="str">
        <f aca="false">CONCATENATE(CA274,"_",CB274)</f>
        <v>mod_EMU (Express)</v>
      </c>
      <c r="CD274" s="0" t="str">
        <f aca="false">_xlfn.CONCAT(H274, "_",I274)</f>
        <v>dual_electric_DUAL_POWER</v>
      </c>
      <c r="CE274" s="6" t="str">
        <f aca="false" t="array" ref="CE274:CE274">_xlfn.CONCAT("{BLACK}Length: {GOLD}", TEXT(ROUNDUP(IF(AQ274&lt;&gt;"",SUM(VALUE(_xlfn.TEXTSPLIT(AQ274, ","))), SUM(VALUE(_xlfn.TEXTSPLIT(AN274, ",")))*IF(M274, M274, 1))/16, 1), "#,##0.0"), " tiles{}")</f>
        <v>{BLACK}Length: {GOLD}4.5 tiles{}</v>
      </c>
      <c r="CF274" s="0" t="str">
        <f aca="false">VLOOKUP($CD274, Constants!$M:$N, 2, FALSE())</f>
        <v>{BLACK}Powered by: {GOLD}25kV AC / 750V DC</v>
      </c>
      <c r="CG274" s="0" t="str">
        <f aca="false">IF(M274&gt;1,_xlfn.CONCAT("{BLACK}Cars: {GOLD}", M274),"")</f>
        <v>{BLACK}Cars: {GOLD}6</v>
      </c>
      <c r="CH274" s="0" t="s">
        <v>996</v>
      </c>
      <c r="CI274" s="0" t="str">
        <f aca="false">IF($BU274="!param_no_gameplay_units","{GREEN}Included for gameplay purposes","")</f>
        <v/>
      </c>
      <c r="CJ274" s="0" t="str">
        <f aca="false">IF(BX274="buffet","{YELLOW}25% long distance bonus for consist{}",IF(BZ274="BRAKE","{YELLOW}Speed bonus for slow wagons{}",IF(BW274&gt;190,CONCATENATE("{YELLOW}",INT((BW274-185)/1.85),"% bonus for long distance travel{}"),IF(AND(BW274&lt;180,BW274&lt;&gt;0),CONCATENATE("{YELLOW}",INT((185-BW274)/1.85),"% penalty for long distance travel{}"),""))))</f>
        <v>{YELLOW}10% bonus for long distance travel{}</v>
      </c>
      <c r="CK274" s="0" t="str">
        <f aca="false">_xlfn.CONCAT(CF274,IF(CF274&lt;&gt;""," ",""),CG274,IF(OR(CG274&lt;&gt;"",CF274&lt;&gt;""),"{}",""),CE274,CJ274,"{SILVER}",CH274,IF(CI274&lt;&gt;"","{}{}",""),CI274)</f>
        <v>{BLACK}Powered by: {GOLD}25kV AC / 750V DC {BLACK}Cars: {GOLD}6{}{BLACK}Length: {GOLD}4.5 tiles{}{YELLOW}10% bonus for long distance travel{}{SILVER}The Class 395 is a dedicated high speed unit built for the HS1 high speed route. It is part of Hitachi's AT300 series.</v>
      </c>
    </row>
    <row r="275" customFormat="false" ht="14.25" hidden="false" customHeight="false" outlineLevel="0" collapsed="false">
      <c r="A275" s="0" t="s">
        <v>992</v>
      </c>
      <c r="B275" s="15" t="s">
        <v>997</v>
      </c>
      <c r="C275" s="0" t="n">
        <v>275</v>
      </c>
      <c r="E275" s="0" t="n">
        <v>178</v>
      </c>
      <c r="F275" s="0" t="s">
        <v>143</v>
      </c>
      <c r="G275" s="0" t="s">
        <v>827</v>
      </c>
      <c r="H275" s="0" t="s">
        <v>801</v>
      </c>
      <c r="I275" s="0" t="s">
        <v>802</v>
      </c>
      <c r="J275" s="0" t="n">
        <v>2007</v>
      </c>
      <c r="K275" s="0" t="n">
        <v>2009</v>
      </c>
      <c r="M275" s="0" t="n">
        <v>5</v>
      </c>
      <c r="N275" s="0" t="n">
        <f aca="false">16*280</f>
        <v>4480</v>
      </c>
      <c r="O275" s="1" t="n">
        <v>2800</v>
      </c>
      <c r="W275" s="0" t="n">
        <v>265</v>
      </c>
      <c r="Y275" s="0" t="n">
        <v>4</v>
      </c>
      <c r="Z275" s="0" t="n">
        <v>210</v>
      </c>
      <c r="AA275" s="3" t="n">
        <f aca="false">IF(AND(W275&gt;0,Z275&gt;0),(Z275/((W275+X275)*10)),"")</f>
        <v>0.0792452830188679</v>
      </c>
      <c r="AB275" s="0" t="n">
        <v>157</v>
      </c>
      <c r="AC275" s="0" t="n">
        <f aca="false">ROUND(AB275*1.6, 0)</f>
        <v>251</v>
      </c>
      <c r="AF275" s="0" t="n">
        <v>20.88</v>
      </c>
      <c r="AG275" s="0" t="n">
        <v>20.88</v>
      </c>
      <c r="AI275" s="0" t="n">
        <v>3.82</v>
      </c>
      <c r="AJ275" s="4" t="n">
        <v>57</v>
      </c>
      <c r="AK275" s="0" t="str">
        <f aca="false">CONCATENATE(VLOOKUP(AL275, 'Voxel Sizes'!$A$2:$B$18,2,FALSE()),"x",INT(AH275*15), "x", INT(AI275*15))</f>
        <v>198x0x57</v>
      </c>
      <c r="AL275" s="0" t="n">
        <f aca="false">ROUND(15*((AG275*10)/256),0)</f>
        <v>12</v>
      </c>
      <c r="AN275" s="0" t="str">
        <f aca="false">CONCATENATE(VLOOKUP(AL275,Constants!$A$2:$C$16,IF(AM275&lt;&gt;"", 3, 2), FALSE()),IF(AM275&lt;&gt;"",CONCATENATE(",",VLOOKUP(AM275,$B:$AN,39,FALSE())),""))</f>
        <v>4,4,4</v>
      </c>
      <c r="AR275" s="0" t="s">
        <v>998</v>
      </c>
      <c r="AT275" s="0" t="s">
        <v>931</v>
      </c>
      <c r="AU275" s="0" t="s">
        <v>993</v>
      </c>
      <c r="AX275" s="0" t="n">
        <v>30</v>
      </c>
      <c r="AY275" s="16" t="str">
        <f aca="false">IF(L275&lt;&gt;"",MAX(16,(L275-J275)+8),"")</f>
        <v/>
      </c>
      <c r="AZ275" s="0" t="n">
        <v>-15</v>
      </c>
      <c r="BA275" s="0" t="n">
        <v>-30</v>
      </c>
      <c r="BB275" s="0" t="n">
        <f aca="false">MIN(AB275/150, 1)*30</f>
        <v>30</v>
      </c>
      <c r="BC275" s="0" t="n">
        <f aca="false">MIN(N275/4000, 1)*20</f>
        <v>20</v>
      </c>
      <c r="BD275" s="0" t="n">
        <f aca="false">MIN(Z275/400,1)*20</f>
        <v>10.5</v>
      </c>
      <c r="BE275" s="3" t="n">
        <f aca="false">1-(MAX(J275-1900, 0)/750)</f>
        <v>0.857333333333333</v>
      </c>
      <c r="BF275" s="0" t="n">
        <f aca="false">((MAX($M275,1)*MIN($AJ275/300,1)))*IF(G275="Wagon",50,10)</f>
        <v>9.5</v>
      </c>
      <c r="BG275" s="0" t="n">
        <f aca="false">VLOOKUP($H275,Constants!$I:$K, 2, FALSE())</f>
        <v>0.85</v>
      </c>
      <c r="BH275" s="0" t="n">
        <f aca="false">VLOOKUP($H275,Constants!$I:$K, 3, FALSE())*IF(AND(G275="multiple_unit",AB275&lt;110),0.75,1)</f>
        <v>2.4</v>
      </c>
      <c r="BI275" s="0" t="n">
        <f aca="false">INT(POWER(((Constants!$G$2+$BB275+$BC275+$BD275+$BF275)*$BE275)*$BH275, 1.05))+$BA275</f>
        <v>168</v>
      </c>
      <c r="BJ275" s="0" t="n">
        <f aca="false">INT(POWER((((Constants!$G$1+$BB275+$BC275+$BD275+$BF275)*($BE275))*$BG275),IF($G275="wagon",1,1.2)))+$AZ275</f>
        <v>126</v>
      </c>
      <c r="BK275" s="17" t="n">
        <f aca="false">BI275*IF($G275="wagon",62.5,781.25)</f>
        <v>131250</v>
      </c>
      <c r="BL275" s="17" t="n">
        <f aca="false">BJ275*IF($G275="wagon",2.73,81.25)</f>
        <v>10237.5</v>
      </c>
      <c r="BU275" s="0" t="s">
        <v>933</v>
      </c>
      <c r="BV275" s="0" t="n">
        <v>5</v>
      </c>
      <c r="BW275" s="0" t="n">
        <v>205</v>
      </c>
      <c r="BZ275" s="0" t="s">
        <v>148</v>
      </c>
      <c r="CA275" s="0" t="str">
        <f aca="false">VLOOKUP(J275,Eras!$A$2:$C$10, 2, TRUE())</f>
        <v>mod</v>
      </c>
      <c r="CB275" s="0" t="s">
        <v>850</v>
      </c>
      <c r="CC275" s="0" t="str">
        <f aca="false">CONCATENATE(CA275,"_",CB275)</f>
        <v>mod_EMU (Express)</v>
      </c>
      <c r="CD275" s="0" t="str">
        <f aca="false">_xlfn.CONCAT(H275, "_",I275)</f>
        <v>dual_electric_DUAL_POWER</v>
      </c>
      <c r="CE275" s="6" t="str">
        <f aca="false" t="array" ref="CE275:CE275">_xlfn.CONCAT("{BLACK}Length: {GOLD}", TEXT(ROUNDUP(IF(AQ275&lt;&gt;"",SUM(VALUE(_xlfn.TEXTSPLIT(AQ275, ","))), SUM(VALUE(_xlfn.TEXTSPLIT(AN275, ",")))*IF(M275, M275, 1))/16, 1), "#,##0.0"), " tiles{}")</f>
        <v>{BLACK}Length: {GOLD}3.8 tiles{}</v>
      </c>
      <c r="CF275" s="0" t="str">
        <f aca="false">VLOOKUP($CD275, Constants!$M:$N, 2, FALSE())</f>
        <v>{BLACK}Powered by: {GOLD}25kV AC / 750V DC</v>
      </c>
      <c r="CG275" s="0" t="str">
        <f aca="false">IF(M275&gt;1,_xlfn.CONCAT("{BLACK}Cars: {GOLD}", M275),"")</f>
        <v>{BLACK}Cars: {GOLD}5</v>
      </c>
      <c r="CH275" s="0" t="s">
        <v>996</v>
      </c>
      <c r="CI275" s="0" t="str">
        <f aca="false">IF($BU275="!param_no_gameplay_units","{GREEN}Included for gameplay purposes","")</f>
        <v/>
      </c>
      <c r="CJ275" s="0" t="str">
        <f aca="false">IF(BX275="buffet","{YELLOW}25% long distance bonus for consist{}",IF(BZ275="BRAKE","{YELLOW}Speed bonus for slow wagons{}",IF(BW275&gt;190,CONCATENATE("{YELLOW}",INT((BW275-185)/1.85),"% bonus for long distance travel{}"),IF(AND(BW275&lt;180,BW275&lt;&gt;0),CONCATENATE("{YELLOW}",INT((185-BW275)/1.85),"% penalty for long distance travel{}"),""))))</f>
        <v>{YELLOW}10% bonus for long distance travel{}</v>
      </c>
      <c r="CK275" s="0" t="str">
        <f aca="false">_xlfn.CONCAT(CF275,IF(CF275&lt;&gt;""," ",""),CG275,IF(OR(CG275&lt;&gt;"",CF275&lt;&gt;""),"{}",""),CE275,CJ275,"{SILVER}",CH275,IF(CI275&lt;&gt;"","{}{}",""),CI275)</f>
        <v>{BLACK}Powered by: {GOLD}25kV AC / 750V DC {BLACK}Cars: {GOLD}5{}{BLACK}Length: {GOLD}3.8 tiles{}{YELLOW}10% bonus for long distance travel{}{SILVER}The Class 395 is a dedicated high speed unit built for the HS1 high speed route. It is part of Hitachi's AT300 series.</v>
      </c>
    </row>
    <row r="276" customFormat="false" ht="14.25" hidden="false" customHeight="false" outlineLevel="0" collapsed="false">
      <c r="A276" s="0" t="s">
        <v>999</v>
      </c>
      <c r="B276" s="15" t="s">
        <v>1000</v>
      </c>
      <c r="C276" s="0" t="n">
        <v>276</v>
      </c>
      <c r="E276" s="0" t="n">
        <v>179</v>
      </c>
      <c r="F276" s="0" t="s">
        <v>143</v>
      </c>
      <c r="G276" s="0" t="s">
        <v>827</v>
      </c>
      <c r="H276" s="0" t="s">
        <v>801</v>
      </c>
      <c r="I276" s="0" t="s">
        <v>802</v>
      </c>
      <c r="J276" s="0" t="n">
        <v>2009</v>
      </c>
      <c r="M276" s="0" t="n">
        <v>5</v>
      </c>
      <c r="N276" s="0" t="n">
        <f aca="false">800*2</f>
        <v>1600</v>
      </c>
      <c r="W276" s="0" t="n">
        <v>212.8</v>
      </c>
      <c r="Y276" s="0" t="n">
        <v>7</v>
      </c>
      <c r="Z276" s="0" t="n">
        <v>180</v>
      </c>
      <c r="AA276" s="3" t="n">
        <f aca="false">IF(AND(W276&gt;0,Z276&gt;0),(Z276/((W276+X276)*10)),"")</f>
        <v>0.0845864661654135</v>
      </c>
      <c r="AB276" s="0" t="n">
        <v>75</v>
      </c>
      <c r="AC276" s="0" t="n">
        <f aca="false">ROUND(AB276*1.6, 0)</f>
        <v>120</v>
      </c>
      <c r="AF276" s="0" t="n">
        <v>20.4</v>
      </c>
      <c r="AG276" s="0" t="n">
        <v>20.4</v>
      </c>
      <c r="AH276" s="0" t="n">
        <v>2.8</v>
      </c>
      <c r="AI276" s="0" t="n">
        <v>3.78</v>
      </c>
      <c r="AJ276" s="4" t="n">
        <v>90</v>
      </c>
      <c r="AK276" s="0" t="str">
        <f aca="false">CONCATENATE(VLOOKUP(AL276, 'Voxel Sizes'!$A$2:$B$18,2,FALSE()),"x",INT(AH276*15), "x", INT(AI276*15))</f>
        <v>198x42x56</v>
      </c>
      <c r="AL276" s="0" t="n">
        <f aca="false">ROUND(15*((AG276*10)/256),0)</f>
        <v>12</v>
      </c>
      <c r="AN276" s="0" t="str">
        <f aca="false">CONCATENATE(VLOOKUP(AL276,Constants!$A$2:$C$16,IF(AM276&lt;&gt;"", 3, 2), FALSE()),IF(AM276&lt;&gt;"",CONCATENATE(",",VLOOKUP(AM276,$B:$AN,39,FALSE())),""))</f>
        <v>4,4,4</v>
      </c>
      <c r="AR276" s="0" t="s">
        <v>1001</v>
      </c>
      <c r="AS276" s="0" t="s">
        <v>1002</v>
      </c>
      <c r="AT276" s="0" t="s">
        <v>1003</v>
      </c>
      <c r="AX276" s="0" t="n">
        <v>30</v>
      </c>
      <c r="AY276" s="16" t="str">
        <f aca="false">IF(L276&lt;&gt;"",MAX(16,(L276-J276)+8),"")</f>
        <v/>
      </c>
      <c r="AZ276" s="0" t="n">
        <v>-15</v>
      </c>
      <c r="BA276" s="0" t="n">
        <v>-35</v>
      </c>
      <c r="BB276" s="0" t="n">
        <f aca="false">MIN(AB276/150, 1)*30</f>
        <v>15</v>
      </c>
      <c r="BC276" s="0" t="n">
        <f aca="false">MIN(N276/4000, 1)*20</f>
        <v>8</v>
      </c>
      <c r="BD276" s="0" t="n">
        <f aca="false">MIN(Z276/400,1)*20</f>
        <v>9</v>
      </c>
      <c r="BE276" s="3" t="n">
        <f aca="false">1-(MAX(J276-1900, 0)/750)</f>
        <v>0.854666666666667</v>
      </c>
      <c r="BF276" s="0" t="n">
        <f aca="false">((MAX($M276,1)*MIN($AJ276/300,1)))*IF(G276="Wagon",50,10)</f>
        <v>15</v>
      </c>
      <c r="BG276" s="0" t="n">
        <f aca="false">VLOOKUP($H276,Constants!$I:$K, 2, FALSE())</f>
        <v>0.85</v>
      </c>
      <c r="BH276" s="0" t="n">
        <f aca="false">VLOOKUP($H276,Constants!$I:$K, 3, FALSE())*IF(AND(G276="multiple_unit",AB276&lt;110),0.75,1)</f>
        <v>1.8</v>
      </c>
      <c r="BI276" s="0" t="n">
        <f aca="false">INT(POWER(((Constants!$G$2+$BB276+$BC276+$BD276+$BF276)*$BE276)*$BH276, 1.05))+$BA276</f>
        <v>64</v>
      </c>
      <c r="BJ276" s="0" t="n">
        <f aca="false">INT(POWER((((Constants!$G$1+$BB276+$BC276+$BD276+$BF276)*($BE276))*$BG276),IF($G276="wagon",1,1.2)))+$AZ276</f>
        <v>81</v>
      </c>
      <c r="BK276" s="17" t="n">
        <f aca="false">BI276*IF($G276="wagon",62.5,781.25)</f>
        <v>50000</v>
      </c>
      <c r="BL276" s="17" t="n">
        <f aca="false">BJ276*IF($G276="wagon",2.73,81.25)</f>
        <v>6581.25</v>
      </c>
      <c r="BV276" s="0" t="n">
        <v>6</v>
      </c>
      <c r="BW276" s="0" t="n">
        <v>165</v>
      </c>
      <c r="BZ276" s="0" t="s">
        <v>148</v>
      </c>
      <c r="CA276" s="0" t="str">
        <f aca="false">VLOOKUP(J276,Eras!$A$2:$C$10, 2, TRUE())</f>
        <v>mod</v>
      </c>
      <c r="CB276" s="0" t="s">
        <v>844</v>
      </c>
      <c r="CC276" s="0" t="str">
        <f aca="false">CONCATENATE(CA276,"_",CB276)</f>
        <v>mod_EMU</v>
      </c>
      <c r="CD276" s="0" t="str">
        <f aca="false">_xlfn.CONCAT(H276, "_",I276)</f>
        <v>dual_electric_DUAL_POWER</v>
      </c>
      <c r="CE276" s="6" t="str">
        <f aca="false" t="array" ref="CE276:CE276">_xlfn.CONCAT("{BLACK}Length: {GOLD}", TEXT(ROUNDUP(IF(AQ276&lt;&gt;"",SUM(VALUE(_xlfn.TEXTSPLIT(AQ276, ","))), SUM(VALUE(_xlfn.TEXTSPLIT(AN276, ",")))*IF(M276, M276, 1))/16, 1), "#,##0.0"), " tiles{}")</f>
        <v>{BLACK}Length: {GOLD}3.8 tiles{}</v>
      </c>
      <c r="CF276" s="0" t="str">
        <f aca="false">VLOOKUP($CD276, Constants!$M:$N, 2, FALSE())</f>
        <v>{BLACK}Powered by: {GOLD}25kV AC / 750V DC</v>
      </c>
      <c r="CG276" s="0" t="str">
        <f aca="false">IF(M276&gt;1,_xlfn.CONCAT("{BLACK}Cars: {GOLD}", M276),"")</f>
        <v>{BLACK}Cars: {GOLD}5</v>
      </c>
      <c r="CH276" s="0" t="s">
        <v>1004</v>
      </c>
      <c r="CI276" s="0" t="str">
        <f aca="false">IF($BU276="!param_no_gameplay_units","{GREEN}Included for gameplay purposes","")</f>
        <v/>
      </c>
      <c r="CJ276" s="0" t="str">
        <f aca="false">IF(BX276="buffet","{YELLOW}25% long distance bonus for consist{}",IF(BZ276="BRAKE","{YELLOW}Speed bonus for slow wagons{}",IF(BW276&gt;190,CONCATENATE("{YELLOW}",INT((BW276-185)/1.85),"% bonus for long distance travel{}"),IF(AND(BW276&lt;180,BW276&lt;&gt;0),CONCATENATE("{YELLOW}",INT((185-BW276)/1.85),"% penalty for long distance travel{}"),""))))</f>
        <v>{YELLOW}10% penalty for long distance travel{}</v>
      </c>
      <c r="CK276" s="0" t="str">
        <f aca="false">_xlfn.CONCAT(CF276,IF(CF276&lt;&gt;""," ",""),CG276,IF(OR(CG276&lt;&gt;"",CF276&lt;&gt;""),"{}",""),CE276,CJ276,"{SILVER}",CH276,IF(CI276&lt;&gt;"","{}{}",""),CI276)</f>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7" customFormat="false" ht="14.25" hidden="false" customHeight="false" outlineLevel="0" collapsed="false">
      <c r="A277" s="0" t="s">
        <v>1005</v>
      </c>
      <c r="B277" s="15" t="s">
        <v>1006</v>
      </c>
      <c r="C277" s="0" t="n">
        <v>278</v>
      </c>
      <c r="E277" s="0" t="n">
        <v>181</v>
      </c>
      <c r="F277" s="0" t="s">
        <v>143</v>
      </c>
      <c r="G277" s="0" t="s">
        <v>827</v>
      </c>
      <c r="H277" s="0" t="s">
        <v>670</v>
      </c>
      <c r="I277" s="0" t="s">
        <v>92</v>
      </c>
      <c r="J277" s="0" t="n">
        <v>2019</v>
      </c>
      <c r="M277" s="0" t="n">
        <v>2</v>
      </c>
      <c r="N277" s="0" t="n">
        <f aca="false">523*2</f>
        <v>1046</v>
      </c>
      <c r="W277" s="0" t="n">
        <v>80</v>
      </c>
      <c r="Y277" s="0" t="n">
        <v>5</v>
      </c>
      <c r="Z277" s="0" t="n">
        <v>145</v>
      </c>
      <c r="AA277" s="3" t="n">
        <f aca="false">IF(AND(W277&gt;0,Z277&gt;0),(Z277/((W277+X277)*10)),"")</f>
        <v>0.18125</v>
      </c>
      <c r="AB277" s="0" t="n">
        <v>100</v>
      </c>
      <c r="AC277" s="0" t="n">
        <f aca="false">ROUND(AB277*1.6, 0)</f>
        <v>160</v>
      </c>
      <c r="AF277" s="0" t="n">
        <v>24</v>
      </c>
      <c r="AG277" s="0" t="n">
        <v>24</v>
      </c>
      <c r="AH277" s="0" t="n">
        <v>2.7</v>
      </c>
      <c r="AI277" s="0" t="n">
        <v>3.85</v>
      </c>
      <c r="AJ277" s="4" t="n">
        <v>63</v>
      </c>
      <c r="AK277" s="0" t="str">
        <f aca="false">CONCATENATE(VLOOKUP(AL277, 'Voxel Sizes'!$A$2:$B$18,2,FALSE()),"x",INT(AH277*15), "x", INT(AI277*15))</f>
        <v>238x40x57</v>
      </c>
      <c r="AL277" s="0" t="n">
        <f aca="false">ROUND(15*((AG277*10)/256),0)</f>
        <v>14</v>
      </c>
      <c r="AN277" s="0" t="str">
        <f aca="false">CONCATENATE(VLOOKUP(AL277,Constants!$A$2:$C$16,IF(AM277&lt;&gt;"", 3, 2), FALSE()),IF(AM277&lt;&gt;"",CONCATENATE(",",VLOOKUP(AM277,$B:$AN,39,FALSE())),""))</f>
        <v>4,6,4</v>
      </c>
      <c r="AR277" s="0" t="s">
        <v>1007</v>
      </c>
      <c r="AT277" s="0" t="s">
        <v>833</v>
      </c>
      <c r="AX277" s="0" t="n">
        <v>30</v>
      </c>
      <c r="AY277" s="16" t="str">
        <f aca="false">IF(L277&lt;&gt;"",MAX(16,(L277-J277)+8),"")</f>
        <v/>
      </c>
      <c r="AZ277" s="0" t="n">
        <v>-15</v>
      </c>
      <c r="BA277" s="0" t="n">
        <v>-25</v>
      </c>
      <c r="BB277" s="0" t="n">
        <f aca="false">MIN(AB277/150, 1)*30</f>
        <v>20</v>
      </c>
      <c r="BC277" s="0" t="n">
        <f aca="false">MIN(N277/4000, 1)*20</f>
        <v>5.23</v>
      </c>
      <c r="BD277" s="0" t="n">
        <f aca="false">MIN(Z277/400,1)*20</f>
        <v>7.25</v>
      </c>
      <c r="BE277" s="3" t="n">
        <f aca="false">1-(MAX(J277-1900, 0)/750)</f>
        <v>0.841333333333333</v>
      </c>
      <c r="BF277" s="0" t="n">
        <f aca="false">((MAX($M277,1)*MIN($AJ277/300,1)))*IF(G277="Wagon",50,10)</f>
        <v>4.2</v>
      </c>
      <c r="BG277" s="0" t="n">
        <f aca="false">VLOOKUP($H277,Constants!$I:$K, 2, FALSE())</f>
        <v>1</v>
      </c>
      <c r="BH277" s="0" t="n">
        <f aca="false">VLOOKUP($H277,Constants!$I:$K, 3, FALSE())*IF(AND(G277="multiple_unit",AB277&lt;110),0.75,1)</f>
        <v>1.5</v>
      </c>
      <c r="BI277" s="0" t="n">
        <f aca="false">INT(POWER(((Constants!$G$2+$BB277+$BC277+$BD277+$BF277)*$BE277)*$BH277, 1.05))+$BA277</f>
        <v>39</v>
      </c>
      <c r="BJ277" s="0" t="n">
        <f aca="false">INT(POWER((((Constants!$G$1+$BB277+$BC277+$BD277+$BF277)*($BE277))*$BG277),IF($G277="wagon",1,1.2)))+$AZ277</f>
        <v>77</v>
      </c>
      <c r="BK277" s="17" t="n">
        <f aca="false">BI277*IF($G277="wagon",62.5,781.25)</f>
        <v>30468.75</v>
      </c>
      <c r="BL277" s="17" t="n">
        <f aca="false">BJ277*IF($G277="wagon",2.73,81.25)</f>
        <v>6256.25</v>
      </c>
      <c r="BV277" s="0" t="n">
        <v>2</v>
      </c>
      <c r="BW277" s="0" t="n">
        <v>185</v>
      </c>
      <c r="BZ277" s="0" t="s">
        <v>148</v>
      </c>
      <c r="CA277" s="0" t="str">
        <f aca="false">VLOOKUP(J277,Eras!$A$2:$C$10, 2, TRUE())</f>
        <v>mod</v>
      </c>
      <c r="CB277" s="0" t="s">
        <v>834</v>
      </c>
      <c r="CC277" s="0" t="str">
        <f aca="false">CONCATENATE(CA277,"_",CB277)</f>
        <v>mod_DMU</v>
      </c>
      <c r="CD277" s="0" t="str">
        <f aca="false">_xlfn.CONCAT(H277, "_",I277)</f>
        <v>diesel_RAIL</v>
      </c>
      <c r="CE277" s="6" t="str">
        <f aca="false" t="array" ref="CE277:CE277">_xlfn.CONCAT("{BLACK}Length: {GOLD}", TEXT(ROUNDUP(IF(AQ277&lt;&gt;"",SUM(VALUE(_xlfn.TEXTSPLIT(AQ277, ","))), SUM(VALUE(_xlfn.TEXTSPLIT(AN277, ",")))*IF(M277, M277, 1))/16, 1), "#,##0.0"), " tiles{}")</f>
        <v>{BLACK}Length: {GOLD}1.8 tiles{}</v>
      </c>
      <c r="CF277" s="0" t="str">
        <f aca="false">VLOOKUP($CD277, Constants!$M:$N, 2, FALSE())</f>
        <v>{BLACK}Powered by: {GOLD}Diesel</v>
      </c>
      <c r="CG277" s="0" t="str">
        <f aca="false">IF(M277&gt;1,_xlfn.CONCAT("{BLACK}Cars: {GOLD}", M277),"")</f>
        <v>{BLACK}Cars: {GOLD}2</v>
      </c>
      <c r="CH277" s="0" t="s">
        <v>1008</v>
      </c>
      <c r="CI277" s="0" t="str">
        <f aca="false">IF($BU277="!param_no_gameplay_units","{GREEN}Included for gameplay purposes","")</f>
        <v/>
      </c>
      <c r="CJ277" s="0" t="str">
        <f aca="false">IF(BX277="buffet","{YELLOW}25% long distance bonus for consist{}",IF(BZ277="BRAKE","{YELLOW}Speed bonus for slow wagons{}",IF(BW277&gt;190,CONCATENATE("{YELLOW}",INT((BW277-185)/1.85),"% bonus for long distance travel{}"),IF(AND(BW277&lt;180,BW277&lt;&gt;0),CONCATENATE("{YELLOW}",INT((185-BW277)/1.85),"% penalty for long distance travel{}"),""))))</f>
        <v/>
      </c>
      <c r="CK277" s="0" t="str">
        <f aca="false">_xlfn.CONCAT(CF277,IF(CF277&lt;&gt;""," ",""),CG277,IF(OR(CG277&lt;&gt;"",CF277&lt;&gt;""),"{}",""),CE277,CJ277,"{SILVER}",CH277,IF(CI277&lt;&gt;"","{}{}",""),CI277)</f>
        <v>{BLACK}Powered by: {GOLD}Diesel {BLACK}Cars: {GOLD}2{}{BLACK}Length: {GOLD}1.8 tiles{}{SILVER}The Class 195 is designed to replace Sprinter and Pacer units with a multiple unit of far higher quality and passenger comfort.</v>
      </c>
    </row>
    <row r="278" customFormat="false" ht="14.25" hidden="false" customHeight="false" outlineLevel="0" collapsed="false">
      <c r="A278" s="0" t="s">
        <v>1009</v>
      </c>
      <c r="B278" s="15" t="s">
        <v>1010</v>
      </c>
      <c r="C278" s="0" t="n">
        <v>279</v>
      </c>
      <c r="E278" s="0" t="n">
        <v>182</v>
      </c>
      <c r="F278" s="0" t="s">
        <v>143</v>
      </c>
      <c r="G278" s="0" t="s">
        <v>827</v>
      </c>
      <c r="H278" s="0" t="s">
        <v>757</v>
      </c>
      <c r="I278" s="0" t="s">
        <v>530</v>
      </c>
      <c r="J278" s="0" t="n">
        <v>2019</v>
      </c>
      <c r="M278" s="0" t="n">
        <v>5</v>
      </c>
      <c r="N278" s="0" t="n">
        <v>3500</v>
      </c>
      <c r="O278" s="1" t="n">
        <v>2570</v>
      </c>
      <c r="W278" s="0" t="n">
        <v>163</v>
      </c>
      <c r="Y278" s="0" t="n">
        <v>5</v>
      </c>
      <c r="Z278" s="0" t="n">
        <v>185</v>
      </c>
      <c r="AA278" s="3" t="n">
        <f aca="false">IF(AND(W278&gt;0,Z278&gt;0),(Z278/((W278+X278)*10)),"")</f>
        <v>0.113496932515337</v>
      </c>
      <c r="AB278" s="0" t="n">
        <v>100</v>
      </c>
      <c r="AC278" s="0" t="n">
        <f aca="false">ROUND(AB278*1.6, 0)</f>
        <v>160</v>
      </c>
      <c r="AF278" s="0" t="n">
        <v>20.1</v>
      </c>
      <c r="AG278" s="0" t="n">
        <v>20.1</v>
      </c>
      <c r="AH278" s="0" t="n">
        <v>2.72</v>
      </c>
      <c r="AI278" s="0" t="n">
        <v>3.95</v>
      </c>
      <c r="AJ278" s="4" t="n">
        <v>45</v>
      </c>
      <c r="AK278" s="0" t="str">
        <f aca="false">CONCATENATE(VLOOKUP(AL278, 'Voxel Sizes'!$A$2:$B$18,2,FALSE()),"x",INT(AH278*15), "x", INT(AI278*15))</f>
        <v>198x40x59</v>
      </c>
      <c r="AL278" s="0" t="n">
        <f aca="false">ROUND(15*((AG278*10)/256),0)</f>
        <v>12</v>
      </c>
      <c r="AN278" s="0" t="str">
        <f aca="false">CONCATENATE(VLOOKUP(AL278,Constants!$A$2:$C$16,IF(AM278&lt;&gt;"", 3, 2), FALSE()),IF(AM278&lt;&gt;"",CONCATENATE(",",VLOOKUP(AM278,$B:$AN,39,FALSE())),""))</f>
        <v>4,4,4</v>
      </c>
      <c r="AO278" s="0" t="n">
        <v>6</v>
      </c>
      <c r="AP278" s="5" t="s">
        <v>1011</v>
      </c>
      <c r="AQ278" s="5" t="s">
        <v>1012</v>
      </c>
      <c r="AR278" s="0" t="s">
        <v>1013</v>
      </c>
      <c r="AS278" s="0" t="s">
        <v>1014</v>
      </c>
      <c r="AT278" s="0" t="s">
        <v>1015</v>
      </c>
      <c r="AX278" s="0" t="n">
        <v>30</v>
      </c>
      <c r="AY278" s="16" t="str">
        <f aca="false">IF(L278&lt;&gt;"",MAX(16,(L278-J278)+8),"")</f>
        <v/>
      </c>
      <c r="AZ278" s="0" t="n">
        <v>-15</v>
      </c>
      <c r="BA278" s="0" t="n">
        <v>-30</v>
      </c>
      <c r="BB278" s="0" t="n">
        <f aca="false">MIN(AB278/150, 1)*30</f>
        <v>20</v>
      </c>
      <c r="BC278" s="0" t="n">
        <f aca="false">MIN(N278/4000, 1)*20</f>
        <v>17.5</v>
      </c>
      <c r="BD278" s="0" t="n">
        <f aca="false">MIN(Z278/400,1)*20</f>
        <v>9.25</v>
      </c>
      <c r="BE278" s="3" t="n">
        <f aca="false">1-(MAX(J278-1900, 0)/750)</f>
        <v>0.841333333333333</v>
      </c>
      <c r="BF278" s="0" t="n">
        <f aca="false">((MAX($M278,1)*MIN($AJ278/300,1)))*IF(G278="Wagon",50,10)</f>
        <v>7.5</v>
      </c>
      <c r="BG278" s="0" t="n">
        <f aca="false">VLOOKUP($H278,Constants!$I:$K, 2, FALSE())</f>
        <v>0.9</v>
      </c>
      <c r="BH278" s="0" t="n">
        <f aca="false">VLOOKUP($H278,Constants!$I:$K, 3, FALSE())*IF(AND(G278="multiple_unit",AB278&lt;110),0.75,1)</f>
        <v>1.875</v>
      </c>
      <c r="BI278" s="0" t="n">
        <f aca="false">INT(POWER(((Constants!$G$2+$BB278+$BC278+$BD278+$BF278)*$BE278)*$BH278, 1.05))+$BA278</f>
        <v>87</v>
      </c>
      <c r="BJ278" s="0" t="n">
        <f aca="false">INT(POWER((((Constants!$G$1+$BB278+$BC278+$BD278+$BF278)*($BE278))*$BG278),IF($G278="wagon",1,1.2)))+$AZ278</f>
        <v>100</v>
      </c>
      <c r="BK278" s="17" t="n">
        <f aca="false">BI278*IF($G278="wagon",62.5,781.25)</f>
        <v>67968.75</v>
      </c>
      <c r="BL278" s="17" t="n">
        <f aca="false">BJ278*IF($G278="wagon",2.73,81.25)</f>
        <v>8125</v>
      </c>
      <c r="BR278" s="26"/>
      <c r="BV278" s="0" t="n">
        <v>9</v>
      </c>
      <c r="BZ278" s="0" t="s">
        <v>148</v>
      </c>
      <c r="CA278" s="0" t="str">
        <f aca="false">VLOOKUP(J278,Eras!$A$2:$C$10, 2, TRUE())</f>
        <v>mod</v>
      </c>
      <c r="CB278" s="0" t="s">
        <v>844</v>
      </c>
      <c r="CC278" s="0" t="str">
        <f aca="false">CONCATENATE(CA278,"_",CB278)</f>
        <v>mod_EMU</v>
      </c>
      <c r="CD278" s="0" t="str">
        <f aca="false">_xlfn.CONCAT(H278, "_",I278)</f>
        <v>dual_power_ELRL</v>
      </c>
      <c r="CE278" s="6" t="str">
        <f aca="false" t="array" ref="CE278:CE278">_xlfn.CONCAT("{BLACK}Length: {GOLD}", TEXT(ROUNDUP(IF(AQ278&lt;&gt;"",SUM(VALUE(_xlfn.TEXTSPLIT(AQ278, ","))), SUM(VALUE(_xlfn.TEXTSPLIT(AN278, ",")))*IF(M278, M278, 1))/16, 1), "#,##0.0"), " tiles{}")</f>
        <v>{BLACK}Length: {GOLD}3.0 tiles{}</v>
      </c>
      <c r="CF278" s="0" t="str">
        <f aca="false">VLOOKUP($CD278, Constants!$M:$N, 2, FALSE())</f>
        <v>{BLACK}Powered by: {GOLD}25kV AC / Diesel</v>
      </c>
      <c r="CG278" s="0" t="str">
        <f aca="false">IF(M278&gt;1,_xlfn.CONCAT("{BLACK}Cars: {GOLD}", M278),"")</f>
        <v>{BLACK}Cars: {GOLD}5</v>
      </c>
      <c r="CH278" s="0" t="s">
        <v>1016</v>
      </c>
      <c r="CI278" s="0" t="str">
        <f aca="false">IF($BU278="!param_no_gameplay_units","{GREEN}Included for gameplay purposes","")</f>
        <v/>
      </c>
      <c r="CJ278" s="0" t="str">
        <f aca="false">IF(BX278="buffet","{YELLOW}25% long distance bonus for consist{}",IF(BZ278="BRAKE","{YELLOW}Speed bonus for slow wagons{}",IF(BW278&gt;190,CONCATENATE("{YELLOW}",INT((BW278-185)/1.85),"% bonus for long distance travel{}"),IF(AND(BW278&lt;180,BW278&lt;&gt;0),CONCATENATE("{YELLOW}",INT((185-BW278)/1.85),"% penalty for long distance travel{}"),""))))</f>
        <v/>
      </c>
      <c r="CK278" s="0" t="str">
        <f aca="false">_xlfn.CONCAT(CF278,IF(CF278&lt;&gt;""," ",""),CG278,IF(OR(CG278&lt;&gt;"",CF278&lt;&gt;""),"{}",""),CE278,CJ278,"{SILVER}",CH278,IF(CI278&lt;&gt;"","{}{}",""),CI278)</f>
        <v>{BLACK}Powered by: {GOLD}25kV AC / Diesel {BLACK}Cars: {GOLD}5{}{BLACK}Length: {GOLD}3.0 tiles{}{SILVER}The Class 755 was designed to modernise services on the East Anglia franchise. The design features a distinctive "power pack" containing the diesel engines used for bi-mode operation.</v>
      </c>
    </row>
    <row r="279" s="26" customFormat="true" ht="14.25" hidden="false" customHeight="false" outlineLevel="0" collapsed="false">
      <c r="A279" s="26" t="s">
        <v>1017</v>
      </c>
      <c r="B279" s="32" t="s">
        <v>1018</v>
      </c>
      <c r="C279" s="21" t="n">
        <v>3096</v>
      </c>
      <c r="E279" s="26" t="n">
        <v>519</v>
      </c>
      <c r="F279" s="26" t="s">
        <v>143</v>
      </c>
      <c r="G279" s="26" t="s">
        <v>827</v>
      </c>
      <c r="H279" s="26" t="s">
        <v>529</v>
      </c>
      <c r="I279" s="26" t="s">
        <v>530</v>
      </c>
      <c r="J279" s="26" t="n">
        <v>2020</v>
      </c>
      <c r="M279" s="26" t="n">
        <v>12</v>
      </c>
      <c r="N279" s="26" t="n">
        <v>7000</v>
      </c>
      <c r="O279" s="33" t="n">
        <v>2700</v>
      </c>
      <c r="P279" s="34"/>
      <c r="Q279" s="34"/>
      <c r="R279" s="34"/>
      <c r="S279" s="34"/>
      <c r="T279" s="34"/>
      <c r="U279" s="34"/>
      <c r="V279" s="34"/>
      <c r="W279" s="26" t="n">
        <v>204</v>
      </c>
      <c r="X279" s="33"/>
      <c r="Y279" s="26" t="n">
        <v>5</v>
      </c>
      <c r="Z279" s="26" t="n">
        <v>400</v>
      </c>
      <c r="AA279" s="35" t="n">
        <f aca="false">IF(AND(W279&gt;0,Z279&gt;0),(Z279/((W279+X279)*10)),"")</f>
        <v>0.196078431372549</v>
      </c>
      <c r="AB279" s="26" t="n">
        <v>100</v>
      </c>
      <c r="AC279" s="26" t="n">
        <f aca="false">ROUND(AB279*1.6, 0)</f>
        <v>160</v>
      </c>
      <c r="AF279" s="26" t="n">
        <v>19.7</v>
      </c>
      <c r="AG279" s="26" t="n">
        <v>20</v>
      </c>
      <c r="AJ279" s="36" t="n">
        <v>60</v>
      </c>
      <c r="AK279" s="26" t="str">
        <f aca="false">CONCATENATE(VLOOKUP(AL279, '[1]Voxel Sizes'!$A$2:$B$18,2,FALSE()),"x",INT(AH279*15), "x", INT(AI279*15))</f>
        <v>198x0x0</v>
      </c>
      <c r="AL279" s="26" t="n">
        <f aca="false">ROUND(15*((AG279*10)/256),0)</f>
        <v>12</v>
      </c>
      <c r="AN279" s="19" t="str">
        <f aca="false">CONCATENATE(VLOOKUP(AL279,[1]Constants!$A$2:$C$16,IF(AM279&lt;&gt;"", 3, 2), FALSE()),IF(AM279&lt;&gt;"",CONCATENATE(",",VLOOKUP(AM279,$B:$AN,38,FALSE())),""))</f>
        <v>4,4,4</v>
      </c>
      <c r="AO279" s="26" t="s">
        <v>1019</v>
      </c>
      <c r="AP279" s="37"/>
      <c r="AQ279" s="37"/>
      <c r="AR279" s="26"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279" s="26" t="str">
        <f aca="false">STAD_745_NS</f>
        <v>0,1,1,1,0,0,0,0,0,0,1,0</v>
      </c>
      <c r="AU279" s="26" t="s">
        <v>1010</v>
      </c>
      <c r="AX279" s="26" t="n">
        <v>30</v>
      </c>
      <c r="AY279" s="38" t="str">
        <f aca="false">IF(L279&lt;&gt;"",MAX(16,(L279-J279)+8),"")</f>
        <v/>
      </c>
      <c r="AZ279" s="26" t="n">
        <v>-15</v>
      </c>
      <c r="BA279" s="26" t="n">
        <v>-30</v>
      </c>
      <c r="BB279" s="26" t="n">
        <f aca="false">MIN(AB279/150, 1)*30</f>
        <v>20</v>
      </c>
      <c r="BC279" s="26" t="n">
        <f aca="false">MIN(N279/4000, 1)*20</f>
        <v>20</v>
      </c>
      <c r="BD279" s="26" t="n">
        <f aca="false">MIN(Z279/400,1)*20</f>
        <v>20</v>
      </c>
      <c r="BE279" s="35" t="n">
        <f aca="false">1-(MAX(J279-1900, 0)/750)</f>
        <v>0.84</v>
      </c>
      <c r="BF279" s="26" t="n">
        <f aca="false">((MAX($M279,1)*MIN($AJ279/300,1)))*IF(G279="Wagon",50,10)</f>
        <v>24</v>
      </c>
      <c r="BG279" s="19" t="n">
        <f aca="false">VLOOKUP($H279,[1]Constants!$I$1:$K$1048576, 2, FALSE())</f>
        <v>0.85</v>
      </c>
      <c r="BH279" s="19" t="n">
        <f aca="false">VLOOKUP($H279,[1]Constants!$I$1:$K$1048576, 3, FALSE())*IF(AND(G279="multiple_unit",AB279&lt;110),0.75,1)</f>
        <v>1.725</v>
      </c>
      <c r="BI279" s="19" t="n">
        <f aca="false">INT(POWER((([1]Constants!$G$2+$BB279+$BC279+$BD279+$BF279)*$BE279)*$BH279, 1.05))+$BA279</f>
        <v>134</v>
      </c>
      <c r="BJ279" s="19" t="n">
        <f aca="false">INT(POWER(((([1]Constants!$G$1+$BB279+$BC279+$BD279+$BF279)*($BE279))*$BG279),IF($G279="wagon",1,1.2)))+$AZ279</f>
        <v>150</v>
      </c>
      <c r="BK279" s="39" t="n">
        <f aca="false">BI279*IF($G279="wagon",62.5,781.25)</f>
        <v>104687.5</v>
      </c>
      <c r="BL279" s="39" t="n">
        <f aca="false">BJ279*IF($G279="wagon",2.73,81.25)</f>
        <v>12187.5</v>
      </c>
      <c r="BU279" s="26" t="s">
        <v>952</v>
      </c>
      <c r="BV279" s="26" t="n">
        <v>2</v>
      </c>
      <c r="BZ279" s="26" t="s">
        <v>148</v>
      </c>
      <c r="CA279" s="19" t="s">
        <v>938</v>
      </c>
      <c r="CB279" s="40" t="s">
        <v>844</v>
      </c>
      <c r="CC279" s="26" t="str">
        <f aca="false">CONCATENATE(CA279,"_",CB279)</f>
        <v>mod_EMU</v>
      </c>
      <c r="CD279" s="26" t="str">
        <f aca="false">_xlfn.CONCAT(H279, "_",I279)</f>
        <v>electric_ELRL</v>
      </c>
      <c r="CE279" s="41" t="str">
        <f aca="false" t="array" ref="CE279:CE279">_xlfn.CONCAT("{BLACK}Length: {GOLD}", TEXT(ROUNDUP(IF(AQ279&lt;&gt;"",SUM(VALUE(_xlfn.TEXTSPLIT(AQ279, ","))), SUM(VALUE(_xlfn.TEXTSPLIT(AN279, ",")))*IF(M279, M279, 1))/16, 1), "#,##0.0"), " tiles{}")</f>
        <v>{BLACK}Length: {GOLD}9.0 tiles{}</v>
      </c>
      <c r="CF279" s="19" t="str">
        <f aca="false">VLOOKUP($CD279, [1]Constants!$M$1:$N$1048576, 2, FALSE())</f>
        <v>{BLACK}Powered by: {GOLD}25kV AC</v>
      </c>
      <c r="CG279" s="26" t="str">
        <f aca="false">IF(M279&gt;1,_xlfn.CONCAT("{BLACK}Cars: {GOLD}", M279),"")</f>
        <v>{BLACK}Cars: {GOLD}12</v>
      </c>
      <c r="CH279" s="26" t="s">
        <v>1020</v>
      </c>
      <c r="CJ279" s="19" t="str">
        <f aca="false">IF(BX279="buffet","{YELLOW}25% long distance bonus for consist{}",IF(CA279="BRAKE","{YELLOW}Speed bonus for slow wagons{}",IF(BW279&gt;190,CONCATENATE("{YELLOW}",INT((BW279-185)/1.85),"% bonus for long distance travel{}"),IF(AND(BW279&lt;180,BW279&lt;&gt;0),CONCATENATE("{YELLOW}",INT((185-BW279)/1.85),"% penalty for long distance travel{}"),""))))</f>
        <v/>
      </c>
      <c r="CK279" s="19" t="str">
        <f aca="false">_xlfn.CONCAT(CF279,IF(CF279 &lt;&gt; "", " ", ""),CG279,IF(OR(CG279&lt;&gt;"", CF279&lt;&gt;""), "{}",""), CE279, CJ279,"{SILVER}", CH279)</f>
        <v>{BLACK}Powered by: {GOLD}25kV AC {BLACK}Cars: {GOLD}12{}{BLACK}Length: {GOLD}9.0 tiles{}{SILVER}Stadler’s Class 745 units replaced Class 90 hauled trains on the GEML. The semi-articulated design was required to meet crashworthiness specifications.</v>
      </c>
    </row>
    <row r="280" customFormat="false" ht="14.25" hidden="false" customHeight="false" outlineLevel="0" collapsed="false">
      <c r="A280" s="0" t="s">
        <v>1021</v>
      </c>
      <c r="B280" s="15" t="s">
        <v>1022</v>
      </c>
      <c r="C280" s="0" t="n">
        <v>280</v>
      </c>
      <c r="E280" s="0" t="n">
        <v>183</v>
      </c>
      <c r="F280" s="0" t="s">
        <v>143</v>
      </c>
      <c r="G280" s="0" t="s">
        <v>827</v>
      </c>
      <c r="H280" s="0" t="s">
        <v>529</v>
      </c>
      <c r="I280" s="0" t="s">
        <v>530</v>
      </c>
      <c r="J280" s="0" t="n">
        <v>2018</v>
      </c>
      <c r="M280" s="0" t="n">
        <v>3</v>
      </c>
      <c r="N280" s="0" t="n">
        <f aca="false">335*6</f>
        <v>2010</v>
      </c>
      <c r="W280" s="0" t="n">
        <v>130</v>
      </c>
      <c r="Y280" s="0" t="n">
        <v>5</v>
      </c>
      <c r="Z280" s="0" t="n">
        <v>150</v>
      </c>
      <c r="AA280" s="3" t="n">
        <f aca="false">IF(AND(W280&gt;0,Z280&gt;0),(Z280/((W280+X280)*10)),"")</f>
        <v>0.115384615384615</v>
      </c>
      <c r="AB280" s="0" t="n">
        <v>100</v>
      </c>
      <c r="AC280" s="0" t="n">
        <f aca="false">ROUND(AB280*1.6, 0)</f>
        <v>160</v>
      </c>
      <c r="AF280" s="0" t="n">
        <v>23</v>
      </c>
      <c r="AG280" s="0" t="n">
        <v>23</v>
      </c>
      <c r="AJ280" s="4" t="n">
        <v>69</v>
      </c>
      <c r="AK280" s="0" t="str">
        <f aca="false">CONCATENATE(VLOOKUP(AL280, 'Voxel Sizes'!$A$2:$B$18,2,FALSE()),"x",INT(AH280*15), "x", INT(AI280*15))</f>
        <v>214x0x0</v>
      </c>
      <c r="AL280" s="0" t="n">
        <f aca="false">ROUND(15*((AG280*10)/256),0)</f>
        <v>13</v>
      </c>
      <c r="AN280" s="0" t="str">
        <f aca="false">CONCATENATE(VLOOKUP(AL280,Constants!$A$2:$C$16,IF(AM280&lt;&gt;"", 3, 2), FALSE()),IF(AM280&lt;&gt;"",CONCATENATE(",",VLOOKUP(AM280,$B:$AN,39,FALSE())),""))</f>
        <v>4,5,4</v>
      </c>
      <c r="AR280" s="0" t="s">
        <v>1023</v>
      </c>
      <c r="AT280" s="0" t="s">
        <v>864</v>
      </c>
      <c r="AX280" s="0" t="n">
        <v>32</v>
      </c>
      <c r="AY280" s="16" t="str">
        <f aca="false">IF(L280&lt;&gt;"",MAX(16,(L280-J280)+8),"")</f>
        <v/>
      </c>
      <c r="AZ280" s="0" t="n">
        <v>-15</v>
      </c>
      <c r="BA280" s="0" t="n">
        <v>-32</v>
      </c>
      <c r="BB280" s="0" t="n">
        <f aca="false">MIN(AB280/150, 1)*30</f>
        <v>20</v>
      </c>
      <c r="BC280" s="0" t="n">
        <f aca="false">MIN(N280/4000, 1)*20</f>
        <v>10.05</v>
      </c>
      <c r="BD280" s="0" t="n">
        <f aca="false">MIN(Z280/400,1)*20</f>
        <v>7.5</v>
      </c>
      <c r="BE280" s="3" t="n">
        <f aca="false">1-(MAX(J280-1900, 0)/750)</f>
        <v>0.842666666666667</v>
      </c>
      <c r="BF280" s="0" t="n">
        <f aca="false">((MAX($M280,1)*MIN($AJ280/300,1)))*IF(G280="Wagon",50,10)</f>
        <v>6.9</v>
      </c>
      <c r="BG280" s="0" t="n">
        <f aca="false">VLOOKUP($H280,Constants!$I:$K, 2, FALSE())</f>
        <v>0.85</v>
      </c>
      <c r="BH280" s="0" t="n">
        <f aca="false">VLOOKUP($H280,Constants!$I:$K, 3, FALSE())*IF(AND(G280="multiple_unit",AB280&lt;110),0.75,1)</f>
        <v>1.725</v>
      </c>
      <c r="BI280" s="0" t="n">
        <f aca="false">INT(POWER(((Constants!$G$2+$BB280+$BC280+$BD280+$BF280)*$BE280)*$BH280, 1.05))+$BA280</f>
        <v>57</v>
      </c>
      <c r="BJ280" s="0" t="n">
        <f aca="false">INT(POWER((((Constants!$G$1+$BB280+$BC280+$BD280+$BF280)*($BE280))*$BG280),IF($G280="wagon",1,1.2)))+$AZ280</f>
        <v>75</v>
      </c>
      <c r="BK280" s="17" t="n">
        <f aca="false">BI280*IF($G280="wagon",62.5,781.25)</f>
        <v>44531.25</v>
      </c>
      <c r="BL280" s="17" t="n">
        <f aca="false">BJ280*IF($G280="wagon",2.73,81.25)</f>
        <v>6093.75</v>
      </c>
      <c r="BV280" s="0" t="n">
        <v>11</v>
      </c>
      <c r="BW280" s="0" t="n">
        <v>185</v>
      </c>
      <c r="BZ280" s="0" t="s">
        <v>148</v>
      </c>
      <c r="CA280" s="0" t="str">
        <f aca="false">VLOOKUP(J280,Eras!$A$2:$C$10, 2, TRUE())</f>
        <v>mod</v>
      </c>
      <c r="CB280" s="0" t="s">
        <v>844</v>
      </c>
      <c r="CC280" s="0" t="str">
        <f aca="false">CONCATENATE(CA280,"_",CB280)</f>
        <v>mod_EMU</v>
      </c>
      <c r="CD280" s="0" t="str">
        <f aca="false">_xlfn.CONCAT(H280, "_",I280)</f>
        <v>electric_ELRL</v>
      </c>
      <c r="CE280" s="6" t="str">
        <f aca="false" t="array" ref="CE280:CE280">_xlfn.CONCAT("{BLACK}Length: {GOLD}", TEXT(ROUNDUP(IF(AQ280&lt;&gt;"",SUM(VALUE(_xlfn.TEXTSPLIT(AQ280, ","))), SUM(VALUE(_xlfn.TEXTSPLIT(AN280, ",")))*IF(M280, M280, 1))/16, 1), "#,##0.0"), " tiles{}")</f>
        <v>{BLACK}Length: {GOLD}2.5 tiles{}</v>
      </c>
      <c r="CF280" s="0" t="str">
        <f aca="false">VLOOKUP($CD280, Constants!$M:$N, 2, FALSE())</f>
        <v>{BLACK}Powered by: {GOLD}25kV AC</v>
      </c>
      <c r="CG280" s="0" t="str">
        <f aca="false">IF(M280&gt;1,_xlfn.CONCAT("{BLACK}Cars: {GOLD}", M280),"")</f>
        <v>{BLACK}Cars: {GOLD}3</v>
      </c>
      <c r="CH280" s="0" t="s">
        <v>1024</v>
      </c>
      <c r="CI280" s="0" t="str">
        <f aca="false">IF($BU280="!param_no_gameplay_units","{GREEN}Included for gameplay purposes","")</f>
        <v/>
      </c>
      <c r="CJ280" s="0" t="str">
        <f aca="false">IF(BX280="buffet","{YELLOW}25% long distance bonus for consist{}",IF(BZ280="BRAKE","{YELLOW}Speed bonus for slow wagons{}",IF(BW280&gt;190,CONCATENATE("{YELLOW}",INT((BW280-185)/1.85),"% bonus for long distance travel{}"),IF(AND(BW280&lt;180,BW280&lt;&gt;0),CONCATENATE("{YELLOW}",INT((185-BW280)/1.85),"% penalty for long distance travel{}"),""))))</f>
        <v/>
      </c>
      <c r="CK280" s="0" t="str">
        <f aca="false">_xlfn.CONCAT(CF280,IF(CF280&lt;&gt;""," ",""),CG280,IF(OR(CG280&lt;&gt;"",CF280&lt;&gt;""),"{}",""),CE280,CJ280,"{SILVER}",CH280,IF(CI280&lt;&gt;"","{}{}",""),CI280)</f>
        <v>{BLACK}Powered by: {GOLD}25kV AC {BLACK}Cars: {GOLD}3{}{BLACK}Length: {GOLD}2.5 tiles{}{SILVER}The Class 385 was built for use on newly electrified lines in Scotland. Unlike most AT200 variants, it has cab end doors to allow for trolley services throughout the train.</v>
      </c>
    </row>
    <row r="281" customFormat="false" ht="14.25" hidden="false" customHeight="false" outlineLevel="0" collapsed="false">
      <c r="A281" s="0" t="s">
        <v>1025</v>
      </c>
      <c r="B281" s="15" t="s">
        <v>1026</v>
      </c>
      <c r="C281" s="0" t="n">
        <v>281</v>
      </c>
      <c r="E281" s="0" t="n">
        <v>184</v>
      </c>
      <c r="F281" s="0" t="s">
        <v>143</v>
      </c>
      <c r="G281" s="0" t="s">
        <v>827</v>
      </c>
      <c r="H281" s="0" t="s">
        <v>801</v>
      </c>
      <c r="I281" s="0" t="s">
        <v>802</v>
      </c>
      <c r="J281" s="0" t="n">
        <v>2016</v>
      </c>
      <c r="M281" s="0" t="n">
        <v>8</v>
      </c>
      <c r="N281" s="0" t="n">
        <v>4400</v>
      </c>
      <c r="O281" s="1" t="n">
        <v>2560</v>
      </c>
      <c r="W281" s="0" t="n">
        <v>278</v>
      </c>
      <c r="Y281" s="0" t="n">
        <v>6</v>
      </c>
      <c r="Z281" s="0" t="n">
        <v>225</v>
      </c>
      <c r="AA281" s="3" t="n">
        <f aca="false">IF(AND(W281&gt;0,Z281&gt;0),(Z281/((W281+X281)*10)),"")</f>
        <v>0.0809352517985612</v>
      </c>
      <c r="AB281" s="0" t="n">
        <v>100</v>
      </c>
      <c r="AC281" s="0" t="n">
        <f aca="false">ROUND(AB281*1.6, 0)</f>
        <v>160</v>
      </c>
      <c r="AF281" s="0" t="n">
        <v>20.2</v>
      </c>
      <c r="AG281" s="0" t="n">
        <v>20.2</v>
      </c>
      <c r="AJ281" s="4" t="n">
        <v>69</v>
      </c>
      <c r="AK281" s="0" t="str">
        <f aca="false">CONCATENATE(VLOOKUP(AL281, 'Voxel Sizes'!$A$2:$B$18,2,FALSE()),"x",INT(AH281*15), "x", INT(AI281*15))</f>
        <v>198x0x0</v>
      </c>
      <c r="AL281" s="0" t="n">
        <f aca="false">ROUND(15*((AG281*10)/256),0)</f>
        <v>12</v>
      </c>
      <c r="AN281" s="0" t="str">
        <f aca="false">CONCATENATE(VLOOKUP(AL281,Constants!$A$2:$C$16,IF(AM281&lt;&gt;"", 3, 2), FALSE()),IF(AM281&lt;&gt;"",CONCATENATE(",",VLOOKUP(AM281,$B:$AN,39,FALSE())),""))</f>
        <v>4,4,4</v>
      </c>
      <c r="AR281" s="0" t="s">
        <v>1027</v>
      </c>
      <c r="AS281" s="0" t="s">
        <v>1028</v>
      </c>
      <c r="AT281" s="0" t="s">
        <v>1029</v>
      </c>
      <c r="AX281" s="0" t="n">
        <v>30</v>
      </c>
      <c r="AY281" s="16" t="str">
        <f aca="false">IF(L281&lt;&gt;"",MAX(16,(L281-J281)+8),"")</f>
        <v/>
      </c>
      <c r="AZ281" s="0" t="n">
        <v>-15</v>
      </c>
      <c r="BA281" s="0" t="n">
        <v>-30</v>
      </c>
      <c r="BB281" s="0" t="n">
        <f aca="false">MIN(AB281/150, 1)*30</f>
        <v>20</v>
      </c>
      <c r="BC281" s="0" t="n">
        <f aca="false">MIN(N281/4000, 1)*20</f>
        <v>20</v>
      </c>
      <c r="BD281" s="0" t="n">
        <f aca="false">MIN(Z281/400,1)*20</f>
        <v>11.25</v>
      </c>
      <c r="BE281" s="3" t="n">
        <f aca="false">1-(MAX(J281-1900, 0)/750)</f>
        <v>0.845333333333333</v>
      </c>
      <c r="BF281" s="0" t="n">
        <f aca="false">((MAX($M281,1)*MIN($AJ281/300,1)))*IF(G281="Wagon",50,10)</f>
        <v>18.4</v>
      </c>
      <c r="BG281" s="0" t="n">
        <f aca="false">VLOOKUP($H281,Constants!$I:$K, 2, FALSE())</f>
        <v>0.85</v>
      </c>
      <c r="BH281" s="0" t="n">
        <f aca="false">VLOOKUP($H281,Constants!$I:$K, 3, FALSE())*IF(AND(G281="multiple_unit",AB281&lt;110),0.75,1)</f>
        <v>1.8</v>
      </c>
      <c r="BI281" s="0" t="n">
        <f aca="false">INT(POWER(((Constants!$G$2+$BB281+$BC281+$BD281+$BF281)*$BE281)*$BH281, 1.05))+$BA281</f>
        <v>113</v>
      </c>
      <c r="BJ281" s="0" t="n">
        <f aca="false">INT(POWER((((Constants!$G$1+$BB281+$BC281+$BD281+$BF281)*($BE281))*$BG281),IF($G281="wagon",1,1.2)))+$AZ281</f>
        <v>123</v>
      </c>
      <c r="BK281" s="17" t="n">
        <f aca="false">BI281*IF($G281="wagon",62.5,781.25)</f>
        <v>88281.25</v>
      </c>
      <c r="BL281" s="17" t="n">
        <f aca="false">BJ281*IF($G281="wagon",2.73,81.25)</f>
        <v>9993.75</v>
      </c>
      <c r="BU281" s="0" t="s">
        <v>927</v>
      </c>
      <c r="BV281" s="0" t="n">
        <v>3</v>
      </c>
      <c r="BZ281" s="0" t="s">
        <v>148</v>
      </c>
      <c r="CA281" s="0" t="str">
        <f aca="false">VLOOKUP(J281,Eras!$A$2:$C$10, 2, TRUE())</f>
        <v>mod</v>
      </c>
      <c r="CB281" s="0" t="s">
        <v>844</v>
      </c>
      <c r="CC281" s="0" t="str">
        <f aca="false">CONCATENATE(CA281,"_",CB281)</f>
        <v>mod_EMU</v>
      </c>
      <c r="CD281" s="0" t="str">
        <f aca="false">_xlfn.CONCAT(H281, "_",I281)</f>
        <v>dual_electric_DUAL_POWER</v>
      </c>
      <c r="CE281" s="6" t="str">
        <f aca="false" t="array" ref="CE281:CE281">_xlfn.CONCAT("{BLACK}Length: {GOLD}", TEXT(ROUNDUP(IF(AQ281&lt;&gt;"",SUM(VALUE(_xlfn.TEXTSPLIT(AQ281, ","))), SUM(VALUE(_xlfn.TEXTSPLIT(AN281, ",")))*IF(M281, M281, 1))/16, 1), "#,##0.0"), " tiles{}")</f>
        <v>{BLACK}Length: {GOLD}6.0 tiles{}</v>
      </c>
      <c r="CF281" s="0" t="str">
        <f aca="false">VLOOKUP($CD281, Constants!$M:$N, 2, FALSE())</f>
        <v>{BLACK}Powered by: {GOLD}25kV AC / 750V DC</v>
      </c>
      <c r="CG281" s="0" t="str">
        <f aca="false">IF(M281&gt;1,_xlfn.CONCAT("{BLACK}Cars: {GOLD}", M281),"")</f>
        <v>{BLACK}Cars: {GOLD}8</v>
      </c>
      <c r="CH281" s="0" t="s">
        <v>1030</v>
      </c>
      <c r="CI281" s="0" t="str">
        <f aca="false">IF($BU281="!param_no_gameplay_units","{GREEN}Included for gameplay purposes","")</f>
        <v/>
      </c>
      <c r="CJ281" s="0" t="str">
        <f aca="false">IF(BX281="buffet","{YELLOW}25% long distance bonus for consist{}",IF(BZ281="BRAKE","{YELLOW}Speed bonus for slow wagons{}",IF(BW281&gt;190,CONCATENATE("{YELLOW}",INT((BW281-185)/1.85),"% bonus for long distance travel{}"),IF(AND(BW281&lt;180,BW281&lt;&gt;0),CONCATENATE("{YELLOW}",INT((185-BW281)/1.85),"% penalty for long distance travel{}"),""))))</f>
        <v/>
      </c>
      <c r="CK281" s="0" t="str">
        <f aca="false">_xlfn.CONCAT(CF281,IF(CF281&lt;&gt;""," ",""),CG281,IF(OR(CG281&lt;&gt;"",CF281&lt;&gt;""),"{}",""),CE281,CJ281,"{SILVER}",CH281,IF(CI281&lt;&gt;"","{}{}",""),CI281)</f>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82" customFormat="false" ht="14.25" hidden="false" customHeight="false" outlineLevel="0" collapsed="false">
      <c r="A282" s="0" t="s">
        <v>1031</v>
      </c>
      <c r="B282" s="15" t="s">
        <v>1032</v>
      </c>
      <c r="C282" s="0" t="n">
        <v>282</v>
      </c>
      <c r="E282" s="0" t="n">
        <v>185</v>
      </c>
      <c r="F282" s="0" t="s">
        <v>143</v>
      </c>
      <c r="G282" s="0" t="s">
        <v>827</v>
      </c>
      <c r="H282" s="0" t="s">
        <v>529</v>
      </c>
      <c r="I282" s="0" t="s">
        <v>530</v>
      </c>
      <c r="J282" s="0" t="n">
        <v>2017</v>
      </c>
      <c r="M282" s="0" t="n">
        <v>9</v>
      </c>
      <c r="N282" s="0" t="n">
        <v>1900</v>
      </c>
      <c r="W282" s="0" t="n">
        <v>264</v>
      </c>
      <c r="Y282" s="0" t="n">
        <v>7</v>
      </c>
      <c r="Z282" s="0" t="n">
        <v>220</v>
      </c>
      <c r="AA282" s="3" t="n">
        <f aca="false">IF(AND(W282&gt;0,Z282&gt;0),(Z282/((W282+X282)*10)),"")</f>
        <v>0.0833333333333333</v>
      </c>
      <c r="AB282" s="0" t="n">
        <v>90</v>
      </c>
      <c r="AC282" s="0" t="n">
        <f aca="false">ROUND(AB282*1.6, 0)</f>
        <v>144</v>
      </c>
      <c r="AF282" s="0" t="n">
        <v>22.7</v>
      </c>
      <c r="AG282" s="0" t="n">
        <v>22.7</v>
      </c>
      <c r="AJ282" s="4" t="n">
        <v>78</v>
      </c>
      <c r="AK282" s="0" t="str">
        <f aca="false">CONCATENATE(VLOOKUP(AL282, 'Voxel Sizes'!$A$2:$B$18,2,FALSE()),"x",INT(AH282*15), "x", INT(AI282*15))</f>
        <v>214x0x0</v>
      </c>
      <c r="AL282" s="0" t="n">
        <f aca="false">ROUND(15*((AG282*10)/256),0)</f>
        <v>13</v>
      </c>
      <c r="AN282" s="0" t="str">
        <f aca="false">CONCATENATE(VLOOKUP(AL282,Constants!$A$2:$C$16,IF(AM282&lt;&gt;"", 3, 2), FALSE()),IF(AM282&lt;&gt;"",CONCATENATE(",",VLOOKUP(AM282,$B:$AN,39,FALSE())),""))</f>
        <v>4,5,4</v>
      </c>
      <c r="AR282" s="0" t="s">
        <v>1033</v>
      </c>
      <c r="AT282" s="0" t="s">
        <v>1034</v>
      </c>
      <c r="AX282" s="0" t="n">
        <v>30</v>
      </c>
      <c r="AY282" s="16" t="str">
        <f aca="false">IF(L282&lt;&gt;"",MAX(16,(L282-J282)+8),"")</f>
        <v/>
      </c>
      <c r="AZ282" s="0" t="n">
        <v>-19</v>
      </c>
      <c r="BA282" s="0" t="n">
        <v>-22</v>
      </c>
      <c r="BB282" s="0" t="n">
        <f aca="false">MIN(AB282/150, 1)*30</f>
        <v>18</v>
      </c>
      <c r="BC282" s="0" t="n">
        <f aca="false">MIN(N282/4000, 1)*20</f>
        <v>9.5</v>
      </c>
      <c r="BD282" s="0" t="n">
        <f aca="false">MIN(Z282/400,1)*20</f>
        <v>11</v>
      </c>
      <c r="BE282" s="3" t="n">
        <f aca="false">1-(MAX(J282-1900, 0)/750)</f>
        <v>0.844</v>
      </c>
      <c r="BF282" s="0" t="n">
        <f aca="false">((MAX($M282,1)*MIN($AJ282/300,1)))*IF(G282="Wagon",50,10)</f>
        <v>23.4</v>
      </c>
      <c r="BG282" s="0" t="n">
        <f aca="false">VLOOKUP($H282,Constants!$I:$K, 2, FALSE())</f>
        <v>0.85</v>
      </c>
      <c r="BH282" s="0" t="n">
        <f aca="false">VLOOKUP($H282,Constants!$I:$K, 3, FALSE())*IF(AND(G282="multiple_unit",AB282&lt;110),0.75,1)</f>
        <v>1.725</v>
      </c>
      <c r="BI282" s="0" t="n">
        <f aca="false">INT(POWER(((Constants!$G$2+$BB282+$BC282+$BD282+$BF282)*$BE282)*$BH282, 1.05))+$BA282</f>
        <v>100</v>
      </c>
      <c r="BJ282" s="0" t="n">
        <f aca="false">INT(POWER((((Constants!$G$1+$BB282+$BC282+$BD282+$BF282)*($BE282))*$BG282),IF($G282="wagon",1,1.2)))+$AZ282</f>
        <v>104</v>
      </c>
      <c r="BK282" s="17" t="n">
        <f aca="false">BI282*IF($G282="wagon",62.5,781.25)</f>
        <v>78125</v>
      </c>
      <c r="BL282" s="17" t="n">
        <f aca="false">BJ282*IF($G282="wagon",2.73,81.25)</f>
        <v>8450</v>
      </c>
      <c r="BU282" s="0" t="s">
        <v>952</v>
      </c>
      <c r="BV282" s="0" t="n">
        <v>1</v>
      </c>
      <c r="BW282" s="0" t="n">
        <v>165</v>
      </c>
      <c r="BZ282" s="0" t="s">
        <v>148</v>
      </c>
      <c r="CA282" s="0" t="str">
        <f aca="false">VLOOKUP(J282,Eras!$A$2:$C$10, 2, TRUE())</f>
        <v>mod</v>
      </c>
      <c r="CB282" s="0" t="s">
        <v>844</v>
      </c>
      <c r="CC282" s="0" t="str">
        <f aca="false">CONCATENATE(CA282,"_",CB282)</f>
        <v>mod_EMU</v>
      </c>
      <c r="CD282" s="0" t="str">
        <f aca="false">_xlfn.CONCAT(H282, "_",I282)</f>
        <v>electric_ELRL</v>
      </c>
      <c r="CE282" s="6" t="str">
        <f aca="false" t="array" ref="CE282:CE282">_xlfn.CONCAT("{BLACK}Length: {GOLD}", TEXT(ROUNDUP(IF(AQ282&lt;&gt;"",SUM(VALUE(_xlfn.TEXTSPLIT(AQ282, ","))), SUM(VALUE(_xlfn.TEXTSPLIT(AN282, ",")))*IF(M282, M282, 1))/16, 1), "#,##0.0"), " tiles{}")</f>
        <v>{BLACK}Length: {GOLD}7.4 tiles{}</v>
      </c>
      <c r="CF282" s="0" t="str">
        <f aca="false">VLOOKUP($CD282, Constants!$M:$N, 2, FALSE())</f>
        <v>{BLACK}Powered by: {GOLD}25kV AC</v>
      </c>
      <c r="CG282" s="0" t="str">
        <f aca="false">IF(M282&gt;1,_xlfn.CONCAT("{BLACK}Cars: {GOLD}", M282),"")</f>
        <v>{BLACK}Cars: {GOLD}9</v>
      </c>
      <c r="CH282" s="0" t="s">
        <v>1035</v>
      </c>
      <c r="CI282" s="0" t="str">
        <f aca="false">IF($BU282="!param_no_gameplay_units","{GREEN}Included for gameplay purposes","")</f>
        <v/>
      </c>
      <c r="CJ282" s="0" t="str">
        <f aca="false">IF(BX282="buffet","{YELLOW}25% long distance bonus for consist{}",IF(BZ282="BRAKE","{YELLOW}Speed bonus for slow wagons{}",IF(BW282&gt;190,CONCATENATE("{YELLOW}",INT((BW282-185)/1.85),"% bonus for long distance travel{}"),IF(AND(BW282&lt;180,BW282&lt;&gt;0),CONCATENATE("{YELLOW}",INT((185-BW282)/1.85),"% penalty for long distance travel{}"),""))))</f>
        <v>{YELLOW}10% penalty for long distance travel{}</v>
      </c>
      <c r="CK282" s="0" t="str">
        <f aca="false">_xlfn.CONCAT(CF282,IF(CF282&lt;&gt;""," ",""),CG282,IF(OR(CG282&lt;&gt;"",CF282&lt;&gt;""),"{}",""),CE282,CJ282,"{SILVER}",CH282,IF(CI282&lt;&gt;"","{}{}",""),CI282)</f>
        <v>{BLACK}Powered by: {GOLD}25kV AC {BLACK}Cars: {GOLD}9{}{BLACK}Length: {GOLD}7.4 tiles{}{YELLOW}10% penalty for long distance travel{}{SILVER}Designed for London's Crossrail route, the Class 345 entered service on TfL Rail between Liverpool Street and Shenfield.</v>
      </c>
    </row>
    <row r="283" customFormat="false" ht="14.25" hidden="false" customHeight="false" outlineLevel="0" collapsed="false">
      <c r="A283" s="0" t="s">
        <v>1036</v>
      </c>
      <c r="B283" s="15" t="s">
        <v>1037</v>
      </c>
      <c r="C283" s="0" t="n">
        <v>283</v>
      </c>
      <c r="E283" s="0" t="n">
        <v>186</v>
      </c>
      <c r="F283" s="0" t="s">
        <v>143</v>
      </c>
      <c r="G283" s="0" t="s">
        <v>827</v>
      </c>
      <c r="H283" s="0" t="s">
        <v>529</v>
      </c>
      <c r="I283" s="0" t="s">
        <v>641</v>
      </c>
      <c r="J283" s="0" t="n">
        <v>2017</v>
      </c>
      <c r="M283" s="0" t="n">
        <v>5</v>
      </c>
      <c r="N283" s="0" t="n">
        <v>1600</v>
      </c>
      <c r="W283" s="0" t="n">
        <v>173</v>
      </c>
      <c r="Y283" s="0" t="n">
        <v>6</v>
      </c>
      <c r="Z283" s="0" t="n">
        <v>175</v>
      </c>
      <c r="AA283" s="3" t="n">
        <f aca="false">IF(AND(W283&gt;0,Z283&gt;0),(Z283/((W283+X283)*10)),"")</f>
        <v>0.101156069364162</v>
      </c>
      <c r="AB283" s="0" t="n">
        <v>100</v>
      </c>
      <c r="AC283" s="0" t="n">
        <f aca="false">ROUND(AB283*1.6, 0)</f>
        <v>160</v>
      </c>
      <c r="AF283" s="0" t="n">
        <v>20</v>
      </c>
      <c r="AG283" s="0" t="n">
        <v>20</v>
      </c>
      <c r="AH283" s="0" t="n">
        <v>2.8</v>
      </c>
      <c r="AJ283" s="4" t="n">
        <v>69</v>
      </c>
      <c r="AK283" s="0" t="str">
        <f aca="false">CONCATENATE(VLOOKUP(AL283, 'Voxel Sizes'!$A$2:$B$18,2,FALSE()),"x",INT(AH283*15), "x", INT(AI283*15))</f>
        <v>198x42x0</v>
      </c>
      <c r="AL283" s="0" t="n">
        <f aca="false">ROUND(15*((AG283*10)/256),0)</f>
        <v>12</v>
      </c>
      <c r="AN283" s="0" t="str">
        <f aca="false">CONCATENATE(VLOOKUP(AL283,Constants!$A$2:$C$16,IF(AM283&lt;&gt;"", 3, 2), FALSE()),IF(AM283&lt;&gt;"",CONCATENATE(",",VLOOKUP(AM283,$B:$AN,39,FALSE())),""))</f>
        <v>4,4,4</v>
      </c>
      <c r="AR283" s="0" t="s">
        <v>1038</v>
      </c>
      <c r="AT283" s="0" t="s">
        <v>1039</v>
      </c>
      <c r="AX283" s="0" t="n">
        <v>30</v>
      </c>
      <c r="AY283" s="16" t="str">
        <f aca="false">IF(L283&lt;&gt;"",MAX(16,(L283-J283)+8),"")</f>
        <v/>
      </c>
      <c r="AZ283" s="0" t="n">
        <v>-15</v>
      </c>
      <c r="BA283" s="0" t="n">
        <v>-30</v>
      </c>
      <c r="BB283" s="0" t="n">
        <f aca="false">MIN(AB283/150, 1)*30</f>
        <v>20</v>
      </c>
      <c r="BC283" s="0" t="n">
        <f aca="false">MIN(N283/4000, 1)*20</f>
        <v>8</v>
      </c>
      <c r="BD283" s="0" t="n">
        <f aca="false">MIN(Z283/400,1)*20</f>
        <v>8.75</v>
      </c>
      <c r="BE283" s="3" t="n">
        <f aca="false">1-(MAX(J283-1900, 0)/750)</f>
        <v>0.844</v>
      </c>
      <c r="BF283" s="0" t="n">
        <f aca="false">((MAX($M283,1)*MIN($AJ283/300,1)))*IF(G283="Wagon",50,10)</f>
        <v>11.5</v>
      </c>
      <c r="BG283" s="0" t="n">
        <f aca="false">VLOOKUP($H283,Constants!$I:$K, 2, FALSE())</f>
        <v>0.85</v>
      </c>
      <c r="BH283" s="0" t="n">
        <f aca="false">VLOOKUP($H283,Constants!$I:$K, 3, FALSE())*IF(AND(G283="multiple_unit",AB283&lt;110),0.75,1)</f>
        <v>1.725</v>
      </c>
      <c r="BI283" s="0" t="n">
        <f aca="false">INT(POWER(((Constants!$G$2+$BB283+$BC283+$BD283+$BF283)*$BE283)*$BH283, 1.05))+$BA283</f>
        <v>66</v>
      </c>
      <c r="BJ283" s="0" t="n">
        <f aca="false">INT(POWER((((Constants!$G$1+$BB283+$BC283+$BD283+$BF283)*($BE283))*$BG283),IF($G283="wagon",1,1.2)))+$AZ283</f>
        <v>82</v>
      </c>
      <c r="BK283" s="17" t="n">
        <f aca="false">BI283*IF($G283="wagon",62.5,781.25)</f>
        <v>51562.5</v>
      </c>
      <c r="BL283" s="17" t="n">
        <f aca="false">BJ283*IF($G283="wagon",2.73,81.25)</f>
        <v>6662.5</v>
      </c>
      <c r="BV283" s="0" t="n">
        <v>4</v>
      </c>
      <c r="BZ283" s="0" t="s">
        <v>148</v>
      </c>
      <c r="CA283" s="0" t="str">
        <f aca="false">VLOOKUP(J283,Eras!$A$2:$C$10, 2, TRUE())</f>
        <v>mod</v>
      </c>
      <c r="CB283" s="0" t="s">
        <v>844</v>
      </c>
      <c r="CC283" s="0" t="str">
        <f aca="false">CONCATENATE(CA283,"_",CB283)</f>
        <v>mod_EMU</v>
      </c>
      <c r="CD283" s="0" t="str">
        <f aca="false">_xlfn.CONCAT(H283, "_",I283)</f>
        <v>electric_THIRD_RAIL</v>
      </c>
      <c r="CE283" s="6" t="str">
        <f aca="false" t="array" ref="CE283:CE283">_xlfn.CONCAT("{BLACK}Length: {GOLD}", TEXT(ROUNDUP(IF(AQ283&lt;&gt;"",SUM(VALUE(_xlfn.TEXTSPLIT(AQ283, ","))), SUM(VALUE(_xlfn.TEXTSPLIT(AN283, ",")))*IF(M283, M283, 1))/16, 1), "#,##0.0"), " tiles{}")</f>
        <v>{BLACK}Length: {GOLD}3.8 tiles{}</v>
      </c>
      <c r="CF283" s="0" t="str">
        <f aca="false">VLOOKUP($CD283, Constants!$M:$N, 2, FALSE())</f>
        <v>{BLACK}Powered by: {GOLD}750V DC</v>
      </c>
      <c r="CG283" s="0" t="str">
        <f aca="false">IF(M283&gt;1,_xlfn.CONCAT("{BLACK}Cars: {GOLD}", M283),"")</f>
        <v>{BLACK}Cars: {GOLD}5</v>
      </c>
      <c r="CH283" s="0" t="s">
        <v>1040</v>
      </c>
      <c r="CI283" s="0" t="str">
        <f aca="false">IF($BU283="!param_no_gameplay_units","{GREEN}Included for gameplay purposes","")</f>
        <v/>
      </c>
      <c r="CJ283" s="0" t="str">
        <f aca="false">IF(BX283="buffet","{YELLOW}25% long distance bonus for consist{}",IF(BZ283="BRAKE","{YELLOW}Speed bonus for slow wagons{}",IF(BW283&gt;190,CONCATENATE("{YELLOW}",INT((BW283-185)/1.85),"% bonus for long distance travel{}"),IF(AND(BW283&lt;180,BW283&lt;&gt;0),CONCATENATE("{YELLOW}",INT((185-BW283)/1.85),"% penalty for long distance travel{}"),""))))</f>
        <v/>
      </c>
      <c r="CK283" s="0" t="str">
        <f aca="false">_xlfn.CONCAT(CF283,IF(CF283&lt;&gt;""," ",""),CG283,IF(OR(CG283&lt;&gt;"",CF283&lt;&gt;""),"{}",""),CE283,CJ283,"{SILVER}",CH283,IF(CI283&lt;&gt;"","{}{}",""),CI283)</f>
        <v>{BLACK}Powered by: {GOLD}750V DC {BLACK}Cars: {GOLD}5{}{BLACK}Length: {GOLD}3.8 tiles{}{SILVER}South West Trains procured the Class 707 as part of capacity improvements for routes out of London Waterloo.</v>
      </c>
    </row>
    <row r="284" customFormat="false" ht="14.25" hidden="false" customHeight="false" outlineLevel="0" collapsed="false">
      <c r="A284" s="0" t="s">
        <v>1041</v>
      </c>
      <c r="B284" s="15" t="s">
        <v>1042</v>
      </c>
      <c r="C284" s="0" t="n">
        <v>284</v>
      </c>
      <c r="E284" s="0" t="n">
        <v>187</v>
      </c>
      <c r="F284" s="0" t="s">
        <v>143</v>
      </c>
      <c r="G284" s="0" t="s">
        <v>827</v>
      </c>
      <c r="H284" s="0" t="s">
        <v>801</v>
      </c>
      <c r="I284" s="0" t="s">
        <v>802</v>
      </c>
      <c r="J284" s="0" t="n">
        <v>2019</v>
      </c>
      <c r="M284" s="0" t="n">
        <v>4</v>
      </c>
      <c r="N284" s="0" t="n">
        <v>1800</v>
      </c>
      <c r="O284" s="1" t="n">
        <v>1600</v>
      </c>
      <c r="W284" s="0" t="n">
        <v>151</v>
      </c>
      <c r="Y284" s="0" t="n">
        <v>6</v>
      </c>
      <c r="Z284" s="0" t="n">
        <v>160</v>
      </c>
      <c r="AA284" s="3" t="n">
        <f aca="false">IF(AND(W284&gt;0,Z284&gt;0),(Z284/((W284+X284)*10)),"")</f>
        <v>0.105960264900662</v>
      </c>
      <c r="AB284" s="0" t="n">
        <v>75</v>
      </c>
      <c r="AC284" s="0" t="n">
        <f aca="false">ROUND(AB284*1.6, 0)</f>
        <v>120</v>
      </c>
      <c r="AF284" s="0" t="n">
        <v>21.44</v>
      </c>
      <c r="AG284" s="0" t="n">
        <v>21.4</v>
      </c>
      <c r="AJ284" s="4" t="n">
        <v>78</v>
      </c>
      <c r="AK284" s="0" t="str">
        <f aca="false">CONCATENATE(VLOOKUP(AL284, 'Voxel Sizes'!$A$2:$B$18,2,FALSE()),"x",INT(AH284*15), "x", INT(AI284*15))</f>
        <v>214x0x0</v>
      </c>
      <c r="AL284" s="0" t="n">
        <f aca="false">ROUND(15*((AG284*10)/256),0)</f>
        <v>13</v>
      </c>
      <c r="AN284" s="0" t="str">
        <f aca="false">CONCATENATE(VLOOKUP(AL284,Constants!$A$2:$C$16,IF(AM284&lt;&gt;"", 3, 2), FALSE()),IF(AM284&lt;&gt;"",CONCATENATE(",",VLOOKUP(AM284,$B:$AN,39,FALSE())),""))</f>
        <v>4,5,4</v>
      </c>
      <c r="AR284" s="0" t="s">
        <v>1043</v>
      </c>
      <c r="AS284" s="0" t="s">
        <v>1044</v>
      </c>
      <c r="AT284" s="0" t="s">
        <v>881</v>
      </c>
      <c r="AX284" s="0" t="n">
        <v>30</v>
      </c>
      <c r="AY284" s="16" t="str">
        <f aca="false">IF(L284&lt;&gt;"",MAX(16,(L284-J284)+8),"")</f>
        <v/>
      </c>
      <c r="AZ284" s="0" t="n">
        <v>-19</v>
      </c>
      <c r="BA284" s="0" t="n">
        <v>-25</v>
      </c>
      <c r="BB284" s="0" t="n">
        <f aca="false">MIN(AB284/150, 1)*30</f>
        <v>15</v>
      </c>
      <c r="BC284" s="0" t="n">
        <f aca="false">MIN(N284/4000, 1)*20</f>
        <v>9</v>
      </c>
      <c r="BD284" s="0" t="n">
        <f aca="false">MIN(Z284/400,1)*20</f>
        <v>8</v>
      </c>
      <c r="BE284" s="3" t="n">
        <f aca="false">1-(MAX(J284-1900, 0)/750)</f>
        <v>0.841333333333333</v>
      </c>
      <c r="BF284" s="0" t="n">
        <f aca="false">((MAX($M284,1)*MIN($AJ284/300,1)))*IF(G284="Wagon",50,10)</f>
        <v>10.4</v>
      </c>
      <c r="BG284" s="0" t="n">
        <f aca="false">VLOOKUP($H284,Constants!$I:$K, 2, FALSE())</f>
        <v>0.85</v>
      </c>
      <c r="BH284" s="0" t="n">
        <f aca="false">VLOOKUP($H284,Constants!$I:$K, 3, FALSE())*IF(AND(G284="multiple_unit",AB284&lt;110),0.75,1)</f>
        <v>1.8</v>
      </c>
      <c r="BI284" s="0" t="n">
        <f aca="false">INT(POWER(((Constants!$G$2+$BB284+$BC284+$BD284+$BF284)*$BE284)*$BH284, 1.05))+$BA284</f>
        <v>63</v>
      </c>
      <c r="BJ284" s="0" t="n">
        <f aca="false">INT(POWER((((Constants!$G$1+$BB284+$BC284+$BD284+$BF284)*($BE284))*$BG284),IF($G284="wagon",1,1.2)))+$AZ284</f>
        <v>67</v>
      </c>
      <c r="BK284" s="17" t="n">
        <f aca="false">BI284*IF($G284="wagon",62.5,781.25)</f>
        <v>49218.75</v>
      </c>
      <c r="BL284" s="17" t="n">
        <f aca="false">BJ284*IF($G284="wagon",2.73,81.25)</f>
        <v>5443.75</v>
      </c>
      <c r="BV284" s="0" t="n">
        <v>2</v>
      </c>
      <c r="BW284" s="0" t="n">
        <v>165</v>
      </c>
      <c r="BZ284" s="0" t="s">
        <v>148</v>
      </c>
      <c r="CA284" s="0" t="str">
        <f aca="false">VLOOKUP(J284,Eras!$A$2:$C$10, 2, TRUE())</f>
        <v>mod</v>
      </c>
      <c r="CB284" s="0" t="s">
        <v>844</v>
      </c>
      <c r="CC284" s="0" t="str">
        <f aca="false">CONCATENATE(CA284,"_",CB284)</f>
        <v>mod_EMU</v>
      </c>
      <c r="CD284" s="0" t="str">
        <f aca="false">_xlfn.CONCAT(H284, "_",I284)</f>
        <v>dual_electric_DUAL_POWER</v>
      </c>
      <c r="CE284" s="6" t="str">
        <f aca="false" t="array" ref="CE284:CE284">_xlfn.CONCAT("{BLACK}Length: {GOLD}", TEXT(ROUNDUP(IF(AQ284&lt;&gt;"",SUM(VALUE(_xlfn.TEXTSPLIT(AQ284, ","))), SUM(VALUE(_xlfn.TEXTSPLIT(AN284, ",")))*IF(M284, M284, 1))/16, 1), "#,##0.0"), " tiles{}")</f>
        <v>{BLACK}Length: {GOLD}3.3 tiles{}</v>
      </c>
      <c r="CF284" s="0" t="str">
        <f aca="false">VLOOKUP($CD284, Constants!$M:$N, 2, FALSE())</f>
        <v>{BLACK}Powered by: {GOLD}25kV AC / 750V DC</v>
      </c>
      <c r="CG284" s="0" t="str">
        <f aca="false">IF(M284&gt;1,_xlfn.CONCAT("{BLACK}Cars: {GOLD}", M284),"")</f>
        <v>{BLACK}Cars: {GOLD}4</v>
      </c>
      <c r="CH284" s="0" t="s">
        <v>1045</v>
      </c>
      <c r="CI284" s="0" t="str">
        <f aca="false">IF($BU284="!param_no_gameplay_units","{GREEN}Included for gameplay purposes","")</f>
        <v/>
      </c>
      <c r="CJ284" s="0" t="str">
        <f aca="false">IF(BX284="buffet","{YELLOW}25% long distance bonus for consist{}",IF(BZ284="BRAKE","{YELLOW}Speed bonus for slow wagons{}",IF(BW284&gt;190,CONCATENATE("{YELLOW}",INT((BW284-185)/1.85),"% bonus for long distance travel{}"),IF(AND(BW284&lt;180,BW284&lt;&gt;0),CONCATENATE("{YELLOW}",INT((185-BW284)/1.85),"% penalty for long distance travel{}"),""))))</f>
        <v>{YELLOW}10% penalty for long distance travel{}</v>
      </c>
      <c r="CK284" s="0" t="str">
        <f aca="false">_xlfn.CONCAT(CF284,IF(CF284&lt;&gt;""," ",""),CG284,IF(OR(CG284&lt;&gt;"",CF284&lt;&gt;""),"{}",""),CE284,CJ284,"{SILVER}",CH284,IF(CI284&lt;&gt;"","{}{}",""),CI284)</f>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5" customFormat="false" ht="14.25" hidden="false" customHeight="false" outlineLevel="0" collapsed="false">
      <c r="A285" s="0" t="s">
        <v>1031</v>
      </c>
      <c r="B285" s="15" t="s">
        <v>1046</v>
      </c>
      <c r="C285" s="0" t="n">
        <v>285</v>
      </c>
      <c r="E285" s="0" t="n">
        <v>188</v>
      </c>
      <c r="F285" s="0" t="s">
        <v>143</v>
      </c>
      <c r="G285" s="0" t="s">
        <v>827</v>
      </c>
      <c r="H285" s="0" t="s">
        <v>529</v>
      </c>
      <c r="I285" s="0" t="s">
        <v>530</v>
      </c>
      <c r="J285" s="0" t="n">
        <v>2017</v>
      </c>
      <c r="M285" s="0" t="n">
        <v>7</v>
      </c>
      <c r="N285" s="0" t="n">
        <v>1900</v>
      </c>
      <c r="W285" s="0" t="n">
        <v>264</v>
      </c>
      <c r="Y285" s="0" t="n">
        <v>7</v>
      </c>
      <c r="Z285" s="0" t="n">
        <v>220</v>
      </c>
      <c r="AA285" s="3" t="n">
        <f aca="false">IF(AND(W285&gt;0,Z285&gt;0),(Z285/((W285+X285)*10)),"")</f>
        <v>0.0833333333333333</v>
      </c>
      <c r="AB285" s="0" t="n">
        <v>90</v>
      </c>
      <c r="AC285" s="0" t="n">
        <f aca="false">ROUND(AB285*1.6, 0)</f>
        <v>144</v>
      </c>
      <c r="AF285" s="0" t="n">
        <v>22.7</v>
      </c>
      <c r="AG285" s="0" t="n">
        <v>22.7</v>
      </c>
      <c r="AJ285" s="4" t="n">
        <v>78</v>
      </c>
      <c r="AK285" s="0" t="str">
        <f aca="false">CONCATENATE(VLOOKUP(AL285, 'Voxel Sizes'!$A$2:$B$18,2,FALSE()),"x",INT(AH285*15), "x", INT(AI285*15))</f>
        <v>214x0x0</v>
      </c>
      <c r="AL285" s="0" t="n">
        <f aca="false">ROUND(15*((AG285*10)/256),0)</f>
        <v>13</v>
      </c>
      <c r="AN285" s="0" t="str">
        <f aca="false">CONCATENATE(VLOOKUP(AL285,Constants!$A$2:$C$16,IF(AM285&lt;&gt;"", 3, 2), FALSE()),IF(AM285&lt;&gt;"",CONCATENATE(",",VLOOKUP(AM285,$B:$AN,39,FALSE())),""))</f>
        <v>4,5,4</v>
      </c>
      <c r="AR285" s="0" t="s">
        <v>1047</v>
      </c>
      <c r="AT285" s="0" t="s">
        <v>1048</v>
      </c>
      <c r="AU285" s="0" t="s">
        <v>1032</v>
      </c>
      <c r="AX285" s="0" t="n">
        <v>30</v>
      </c>
      <c r="AY285" s="16" t="str">
        <f aca="false">IF(L285&lt;&gt;"",MAX(16,(L285-J285)+8),"")</f>
        <v/>
      </c>
      <c r="AZ285" s="0" t="n">
        <v>-19</v>
      </c>
      <c r="BA285" s="0" t="n">
        <v>-22</v>
      </c>
      <c r="BB285" s="0" t="n">
        <f aca="false">MIN(AB285/150, 1)*30</f>
        <v>18</v>
      </c>
      <c r="BC285" s="0" t="n">
        <f aca="false">MIN(N285/4000, 1)*20</f>
        <v>9.5</v>
      </c>
      <c r="BD285" s="0" t="n">
        <f aca="false">MIN(Z285/400,1)*20</f>
        <v>11</v>
      </c>
      <c r="BE285" s="3" t="n">
        <f aca="false">1-(MAX(J285-1900, 0)/750)</f>
        <v>0.844</v>
      </c>
      <c r="BF285" s="0" t="n">
        <f aca="false">((MAX($M285,1)*MIN($AJ285/300,1)))*IF(G285="Wagon",50,10)</f>
        <v>18.2</v>
      </c>
      <c r="BG285" s="0" t="n">
        <f aca="false">VLOOKUP($H285,Constants!$I:$K, 2, FALSE())</f>
        <v>0.85</v>
      </c>
      <c r="BH285" s="0" t="n">
        <f aca="false">VLOOKUP($H285,Constants!$I:$K, 3, FALSE())*IF(AND(G285="multiple_unit",AB285&lt;110),0.75,1)</f>
        <v>1.725</v>
      </c>
      <c r="BI285" s="0" t="n">
        <f aca="false">INT(POWER(((Constants!$G$2+$BB285+$BC285+$BD285+$BF285)*$BE285)*$BH285, 1.05))+$BA285</f>
        <v>90</v>
      </c>
      <c r="BJ285" s="0" t="n">
        <f aca="false">INT(POWER((((Constants!$G$1+$BB285+$BC285+$BD285+$BF285)*($BE285))*$BG285),IF($G285="wagon",1,1.2)))+$AZ285</f>
        <v>94</v>
      </c>
      <c r="BK285" s="17" t="n">
        <f aca="false">BI285*IF($G285="wagon",62.5,781.25)</f>
        <v>70312.5</v>
      </c>
      <c r="BL285" s="17" t="n">
        <f aca="false">BJ285*IF($G285="wagon",2.73,81.25)</f>
        <v>7637.5</v>
      </c>
      <c r="BU285" s="0" t="s">
        <v>957</v>
      </c>
      <c r="BV285" s="0" t="n">
        <v>1</v>
      </c>
      <c r="BW285" s="0" t="n">
        <v>165</v>
      </c>
      <c r="BZ285" s="0" t="s">
        <v>148</v>
      </c>
      <c r="CA285" s="0" t="str">
        <f aca="false">VLOOKUP(J285,Eras!$A$2:$C$10, 2, TRUE())</f>
        <v>mod</v>
      </c>
      <c r="CB285" s="0" t="s">
        <v>844</v>
      </c>
      <c r="CC285" s="0" t="str">
        <f aca="false">CONCATENATE(CA285,"_",CB285)</f>
        <v>mod_EMU</v>
      </c>
      <c r="CD285" s="0" t="str">
        <f aca="false">_xlfn.CONCAT(H285, "_",I285)</f>
        <v>electric_ELRL</v>
      </c>
      <c r="CE285" s="6" t="str">
        <f aca="false" t="array" ref="CE285:CE285">_xlfn.CONCAT("{BLACK}Length: {GOLD}", TEXT(ROUNDUP(IF(AQ285&lt;&gt;"",SUM(VALUE(_xlfn.TEXTSPLIT(AQ285, ","))), SUM(VALUE(_xlfn.TEXTSPLIT(AN285, ",")))*IF(M285, M285, 1))/16, 1), "#,##0.0"), " tiles{}")</f>
        <v>{BLACK}Length: {GOLD}5.7 tiles{}</v>
      </c>
      <c r="CF285" s="0" t="str">
        <f aca="false">VLOOKUP($CD285, Constants!$M:$N, 2, FALSE())</f>
        <v>{BLACK}Powered by: {GOLD}25kV AC</v>
      </c>
      <c r="CG285" s="0" t="str">
        <f aca="false">IF(M285&gt;1,_xlfn.CONCAT("{BLACK}Cars: {GOLD}", M285),"")</f>
        <v>{BLACK}Cars: {GOLD}7</v>
      </c>
      <c r="CH285" s="0" t="s">
        <v>1035</v>
      </c>
      <c r="CI285" s="0" t="str">
        <f aca="false">IF($BU285="!param_no_gameplay_units","{GREEN}Included for gameplay purposes","")</f>
        <v/>
      </c>
      <c r="CJ285" s="0" t="str">
        <f aca="false">IF(BX285="buffet","{YELLOW}25% long distance bonus for consist{}",IF(BZ285="BRAKE","{YELLOW}Speed bonus for slow wagons{}",IF(BW285&gt;190,CONCATENATE("{YELLOW}",INT((BW285-185)/1.85),"% bonus for long distance travel{}"),IF(AND(BW285&lt;180,BW285&lt;&gt;0),CONCATENATE("{YELLOW}",INT((185-BW285)/1.85),"% penalty for long distance travel{}"),""))))</f>
        <v>{YELLOW}10% penalty for long distance travel{}</v>
      </c>
      <c r="CK285" s="0" t="str">
        <f aca="false">_xlfn.CONCAT(CF285,IF(CF285&lt;&gt;""," ",""),CG285,IF(OR(CG285&lt;&gt;"",CF285&lt;&gt;""),"{}",""),CE285,CJ285,"{SILVER}",CH285,IF(CI285&lt;&gt;"","{}{}",""),CI285)</f>
        <v>{BLACK}Powered by: {GOLD}25kV AC {BLACK}Cars: {GOLD}7{}{BLACK}Length: {GOLD}5.7 tiles{}{YELLOW}10% penalty for long distance travel{}{SILVER}Designed for London's Crossrail route, the Class 345 entered service on TfL Rail between Liverpool Street and Shenfield.</v>
      </c>
    </row>
    <row r="286" customFormat="false" ht="14.25" hidden="false" customHeight="false" outlineLevel="0" collapsed="false">
      <c r="A286" s="0" t="s">
        <v>1031</v>
      </c>
      <c r="B286" s="15" t="s">
        <v>1049</v>
      </c>
      <c r="C286" s="0" t="n">
        <v>286</v>
      </c>
      <c r="E286" s="0" t="n">
        <v>189</v>
      </c>
      <c r="F286" s="0" t="s">
        <v>143</v>
      </c>
      <c r="G286" s="0" t="s">
        <v>827</v>
      </c>
      <c r="H286" s="0" t="s">
        <v>529</v>
      </c>
      <c r="I286" s="0" t="s">
        <v>530</v>
      </c>
      <c r="J286" s="0" t="n">
        <v>2017</v>
      </c>
      <c r="M286" s="0" t="n">
        <v>4</v>
      </c>
      <c r="N286" s="0" t="n">
        <v>1900</v>
      </c>
      <c r="W286" s="0" t="n">
        <v>264</v>
      </c>
      <c r="Y286" s="0" t="n">
        <v>7</v>
      </c>
      <c r="Z286" s="0" t="n">
        <v>220</v>
      </c>
      <c r="AA286" s="3" t="n">
        <f aca="false">IF(AND(W286&gt;0,Z286&gt;0),(Z286/((W286+X286)*10)),"")</f>
        <v>0.0833333333333333</v>
      </c>
      <c r="AB286" s="0" t="n">
        <v>90</v>
      </c>
      <c r="AC286" s="0" t="n">
        <f aca="false">ROUND(AB286*1.6, 0)</f>
        <v>144</v>
      </c>
      <c r="AF286" s="0" t="n">
        <v>22.7</v>
      </c>
      <c r="AG286" s="0" t="n">
        <v>22.7</v>
      </c>
      <c r="AJ286" s="4" t="n">
        <v>78</v>
      </c>
      <c r="AK286" s="0" t="str">
        <f aca="false">CONCATENATE(VLOOKUP(AL286, 'Voxel Sizes'!$A$2:$B$18,2,FALSE()),"x",INT(AH286*15), "x", INT(AI286*15))</f>
        <v>214x0x0</v>
      </c>
      <c r="AL286" s="0" t="n">
        <f aca="false">ROUND(15*((AG286*10)/256),0)</f>
        <v>13</v>
      </c>
      <c r="AN286" s="0" t="str">
        <f aca="false">CONCATENATE(VLOOKUP(AL286,Constants!$A$2:$C$16,IF(AM286&lt;&gt;"", 3, 2), FALSE()),IF(AM286&lt;&gt;"",CONCATENATE(",",VLOOKUP(AM286,$B:$AN,39,FALSE())),""))</f>
        <v>4,5,4</v>
      </c>
      <c r="AR286" s="0" t="s">
        <v>1050</v>
      </c>
      <c r="AT286" s="0" t="s">
        <v>947</v>
      </c>
      <c r="AU286" s="0" t="s">
        <v>1032</v>
      </c>
      <c r="AX286" s="0" t="n">
        <v>30</v>
      </c>
      <c r="AY286" s="16" t="str">
        <f aca="false">IF(L286&lt;&gt;"",MAX(16,(L286-J286)+8),"")</f>
        <v/>
      </c>
      <c r="AZ286" s="0" t="n">
        <v>-19</v>
      </c>
      <c r="BA286" s="0" t="n">
        <v>-22</v>
      </c>
      <c r="BB286" s="0" t="n">
        <f aca="false">MIN(AB286/150, 1)*30</f>
        <v>18</v>
      </c>
      <c r="BC286" s="0" t="n">
        <f aca="false">MIN(N286/4000, 1)*20</f>
        <v>9.5</v>
      </c>
      <c r="BD286" s="0" t="n">
        <f aca="false">MIN(Z286/400,1)*20</f>
        <v>11</v>
      </c>
      <c r="BE286" s="3" t="n">
        <f aca="false">1-(MAX(J286-1900, 0)/750)</f>
        <v>0.844</v>
      </c>
      <c r="BF286" s="0" t="n">
        <f aca="false">((MAX($M286,1)*MIN($AJ286/300,1)))*IF(G286="Wagon",50,10)</f>
        <v>10.4</v>
      </c>
      <c r="BG286" s="0" t="n">
        <f aca="false">VLOOKUP($H286,Constants!$I:$K, 2, FALSE())</f>
        <v>0.85</v>
      </c>
      <c r="BH286" s="0" t="n">
        <f aca="false">VLOOKUP($H286,Constants!$I:$K, 3, FALSE())*IF(AND(G286="multiple_unit",AB286&lt;110),0.75,1)</f>
        <v>1.725</v>
      </c>
      <c r="BI286" s="0" t="n">
        <f aca="false">INT(POWER(((Constants!$G$2+$BB286+$BC286+$BD286+$BF286)*$BE286)*$BH286, 1.05))+$BA286</f>
        <v>75</v>
      </c>
      <c r="BJ286" s="0" t="n">
        <f aca="false">INT(POWER((((Constants!$G$1+$BB286+$BC286+$BD286+$BF286)*($BE286))*$BG286),IF($G286="wagon",1,1.2)))+$AZ286</f>
        <v>79</v>
      </c>
      <c r="BK286" s="17" t="n">
        <f aca="false">BI286*IF($G286="wagon",62.5,781.25)</f>
        <v>58593.75</v>
      </c>
      <c r="BL286" s="17" t="n">
        <f aca="false">BJ286*IF($G286="wagon",2.73,81.25)</f>
        <v>6418.75</v>
      </c>
      <c r="BU286" s="0" t="s">
        <v>933</v>
      </c>
      <c r="BV286" s="0" t="n">
        <v>1</v>
      </c>
      <c r="BW286" s="0" t="n">
        <v>165</v>
      </c>
      <c r="BZ286" s="0" t="s">
        <v>148</v>
      </c>
      <c r="CA286" s="0" t="str">
        <f aca="false">VLOOKUP(J286,Eras!$A$2:$C$10, 2, TRUE())</f>
        <v>mod</v>
      </c>
      <c r="CB286" s="0" t="s">
        <v>844</v>
      </c>
      <c r="CC286" s="0" t="str">
        <f aca="false">CONCATENATE(CA286,"_",CB286)</f>
        <v>mod_EMU</v>
      </c>
      <c r="CD286" s="0" t="str">
        <f aca="false">_xlfn.CONCAT(H286, "_",I286)</f>
        <v>electric_ELRL</v>
      </c>
      <c r="CE286" s="6" t="str">
        <f aca="false" t="array" ref="CE286:CE286">_xlfn.CONCAT("{BLACK}Length: {GOLD}", TEXT(ROUNDUP(IF(AQ286&lt;&gt;"",SUM(VALUE(_xlfn.TEXTSPLIT(AQ286, ","))), SUM(VALUE(_xlfn.TEXTSPLIT(AN286, ",")))*IF(M286, M286, 1))/16, 1), "#,##0.0"), " tiles{}")</f>
        <v>{BLACK}Length: {GOLD}3.3 tiles{}</v>
      </c>
      <c r="CF286" s="0" t="str">
        <f aca="false">VLOOKUP($CD286, Constants!$M:$N, 2, FALSE())</f>
        <v>{BLACK}Powered by: {GOLD}25kV AC</v>
      </c>
      <c r="CG286" s="0" t="str">
        <f aca="false">IF(M286&gt;1,_xlfn.CONCAT("{BLACK}Cars: {GOLD}", M286),"")</f>
        <v>{BLACK}Cars: {GOLD}4</v>
      </c>
      <c r="CH286" s="0" t="s">
        <v>1035</v>
      </c>
      <c r="CI286" s="0" t="str">
        <f aca="false">IF($BU286="!param_no_gameplay_units","{GREEN}Included for gameplay purposes","")</f>
        <v/>
      </c>
      <c r="CJ286" s="0" t="str">
        <f aca="false">IF(BX286="buffet","{YELLOW}25% long distance bonus for consist{}",IF(BZ286="BRAKE","{YELLOW}Speed bonus for slow wagons{}",IF(BW286&gt;190,CONCATENATE("{YELLOW}",INT((BW286-185)/1.85),"% bonus for long distance travel{}"),IF(AND(BW286&lt;180,BW286&lt;&gt;0),CONCATENATE("{YELLOW}",INT((185-BW286)/1.85),"% penalty for long distance travel{}"),""))))</f>
        <v>{YELLOW}10% penalty for long distance travel{}</v>
      </c>
      <c r="CK286" s="0" t="str">
        <f aca="false">_xlfn.CONCAT(CF286,IF(CF286&lt;&gt;""," ",""),CG286,IF(OR(CG286&lt;&gt;"",CF286&lt;&gt;""),"{}",""),CE286,CJ286,"{SILVER}",CH286,IF(CI286&lt;&gt;"","{}{}",""),CI286)</f>
        <v>{BLACK}Powered by: {GOLD}25kV AC {BLACK}Cars: {GOLD}4{}{BLACK}Length: {GOLD}3.3 tiles{}{YELLOW}10% penalty for long distance travel{}{SILVER}Designed for London's Crossrail route, the Class 345 entered service on TfL Rail between Liverpool Street and Shenfield.</v>
      </c>
    </row>
    <row r="287" customFormat="false" ht="14.25" hidden="false" customHeight="false" outlineLevel="0" collapsed="false">
      <c r="A287" s="0" t="s">
        <v>1025</v>
      </c>
      <c r="B287" s="15" t="s">
        <v>1051</v>
      </c>
      <c r="C287" s="0" t="n">
        <v>287</v>
      </c>
      <c r="E287" s="0" t="n">
        <v>190</v>
      </c>
      <c r="F287" s="0" t="s">
        <v>143</v>
      </c>
      <c r="G287" s="0" t="s">
        <v>827</v>
      </c>
      <c r="H287" s="0" t="s">
        <v>801</v>
      </c>
      <c r="I287" s="0" t="s">
        <v>802</v>
      </c>
      <c r="J287" s="0" t="n">
        <v>2016</v>
      </c>
      <c r="M287" s="0" t="n">
        <v>5</v>
      </c>
      <c r="N287" s="0" t="n">
        <v>4400</v>
      </c>
      <c r="O287" s="1" t="n">
        <v>2560</v>
      </c>
      <c r="W287" s="0" t="n">
        <v>278</v>
      </c>
      <c r="Y287" s="0" t="n">
        <v>6</v>
      </c>
      <c r="Z287" s="0" t="n">
        <v>225</v>
      </c>
      <c r="AA287" s="3" t="n">
        <f aca="false">IF(AND(W287&gt;0,Z287&gt;0),(Z287/((W287+X287)*10)),"")</f>
        <v>0.0809352517985612</v>
      </c>
      <c r="AB287" s="0" t="n">
        <v>100</v>
      </c>
      <c r="AC287" s="0" t="n">
        <f aca="false">ROUND(AB287*1.6, 0)</f>
        <v>160</v>
      </c>
      <c r="AF287" s="0" t="n">
        <v>20.2</v>
      </c>
      <c r="AG287" s="0" t="n">
        <v>20.2</v>
      </c>
      <c r="AJ287" s="4" t="n">
        <v>69</v>
      </c>
      <c r="AK287" s="0" t="str">
        <f aca="false">CONCATENATE(VLOOKUP(AL287, 'Voxel Sizes'!$A$2:$B$18,2,FALSE()),"x",INT(AH287*15), "x", INT(AI287*15))</f>
        <v>198x0x0</v>
      </c>
      <c r="AL287" s="0" t="n">
        <f aca="false">ROUND(15*((AG287*10)/256),0)</f>
        <v>12</v>
      </c>
      <c r="AN287" s="0" t="str">
        <f aca="false">CONCATENATE(VLOOKUP(AL287,Constants!$A$2:$C$16,IF(AM287&lt;&gt;"", 3, 2), FALSE()),IF(AM287&lt;&gt;"",CONCATENATE(",",VLOOKUP(AM287,$B:$AN,39,FALSE())),""))</f>
        <v>4,4,4</v>
      </c>
      <c r="AR287" s="0" t="s">
        <v>1052</v>
      </c>
      <c r="AS287" s="0" t="s">
        <v>1028</v>
      </c>
      <c r="AT287" s="0" t="s">
        <v>931</v>
      </c>
      <c r="AU287" s="0" t="s">
        <v>1026</v>
      </c>
      <c r="AX287" s="0" t="n">
        <v>30</v>
      </c>
      <c r="AY287" s="16" t="str">
        <f aca="false">IF(L287&lt;&gt;"",MAX(16,(L287-J287)+8),"")</f>
        <v/>
      </c>
      <c r="AZ287" s="0" t="n">
        <v>-15</v>
      </c>
      <c r="BA287" s="0" t="n">
        <v>-30</v>
      </c>
      <c r="BB287" s="0" t="n">
        <f aca="false">MIN(AB287/150, 1)*30</f>
        <v>20</v>
      </c>
      <c r="BC287" s="0" t="n">
        <f aca="false">MIN(N287/4000, 1)*20</f>
        <v>20</v>
      </c>
      <c r="BD287" s="0" t="n">
        <f aca="false">MIN(Z287/400,1)*20</f>
        <v>11.25</v>
      </c>
      <c r="BE287" s="3" t="n">
        <f aca="false">1-(MAX(J287-1900, 0)/750)</f>
        <v>0.845333333333333</v>
      </c>
      <c r="BF287" s="0" t="n">
        <f aca="false">((MAX($M287,1)*MIN($AJ287/300,1)))*IF(G287="Wagon",50,10)</f>
        <v>11.5</v>
      </c>
      <c r="BG287" s="0" t="n">
        <f aca="false">VLOOKUP($H287,Constants!$I:$K, 2, FALSE())</f>
        <v>0.85</v>
      </c>
      <c r="BH287" s="0" t="n">
        <f aca="false">VLOOKUP($H287,Constants!$I:$K, 3, FALSE())*IF(AND(G287="multiple_unit",AB287&lt;110),0.75,1)</f>
        <v>1.8</v>
      </c>
      <c r="BI287" s="0" t="n">
        <f aca="false">INT(POWER(((Constants!$G$2+$BB287+$BC287+$BD287+$BF287)*$BE287)*$BH287, 1.05))+$BA287</f>
        <v>99</v>
      </c>
      <c r="BJ287" s="0" t="n">
        <f aca="false">INT(POWER((((Constants!$G$1+$BB287+$BC287+$BD287+$BF287)*($BE287))*$BG287),IF($G287="wagon",1,1.2)))+$AZ287</f>
        <v>109</v>
      </c>
      <c r="BK287" s="17" t="n">
        <f aca="false">BI287*IF($G287="wagon",62.5,781.25)</f>
        <v>77343.75</v>
      </c>
      <c r="BL287" s="17" t="n">
        <f aca="false">BJ287*IF($G287="wagon",2.73,81.25)</f>
        <v>8856.25</v>
      </c>
      <c r="BU287" s="0" t="s">
        <v>933</v>
      </c>
      <c r="BV287" s="0" t="n">
        <v>3</v>
      </c>
      <c r="BZ287" s="0" t="s">
        <v>148</v>
      </c>
      <c r="CA287" s="0" t="str">
        <f aca="false">VLOOKUP(J287,Eras!$A$2:$C$10, 2, TRUE())</f>
        <v>mod</v>
      </c>
      <c r="CB287" s="0" t="s">
        <v>844</v>
      </c>
      <c r="CC287" s="0" t="str">
        <f aca="false">CONCATENATE(CA287,"_",CB287)</f>
        <v>mod_EMU</v>
      </c>
      <c r="CD287" s="0" t="str">
        <f aca="false">_xlfn.CONCAT(H287, "_",I287)</f>
        <v>dual_electric_DUAL_POWER</v>
      </c>
      <c r="CE287" s="6" t="str">
        <f aca="false" t="array" ref="CE287:CE287">_xlfn.CONCAT("{BLACK}Length: {GOLD}", TEXT(ROUNDUP(IF(AQ287&lt;&gt;"",SUM(VALUE(_xlfn.TEXTSPLIT(AQ287, ","))), SUM(VALUE(_xlfn.TEXTSPLIT(AN287, ",")))*IF(M287, M287, 1))/16, 1), "#,##0.0"), " tiles{}")</f>
        <v>{BLACK}Length: {GOLD}3.8 tiles{}</v>
      </c>
      <c r="CF287" s="0" t="str">
        <f aca="false">VLOOKUP($CD287, Constants!$M:$N, 2, FALSE())</f>
        <v>{BLACK}Powered by: {GOLD}25kV AC / 750V DC</v>
      </c>
      <c r="CG287" s="0" t="str">
        <f aca="false">IF(M287&gt;1,_xlfn.CONCAT("{BLACK}Cars: {GOLD}", M287),"")</f>
        <v>{BLACK}Cars: {GOLD}5</v>
      </c>
      <c r="CH287" s="0" t="s">
        <v>1030</v>
      </c>
      <c r="CI287" s="0" t="str">
        <f aca="false">IF($BU287="!param_no_gameplay_units","{GREEN}Included for gameplay purposes","")</f>
        <v/>
      </c>
      <c r="CJ287" s="0" t="str">
        <f aca="false">IF(BX287="buffet","{YELLOW}25% long distance bonus for consist{}",IF(BZ287="BRAKE","{YELLOW}Speed bonus for slow wagons{}",IF(BW287&gt;190,CONCATENATE("{YELLOW}",INT((BW287-185)/1.85),"% bonus for long distance travel{}"),IF(AND(BW287&lt;180,BW287&lt;&gt;0),CONCATENATE("{YELLOW}",INT((185-BW287)/1.85),"% penalty for long distance travel{}"),""))))</f>
        <v/>
      </c>
      <c r="CK287" s="0" t="str">
        <f aca="false">_xlfn.CONCAT(CF287,IF(CF287&lt;&gt;""," ",""),CG287,IF(OR(CG287&lt;&gt;"",CF287&lt;&gt;""),"{}",""),CE287,CJ287,"{SILVER}",CH287,IF(CI287&lt;&gt;"","{}{}",""),CI287)</f>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8" customFormat="false" ht="14.25" hidden="false" customHeight="false" outlineLevel="0" collapsed="false">
      <c r="A288" s="0" t="s">
        <v>1053</v>
      </c>
      <c r="B288" s="15" t="s">
        <v>1054</v>
      </c>
      <c r="C288" s="0" t="n">
        <v>289</v>
      </c>
      <c r="E288" s="0" t="n">
        <v>192</v>
      </c>
      <c r="F288" s="0" t="s">
        <v>143</v>
      </c>
      <c r="G288" s="0" t="s">
        <v>827</v>
      </c>
      <c r="H288" s="0" t="s">
        <v>757</v>
      </c>
      <c r="I288" s="0" t="s">
        <v>1055</v>
      </c>
      <c r="J288" s="0" t="n">
        <v>2023</v>
      </c>
      <c r="M288" s="0" t="n">
        <v>4</v>
      </c>
      <c r="N288" s="0" t="n">
        <v>2000</v>
      </c>
      <c r="O288" s="1" t="n">
        <v>970</v>
      </c>
      <c r="W288" s="0" t="n">
        <v>233</v>
      </c>
      <c r="Y288" s="0" t="n">
        <v>6</v>
      </c>
      <c r="Z288" s="0" t="n">
        <v>162</v>
      </c>
      <c r="AA288" s="3" t="n">
        <f aca="false">IF(AND(W288&gt;0,Z288&gt;0),(Z288/((W288+X288)*10)),"")</f>
        <v>0.0695278969957082</v>
      </c>
      <c r="AB288" s="0" t="n">
        <v>75</v>
      </c>
      <c r="AC288" s="0" t="n">
        <f aca="false">ROUND(AB288*1.6, 0)</f>
        <v>120</v>
      </c>
      <c r="AD288" s="0" t="n">
        <v>100</v>
      </c>
      <c r="AF288" s="0" t="n">
        <v>16</v>
      </c>
      <c r="AG288" s="0" t="n">
        <v>16</v>
      </c>
      <c r="AH288" s="0" t="n">
        <v>2.8</v>
      </c>
      <c r="AI288" s="0" t="n">
        <v>3.8</v>
      </c>
      <c r="AJ288" s="4" t="n">
        <v>45</v>
      </c>
      <c r="AK288" s="0" t="str">
        <f aca="false">CONCATENATE(VLOOKUP(AL288, 'Voxel Sizes'!$A$2:$B$18,2,FALSE()),"x",INT(AH288*15), "x", INT(AI288*15))</f>
        <v>152x42x57</v>
      </c>
      <c r="AL288" s="0" t="n">
        <f aca="false">ROUND(15*((AG288*10)/256),0)</f>
        <v>9</v>
      </c>
      <c r="AN288" s="0" t="str">
        <f aca="false">CONCATENATE(VLOOKUP(AL288,Constants!$A$2:$C$16,IF(AM288&lt;&gt;"", 3, 2), FALSE()),IF(AM288&lt;&gt;"",CONCATENATE(",",VLOOKUP(AM288,$B:$AN,39,FALSE())),""))</f>
        <v>2,5,2</v>
      </c>
      <c r="AR288" s="0" t="s">
        <v>1056</v>
      </c>
      <c r="AT288" s="0" t="s">
        <v>881</v>
      </c>
      <c r="AX288" s="0" t="n">
        <v>30</v>
      </c>
      <c r="AY288" s="16" t="str">
        <f aca="false">IF(L288&lt;&gt;"",MAX(16,(L288-J288)+8),"")</f>
        <v/>
      </c>
      <c r="AZ288" s="0" t="n">
        <v>-17</v>
      </c>
      <c r="BA288" s="0" t="n">
        <v>-20</v>
      </c>
      <c r="BB288" s="0" t="n">
        <f aca="false">MIN(AB288/150, 1)*30</f>
        <v>15</v>
      </c>
      <c r="BC288" s="0" t="n">
        <f aca="false">MIN(N288/4000, 1)*20</f>
        <v>10</v>
      </c>
      <c r="BD288" s="0" t="n">
        <f aca="false">MIN(Z288/400,1)*20</f>
        <v>8.1</v>
      </c>
      <c r="BE288" s="3" t="n">
        <f aca="false">1-(MAX(J288-1900, 0)/750)</f>
        <v>0.836</v>
      </c>
      <c r="BF288" s="0" t="n">
        <f aca="false">((MAX($M288,1)*MIN($AJ288/300,1)))*IF(G288="Wagon",50,10)</f>
        <v>6</v>
      </c>
      <c r="BG288" s="0" t="n">
        <f aca="false">VLOOKUP($H288,Constants!$I:$K, 2, FALSE())</f>
        <v>0.9</v>
      </c>
      <c r="BH288" s="0" t="n">
        <f aca="false">VLOOKUP($H288,Constants!$I:$K, 3, FALSE())*IF(AND(G288="multiple_unit",AB288&lt;110),0.75,1)</f>
        <v>1.875</v>
      </c>
      <c r="BI288" s="0" t="n">
        <f aca="false">INT(POWER(((Constants!$G$2+$BB288+$BC288+$BD288+$BF288)*$BE288)*$BH288, 1.05))+$BA288</f>
        <v>65</v>
      </c>
      <c r="BJ288" s="0" t="n">
        <f aca="false">INT(POWER((((Constants!$G$1+$BB288+$BC288+$BD288+$BF288)*($BE288))*$BG288),IF($G288="wagon",1,1.2)))+$AZ288</f>
        <v>68</v>
      </c>
      <c r="BK288" s="17" t="n">
        <f aca="false">BI288*IF($G288="wagon",62.5,781.25)</f>
        <v>50781.25</v>
      </c>
      <c r="BL288" s="17" t="n">
        <f aca="false">BJ288*IF($G288="wagon",2.73,81.25)</f>
        <v>5525</v>
      </c>
      <c r="BV288" s="0" t="n">
        <v>3</v>
      </c>
      <c r="BZ288" s="0" t="s">
        <v>148</v>
      </c>
      <c r="CA288" s="0" t="s">
        <v>938</v>
      </c>
      <c r="CB288" s="0" t="s">
        <v>844</v>
      </c>
      <c r="CC288" s="0" t="str">
        <f aca="false">CONCATENATE(CA288,"_",CB288)</f>
        <v>mod_EMU</v>
      </c>
      <c r="CD288" s="0" t="str">
        <f aca="false">_xlfn.CONCAT(H288, "_",I288)</f>
        <v>dual_power_BATTERY</v>
      </c>
      <c r="CE288" s="6" t="str">
        <f aca="false" t="array" ref="CE288:CE288">_xlfn.CONCAT("{BLACK}Length: {GOLD}", TEXT(ROUNDUP(IF(AQ288&lt;&gt;"",SUM(VALUE(_xlfn.TEXTSPLIT(AQ288, ","))), SUM(VALUE(_xlfn.TEXTSPLIT(AN288, ",")))*IF(M288, M288, 1))/16, 1), "#,##0.0"), " tiles{}")</f>
        <v>{BLACK}Length: {GOLD}2.3 tiles{}</v>
      </c>
      <c r="CF288" s="0" t="str">
        <f aca="false">VLOOKUP($CD288, Constants!$M:$N, 2, FALSE())</f>
        <v>{BLACK}Powered by: {GOLD}750V DC / Battery</v>
      </c>
      <c r="CG288" s="0" t="str">
        <f aca="false">IF(M288&gt;1,_xlfn.CONCAT("{BLACK}Cars: {GOLD}", M288),"")</f>
        <v>{BLACK}Cars: {GOLD}4</v>
      </c>
      <c r="CH288" s="0" t="s">
        <v>1057</v>
      </c>
      <c r="CI288" s="0" t="str">
        <f aca="false">IF($BU288="!param_no_gameplay_units","{GREEN}Included for gameplay purposes","")</f>
        <v/>
      </c>
      <c r="CJ288" s="0" t="str">
        <f aca="false">IF(BX288="buffet","{YELLOW}25% long distance bonus for consist{}",IF(BZ288="BRAKE","{YELLOW}Speed bonus for slow wagons{}",IF(BW288&gt;190,CONCATENATE("{YELLOW}",INT((BW288-185)/1.85),"% bonus for long distance travel{}"),IF(AND(BW288&lt;180,BW288&lt;&gt;0),CONCATENATE("{YELLOW}",INT((185-BW288)/1.85),"% penalty for long distance travel{}"),""))))</f>
        <v/>
      </c>
      <c r="CK288" s="0" t="str">
        <f aca="false">_xlfn.CONCAT(CF288,IF(CF288&lt;&gt;""," ",""),CG288,IF(OR(CG288&lt;&gt;"",CF288&lt;&gt;""),"{}",""),CE288,CJ288,"{SILVER}",CH288,IF(CI288&lt;&gt;"","{}{}",""),CI288)</f>
        <v>{BLACK}Powered by: {GOLD}750V DC / Battery {BLACK}Cars: {GOLD}4{}{BLACK}Length: {GOLD}2.3 tiles{}{SILVER}The Class 777 "METRO" is a dual-mode unit which charges a battery when on third rail power, which can be used to travel over unpowered track.</v>
      </c>
    </row>
    <row r="289" customFormat="false" ht="14.25" hidden="false" customHeight="false" outlineLevel="0" collapsed="false">
      <c r="A289" s="0" t="s">
        <v>1058</v>
      </c>
      <c r="B289" s="15" t="s">
        <v>1059</v>
      </c>
      <c r="C289" s="0" t="n">
        <v>290</v>
      </c>
      <c r="E289" s="0" t="n">
        <v>193</v>
      </c>
      <c r="F289" s="0" t="s">
        <v>143</v>
      </c>
      <c r="G289" s="0" t="s">
        <v>445</v>
      </c>
      <c r="H289" s="0" t="s">
        <v>1060</v>
      </c>
      <c r="I289" s="0" t="s">
        <v>159</v>
      </c>
      <c r="J289" s="0" t="n">
        <v>1889</v>
      </c>
      <c r="L289" s="0" t="n">
        <v>1923</v>
      </c>
      <c r="N289" s="0" t="n">
        <v>100</v>
      </c>
      <c r="W289" s="0" t="n">
        <v>15</v>
      </c>
      <c r="Z289" s="0" t="n">
        <v>22</v>
      </c>
      <c r="AA289" s="3" t="n">
        <f aca="false">IF(AND(W289&gt;0,Z289&gt;0),(Z289/((W289+X289)*10)),"")</f>
        <v>0.146666666666667</v>
      </c>
      <c r="AB289" s="0" t="n">
        <v>25</v>
      </c>
      <c r="AC289" s="0" t="n">
        <f aca="false">ROUND(AB289*1.6, 0)</f>
        <v>40</v>
      </c>
      <c r="AG289" s="0" t="n">
        <v>8</v>
      </c>
      <c r="AK289" s="0" t="str">
        <f aca="false">CONCATENATE(VLOOKUP(AL289, 'Voxel Sizes'!$A$2:$B$18,2,FALSE()),"x",INT(AH289*15), "x", INT(AI289*15))</f>
        <v>82x0x0</v>
      </c>
      <c r="AL289" s="0" t="n">
        <f aca="false">ROUND(15*((AG289*10)/256),0)</f>
        <v>5</v>
      </c>
      <c r="AN289" s="0" t="str">
        <f aca="false">CONCATENATE(VLOOKUP(AL289,Constants!$A$2:$C$16,IF(AM289&lt;&gt;"", 3, 2), FALSE()),IF(AM289&lt;&gt;"",CONCATENATE(",",VLOOKUP(AM289,$B:$AN,39,FALSE())),""))</f>
        <v>2,1,2</v>
      </c>
      <c r="AX289" s="0" t="n">
        <v>29</v>
      </c>
      <c r="AY289" s="16" t="n">
        <f aca="false">IF(L289&lt;&gt;"",MAX(16,(L289-J289)+8),"")</f>
        <v>42</v>
      </c>
      <c r="AZ289" s="0" t="n">
        <v>-5</v>
      </c>
      <c r="BB289" s="0" t="n">
        <f aca="false">MIN(AB289/150, 1)*30</f>
        <v>5</v>
      </c>
      <c r="BC289" s="0" t="n">
        <f aca="false">MIN(N289/4000, 1)*20</f>
        <v>0.5</v>
      </c>
      <c r="BD289" s="0" t="n">
        <f aca="false">MIN(Z289/400,1)*20</f>
        <v>1.1</v>
      </c>
      <c r="BE289" s="3" t="n">
        <f aca="false">1-(MAX(J289-1900, 0)/750)</f>
        <v>1</v>
      </c>
      <c r="BF289" s="0" t="n">
        <f aca="false">((MAX($M289,1)*MIN($AJ289/300,1)))*IF(G289="Wagon",50,10)</f>
        <v>0</v>
      </c>
      <c r="BG289" s="0" t="n">
        <f aca="false">VLOOKUP($H289,Constants!$I:$K, 2, FALSE())</f>
        <v>0.9</v>
      </c>
      <c r="BH289" s="0" t="n">
        <f aca="false">VLOOKUP($H289,Constants!$I:$K, 3, FALSE())*IF(AND(G289="multiple_unit",AB289&lt;110),0.75,1)</f>
        <v>1.6</v>
      </c>
      <c r="BI289" s="0" t="n">
        <f aca="false">INT(POWER(((Constants!$G$2+$BB289+$BC289+$BD289+$BF289)*$BE289)*$BH289, 1.05))+$BA289</f>
        <v>21</v>
      </c>
      <c r="BJ289" s="0" t="n">
        <f aca="false">INT(POWER((((Constants!$G$1+$BB289+$BC289+$BD289+$BF289)*($BE289))*$BG289),IF($G289="wagon",1,1.2)))+$AZ289</f>
        <v>30</v>
      </c>
      <c r="BK289" s="17" t="n">
        <f aca="false">BI289*IF($G289="wagon",62.5,781.25)</f>
        <v>16406.25</v>
      </c>
      <c r="BL289" s="17" t="n">
        <f aca="false">BJ289*IF($G289="wagon",2.73,81.25)</f>
        <v>2437.5</v>
      </c>
      <c r="BV289" s="0" t="n">
        <v>1</v>
      </c>
      <c r="CA289" s="0" t="str">
        <f aca="false">VLOOKUP(J289,Eras!$A$2:$C$10, 2, TRUE())</f>
        <v>vct</v>
      </c>
      <c r="CB289" s="0" t="s">
        <v>1061</v>
      </c>
      <c r="CC289" s="0" t="str">
        <f aca="false">CONCATENATE(CA289,"_",CB289)</f>
        <v>vct_LU</v>
      </c>
      <c r="CD289" s="0" t="str">
        <f aca="false">_xlfn.CONCAT(H289, "_",I289)</f>
        <v>tube_FOURTH_RAIL</v>
      </c>
      <c r="CE289" s="6" t="str">
        <f aca="false" t="array" ref="CE289:CE289">_xlfn.CONCAT("{BLACK}Length: {GOLD}", TEXT(ROUNDUP(IF(AQ289&lt;&gt;"",SUM(VALUE(_xlfn.TEXTSPLIT(AQ289, ","))), SUM(VALUE(_xlfn.TEXTSPLIT(AN289, ",")))*IF(M289, M289, 1))/16, 1), "#,##0.0"), " tiles{}")</f>
        <v>{BLACK}Length: {GOLD}0.4 tiles{}</v>
      </c>
      <c r="CF289" s="0" t="str">
        <f aca="false">VLOOKUP($CD289, Constants!$M:$N, 2, FALSE())</f>
        <v>{BLACK}Powered by: {GOLD}630V DC</v>
      </c>
      <c r="CG289" s="0" t="str">
        <f aca="false">IF(M289&gt;1,_xlfn.CONCAT("{BLACK}Cars: {GOLD}", M289),"")</f>
        <v/>
      </c>
      <c r="CH289" s="0" t="s">
        <v>1062</v>
      </c>
      <c r="CI289" s="0" t="str">
        <f aca="false">IF($BU289="!param_no_gameplay_units","{GREEN}Included for gameplay purposes","")</f>
        <v/>
      </c>
      <c r="CJ289" s="0" t="str">
        <f aca="false">IF(BX289="buffet","{YELLOW}25% long distance bonus for consist{}",IF(BZ289="BRAKE","{YELLOW}Speed bonus for slow wagons{}",IF(BW289&gt;190,CONCATENATE("{YELLOW}",INT((BW289-185)/1.85),"% bonus for long distance travel{}"),IF(AND(BW289&lt;180,BW289&lt;&gt;0),CONCATENATE("{YELLOW}",INT((185-BW289)/1.85),"% penalty for long distance travel{}"),""))))</f>
        <v/>
      </c>
      <c r="CK289" s="0" t="str">
        <f aca="false">_xlfn.CONCAT(CF289,IF(CF289&lt;&gt;""," ",""),CG289,IF(OR(CG289&lt;&gt;"",CF289&lt;&gt;""),"{}",""),CE289,CJ289,"{SILVER}",CH289,IF(CI289&lt;&gt;"","{}{}",""),CI289)</f>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90" customFormat="false" ht="14.25" hidden="false" customHeight="false" outlineLevel="0" collapsed="false">
      <c r="A290" s="0" t="s">
        <v>1063</v>
      </c>
      <c r="B290" s="15" t="s">
        <v>1064</v>
      </c>
      <c r="C290" s="0" t="n">
        <v>291</v>
      </c>
      <c r="E290" s="0" t="n">
        <v>194</v>
      </c>
      <c r="F290" s="0" t="s">
        <v>143</v>
      </c>
      <c r="G290" s="0" t="s">
        <v>827</v>
      </c>
      <c r="H290" s="0" t="s">
        <v>1060</v>
      </c>
      <c r="I290" s="0" t="s">
        <v>159</v>
      </c>
      <c r="J290" s="0" t="n">
        <v>1906</v>
      </c>
      <c r="L290" s="0" t="n">
        <v>1953</v>
      </c>
      <c r="M290" s="0" t="n">
        <v>3</v>
      </c>
      <c r="N290" s="0" t="n">
        <v>350</v>
      </c>
      <c r="W290" s="0" t="n">
        <f aca="false">27+20+20</f>
        <v>67</v>
      </c>
      <c r="Y290" s="0" t="n">
        <v>8</v>
      </c>
      <c r="Z290" s="0" t="n">
        <v>55</v>
      </c>
      <c r="AA290" s="3" t="n">
        <f aca="false">IF(AND(W290&gt;0,Z290&gt;0),(Z290/((W290+X290)*10)),"")</f>
        <v>0.082089552238806</v>
      </c>
      <c r="AB290" s="0" t="n">
        <v>35</v>
      </c>
      <c r="AC290" s="0" t="n">
        <f aca="false">ROUND(AB290*1.6, 0)</f>
        <v>56</v>
      </c>
      <c r="AF290" s="0" t="n">
        <v>15.3</v>
      </c>
      <c r="AG290" s="0" t="n">
        <v>15.3</v>
      </c>
      <c r="AH290" s="0" t="n">
        <v>2.67</v>
      </c>
      <c r="AI290" s="0" t="n">
        <v>2.8</v>
      </c>
      <c r="AJ290" s="4" t="n">
        <v>78</v>
      </c>
      <c r="AK290" s="0" t="str">
        <f aca="false">CONCATENATE(VLOOKUP(AL290, 'Voxel Sizes'!$A$2:$B$18,2,FALSE()),"x",INT(AH290*15), "x", INT(AI290*15))</f>
        <v>152x40x42</v>
      </c>
      <c r="AL290" s="0" t="n">
        <f aca="false">ROUND(15*((AG290*10)/256),0)</f>
        <v>9</v>
      </c>
      <c r="AN290" s="0" t="str">
        <f aca="false">CONCATENATE(VLOOKUP(AL290,Constants!$A$2:$C$16,IF(AM290&lt;&gt;"", 3, 2), FALSE()),IF(AM290&lt;&gt;"",CONCATENATE(",",VLOOKUP(AM290,$B:$AN,39,FALSE())),""))</f>
        <v>2,5,2</v>
      </c>
      <c r="AR290" s="0" t="s">
        <v>1065</v>
      </c>
      <c r="AT290" s="0" t="s">
        <v>864</v>
      </c>
      <c r="AX290" s="0" t="n">
        <v>34</v>
      </c>
      <c r="AY290" s="16" t="n">
        <f aca="false">IF(L290&lt;&gt;"",MAX(16,(L290-J290)+8),"")</f>
        <v>55</v>
      </c>
      <c r="AZ290" s="0" t="n">
        <v>-25</v>
      </c>
      <c r="BB290" s="0" t="n">
        <f aca="false">MIN(AB290/150, 1)*30</f>
        <v>7</v>
      </c>
      <c r="BC290" s="0" t="n">
        <f aca="false">MIN(N290/4000, 1)*20</f>
        <v>1.75</v>
      </c>
      <c r="BD290" s="0" t="n">
        <f aca="false">MIN(Z290/400,1)*20</f>
        <v>2.75</v>
      </c>
      <c r="BE290" s="3" t="n">
        <f aca="false">1-(MAX(J290-1900, 0)/750)</f>
        <v>0.992</v>
      </c>
      <c r="BF290" s="0" t="n">
        <f aca="false">((MAX($M290,1)*MIN($AJ290/300,1)))*IF(G290="Wagon",50,10)</f>
        <v>7.8</v>
      </c>
      <c r="BG290" s="0" t="n">
        <f aca="false">VLOOKUP($H290,Constants!$I:$K, 2, FALSE())</f>
        <v>0.9</v>
      </c>
      <c r="BH290" s="0" t="n">
        <f aca="false">VLOOKUP($H290,Constants!$I:$K, 3, FALSE())*IF(AND(G290="multiple_unit",AB290&lt;110),0.75,1)</f>
        <v>1.2</v>
      </c>
      <c r="BI290" s="0" t="n">
        <f aca="false">INT(POWER(((Constants!$G$2+$BB290+$BC290+$BD290+$BF290)*$BE290)*$BH290, 1.05))+$BA290</f>
        <v>34</v>
      </c>
      <c r="BJ290" s="0" t="n">
        <f aca="false">INT(POWER((((Constants!$G$1+$BB290+$BC290+$BD290+$BF290)*($BE290))*$BG290),IF($G290="wagon",1,1.2)))+$AZ290</f>
        <v>35</v>
      </c>
      <c r="BK290" s="17" t="n">
        <f aca="false">BI290*IF($G290="wagon",62.5,781.25)</f>
        <v>26562.5</v>
      </c>
      <c r="BL290" s="17" t="n">
        <f aca="false">BJ290*IF($G290="wagon",2.73,81.25)</f>
        <v>2843.75</v>
      </c>
      <c r="BV290" s="0" t="n">
        <v>2</v>
      </c>
      <c r="BW290" s="0" t="n">
        <v>120</v>
      </c>
      <c r="BZ290" s="0" t="s">
        <v>148</v>
      </c>
      <c r="CA290" s="0" t="str">
        <f aca="false">VLOOKUP(J290,Eras!$A$2:$C$10, 2, TRUE())</f>
        <v>edw</v>
      </c>
      <c r="CB290" s="0" t="s">
        <v>1061</v>
      </c>
      <c r="CC290" s="0" t="str">
        <f aca="false">CONCATENATE(CA290,"_",CB290)</f>
        <v>edw_LU</v>
      </c>
      <c r="CD290" s="0" t="str">
        <f aca="false">_xlfn.CONCAT(H290, "_",I290)</f>
        <v>tube_FOURTH_RAIL</v>
      </c>
      <c r="CE290" s="6" t="str">
        <f aca="false" t="array" ref="CE290:CE290">_xlfn.CONCAT("{BLACK}Length: {GOLD}", TEXT(ROUNDUP(IF(AQ290&lt;&gt;"",SUM(VALUE(_xlfn.TEXTSPLIT(AQ290, ","))), SUM(VALUE(_xlfn.TEXTSPLIT(AN290, ",")))*IF(M290, M290, 1))/16, 1), "#,##0.0"), " tiles{}")</f>
        <v>{BLACK}Length: {GOLD}1.7 tiles{}</v>
      </c>
      <c r="CF290" s="0" t="str">
        <f aca="false">VLOOKUP($CD290, Constants!$M:$N, 2, FALSE())</f>
        <v>{BLACK}Powered by: {GOLD}630V DC</v>
      </c>
      <c r="CG290" s="0" t="str">
        <f aca="false">IF(M290&gt;1,_xlfn.CONCAT("{BLACK}Cars: {GOLD}", M290),"")</f>
        <v>{BLACK}Cars: {GOLD}3</v>
      </c>
      <c r="CH290" s="0" t="s">
        <v>1066</v>
      </c>
      <c r="CI290" s="0" t="str">
        <f aca="false">IF($BU290="!param_no_gameplay_units","{GREEN}Included for gameplay purposes","")</f>
        <v/>
      </c>
      <c r="CJ290" s="0" t="str">
        <f aca="false">IF(BX290="buffet","{YELLOW}25% long distance bonus for consist{}",IF(BZ290="BRAKE","{YELLOW}Speed bonus for slow wagons{}",IF(BW290&gt;190,CONCATENATE("{YELLOW}",INT((BW290-185)/1.85),"% bonus for long distance travel{}"),IF(AND(BW290&lt;180,BW290&lt;&gt;0),CONCATENATE("{YELLOW}",INT((185-BW290)/1.85),"% penalty for long distance travel{}"),""))))</f>
        <v>{YELLOW}35% penalty for long distance travel{}</v>
      </c>
      <c r="CK290" s="0" t="str">
        <f aca="false">_xlfn.CONCAT(CF290,IF(CF290&lt;&gt;""," ",""),CG290,IF(OR(CG290&lt;&gt;"",CF290&lt;&gt;""),"{}",""),CE290,CJ290,"{SILVER}",CH290,IF(CI290&lt;&gt;"","{}{}",""),CI290)</f>
        <v>{BLACK}Powered by: {GOLD}630V DC {BLACK}Cars: {GOLD}3{}{BLACK}Length: {GOLD}1.7 tiles{}{YELLOW}35% penalty for long distance travel{}{SILVER}The Gate Stock was a deep level unit used on Charles Yerkes' Tube lines. It was named for the manual entry gates, each operated by a gateman.</v>
      </c>
    </row>
    <row r="291" customFormat="false" ht="14.25" hidden="false" customHeight="false" outlineLevel="0" collapsed="false">
      <c r="A291" s="0" t="s">
        <v>1067</v>
      </c>
      <c r="B291" s="15" t="s">
        <v>1068</v>
      </c>
      <c r="C291" s="0" t="n">
        <v>292</v>
      </c>
      <c r="E291" s="0" t="n">
        <v>195</v>
      </c>
      <c r="F291" s="0" t="s">
        <v>143</v>
      </c>
      <c r="G291" s="0" t="s">
        <v>827</v>
      </c>
      <c r="H291" s="0" t="s">
        <v>1060</v>
      </c>
      <c r="I291" s="0" t="s">
        <v>159</v>
      </c>
      <c r="J291" s="0" t="n">
        <v>1923</v>
      </c>
      <c r="L291" s="0" t="n">
        <v>1991</v>
      </c>
      <c r="M291" s="0" t="n">
        <v>3</v>
      </c>
      <c r="N291" s="0" t="n">
        <v>450</v>
      </c>
      <c r="W291" s="0" t="n">
        <v>74</v>
      </c>
      <c r="Y291" s="0" t="n">
        <v>10</v>
      </c>
      <c r="Z291" s="0" t="n">
        <v>60</v>
      </c>
      <c r="AA291" s="3" t="n">
        <f aca="false">IF(AND(W291&gt;0,Z291&gt;0),(Z291/((W291+X291)*10)),"")</f>
        <v>0.0810810810810811</v>
      </c>
      <c r="AB291" s="0" t="n">
        <v>40</v>
      </c>
      <c r="AC291" s="0" t="n">
        <f aca="false">ROUND(AB291*1.6, 0)</f>
        <v>64</v>
      </c>
      <c r="AF291" s="0" t="n">
        <v>15.3</v>
      </c>
      <c r="AG291" s="0" t="n">
        <v>15.3</v>
      </c>
      <c r="AH291" s="0" t="n">
        <v>2.67</v>
      </c>
      <c r="AI291" s="0" t="n">
        <v>2.8</v>
      </c>
      <c r="AJ291" s="4" t="n">
        <v>84</v>
      </c>
      <c r="AK291" s="0" t="str">
        <f aca="false">CONCATENATE(VLOOKUP(AL291, 'Voxel Sizes'!$A$2:$B$18,2,FALSE()),"x",INT(AH291*15), "x", INT(AI291*15))</f>
        <v>152x40x42</v>
      </c>
      <c r="AL291" s="0" t="n">
        <f aca="false">ROUND(15*((AG291*10)/256),0)</f>
        <v>9</v>
      </c>
      <c r="AN291" s="0" t="str">
        <f aca="false">CONCATENATE(VLOOKUP(AL291,Constants!$A$2:$C$16,IF(AM291&lt;&gt;"", 3, 2), FALSE()),IF(AM291&lt;&gt;"",CONCATENATE(",",VLOOKUP(AM291,$B:$AN,39,FALSE())),""))</f>
        <v>2,5,2</v>
      </c>
      <c r="AR291" s="0" t="s">
        <v>1069</v>
      </c>
      <c r="AT291" s="0" t="s">
        <v>864</v>
      </c>
      <c r="AX291" s="0" t="n">
        <v>41</v>
      </c>
      <c r="AY291" s="16" t="n">
        <f aca="false">IF(L291&lt;&gt;"",MAX(16,(L291-J291)+8),"")</f>
        <v>76</v>
      </c>
      <c r="AZ291" s="0" t="n">
        <v>-25</v>
      </c>
      <c r="BB291" s="0" t="n">
        <f aca="false">MIN(AB291/150, 1)*30</f>
        <v>8</v>
      </c>
      <c r="BC291" s="0" t="n">
        <f aca="false">MIN(N291/4000, 1)*20</f>
        <v>2.25</v>
      </c>
      <c r="BD291" s="0" t="n">
        <f aca="false">MIN(Z291/400,1)*20</f>
        <v>3</v>
      </c>
      <c r="BE291" s="3" t="n">
        <f aca="false">1-(MAX(J291-1900, 0)/750)</f>
        <v>0.969333333333333</v>
      </c>
      <c r="BF291" s="0" t="n">
        <f aca="false">((MAX($M291,1)*MIN($AJ291/300,1)))*IF(G291="Wagon",50,10)</f>
        <v>8.4</v>
      </c>
      <c r="BG291" s="0" t="n">
        <f aca="false">VLOOKUP($H291,Constants!$I:$K, 2, FALSE())</f>
        <v>0.9</v>
      </c>
      <c r="BH291" s="0" t="n">
        <f aca="false">VLOOKUP($H291,Constants!$I:$K, 3, FALSE())*IF(AND(G291="multiple_unit",AB291&lt;110),0.75,1)</f>
        <v>1.2</v>
      </c>
      <c r="BI291" s="0" t="n">
        <f aca="false">INT(POWER(((Constants!$G$2+$BB291+$BC291+$BD291+$BF291)*$BE291)*$BH291, 1.05))+$BA291</f>
        <v>36</v>
      </c>
      <c r="BJ291" s="0" t="n">
        <f aca="false">INT(POWER((((Constants!$G$1+$BB291+$BC291+$BD291+$BF291)*($BE291))*$BG291),IF($G291="wagon",1,1.2)))+$AZ291</f>
        <v>38</v>
      </c>
      <c r="BK291" s="17" t="n">
        <f aca="false">BI291*IF($G291="wagon",62.5,781.25)</f>
        <v>28125</v>
      </c>
      <c r="BL291" s="17" t="n">
        <f aca="false">BJ291*IF($G291="wagon",2.73,81.25)</f>
        <v>3087.5</v>
      </c>
      <c r="BV291" s="0" t="n">
        <v>3</v>
      </c>
      <c r="BW291" s="0" t="n">
        <v>120</v>
      </c>
      <c r="BZ291" s="0" t="s">
        <v>148</v>
      </c>
      <c r="CA291" s="0" t="str">
        <f aca="false">VLOOKUP(J291,Eras!$A$2:$C$10, 2, TRUE())</f>
        <v>big4</v>
      </c>
      <c r="CB291" s="0" t="s">
        <v>1061</v>
      </c>
      <c r="CC291" s="0" t="str">
        <f aca="false">CONCATENATE(CA291,"_",CB291)</f>
        <v>big4_LU</v>
      </c>
      <c r="CD291" s="0" t="str">
        <f aca="false">_xlfn.CONCAT(H291, "_",I291)</f>
        <v>tube_FOURTH_RAIL</v>
      </c>
      <c r="CE291" s="6" t="str">
        <f aca="false" t="array" ref="CE291:CE291">_xlfn.CONCAT("{BLACK}Length: {GOLD}", TEXT(ROUNDUP(IF(AQ291&lt;&gt;"",SUM(VALUE(_xlfn.TEXTSPLIT(AQ291, ","))), SUM(VALUE(_xlfn.TEXTSPLIT(AN291, ",")))*IF(M291, M291, 1))/16, 1), "#,##0.0"), " tiles{}")</f>
        <v>{BLACK}Length: {GOLD}1.7 tiles{}</v>
      </c>
      <c r="CF291" s="0" t="str">
        <f aca="false">VLOOKUP($CD291, Constants!$M:$N, 2, FALSE())</f>
        <v>{BLACK}Powered by: {GOLD}630V DC</v>
      </c>
      <c r="CG291" s="0" t="str">
        <f aca="false">IF(M291&gt;1,_xlfn.CONCAT("{BLACK}Cars: {GOLD}", M291),"")</f>
        <v>{BLACK}Cars: {GOLD}3</v>
      </c>
      <c r="CH291" s="0" t="s">
        <v>1070</v>
      </c>
      <c r="CI291" s="0" t="str">
        <f aca="false">IF($BU291="!param_no_gameplay_units","{GREEN}Included for gameplay purposes","")</f>
        <v/>
      </c>
      <c r="CJ291" s="0" t="str">
        <f aca="false">IF(BX291="buffet","{YELLOW}25% long distance bonus for consist{}",IF(BZ291="BRAKE","{YELLOW}Speed bonus for slow wagons{}",IF(BW291&gt;190,CONCATENATE("{YELLOW}",INT((BW291-185)/1.85),"% bonus for long distance travel{}"),IF(AND(BW291&lt;180,BW291&lt;&gt;0),CONCATENATE("{YELLOW}",INT((185-BW291)/1.85),"% penalty for long distance travel{}"),""))))</f>
        <v>{YELLOW}35% penalty for long distance travel{}</v>
      </c>
      <c r="CK291" s="0" t="str">
        <f aca="false">_xlfn.CONCAT(CF291,IF(CF291&lt;&gt;""," ",""),CG291,IF(OR(CG291&lt;&gt;"",CF291&lt;&gt;""),"{}",""),CE291,CJ291,"{SILVER}",CH291,IF(CI291&lt;&gt;"","{}{}",""),CI291)</f>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customFormat="false" ht="14.25" hidden="false" customHeight="false" outlineLevel="0" collapsed="false">
      <c r="A292" s="0" t="s">
        <v>1071</v>
      </c>
      <c r="B292" s="15" t="s">
        <v>1072</v>
      </c>
      <c r="C292" s="0" t="n">
        <v>293</v>
      </c>
      <c r="E292" s="0" t="n">
        <v>196</v>
      </c>
      <c r="F292" s="0" t="s">
        <v>143</v>
      </c>
      <c r="G292" s="0" t="s">
        <v>827</v>
      </c>
      <c r="H292" s="0" t="s">
        <v>1060</v>
      </c>
      <c r="I292" s="0" t="s">
        <v>159</v>
      </c>
      <c r="J292" s="0" t="n">
        <v>1937</v>
      </c>
      <c r="L292" s="0" t="n">
        <v>1981</v>
      </c>
      <c r="M292" s="0" t="n">
        <v>3</v>
      </c>
      <c r="N292" s="0" t="n">
        <v>500</v>
      </c>
      <c r="W292" s="0" t="n">
        <v>79</v>
      </c>
      <c r="Y292" s="0" t="n">
        <v>10</v>
      </c>
      <c r="Z292" s="0" t="n">
        <v>60</v>
      </c>
      <c r="AA292" s="3" t="n">
        <f aca="false">IF(AND(W292&gt;0,Z292&gt;0),(Z292/((W292+X292)*10)),"")</f>
        <v>0.0759493670886076</v>
      </c>
      <c r="AB292" s="0" t="n">
        <v>42</v>
      </c>
      <c r="AC292" s="0" t="n">
        <f aca="false">ROUND(AB292*1.6, 0)</f>
        <v>67</v>
      </c>
      <c r="AF292" s="0" t="n">
        <v>16</v>
      </c>
      <c r="AG292" s="0" t="n">
        <v>16</v>
      </c>
      <c r="AH292" s="0" t="n">
        <v>2.92</v>
      </c>
      <c r="AI292" s="0" t="n">
        <v>3.68</v>
      </c>
      <c r="AJ292" s="4" t="n">
        <v>129</v>
      </c>
      <c r="AK292" s="0" t="str">
        <f aca="false">CONCATENATE(VLOOKUP(AL292, 'Voxel Sizes'!$A$2:$B$18,2,FALSE()),"x",INT(AH292*15), "x", INT(AI292*15))</f>
        <v>152x43x55</v>
      </c>
      <c r="AL292" s="0" t="n">
        <f aca="false">ROUND(15*((AG292*10)/256),0)</f>
        <v>9</v>
      </c>
      <c r="AN292" s="0" t="str">
        <f aca="false">CONCATENATE(VLOOKUP(AL292,Constants!$A$2:$C$16,IF(AM292&lt;&gt;"", 3, 2), FALSE()),IF(AM292&lt;&gt;"",CONCATENATE(",",VLOOKUP(AM292,$B:$AN,39,FALSE())),""))</f>
        <v>2,5,2</v>
      </c>
      <c r="AR292" s="0" t="s">
        <v>1073</v>
      </c>
      <c r="AT292" s="0" t="s">
        <v>864</v>
      </c>
      <c r="AX292" s="0" t="n">
        <v>39</v>
      </c>
      <c r="AY292" s="16" t="n">
        <f aca="false">IF(L292&lt;&gt;"",MAX(16,(L292-J292)+8),"")</f>
        <v>52</v>
      </c>
      <c r="AZ292" s="0" t="n">
        <v>-22</v>
      </c>
      <c r="BA292" s="0" t="n">
        <v>6</v>
      </c>
      <c r="BB292" s="0" t="n">
        <f aca="false">MIN(AB292/150, 1)*30</f>
        <v>8.4</v>
      </c>
      <c r="BC292" s="0" t="n">
        <f aca="false">MIN(N292/4000, 1)*20</f>
        <v>2.5</v>
      </c>
      <c r="BD292" s="0" t="n">
        <f aca="false">MIN(Z292/400,1)*20</f>
        <v>3</v>
      </c>
      <c r="BE292" s="3" t="n">
        <f aca="false">1-(MAX(J292-1900, 0)/750)</f>
        <v>0.950666666666667</v>
      </c>
      <c r="BF292" s="0" t="n">
        <f aca="false">((MAX($M292,1)*MIN($AJ292/300,1)))*IF(G292="Wagon",50,10)</f>
        <v>12.9</v>
      </c>
      <c r="BG292" s="0" t="n">
        <f aca="false">VLOOKUP($H292,Constants!$I:$K, 2, FALSE())</f>
        <v>0.9</v>
      </c>
      <c r="BH292" s="0" t="n">
        <f aca="false">VLOOKUP($H292,Constants!$I:$K, 3, FALSE())*IF(AND(G292="multiple_unit",AB292&lt;110),0.75,1)</f>
        <v>1.2</v>
      </c>
      <c r="BI292" s="0" t="n">
        <f aca="false">INT(POWER(((Constants!$G$2+$BB292+$BC292+$BD292+$BF292)*$BE292)*$BH292, 1.05))+$BA292</f>
        <v>49</v>
      </c>
      <c r="BJ292" s="0" t="n">
        <f aca="false">INT(POWER((((Constants!$G$1+$BB292+$BC292+$BD292+$BF292)*($BE292))*$BG292),IF($G292="wagon",1,1.2)))+$AZ292</f>
        <v>51</v>
      </c>
      <c r="BK292" s="17" t="n">
        <f aca="false">BI292*IF($G292="wagon",62.5,781.25)</f>
        <v>38281.25</v>
      </c>
      <c r="BL292" s="17" t="n">
        <f aca="false">BJ292*IF($G292="wagon",2.73,81.25)</f>
        <v>4143.75</v>
      </c>
      <c r="BV292" s="0" t="n">
        <v>5</v>
      </c>
      <c r="BW292" s="0" t="n">
        <v>120</v>
      </c>
      <c r="BZ292" s="0" t="s">
        <v>148</v>
      </c>
      <c r="CA292" s="0" t="str">
        <f aca="false">VLOOKUP(J292,Eras!$A$2:$C$10, 2, TRUE())</f>
        <v>big4</v>
      </c>
      <c r="CB292" s="0" t="s">
        <v>1061</v>
      </c>
      <c r="CC292" s="0" t="str">
        <f aca="false">CONCATENATE(CA292,"_",CB292)</f>
        <v>big4_LU</v>
      </c>
      <c r="CD292" s="0" t="str">
        <f aca="false">_xlfn.CONCAT(H292, "_",I292)</f>
        <v>tube_FOURTH_RAIL</v>
      </c>
      <c r="CE292" s="6" t="str">
        <f aca="false" t="array" ref="CE292:CE292">_xlfn.CONCAT("{BLACK}Length: {GOLD}", TEXT(ROUNDUP(IF(AQ292&lt;&gt;"",SUM(VALUE(_xlfn.TEXTSPLIT(AQ292, ","))), SUM(VALUE(_xlfn.TEXTSPLIT(AN292, ",")))*IF(M292, M292, 1))/16, 1), "#,##0.0"), " tiles{}")</f>
        <v>{BLACK}Length: {GOLD}1.7 tiles{}</v>
      </c>
      <c r="CF292" s="0" t="str">
        <f aca="false">VLOOKUP($CD292, Constants!$M:$N, 2, FALSE())</f>
        <v>{BLACK}Powered by: {GOLD}630V DC</v>
      </c>
      <c r="CG292" s="0" t="str">
        <f aca="false">IF(M292&gt;1,_xlfn.CONCAT("{BLACK}Cars: {GOLD}", M292),"")</f>
        <v>{BLACK}Cars: {GOLD}3</v>
      </c>
      <c r="CH292" s="0" t="s">
        <v>1074</v>
      </c>
      <c r="CI292" s="0" t="str">
        <f aca="false">IF($BU292="!param_no_gameplay_units","{GREEN}Included for gameplay purposes","")</f>
        <v/>
      </c>
      <c r="CJ292" s="0" t="str">
        <f aca="false">IF(BX292="buffet","{YELLOW}25% long distance bonus for consist{}",IF(BZ292="BRAKE","{YELLOW}Speed bonus for slow wagons{}",IF(BW292&gt;190,CONCATENATE("{YELLOW}",INT((BW292-185)/1.85),"% bonus for long distance travel{}"),IF(AND(BW292&lt;180,BW292&lt;&gt;0),CONCATENATE("{YELLOW}",INT((185-BW292)/1.85),"% penalty for long distance travel{}"),""))))</f>
        <v>{YELLOW}35% penalty for long distance travel{}</v>
      </c>
      <c r="CK292" s="0" t="str">
        <f aca="false">_xlfn.CONCAT(CF292,IF(CF292&lt;&gt;""," ",""),CG292,IF(OR(CG292&lt;&gt;"",CF292&lt;&gt;""),"{}",""),CE292,CJ292,"{SILVER}",CH292,IF(CI292&lt;&gt;"","{}{}",""),CI292)</f>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3" customFormat="false" ht="14.25" hidden="false" customHeight="false" outlineLevel="0" collapsed="false">
      <c r="A293" s="0" t="s">
        <v>1075</v>
      </c>
      <c r="B293" s="15" t="s">
        <v>1076</v>
      </c>
      <c r="C293" s="0" t="n">
        <v>294</v>
      </c>
      <c r="E293" s="0" t="n">
        <v>197</v>
      </c>
      <c r="F293" s="0" t="s">
        <v>143</v>
      </c>
      <c r="G293" s="0" t="s">
        <v>827</v>
      </c>
      <c r="H293" s="0" t="s">
        <v>1060</v>
      </c>
      <c r="I293" s="0" t="s">
        <v>159</v>
      </c>
      <c r="J293" s="0" t="n">
        <v>1903</v>
      </c>
      <c r="K293" s="0" t="n">
        <v>1939</v>
      </c>
      <c r="L293" s="0" t="n">
        <v>1939</v>
      </c>
      <c r="M293" s="0" t="n">
        <v>6</v>
      </c>
      <c r="N293" s="0" t="n">
        <v>400</v>
      </c>
      <c r="W293" s="0" t="n">
        <f aca="false">(14*6)+20</f>
        <v>104</v>
      </c>
      <c r="Y293" s="0" t="n">
        <v>10</v>
      </c>
      <c r="Z293" s="0" t="n">
        <v>100</v>
      </c>
      <c r="AA293" s="3" t="n">
        <f aca="false">IF(AND(W293&gt;0,Z293&gt;0),(Z293/((W293+X293)*10)),"")</f>
        <v>0.0961538461538462</v>
      </c>
      <c r="AB293" s="0" t="n">
        <v>30</v>
      </c>
      <c r="AC293" s="0" t="n">
        <f aca="false">ROUND(AB293*1.6, 0)</f>
        <v>48</v>
      </c>
      <c r="AF293" s="0" t="n">
        <v>13.87</v>
      </c>
      <c r="AG293" s="0" t="n">
        <v>13.8</v>
      </c>
      <c r="AH293" s="0" t="n">
        <v>2.59</v>
      </c>
      <c r="AJ293" s="4" t="n">
        <v>102</v>
      </c>
      <c r="AK293" s="0" t="str">
        <f aca="false">CONCATENATE(VLOOKUP(AL293, 'Voxel Sizes'!$A$2:$B$18,2,FALSE()),"x",INT(AH293*15), "x", INT(AI293*15))</f>
        <v>136x38x0</v>
      </c>
      <c r="AL293" s="0" t="n">
        <f aca="false">ROUND(15*((AG293*10)/256),0)</f>
        <v>8</v>
      </c>
      <c r="AN293" s="0" t="str">
        <f aca="false">CONCATENATE(VLOOKUP(AL293,Constants!$A$2:$C$16,IF(AM293&lt;&gt;"", 3, 2), FALSE()),IF(AM293&lt;&gt;"",CONCATENATE(",",VLOOKUP(AM293,$B:$AN,39,FALSE())),""))</f>
        <v>2,4,2</v>
      </c>
      <c r="AR293" s="0" t="s">
        <v>1077</v>
      </c>
      <c r="AT293" s="0" t="s">
        <v>995</v>
      </c>
      <c r="AX293" s="0" t="n">
        <v>34</v>
      </c>
      <c r="AY293" s="16" t="n">
        <f aca="false">IF(L293&lt;&gt;"",MAX(16,(L293-J293)+8),"")</f>
        <v>44</v>
      </c>
      <c r="AZ293" s="0" t="n">
        <v>-25</v>
      </c>
      <c r="BB293" s="0" t="n">
        <f aca="false">MIN(AB293/150, 1)*30</f>
        <v>6</v>
      </c>
      <c r="BC293" s="0" t="n">
        <f aca="false">MIN(N293/4000, 1)*20</f>
        <v>2</v>
      </c>
      <c r="BD293" s="0" t="n">
        <f aca="false">MIN(Z293/400,1)*20</f>
        <v>5</v>
      </c>
      <c r="BE293" s="3" t="n">
        <f aca="false">1-(MAX(J293-1900, 0)/750)</f>
        <v>0.996</v>
      </c>
      <c r="BF293" s="0" t="n">
        <f aca="false">((MAX($M293,1)*MIN($AJ293/300,1)))*IF(G293="Wagon",50,10)</f>
        <v>20.4</v>
      </c>
      <c r="BG293" s="0" t="n">
        <f aca="false">VLOOKUP($H293,Constants!$I:$K, 2, FALSE())</f>
        <v>0.9</v>
      </c>
      <c r="BH293" s="0" t="n">
        <f aca="false">VLOOKUP($H293,Constants!$I:$K, 3, FALSE())*IF(AND(G293="multiple_unit",AB293&lt;110),0.75,1)</f>
        <v>1.2</v>
      </c>
      <c r="BI293" s="0" t="n">
        <f aca="false">INT(POWER(((Constants!$G$2+$BB293+$BC293+$BD293+$BF293)*$BE293)*$BH293, 1.05))+$BA293</f>
        <v>55</v>
      </c>
      <c r="BJ293" s="0" t="n">
        <f aca="false">INT(POWER((((Constants!$G$1+$BB293+$BC293+$BD293+$BF293)*($BE293))*$BG293),IF($G293="wagon",1,1.2)))+$AZ293</f>
        <v>67</v>
      </c>
      <c r="BK293" s="17" t="n">
        <f aca="false">BI293*IF($G293="wagon",62.5,781.25)</f>
        <v>42968.75</v>
      </c>
      <c r="BL293" s="17" t="n">
        <f aca="false">BJ293*IF($G293="wagon",2.73,81.25)</f>
        <v>5443.75</v>
      </c>
      <c r="BV293" s="0" t="n">
        <v>3</v>
      </c>
      <c r="BW293" s="0" t="n">
        <v>120</v>
      </c>
      <c r="BZ293" s="0" t="s">
        <v>148</v>
      </c>
      <c r="CA293" s="0" t="str">
        <f aca="false">VLOOKUP(J293,Eras!$A$2:$C$10, 2, TRUE())</f>
        <v>edw</v>
      </c>
      <c r="CB293" s="0" t="s">
        <v>1061</v>
      </c>
      <c r="CC293" s="0" t="str">
        <f aca="false">CONCATENATE(CA293,"_",CB293)</f>
        <v>edw_LU</v>
      </c>
      <c r="CD293" s="0" t="str">
        <f aca="false">_xlfn.CONCAT(H293, "_",I293)</f>
        <v>tube_FOURTH_RAIL</v>
      </c>
      <c r="CE293" s="6" t="str">
        <f aca="false" t="array" ref="CE293:CE293">_xlfn.CONCAT("{BLACK}Length: {GOLD}", TEXT(ROUNDUP(IF(AQ293&lt;&gt;"",SUM(VALUE(_xlfn.TEXTSPLIT(AQ293, ","))), SUM(VALUE(_xlfn.TEXTSPLIT(AN293, ",")))*IF(M293, M293, 1))/16, 1), "#,##0.0"), " tiles{}")</f>
        <v>{BLACK}Length: {GOLD}3.0 tiles{}</v>
      </c>
      <c r="CF293" s="0" t="str">
        <f aca="false">VLOOKUP($CD293, Constants!$M:$N, 2, FALSE())</f>
        <v>{BLACK}Powered by: {GOLD}630V DC</v>
      </c>
      <c r="CG293" s="0" t="str">
        <f aca="false">IF(M293&gt;1,_xlfn.CONCAT("{BLACK}Cars: {GOLD}", M293),"")</f>
        <v>{BLACK}Cars: {GOLD}6</v>
      </c>
      <c r="CH293" s="0" t="s">
        <v>1078</v>
      </c>
      <c r="CI293" s="0" t="str">
        <f aca="false">IF($BU293="!param_no_gameplay_units","{GREEN}Included for gameplay purposes","")</f>
        <v/>
      </c>
      <c r="CJ293" s="0" t="str">
        <f aca="false">IF(BX293="buffet","{YELLOW}25% long distance bonus for consist{}",IF(BZ293="BRAKE","{YELLOW}Speed bonus for slow wagons{}",IF(BW293&gt;190,CONCATENATE("{YELLOW}",INT((BW293-185)/1.85),"% bonus for long distance travel{}"),IF(AND(BW293&lt;180,BW293&lt;&gt;0),CONCATENATE("{YELLOW}",INT((185-BW293)/1.85),"% penalty for long distance travel{}"),""))))</f>
        <v>{YELLOW}35% penalty for long distance travel{}</v>
      </c>
      <c r="CK293" s="0" t="str">
        <f aca="false">_xlfn.CONCAT(CF293,IF(CF293&lt;&gt;""," ",""),CG293,IF(OR(CG293&lt;&gt;"",CF293&lt;&gt;""),"{}",""),CE293,CJ293,"{SILVER}",CH293,IF(CI293&lt;&gt;"","{}{}",""),CI293)</f>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4" customFormat="false" ht="14.25" hidden="false" customHeight="false" outlineLevel="0" collapsed="false">
      <c r="A294" s="0" t="s">
        <v>1079</v>
      </c>
      <c r="B294" s="15" t="s">
        <v>1080</v>
      </c>
      <c r="C294" s="0" t="n">
        <v>295</v>
      </c>
      <c r="E294" s="0" t="n">
        <v>198</v>
      </c>
      <c r="F294" s="0" t="s">
        <v>143</v>
      </c>
      <c r="G294" s="0" t="s">
        <v>827</v>
      </c>
      <c r="H294" s="0" t="s">
        <v>1060</v>
      </c>
      <c r="I294" s="0" t="s">
        <v>159</v>
      </c>
      <c r="J294" s="0" t="n">
        <v>1938</v>
      </c>
      <c r="L294" s="0" t="n">
        <v>2020</v>
      </c>
      <c r="M294" s="0" t="n">
        <v>7</v>
      </c>
      <c r="N294" s="0" t="n">
        <v>650</v>
      </c>
      <c r="W294" s="0" t="n">
        <v>161</v>
      </c>
      <c r="Y294" s="0" t="n">
        <v>10</v>
      </c>
      <c r="Z294" s="0" t="n">
        <v>130</v>
      </c>
      <c r="AA294" s="3" t="n">
        <f aca="false">IF(AND(W294&gt;0,Z294&gt;0),(Z294/((W294+X294)*10)),"")</f>
        <v>0.0807453416149068</v>
      </c>
      <c r="AB294" s="0" t="n">
        <v>45</v>
      </c>
      <c r="AC294" s="0" t="n">
        <f aca="false">ROUND(AB294*1.6, 0)</f>
        <v>72</v>
      </c>
      <c r="AF294" s="0" t="n">
        <v>15.8</v>
      </c>
      <c r="AG294" s="0" t="n">
        <v>15.8</v>
      </c>
      <c r="AH294" s="0" t="n">
        <v>2.59</v>
      </c>
      <c r="AI294" s="0" t="n">
        <v>2.883</v>
      </c>
      <c r="AJ294" s="4" t="n">
        <v>108</v>
      </c>
      <c r="AK294" s="0" t="str">
        <f aca="false">CONCATENATE(VLOOKUP(AL294, 'Voxel Sizes'!$A$2:$B$18,2,FALSE()),"x",INT(AH294*15), "x", INT(AI294*15))</f>
        <v>152x38x43</v>
      </c>
      <c r="AL294" s="0" t="n">
        <f aca="false">ROUND(15*((AG294*10)/256),0)</f>
        <v>9</v>
      </c>
      <c r="AN294" s="0" t="str">
        <f aca="false">CONCATENATE(VLOOKUP(AL294,Constants!$A$2:$C$16,IF(AM294&lt;&gt;"", 3, 2), FALSE()),IF(AM294&lt;&gt;"",CONCATENATE(",",VLOOKUP(AM294,$B:$AN,39,FALSE())),""))</f>
        <v>2,5,2</v>
      </c>
      <c r="AR294" s="0" t="s">
        <v>1081</v>
      </c>
      <c r="AT294" s="0" t="s">
        <v>1082</v>
      </c>
      <c r="AX294" s="0" t="n">
        <v>40</v>
      </c>
      <c r="AY294" s="16" t="n">
        <f aca="false">IF(L294&lt;&gt;"",MAX(16,(L294-J294)+8),"")</f>
        <v>90</v>
      </c>
      <c r="AZ294" s="0" t="n">
        <v>-25</v>
      </c>
      <c r="BB294" s="0" t="n">
        <f aca="false">MIN(AB294/150, 1)*30</f>
        <v>9</v>
      </c>
      <c r="BC294" s="0" t="n">
        <f aca="false">MIN(N294/4000, 1)*20</f>
        <v>3.25</v>
      </c>
      <c r="BD294" s="0" t="n">
        <f aca="false">MIN(Z294/400,1)*20</f>
        <v>6.5</v>
      </c>
      <c r="BE294" s="3" t="n">
        <f aca="false">1-(MAX(J294-1900, 0)/750)</f>
        <v>0.949333333333333</v>
      </c>
      <c r="BF294" s="0" t="n">
        <f aca="false">((MAX($M294,1)*MIN($AJ294/300,1)))*IF(G294="Wagon",50,10)</f>
        <v>25.2</v>
      </c>
      <c r="BG294" s="0" t="n">
        <f aca="false">VLOOKUP($H294,Constants!$I:$K, 2, FALSE())</f>
        <v>0.9</v>
      </c>
      <c r="BH294" s="0" t="n">
        <f aca="false">VLOOKUP($H294,Constants!$I:$K, 3, FALSE())*IF(AND(G294="multiple_unit",AB294&lt;110),0.75,1)</f>
        <v>1.2</v>
      </c>
      <c r="BI294" s="0" t="n">
        <f aca="false">INT(POWER(((Constants!$G$2+$BB294+$BC294+$BD294+$BF294)*$BE294)*$BH294, 1.05))+$BA294</f>
        <v>68</v>
      </c>
      <c r="BJ294" s="0" t="n">
        <f aca="false">INT(POWER((((Constants!$G$1+$BB294+$BC294+$BD294+$BF294)*($BE294))*$BG294),IF($G294="wagon",1,1.2)))+$AZ294</f>
        <v>85</v>
      </c>
      <c r="BK294" s="17" t="n">
        <f aca="false">BI294*IF($G294="wagon",62.5,781.25)</f>
        <v>53125</v>
      </c>
      <c r="BL294" s="17" t="n">
        <f aca="false">BJ294*IF($G294="wagon",2.73,81.25)</f>
        <v>6906.25</v>
      </c>
      <c r="BV294" s="0" t="n">
        <v>4</v>
      </c>
      <c r="BW294" s="0" t="n">
        <v>120</v>
      </c>
      <c r="BZ294" s="0" t="s">
        <v>148</v>
      </c>
      <c r="CA294" s="0" t="str">
        <f aca="false">VLOOKUP(J294,Eras!$A$2:$C$10, 2, TRUE())</f>
        <v>big4</v>
      </c>
      <c r="CB294" s="0" t="s">
        <v>1061</v>
      </c>
      <c r="CC294" s="0" t="str">
        <f aca="false">CONCATENATE(CA294,"_",CB294)</f>
        <v>big4_LU</v>
      </c>
      <c r="CD294" s="0" t="str">
        <f aca="false">_xlfn.CONCAT(H294, "_",I294)</f>
        <v>tube_FOURTH_RAIL</v>
      </c>
      <c r="CE294" s="6" t="str">
        <f aca="false" t="array" ref="CE294:CE294">_xlfn.CONCAT("{BLACK}Length: {GOLD}", TEXT(ROUNDUP(IF(AQ294&lt;&gt;"",SUM(VALUE(_xlfn.TEXTSPLIT(AQ294, ","))), SUM(VALUE(_xlfn.TEXTSPLIT(AN294, ",")))*IF(M294, M294, 1))/16, 1), "#,##0.0"), " tiles{}")</f>
        <v>{BLACK}Length: {GOLD}4.0 tiles{}</v>
      </c>
      <c r="CF294" s="0" t="str">
        <f aca="false">VLOOKUP($CD294, Constants!$M:$N, 2, FALSE())</f>
        <v>{BLACK}Powered by: {GOLD}630V DC</v>
      </c>
      <c r="CG294" s="0" t="str">
        <f aca="false">IF(M294&gt;1,_xlfn.CONCAT("{BLACK}Cars: {GOLD}", M294),"")</f>
        <v>{BLACK}Cars: {GOLD}7</v>
      </c>
      <c r="CH294" s="0" t="s">
        <v>1083</v>
      </c>
      <c r="CI294" s="0" t="str">
        <f aca="false">IF($BU294="!param_no_gameplay_units","{GREEN}Included for gameplay purposes","")</f>
        <v/>
      </c>
      <c r="CJ294" s="0" t="str">
        <f aca="false">IF(BX294="buffet","{YELLOW}25% long distance bonus for consist{}",IF(BZ294="BRAKE","{YELLOW}Speed bonus for slow wagons{}",IF(BW294&gt;190,CONCATENATE("{YELLOW}",INT((BW294-185)/1.85),"% bonus for long distance travel{}"),IF(AND(BW294&lt;180,BW294&lt;&gt;0),CONCATENATE("{YELLOW}",INT((185-BW294)/1.85),"% penalty for long distance travel{}"),""))))</f>
        <v>{YELLOW}35% penalty for long distance travel{}</v>
      </c>
      <c r="CK294" s="0" t="str">
        <f aca="false">_xlfn.CONCAT(CF294,IF(CF294&lt;&gt;""," ",""),CG294,IF(OR(CG294&lt;&gt;"",CF294&lt;&gt;""),"{}",""),CE294,CJ294,"{SILVER}",CH294,IF(CI294&lt;&gt;"","{}{}",""),CI294)</f>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5" customFormat="false" ht="14.25" hidden="false" customHeight="false" outlineLevel="0" collapsed="false">
      <c r="A295" s="0" t="s">
        <v>1084</v>
      </c>
      <c r="B295" s="15" t="s">
        <v>1085</v>
      </c>
      <c r="C295" s="0" t="n">
        <v>296</v>
      </c>
      <c r="E295" s="0" t="n">
        <v>199</v>
      </c>
      <c r="F295" s="0" t="s">
        <v>143</v>
      </c>
      <c r="G295" s="0" t="s">
        <v>827</v>
      </c>
      <c r="H295" s="0" t="s">
        <v>1060</v>
      </c>
      <c r="I295" s="0" t="s">
        <v>159</v>
      </c>
      <c r="J295" s="0" t="n">
        <v>1959</v>
      </c>
      <c r="L295" s="0" t="n">
        <v>2000</v>
      </c>
      <c r="M295" s="0" t="n">
        <v>7</v>
      </c>
      <c r="N295" s="0" t="n">
        <v>750</v>
      </c>
      <c r="W295" s="0" t="n">
        <v>167</v>
      </c>
      <c r="Y295" s="0" t="n">
        <v>10</v>
      </c>
      <c r="Z295" s="0" t="n">
        <v>135</v>
      </c>
      <c r="AA295" s="3" t="n">
        <f aca="false">IF(AND(W295&gt;0,Z295&gt;0),(Z295/((W295+X295)*10)),"")</f>
        <v>0.0808383233532934</v>
      </c>
      <c r="AB295" s="0" t="n">
        <v>45</v>
      </c>
      <c r="AC295" s="0" t="n">
        <f aca="false">ROUND(AB295*1.6, 0)</f>
        <v>72</v>
      </c>
      <c r="AF295" s="0" t="n">
        <v>15.9</v>
      </c>
      <c r="AG295" s="0" t="n">
        <v>15.9</v>
      </c>
      <c r="AH295" s="0" t="n">
        <v>2.59</v>
      </c>
      <c r="AI295" s="0" t="n">
        <v>2.883</v>
      </c>
      <c r="AJ295" s="4" t="n">
        <v>120</v>
      </c>
      <c r="AK295" s="0" t="str">
        <f aca="false">CONCATENATE(VLOOKUP(AL295, 'Voxel Sizes'!$A$2:$B$18,2,FALSE()),"x",INT(AH295*15), "x", INT(AI295*15))</f>
        <v>152x38x43</v>
      </c>
      <c r="AL295" s="0" t="n">
        <f aca="false">ROUND(15*((AG295*10)/256),0)</f>
        <v>9</v>
      </c>
      <c r="AN295" s="0" t="str">
        <f aca="false">CONCATENATE(VLOOKUP(AL295,Constants!$A$2:$C$16,IF(AM295&lt;&gt;"", 3, 2), FALSE()),IF(AM295&lt;&gt;"",CONCATENATE(",",VLOOKUP(AM295,$B:$AN,39,FALSE())),""))</f>
        <v>2,5,2</v>
      </c>
      <c r="AR295" s="0" t="s">
        <v>1086</v>
      </c>
      <c r="AT295" s="0" t="s">
        <v>1082</v>
      </c>
      <c r="AX295" s="0" t="n">
        <v>38</v>
      </c>
      <c r="AY295" s="16" t="n">
        <f aca="false">IF(L295&lt;&gt;"",MAX(16,(L295-J295)+8),"")</f>
        <v>49</v>
      </c>
      <c r="AZ295" s="0" t="n">
        <v>-25</v>
      </c>
      <c r="BA295" s="0" t="n">
        <v>-1</v>
      </c>
      <c r="BB295" s="0" t="n">
        <f aca="false">MIN(AB295/150, 1)*30</f>
        <v>9</v>
      </c>
      <c r="BC295" s="0" t="n">
        <f aca="false">MIN(N295/4000, 1)*20</f>
        <v>3.75</v>
      </c>
      <c r="BD295" s="0" t="n">
        <f aca="false">MIN(Z295/400,1)*20</f>
        <v>6.75</v>
      </c>
      <c r="BE295" s="3" t="n">
        <f aca="false">1-(MAX(J295-1900, 0)/750)</f>
        <v>0.921333333333333</v>
      </c>
      <c r="BF295" s="0" t="n">
        <f aca="false">((MAX($M295,1)*MIN($AJ295/300,1)))*IF(G295="Wagon",50,10)</f>
        <v>28</v>
      </c>
      <c r="BG295" s="0" t="n">
        <f aca="false">VLOOKUP($H295,Constants!$I:$K, 2, FALSE())</f>
        <v>0.9</v>
      </c>
      <c r="BH295" s="0" t="n">
        <f aca="false">VLOOKUP($H295,Constants!$I:$K, 3, FALSE())*IF(AND(G295="multiple_unit",AB295&lt;110),0.75,1)</f>
        <v>1.2</v>
      </c>
      <c r="BI295" s="0" t="n">
        <f aca="false">INT(POWER(((Constants!$G$2+$BB295+$BC295+$BD295+$BF295)*$BE295)*$BH295, 1.05))+$BA295</f>
        <v>70</v>
      </c>
      <c r="BJ295" s="0" t="n">
        <f aca="false">INT(POWER((((Constants!$G$1+$BB295+$BC295+$BD295+$BF295)*($BE295))*$BG295),IF($G295="wagon",1,1.2)))+$AZ295</f>
        <v>89</v>
      </c>
      <c r="BK295" s="17" t="n">
        <f aca="false">BI295*IF($G295="wagon",62.5,781.25)</f>
        <v>54687.5</v>
      </c>
      <c r="BL295" s="17" t="n">
        <f aca="false">BJ295*IF($G295="wagon",2.73,81.25)</f>
        <v>7231.25</v>
      </c>
      <c r="BV295" s="0" t="n">
        <v>5</v>
      </c>
      <c r="BW295" s="0" t="n">
        <v>120</v>
      </c>
      <c r="BZ295" s="0" t="s">
        <v>148</v>
      </c>
      <c r="CA295" s="0" t="str">
        <f aca="false">VLOOKUP(J295,Eras!$A$2:$C$10, 2, TRUE())</f>
        <v>dsl</v>
      </c>
      <c r="CB295" s="0" t="s">
        <v>1061</v>
      </c>
      <c r="CC295" s="0" t="str">
        <f aca="false">CONCATENATE(CA295,"_",CB295)</f>
        <v>dsl_LU</v>
      </c>
      <c r="CD295" s="0" t="str">
        <f aca="false">_xlfn.CONCAT(H295, "_",I295)</f>
        <v>tube_FOURTH_RAIL</v>
      </c>
      <c r="CE295" s="6" t="str">
        <f aca="false" t="array" ref="CE295:CE295">_xlfn.CONCAT("{BLACK}Length: {GOLD}", TEXT(ROUNDUP(IF(AQ295&lt;&gt;"",SUM(VALUE(_xlfn.TEXTSPLIT(AQ295, ","))), SUM(VALUE(_xlfn.TEXTSPLIT(AN295, ",")))*IF(M295, M295, 1))/16, 1), "#,##0.0"), " tiles{}")</f>
        <v>{BLACK}Length: {GOLD}4.0 tiles{}</v>
      </c>
      <c r="CF295" s="0" t="str">
        <f aca="false">VLOOKUP($CD295, Constants!$M:$N, 2, FALSE())</f>
        <v>{BLACK}Powered by: {GOLD}630V DC</v>
      </c>
      <c r="CG295" s="0" t="str">
        <f aca="false">IF(M295&gt;1,_xlfn.CONCAT("{BLACK}Cars: {GOLD}", M295),"")</f>
        <v>{BLACK}Cars: {GOLD}7</v>
      </c>
      <c r="CH295" s="0" t="s">
        <v>1087</v>
      </c>
      <c r="CI295" s="0" t="str">
        <f aca="false">IF($BU295="!param_no_gameplay_units","{GREEN}Included for gameplay purposes","")</f>
        <v/>
      </c>
      <c r="CJ295" s="0" t="str">
        <f aca="false">IF(BX295="buffet","{YELLOW}25% long distance bonus for consist{}",IF(BZ295="BRAKE","{YELLOW}Speed bonus for slow wagons{}",IF(BW295&gt;190,CONCATENATE("{YELLOW}",INT((BW295-185)/1.85),"% bonus for long distance travel{}"),IF(AND(BW295&lt;180,BW295&lt;&gt;0),CONCATENATE("{YELLOW}",INT((185-BW295)/1.85),"% penalty for long distance travel{}"),""))))</f>
        <v>{YELLOW}35% penalty for long distance travel{}</v>
      </c>
      <c r="CK295" s="0" t="str">
        <f aca="false">_xlfn.CONCAT(CF295,IF(CF295&lt;&gt;""," ",""),CG295,IF(OR(CG295&lt;&gt;"",CF295&lt;&gt;""),"{}",""),CE295,CJ295,"{SILVER}",CH295,IF(CI295&lt;&gt;"","{}{}",""),CI295)</f>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6" customFormat="false" ht="14.25" hidden="false" customHeight="false" outlineLevel="0" collapsed="false">
      <c r="A296" s="0" t="s">
        <v>1088</v>
      </c>
      <c r="B296" s="15" t="s">
        <v>1089</v>
      </c>
      <c r="C296" s="0" t="n">
        <v>297</v>
      </c>
      <c r="E296" s="0" t="n">
        <v>200</v>
      </c>
      <c r="F296" s="0" t="s">
        <v>143</v>
      </c>
      <c r="G296" s="0" t="s">
        <v>827</v>
      </c>
      <c r="H296" s="0" t="s">
        <v>1060</v>
      </c>
      <c r="I296" s="0" t="s">
        <v>159</v>
      </c>
      <c r="J296" s="0" t="n">
        <v>1960</v>
      </c>
      <c r="L296" s="0" t="n">
        <v>2012</v>
      </c>
      <c r="M296" s="0" t="n">
        <v>4</v>
      </c>
      <c r="N296" s="0" t="n">
        <v>450</v>
      </c>
      <c r="W296" s="0" t="n">
        <f aca="false">32+21+21+32</f>
        <v>106</v>
      </c>
      <c r="Y296" s="0" t="n">
        <v>10</v>
      </c>
      <c r="Z296" s="0" t="n">
        <v>80</v>
      </c>
      <c r="AA296" s="3" t="n">
        <f aca="false">IF(AND(W296&gt;0,Z296&gt;0),(Z296/((W296+X296)*10)),"")</f>
        <v>0.0754716981132075</v>
      </c>
      <c r="AB296" s="0" t="n">
        <v>70</v>
      </c>
      <c r="AC296" s="0" t="n">
        <f aca="false">ROUND(AB296*1.6, 0)</f>
        <v>112</v>
      </c>
      <c r="AF296" s="0" t="n">
        <v>16.2</v>
      </c>
      <c r="AG296" s="0" t="n">
        <v>16.2</v>
      </c>
      <c r="AH296" s="0" t="n">
        <v>2.94</v>
      </c>
      <c r="AI296" s="0" t="n">
        <v>3.68</v>
      </c>
      <c r="AJ296" s="4" t="n">
        <v>114</v>
      </c>
      <c r="AK296" s="0" t="str">
        <f aca="false">CONCATENATE(VLOOKUP(AL296, 'Voxel Sizes'!$A$2:$B$18,2,FALSE()),"x",INT(AH296*15), "x", INT(AI296*15))</f>
        <v>152x44x55</v>
      </c>
      <c r="AL296" s="0" t="n">
        <f aca="false">ROUND(15*((AG296*10)/256),0)</f>
        <v>9</v>
      </c>
      <c r="AN296" s="0" t="str">
        <f aca="false">CONCATENATE(VLOOKUP(AL296,Constants!$A$2:$C$16,IF(AM296&lt;&gt;"", 3, 2), FALSE()),IF(AM296&lt;&gt;"",CONCATENATE(",",VLOOKUP(AM296,$B:$AN,39,FALSE())),""))</f>
        <v>2,5,2</v>
      </c>
      <c r="AR296" s="0" t="s">
        <v>1090</v>
      </c>
      <c r="AT296" s="0" t="s">
        <v>855</v>
      </c>
      <c r="AX296" s="0" t="n">
        <v>39</v>
      </c>
      <c r="AY296" s="16" t="n">
        <f aca="false">IF(L296&lt;&gt;"",MAX(16,(L296-J296)+8),"")</f>
        <v>60</v>
      </c>
      <c r="AZ296" s="0" t="n">
        <v>-25</v>
      </c>
      <c r="BB296" s="0" t="n">
        <f aca="false">MIN(AB296/150, 1)*30</f>
        <v>14</v>
      </c>
      <c r="BC296" s="0" t="n">
        <f aca="false">MIN(N296/4000, 1)*20</f>
        <v>2.25</v>
      </c>
      <c r="BD296" s="0" t="n">
        <f aca="false">MIN(Z296/400,1)*20</f>
        <v>4</v>
      </c>
      <c r="BE296" s="3" t="n">
        <f aca="false">1-(MAX(J296-1900, 0)/750)</f>
        <v>0.92</v>
      </c>
      <c r="BF296" s="0" t="n">
        <f aca="false">((MAX($M296,1)*MIN($AJ296/300,1)))*IF(G296="Wagon",50,10)</f>
        <v>15.2</v>
      </c>
      <c r="BG296" s="0" t="n">
        <f aca="false">VLOOKUP($H296,Constants!$I:$K, 2, FALSE())</f>
        <v>0.9</v>
      </c>
      <c r="BH296" s="0" t="n">
        <f aca="false">VLOOKUP($H296,Constants!$I:$K, 3, FALSE())*IF(AND(G296="multiple_unit",AB296&lt;110),0.75,1)</f>
        <v>1.2</v>
      </c>
      <c r="BI296" s="0" t="n">
        <f aca="false">INT(POWER(((Constants!$G$2+$BB296+$BC296+$BD296+$BF296)*$BE296)*$BH296, 1.05))+$BA296</f>
        <v>53</v>
      </c>
      <c r="BJ296" s="0" t="n">
        <f aca="false">INT(POWER((((Constants!$G$1+$BB296+$BC296+$BD296+$BF296)*($BE296))*$BG296),IF($G296="wagon",1,1.2)))+$AZ296</f>
        <v>63</v>
      </c>
      <c r="BK296" s="17" t="n">
        <f aca="false">BI296*IF($G296="wagon",62.5,781.25)</f>
        <v>41406.25</v>
      </c>
      <c r="BL296" s="17" t="n">
        <f aca="false">BJ296*IF($G296="wagon",2.73,81.25)</f>
        <v>5118.75</v>
      </c>
      <c r="BV296" s="0" t="n">
        <v>6</v>
      </c>
      <c r="BW296" s="0" t="n">
        <v>120</v>
      </c>
      <c r="BZ296" s="0" t="s">
        <v>148</v>
      </c>
      <c r="CA296" s="0" t="str">
        <f aca="false">VLOOKUP(J296,Eras!$A$2:$C$10, 2, TRUE())</f>
        <v>dsl</v>
      </c>
      <c r="CB296" s="0" t="s">
        <v>1061</v>
      </c>
      <c r="CC296" s="0" t="str">
        <f aca="false">CONCATENATE(CA296,"_",CB296)</f>
        <v>dsl_LU</v>
      </c>
      <c r="CD296" s="0" t="str">
        <f aca="false">_xlfn.CONCAT(H296, "_",I296)</f>
        <v>tube_FOURTH_RAIL</v>
      </c>
      <c r="CE296" s="6" t="str">
        <f aca="false" t="array" ref="CE296:CE296">_xlfn.CONCAT("{BLACK}Length: {GOLD}", TEXT(ROUNDUP(IF(AQ296&lt;&gt;"",SUM(VALUE(_xlfn.TEXTSPLIT(AQ296, ","))), SUM(VALUE(_xlfn.TEXTSPLIT(AN296, ",")))*IF(M296, M296, 1))/16, 1), "#,##0.0"), " tiles{}")</f>
        <v>{BLACK}Length: {GOLD}2.3 tiles{}</v>
      </c>
      <c r="CF296" s="0" t="str">
        <f aca="false">VLOOKUP($CD296, Constants!$M:$N, 2, FALSE())</f>
        <v>{BLACK}Powered by: {GOLD}630V DC</v>
      </c>
      <c r="CG296" s="0" t="str">
        <f aca="false">IF(M296&gt;1,_xlfn.CONCAT("{BLACK}Cars: {GOLD}", M296),"")</f>
        <v>{BLACK}Cars: {GOLD}4</v>
      </c>
      <c r="CH296" s="0" t="s">
        <v>1091</v>
      </c>
      <c r="CI296" s="0" t="str">
        <f aca="false">IF($BU296="!param_no_gameplay_units","{GREEN}Included for gameplay purposes","")</f>
        <v/>
      </c>
      <c r="CJ296" s="0" t="str">
        <f aca="false">IF(BX296="buffet","{YELLOW}25% long distance bonus for consist{}",IF(BZ296="BRAKE","{YELLOW}Speed bonus for slow wagons{}",IF(BW296&gt;190,CONCATENATE("{YELLOW}",INT((BW296-185)/1.85),"% bonus for long distance travel{}"),IF(AND(BW296&lt;180,BW296&lt;&gt;0),CONCATENATE("{YELLOW}",INT((185-BW296)/1.85),"% penalty for long distance travel{}"),""))))</f>
        <v>{YELLOW}35% penalty for long distance travel{}</v>
      </c>
      <c r="CK296" s="0" t="str">
        <f aca="false">_xlfn.CONCAT(CF296,IF(CF296&lt;&gt;""," ",""),CG296,IF(OR(CG296&lt;&gt;"",CF296&lt;&gt;""),"{}",""),CE296,CJ296,"{SILVER}",CH296,IF(CI296&lt;&gt;"","{}{}",""),CI296)</f>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7" customFormat="false" ht="14.25" hidden="false" customHeight="false" outlineLevel="0" collapsed="false">
      <c r="A297" s="0" t="s">
        <v>1092</v>
      </c>
      <c r="B297" s="15" t="s">
        <v>1093</v>
      </c>
      <c r="C297" s="0" t="n">
        <v>298</v>
      </c>
      <c r="E297" s="0" t="n">
        <v>201</v>
      </c>
      <c r="F297" s="0" t="s">
        <v>143</v>
      </c>
      <c r="G297" s="0" t="s">
        <v>827</v>
      </c>
      <c r="H297" s="0" t="s">
        <v>1060</v>
      </c>
      <c r="I297" s="0" t="s">
        <v>159</v>
      </c>
      <c r="J297" s="0" t="n">
        <v>1967</v>
      </c>
      <c r="L297" s="0" t="n">
        <v>2011</v>
      </c>
      <c r="M297" s="0" t="n">
        <v>4</v>
      </c>
      <c r="N297" s="0" t="n">
        <v>500</v>
      </c>
      <c r="W297" s="0" t="n">
        <f aca="false">28.5+28.5+19.4+19.4</f>
        <v>95.8</v>
      </c>
      <c r="Y297" s="0" t="n">
        <v>10</v>
      </c>
      <c r="Z297" s="0" t="n">
        <v>70</v>
      </c>
      <c r="AA297" s="3" t="n">
        <f aca="false">IF(AND(W297&gt;0,Z297&gt;0),(Z297/((W297+X297)*10)),"")</f>
        <v>0.0730688935281837</v>
      </c>
      <c r="AB297" s="0" t="n">
        <v>45</v>
      </c>
      <c r="AC297" s="0" t="n">
        <f aca="false">ROUND(AB297*1.6, 0)</f>
        <v>72</v>
      </c>
      <c r="AF297" s="0" t="n">
        <v>16</v>
      </c>
      <c r="AG297" s="0" t="n">
        <v>16</v>
      </c>
      <c r="AH297" s="0" t="n">
        <v>2.642</v>
      </c>
      <c r="AI297" s="0" t="n">
        <v>2.877</v>
      </c>
      <c r="AJ297" s="4" t="n">
        <v>120</v>
      </c>
      <c r="AK297" s="0" t="str">
        <f aca="false">CONCATENATE(VLOOKUP(AL297, 'Voxel Sizes'!$A$2:$B$18,2,FALSE()),"x",INT(AH297*15), "x", INT(AI297*15))</f>
        <v>152x39x43</v>
      </c>
      <c r="AL297" s="0" t="n">
        <f aca="false">ROUND(15*((AG297*10)/256),0)</f>
        <v>9</v>
      </c>
      <c r="AN297" s="0" t="str">
        <f aca="false">CONCATENATE(VLOOKUP(AL297,Constants!$A$2:$C$16,IF(AM297&lt;&gt;"", 3, 2), FALSE()),IF(AM297&lt;&gt;"",CONCATENATE(",",VLOOKUP(AM297,$B:$AN,39,FALSE())),""))</f>
        <v>2,5,2</v>
      </c>
      <c r="AR297" s="0" t="s">
        <v>1094</v>
      </c>
      <c r="AT297" s="0" t="s">
        <v>855</v>
      </c>
      <c r="AX297" s="0" t="n">
        <v>36</v>
      </c>
      <c r="AY297" s="16" t="n">
        <f aca="false">IF(L297&lt;&gt;"",MAX(16,(L297-J297)+8),"")</f>
        <v>52</v>
      </c>
      <c r="AZ297" s="0" t="n">
        <v>-23</v>
      </c>
      <c r="BA297" s="0" t="n">
        <v>2</v>
      </c>
      <c r="BB297" s="0" t="n">
        <f aca="false">MIN(AB297/150, 1)*30</f>
        <v>9</v>
      </c>
      <c r="BC297" s="0" t="n">
        <f aca="false">MIN(N297/4000, 1)*20</f>
        <v>2.5</v>
      </c>
      <c r="BD297" s="0" t="n">
        <f aca="false">MIN(Z297/400,1)*20</f>
        <v>3.5</v>
      </c>
      <c r="BE297" s="3" t="n">
        <f aca="false">1-(MAX(J297-1900, 0)/750)</f>
        <v>0.910666666666667</v>
      </c>
      <c r="BF297" s="0" t="n">
        <f aca="false">((MAX($M297,1)*MIN($AJ297/300,1)))*IF(G297="Wagon",50,10)</f>
        <v>16</v>
      </c>
      <c r="BG297" s="0" t="n">
        <f aca="false">VLOOKUP($H297,Constants!$I:$K, 2, FALSE())</f>
        <v>0.9</v>
      </c>
      <c r="BH297" s="0" t="n">
        <f aca="false">VLOOKUP($H297,Constants!$I:$K, 3, FALSE())*IF(AND(G297="multiple_unit",AB297&lt;110),0.75,1)</f>
        <v>1.2</v>
      </c>
      <c r="BI297" s="0" t="n">
        <f aca="false">INT(POWER(((Constants!$G$2+$BB297+$BC297+$BD297+$BF297)*$BE297)*$BH297, 1.05))+$BA297</f>
        <v>49</v>
      </c>
      <c r="BJ297" s="0" t="n">
        <f aca="false">INT(POWER((((Constants!$G$1+$BB297+$BC297+$BD297+$BF297)*($BE297))*$BG297),IF($G297="wagon",1,1.2)))+$AZ297</f>
        <v>54</v>
      </c>
      <c r="BK297" s="17" t="n">
        <f aca="false">BI297*IF($G297="wagon",62.5,781.25)</f>
        <v>38281.25</v>
      </c>
      <c r="BL297" s="17" t="n">
        <f aca="false">BJ297*IF($G297="wagon",2.73,81.25)</f>
        <v>4387.5</v>
      </c>
      <c r="BV297" s="0" t="n">
        <v>7</v>
      </c>
      <c r="BW297" s="0" t="n">
        <v>120</v>
      </c>
      <c r="BZ297" s="0" t="s">
        <v>148</v>
      </c>
      <c r="CA297" s="0" t="str">
        <f aca="false">VLOOKUP(J297,Eras!$A$2:$C$10, 2, TRUE())</f>
        <v>dsl</v>
      </c>
      <c r="CB297" s="0" t="s">
        <v>1061</v>
      </c>
      <c r="CC297" s="0" t="str">
        <f aca="false">CONCATENATE(CA297,"_",CB297)</f>
        <v>dsl_LU</v>
      </c>
      <c r="CD297" s="0" t="str">
        <f aca="false">_xlfn.CONCAT(H297, "_",I297)</f>
        <v>tube_FOURTH_RAIL</v>
      </c>
      <c r="CE297" s="6" t="str">
        <f aca="false" t="array" ref="CE297:CE297">_xlfn.CONCAT("{BLACK}Length: {GOLD}", TEXT(ROUNDUP(IF(AQ297&lt;&gt;"",SUM(VALUE(_xlfn.TEXTSPLIT(AQ297, ","))), SUM(VALUE(_xlfn.TEXTSPLIT(AN297, ",")))*IF(M297, M297, 1))/16, 1), "#,##0.0"), " tiles{}")</f>
        <v>{BLACK}Length: {GOLD}2.3 tiles{}</v>
      </c>
      <c r="CF297" s="0" t="str">
        <f aca="false">VLOOKUP($CD297, Constants!$M:$N, 2, FALSE())</f>
        <v>{BLACK}Powered by: {GOLD}630V DC</v>
      </c>
      <c r="CG297" s="0" t="str">
        <f aca="false">IF(M297&gt;1,_xlfn.CONCAT("{BLACK}Cars: {GOLD}", M297),"")</f>
        <v>{BLACK}Cars: {GOLD}4</v>
      </c>
      <c r="CH297" s="0" t="s">
        <v>1095</v>
      </c>
      <c r="CI297" s="0" t="str">
        <f aca="false">IF($BU297="!param_no_gameplay_units","{GREEN}Included for gameplay purposes","")</f>
        <v/>
      </c>
      <c r="CJ297" s="0" t="str">
        <f aca="false">IF(BX297="buffet","{YELLOW}25% long distance bonus for consist{}",IF(BZ297="BRAKE","{YELLOW}Speed bonus for slow wagons{}",IF(BW297&gt;190,CONCATENATE("{YELLOW}",INT((BW297-185)/1.85),"% bonus for long distance travel{}"),IF(AND(BW297&lt;180,BW297&lt;&gt;0),CONCATENATE("{YELLOW}",INT((185-BW297)/1.85),"% penalty for long distance travel{}"),""))))</f>
        <v>{YELLOW}35% penalty for long distance travel{}</v>
      </c>
      <c r="CK297" s="0" t="str">
        <f aca="false">_xlfn.CONCAT(CF297,IF(CF297&lt;&gt;""," ",""),CG297,IF(OR(CG297&lt;&gt;"",CF297&lt;&gt;""),"{}",""),CE297,CJ297,"{SILVER}",CH297,IF(CI297&lt;&gt;"","{}{}",""),CI297)</f>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8" customFormat="false" ht="14.25" hidden="false" customHeight="false" outlineLevel="0" collapsed="false">
      <c r="A298" s="0" t="s">
        <v>1096</v>
      </c>
      <c r="B298" s="15" t="s">
        <v>1097</v>
      </c>
      <c r="C298" s="0" t="n">
        <v>299</v>
      </c>
      <c r="E298" s="0" t="n">
        <v>202</v>
      </c>
      <c r="F298" s="0" t="s">
        <v>143</v>
      </c>
      <c r="G298" s="0" t="s">
        <v>827</v>
      </c>
      <c r="H298" s="0" t="s">
        <v>1060</v>
      </c>
      <c r="I298" s="0" t="s">
        <v>159</v>
      </c>
      <c r="J298" s="0" t="n">
        <v>1970</v>
      </c>
      <c r="L298" s="0" t="n">
        <v>2014</v>
      </c>
      <c r="M298" s="0" t="n">
        <v>2</v>
      </c>
      <c r="N298" s="0" t="n">
        <v>580</v>
      </c>
      <c r="W298" s="0" t="n">
        <f aca="false">31+20</f>
        <v>51</v>
      </c>
      <c r="Y298" s="0" t="n">
        <v>10</v>
      </c>
      <c r="Z298" s="0" t="n">
        <v>40</v>
      </c>
      <c r="AA298" s="3" t="n">
        <f aca="false">IF(AND(W298&gt;0,Z298&gt;0),(Z298/((W298+X298)*10)),"")</f>
        <v>0.0784313725490196</v>
      </c>
      <c r="AB298" s="0" t="n">
        <v>45</v>
      </c>
      <c r="AC298" s="0" t="n">
        <f aca="false">ROUND(AB298*1.6, 0)</f>
        <v>72</v>
      </c>
      <c r="AF298" s="0" t="n">
        <v>16</v>
      </c>
      <c r="AG298" s="0" t="n">
        <v>16</v>
      </c>
      <c r="AH298" s="0" t="n">
        <v>2.92</v>
      </c>
      <c r="AI298" s="0" t="n">
        <v>3.68</v>
      </c>
      <c r="AJ298" s="4" t="n">
        <v>135</v>
      </c>
      <c r="AK298" s="0" t="str">
        <f aca="false">CONCATENATE(VLOOKUP(AL298, 'Voxel Sizes'!$A$2:$B$18,2,FALSE()),"x",INT(AH298*15), "x", INT(AI298*15))</f>
        <v>152x43x55</v>
      </c>
      <c r="AL298" s="0" t="n">
        <f aca="false">ROUND(15*((AG298*10)/256),0)</f>
        <v>9</v>
      </c>
      <c r="AN298" s="0" t="str">
        <f aca="false">CONCATENATE(VLOOKUP(AL298,Constants!$A$2:$C$16,IF(AM298&lt;&gt;"", 3, 2), FALSE()),IF(AM298&lt;&gt;"",CONCATENATE(",",VLOOKUP(AM298,$B:$AN,39,FALSE())),""))</f>
        <v>2,5,2</v>
      </c>
      <c r="AR298" s="0" t="s">
        <v>1098</v>
      </c>
      <c r="AT298" s="0" t="s">
        <v>833</v>
      </c>
      <c r="AX298" s="0" t="n">
        <v>38</v>
      </c>
      <c r="AY298" s="16" t="n">
        <f aca="false">IF(L298&lt;&gt;"",MAX(16,(L298-J298)+8),"")</f>
        <v>52</v>
      </c>
      <c r="AZ298" s="0" t="n">
        <v>-25</v>
      </c>
      <c r="BB298" s="0" t="n">
        <f aca="false">MIN(AB298/150, 1)*30</f>
        <v>9</v>
      </c>
      <c r="BC298" s="0" t="n">
        <f aca="false">MIN(N298/4000, 1)*20</f>
        <v>2.9</v>
      </c>
      <c r="BD298" s="0" t="n">
        <f aca="false">MIN(Z298/400,1)*20</f>
        <v>2</v>
      </c>
      <c r="BE298" s="3" t="n">
        <f aca="false">1-(MAX(J298-1900, 0)/750)</f>
        <v>0.906666666666667</v>
      </c>
      <c r="BF298" s="0" t="n">
        <f aca="false">((MAX($M298,1)*MIN($AJ298/300,1)))*IF(G298="Wagon",50,10)</f>
        <v>9</v>
      </c>
      <c r="BG298" s="0" t="n">
        <f aca="false">VLOOKUP($H298,Constants!$I:$K, 2, FALSE())</f>
        <v>0.9</v>
      </c>
      <c r="BH298" s="0" t="n">
        <f aca="false">VLOOKUP($H298,Constants!$I:$K, 3, FALSE())*IF(AND(G298="multiple_unit",AB298&lt;110),0.75,1)</f>
        <v>1.2</v>
      </c>
      <c r="BI298" s="0" t="n">
        <f aca="false">INT(POWER(((Constants!$G$2+$BB298+$BC298+$BD298+$BF298)*$BE298)*$BH298, 1.05))+$BA298</f>
        <v>36</v>
      </c>
      <c r="BJ298" s="0" t="n">
        <f aca="false">INT(POWER((((Constants!$G$1+$BB298+$BC298+$BD298+$BF298)*($BE298))*$BG298),IF($G298="wagon",1,1.2)))+$AZ298</f>
        <v>36</v>
      </c>
      <c r="BK298" s="17" t="n">
        <f aca="false">BI298*IF($G298="wagon",62.5,781.25)</f>
        <v>28125</v>
      </c>
      <c r="BL298" s="17" t="n">
        <f aca="false">BJ298*IF($G298="wagon",2.73,81.25)</f>
        <v>2925</v>
      </c>
      <c r="BV298" s="0" t="n">
        <v>8</v>
      </c>
      <c r="BW298" s="0" t="n">
        <v>120</v>
      </c>
      <c r="BZ298" s="0" t="s">
        <v>148</v>
      </c>
      <c r="CA298" s="0" t="str">
        <f aca="false">VLOOKUP(J298,Eras!$A$2:$C$10, 2, TRUE())</f>
        <v>lbr</v>
      </c>
      <c r="CB298" s="0" t="s">
        <v>1061</v>
      </c>
      <c r="CC298" s="0" t="str">
        <f aca="false">CONCATENATE(CA298,"_",CB298)</f>
        <v>lbr_LU</v>
      </c>
      <c r="CD298" s="0" t="str">
        <f aca="false">_xlfn.CONCAT(H298, "_",I298)</f>
        <v>tube_FOURTH_RAIL</v>
      </c>
      <c r="CE298" s="6" t="str">
        <f aca="false" t="array" ref="CE298:CE298">_xlfn.CONCAT("{BLACK}Length: {GOLD}", TEXT(ROUNDUP(IF(AQ298&lt;&gt;"",SUM(VALUE(_xlfn.TEXTSPLIT(AQ298, ","))), SUM(VALUE(_xlfn.TEXTSPLIT(AN298, ",")))*IF(M298, M298, 1))/16, 1), "#,##0.0"), " tiles{}")</f>
        <v>{BLACK}Length: {GOLD}1.2 tiles{}</v>
      </c>
      <c r="CF298" s="0" t="str">
        <f aca="false">VLOOKUP($CD298, Constants!$M:$N, 2, FALSE())</f>
        <v>{BLACK}Powered by: {GOLD}630V DC</v>
      </c>
      <c r="CG298" s="0" t="str">
        <f aca="false">IF(M298&gt;1,_xlfn.CONCAT("{BLACK}Cars: {GOLD}", M298),"")</f>
        <v>{BLACK}Cars: {GOLD}2</v>
      </c>
      <c r="CH298" s="0" t="s">
        <v>1099</v>
      </c>
      <c r="CI298" s="0" t="str">
        <f aca="false">IF($BU298="!param_no_gameplay_units","{GREEN}Included for gameplay purposes","")</f>
        <v/>
      </c>
      <c r="CJ298" s="0" t="str">
        <f aca="false">IF(BX298="buffet","{YELLOW}25% long distance bonus for consist{}",IF(BZ298="BRAKE","{YELLOW}Speed bonus for slow wagons{}",IF(BW298&gt;190,CONCATENATE("{YELLOW}",INT((BW298-185)/1.85),"% bonus for long distance travel{}"),IF(AND(BW298&lt;180,BW298&lt;&gt;0),CONCATENATE("{YELLOW}",INT((185-BW298)/1.85),"% penalty for long distance travel{}"),""))))</f>
        <v>{YELLOW}35% penalty for long distance travel{}</v>
      </c>
      <c r="CK298" s="0" t="str">
        <f aca="false">_xlfn.CONCAT(CF298,IF(CF298&lt;&gt;""," ",""),CG298,IF(OR(CG298&lt;&gt;"",CF298&lt;&gt;""),"{}",""),CE298,CJ298,"{SILVER}",CH298,IF(CI298&lt;&gt;"","{}{}",""),CI298)</f>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9" customFormat="false" ht="14.25" hidden="false" customHeight="false" outlineLevel="0" collapsed="false">
      <c r="A299" s="0" t="s">
        <v>1100</v>
      </c>
      <c r="B299" s="15" t="s">
        <v>1101</v>
      </c>
      <c r="C299" s="0" t="n">
        <v>300</v>
      </c>
      <c r="E299" s="0" t="n">
        <v>203</v>
      </c>
      <c r="F299" s="0" t="s">
        <v>143</v>
      </c>
      <c r="G299" s="0" t="s">
        <v>827</v>
      </c>
      <c r="H299" s="0" t="s">
        <v>1060</v>
      </c>
      <c r="I299" s="0" t="s">
        <v>159</v>
      </c>
      <c r="J299" s="0" t="n">
        <v>1975</v>
      </c>
      <c r="M299" s="0" t="n">
        <v>3</v>
      </c>
      <c r="N299" s="0" t="n">
        <v>930</v>
      </c>
      <c r="W299" s="0" t="n">
        <f aca="false">27+26+18</f>
        <v>71</v>
      </c>
      <c r="Y299" s="0" t="n">
        <v>10</v>
      </c>
      <c r="Z299" s="0" t="n">
        <v>55</v>
      </c>
      <c r="AA299" s="3" t="n">
        <f aca="false">IF(AND(W299&gt;0,Z299&gt;0),(Z299/((W299+X299)*10)),"")</f>
        <v>0.0774647887323944</v>
      </c>
      <c r="AB299" s="0" t="n">
        <v>45</v>
      </c>
      <c r="AC299" s="0" t="n">
        <f aca="false">ROUND(AB299*1.6, 0)</f>
        <v>72</v>
      </c>
      <c r="AF299" s="0" t="n">
        <v>17.47</v>
      </c>
      <c r="AG299" s="0" t="n">
        <v>17</v>
      </c>
      <c r="AH299" s="0" t="n">
        <v>2.62</v>
      </c>
      <c r="AI299" s="0" t="n">
        <v>2.88</v>
      </c>
      <c r="AJ299" s="4" t="n">
        <v>114</v>
      </c>
      <c r="AK299" s="0" t="str">
        <f aca="false">CONCATENATE(VLOOKUP(AL299, 'Voxel Sizes'!$A$2:$B$18,2,FALSE()),"x",INT(AH299*15), "x", INT(AI299*15))</f>
        <v>164x39x43</v>
      </c>
      <c r="AL299" s="0" t="n">
        <f aca="false">ROUND(15*((AG299*10)/256),0)</f>
        <v>10</v>
      </c>
      <c r="AN299" s="0" t="str">
        <f aca="false">CONCATENATE(VLOOKUP(AL299,Constants!$A$2:$C$16,IF(AM299&lt;&gt;"", 3, 2), FALSE()),IF(AM299&lt;&gt;"",CONCATENATE(",",VLOOKUP(AM299,$B:$AN,39,FALSE())),""))</f>
        <v>4,2,4</v>
      </c>
      <c r="AR299" s="0" t="s">
        <v>1102</v>
      </c>
      <c r="AT299" s="0" t="s">
        <v>864</v>
      </c>
      <c r="AX299" s="0" t="n">
        <v>39</v>
      </c>
      <c r="AY299" s="16" t="str">
        <f aca="false">IF(L299&lt;&gt;"",MAX(16,(L299-J299)+8),"")</f>
        <v/>
      </c>
      <c r="AZ299" s="0" t="n">
        <v>-25</v>
      </c>
      <c r="BB299" s="0" t="n">
        <f aca="false">MIN(AB299/150, 1)*30</f>
        <v>9</v>
      </c>
      <c r="BC299" s="0" t="n">
        <f aca="false">MIN(N299/4000, 1)*20</f>
        <v>4.65</v>
      </c>
      <c r="BD299" s="0" t="n">
        <f aca="false">MIN(Z299/400,1)*20</f>
        <v>2.75</v>
      </c>
      <c r="BE299" s="3" t="n">
        <f aca="false">1-(MAX(J299-1900, 0)/750)</f>
        <v>0.9</v>
      </c>
      <c r="BF299" s="0" t="n">
        <f aca="false">((MAX($M299,1)*MIN($AJ299/300,1)))*IF(G299="Wagon",50,10)</f>
        <v>11.4</v>
      </c>
      <c r="BG299" s="0" t="n">
        <f aca="false">VLOOKUP($H299,Constants!$I:$K, 2, FALSE())</f>
        <v>0.9</v>
      </c>
      <c r="BH299" s="0" t="n">
        <f aca="false">VLOOKUP($H299,Constants!$I:$K, 3, FALSE())*IF(AND(G299="multiple_unit",AB299&lt;110),0.75,1)</f>
        <v>1.2</v>
      </c>
      <c r="BI299" s="0" t="n">
        <f aca="false">INT(POWER(((Constants!$G$2+$BB299+$BC299+$BD299+$BF299)*$BE299)*$BH299, 1.05))+$BA299</f>
        <v>42</v>
      </c>
      <c r="BJ299" s="0" t="n">
        <f aca="false">INT(POWER((((Constants!$G$1+$BB299+$BC299+$BD299+$BF299)*($BE299))*$BG299),IF($G299="wagon",1,1.2)))+$AZ299</f>
        <v>45</v>
      </c>
      <c r="BK299" s="17" t="n">
        <f aca="false">BI299*IF($G299="wagon",62.5,781.25)</f>
        <v>32812.5</v>
      </c>
      <c r="BL299" s="17" t="n">
        <f aca="false">BJ299*IF($G299="wagon",2.73,81.25)</f>
        <v>3656.25</v>
      </c>
      <c r="BV299" s="0" t="n">
        <v>9</v>
      </c>
      <c r="BW299" s="0" t="n">
        <v>120</v>
      </c>
      <c r="BZ299" s="0" t="s">
        <v>148</v>
      </c>
      <c r="CA299" s="0" t="str">
        <f aca="false">VLOOKUP(J299,Eras!$A$2:$C$10, 2, TRUE())</f>
        <v>lbr</v>
      </c>
      <c r="CB299" s="0" t="s">
        <v>1061</v>
      </c>
      <c r="CC299" s="0" t="str">
        <f aca="false">CONCATENATE(CA299,"_",CB299)</f>
        <v>lbr_LU</v>
      </c>
      <c r="CD299" s="0" t="str">
        <f aca="false">_xlfn.CONCAT(H299, "_",I299)</f>
        <v>tube_FOURTH_RAIL</v>
      </c>
      <c r="CE299" s="6" t="str">
        <f aca="false" t="array" ref="CE299:CE299">_xlfn.CONCAT("{BLACK}Length: {GOLD}", TEXT(ROUNDUP(IF(AQ299&lt;&gt;"",SUM(VALUE(_xlfn.TEXTSPLIT(AQ299, ","))), SUM(VALUE(_xlfn.TEXTSPLIT(AN299, ",")))*IF(M299, M299, 1))/16, 1), "#,##0.0"), " tiles{}")</f>
        <v>{BLACK}Length: {GOLD}1.9 tiles{}</v>
      </c>
      <c r="CF299" s="0" t="str">
        <f aca="false">VLOOKUP($CD299, Constants!$M:$N, 2, FALSE())</f>
        <v>{BLACK}Powered by: {GOLD}630V DC</v>
      </c>
      <c r="CG299" s="0" t="str">
        <f aca="false">IF(M299&gt;1,_xlfn.CONCAT("{BLACK}Cars: {GOLD}", M299),"")</f>
        <v>{BLACK}Cars: {GOLD}3</v>
      </c>
      <c r="CH299" s="0" t="s">
        <v>1103</v>
      </c>
      <c r="CI299" s="0" t="str">
        <f aca="false">IF($BU299="!param_no_gameplay_units","{GREEN}Included for gameplay purposes","")</f>
        <v/>
      </c>
      <c r="CJ299" s="0" t="str">
        <f aca="false">IF(BX299="buffet","{YELLOW}25% long distance bonus for consist{}",IF(BZ299="BRAKE","{YELLOW}Speed bonus for slow wagons{}",IF(BW299&gt;190,CONCATENATE("{YELLOW}",INT((BW299-185)/1.85),"% bonus for long distance travel{}"),IF(AND(BW299&lt;180,BW299&lt;&gt;0),CONCATENATE("{YELLOW}",INT((185-BW299)/1.85),"% penalty for long distance travel{}"),""))))</f>
        <v>{YELLOW}35% penalty for long distance travel{}</v>
      </c>
      <c r="CK299" s="0" t="str">
        <f aca="false">_xlfn.CONCAT(CF299,IF(CF299&lt;&gt;""," ",""),CG299,IF(OR(CG299&lt;&gt;"",CF299&lt;&gt;""),"{}",""),CE299,CJ299,"{SILVER}",CH299,IF(CI299&lt;&gt;"","{}{}",""),CI299)</f>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0" customFormat="false" ht="14.25" hidden="false" customHeight="false" outlineLevel="0" collapsed="false">
      <c r="A300" s="0" t="s">
        <v>1104</v>
      </c>
      <c r="B300" s="15" t="s">
        <v>1105</v>
      </c>
      <c r="C300" s="0" t="n">
        <v>301</v>
      </c>
      <c r="E300" s="0" t="n">
        <v>204</v>
      </c>
      <c r="F300" s="0" t="s">
        <v>143</v>
      </c>
      <c r="G300" s="0" t="s">
        <v>827</v>
      </c>
      <c r="H300" s="0" t="s">
        <v>1060</v>
      </c>
      <c r="I300" s="0" t="s">
        <v>159</v>
      </c>
      <c r="J300" s="0" t="n">
        <v>1975</v>
      </c>
      <c r="M300" s="0" t="n">
        <v>3</v>
      </c>
      <c r="N300" s="0" t="n">
        <v>930</v>
      </c>
      <c r="W300" s="0" t="n">
        <f aca="false">27+26+18</f>
        <v>71</v>
      </c>
      <c r="Y300" s="0" t="n">
        <v>10</v>
      </c>
      <c r="Z300" s="0" t="n">
        <v>55</v>
      </c>
      <c r="AA300" s="3" t="n">
        <f aca="false">IF(AND(W300&gt;0,Z300&gt;0),(Z300/((W300+X300)*10)),"")</f>
        <v>0.0774647887323944</v>
      </c>
      <c r="AB300" s="0" t="n">
        <v>45</v>
      </c>
      <c r="AC300" s="0" t="n">
        <f aca="false">ROUND(AB300*1.6, 0)</f>
        <v>72</v>
      </c>
      <c r="AF300" s="0" t="n">
        <v>17.47</v>
      </c>
      <c r="AG300" s="0" t="n">
        <v>17</v>
      </c>
      <c r="AH300" s="0" t="n">
        <v>2.62</v>
      </c>
      <c r="AI300" s="0" t="n">
        <v>2.88</v>
      </c>
      <c r="AK300" s="0" t="str">
        <f aca="false">CONCATENATE(VLOOKUP(AL300, 'Voxel Sizes'!$A$2:$B$18,2,FALSE()),"x",INT(AH300*15), "x", INT(AI300*15))</f>
        <v>164x39x43</v>
      </c>
      <c r="AL300" s="0" t="n">
        <f aca="false">ROUND(15*((AG300*10)/256),0)</f>
        <v>10</v>
      </c>
      <c r="AN300" s="0" t="str">
        <f aca="false">CONCATENATE(VLOOKUP(AL300,Constants!$A$2:$C$16,IF(AM300&lt;&gt;"", 3, 2), FALSE()),IF(AM300&lt;&gt;"",CONCATENATE(",",VLOOKUP(AM300,$B:$AN,39,FALSE())),""))</f>
        <v>4,2,4</v>
      </c>
      <c r="AR300" s="0" t="s">
        <v>1102</v>
      </c>
      <c r="AT300" s="0" t="s">
        <v>1106</v>
      </c>
      <c r="AU300" s="0" t="s">
        <v>1101</v>
      </c>
      <c r="AX300" s="0" t="n">
        <v>39</v>
      </c>
      <c r="AY300" s="16" t="str">
        <f aca="false">IF(L300&lt;&gt;"",MAX(16,(L300-J300)+8),"")</f>
        <v/>
      </c>
      <c r="AZ300" s="0" t="n">
        <v>-25</v>
      </c>
      <c r="BB300" s="0" t="n">
        <f aca="false">MIN(AB300/150, 1)*30</f>
        <v>9</v>
      </c>
      <c r="BC300" s="0" t="n">
        <f aca="false">MIN(N300/4000, 1)*20</f>
        <v>4.65</v>
      </c>
      <c r="BD300" s="0" t="n">
        <f aca="false">MIN(Z300/400,1)*20</f>
        <v>2.75</v>
      </c>
      <c r="BE300" s="3" t="n">
        <f aca="false">1-(MAX(J300-1900, 0)/750)</f>
        <v>0.9</v>
      </c>
      <c r="BF300" s="0" t="n">
        <f aca="false">((MAX($M300,1)*MIN($AJ300/300,1)))*IF(G300="Wagon",50,10)</f>
        <v>0</v>
      </c>
      <c r="BG300" s="0" t="n">
        <f aca="false">VLOOKUP($H300,Constants!$I:$K, 2, FALSE())</f>
        <v>0.9</v>
      </c>
      <c r="BH300" s="0" t="n">
        <f aca="false">VLOOKUP($H300,Constants!$I:$K, 3, FALSE())*IF(AND(G300="multiple_unit",AB300&lt;110),0.75,1)</f>
        <v>1.2</v>
      </c>
      <c r="BI300" s="0" t="n">
        <f aca="false">INT(POWER(((Constants!$G$2+$BB300+$BC300+$BD300+$BF300)*$BE300)*$BH300, 1.05))+$BA300</f>
        <v>27</v>
      </c>
      <c r="BJ300" s="0" t="n">
        <f aca="false">INT(POWER((((Constants!$G$1+$BB300+$BC300+$BD300+$BF300)*($BE300))*$BG300),IF($G300="wagon",1,1.2)))+$AZ300</f>
        <v>23</v>
      </c>
      <c r="BK300" s="17" t="n">
        <f aca="false">BI300*IF($G300="wagon",62.5,781.25)</f>
        <v>21093.75</v>
      </c>
      <c r="BL300" s="17" t="n">
        <f aca="false">BJ300*IF($G300="wagon",2.73,81.25)</f>
        <v>1868.75</v>
      </c>
      <c r="BU300" s="0" t="s">
        <v>1107</v>
      </c>
      <c r="BV300" s="0" t="n">
        <v>9</v>
      </c>
      <c r="BW300" s="0" t="n">
        <v>120</v>
      </c>
      <c r="BZ300" s="0" t="s">
        <v>148</v>
      </c>
      <c r="CA300" s="0" t="str">
        <f aca="false">VLOOKUP(J300,Eras!$A$2:$C$10, 2, TRUE())</f>
        <v>lbr</v>
      </c>
      <c r="CB300" s="0" t="s">
        <v>1061</v>
      </c>
      <c r="CC300" s="0" t="str">
        <f aca="false">CONCATENATE(CA300,"_",CB300)</f>
        <v>lbr_LU</v>
      </c>
      <c r="CD300" s="0" t="str">
        <f aca="false">_xlfn.CONCAT(H300, "_",I300)</f>
        <v>tube_FOURTH_RAIL</v>
      </c>
      <c r="CE300" s="6" t="str">
        <f aca="false" t="array" ref="CE300:CE300">_xlfn.CONCAT("{BLACK}Length: {GOLD}", TEXT(ROUNDUP(IF(AQ300&lt;&gt;"",SUM(VALUE(_xlfn.TEXTSPLIT(AQ300, ","))), SUM(VALUE(_xlfn.TEXTSPLIT(AN300, ",")))*IF(M300, M300, 1))/16, 1), "#,##0.0"), " tiles{}")</f>
        <v>{BLACK}Length: {GOLD}1.9 tiles{}</v>
      </c>
      <c r="CF300" s="0" t="str">
        <f aca="false">VLOOKUP($CD300, Constants!$M:$N, 2, FALSE())</f>
        <v>{BLACK}Powered by: {GOLD}630V DC</v>
      </c>
      <c r="CG300" s="0" t="str">
        <f aca="false">IF(M300&gt;1,_xlfn.CONCAT("{BLACK}Cars: {GOLD}", M300),"")</f>
        <v>{BLACK}Cars: {GOLD}3</v>
      </c>
      <c r="CH300" s="0" t="s">
        <v>1108</v>
      </c>
      <c r="CI300" s="0" t="str">
        <f aca="false">IF($BU300="!param_no_gameplay_units","{GREEN}Included for gameplay purposes","")</f>
        <v/>
      </c>
      <c r="CJ300" s="0" t="str">
        <f aca="false">IF(BX300="buffet","{YELLOW}25% long distance bonus for consist{}",IF(BZ300="BRAKE","{YELLOW}Speed bonus for slow wagons{}",IF(BW300&gt;190,CONCATENATE("{YELLOW}",INT((BW300-185)/1.85),"% bonus for long distance travel{}"),IF(AND(BW300&lt;180,BW300&lt;&gt;0),CONCATENATE("{YELLOW}",INT((185-BW300)/1.85),"% penalty for long distance travel{}"),""))))</f>
        <v>{YELLOW}35% penalty for long distance travel{}</v>
      </c>
      <c r="CK300" s="0" t="str">
        <f aca="false">_xlfn.CONCAT(CF300,IF(CF300&lt;&gt;""," ",""),CG300,IF(OR(CG300&lt;&gt;"",CF300&lt;&gt;""),"{}",""),CE300,CJ300,"{SILVER}",CH300,IF(CI300&lt;&gt;"","{}{}",""),CI300)</f>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01" customFormat="false" ht="14.25" hidden="false" customHeight="false" outlineLevel="0" collapsed="false">
      <c r="A301" s="0" t="s">
        <v>1109</v>
      </c>
      <c r="B301" s="15" t="s">
        <v>1110</v>
      </c>
      <c r="C301" s="0" t="n">
        <v>302</v>
      </c>
      <c r="E301" s="0" t="n">
        <v>205</v>
      </c>
      <c r="F301" s="0" t="s">
        <v>143</v>
      </c>
      <c r="G301" s="0" t="s">
        <v>827</v>
      </c>
      <c r="H301" s="0" t="s">
        <v>1060</v>
      </c>
      <c r="I301" s="0" t="s">
        <v>159</v>
      </c>
      <c r="J301" s="0" t="n">
        <v>1980</v>
      </c>
      <c r="L301" s="0" t="n">
        <v>2017</v>
      </c>
      <c r="M301" s="0" t="n">
        <v>3</v>
      </c>
      <c r="N301" s="0" t="n">
        <v>980</v>
      </c>
      <c r="W301" s="0" t="n">
        <f aca="false">27+26+18</f>
        <v>71</v>
      </c>
      <c r="Y301" s="0" t="n">
        <v>10</v>
      </c>
      <c r="Z301" s="0" t="n">
        <v>60</v>
      </c>
      <c r="AA301" s="3" t="n">
        <f aca="false">IF(AND(W301&gt;0,Z301&gt;0),(Z301/((W301+X301)*10)),"")</f>
        <v>0.0845070422535211</v>
      </c>
      <c r="AB301" s="0" t="n">
        <v>50</v>
      </c>
      <c r="AC301" s="0" t="n">
        <f aca="false">ROUND(AB301*1.6, 0)</f>
        <v>80</v>
      </c>
      <c r="AF301" s="0" t="n">
        <v>18.37</v>
      </c>
      <c r="AG301" s="0" t="n">
        <v>18.37</v>
      </c>
      <c r="AH301" s="0" t="n">
        <v>2.85</v>
      </c>
      <c r="AI301" s="0" t="n">
        <v>3.62</v>
      </c>
      <c r="AJ301" s="4" t="n">
        <v>138</v>
      </c>
      <c r="AK301" s="0" t="str">
        <f aca="false">CONCATENATE(VLOOKUP(AL301, 'Voxel Sizes'!$A$2:$B$18,2,FALSE()),"x",INT(AH301*15), "x", INT(AI301*15))</f>
        <v>186x42x54</v>
      </c>
      <c r="AL301" s="0" t="n">
        <f aca="false">ROUND(15*((AG301*10)/256),0)</f>
        <v>11</v>
      </c>
      <c r="AN301" s="0" t="str">
        <f aca="false">CONCATENATE(VLOOKUP(AL301,Constants!$A$2:$C$16,IF(AM301&lt;&gt;"", 3, 2), FALSE()),IF(AM301&lt;&gt;"",CONCATENATE(",",VLOOKUP(AM301,$B:$AN,39,FALSE())),""))</f>
        <v>4,3,4</v>
      </c>
      <c r="AR301" s="0" t="s">
        <v>1111</v>
      </c>
      <c r="AT301" s="0" t="s">
        <v>864</v>
      </c>
      <c r="AX301" s="0" t="n">
        <v>33</v>
      </c>
      <c r="AY301" s="16" t="n">
        <f aca="false">IF(L301&lt;&gt;"",MAX(16,(L301-J301)+8),"")</f>
        <v>45</v>
      </c>
      <c r="AZ301" s="0" t="n">
        <v>-25</v>
      </c>
      <c r="BB301" s="0" t="n">
        <f aca="false">MIN(AB301/150, 1)*30</f>
        <v>10</v>
      </c>
      <c r="BC301" s="0" t="n">
        <f aca="false">MIN(N301/4000, 1)*20</f>
        <v>4.9</v>
      </c>
      <c r="BD301" s="0" t="n">
        <f aca="false">MIN(Z301/400,1)*20</f>
        <v>3</v>
      </c>
      <c r="BE301" s="3" t="n">
        <f aca="false">1-(MAX(J301-1900, 0)/750)</f>
        <v>0.893333333333333</v>
      </c>
      <c r="BF301" s="0" t="n">
        <f aca="false">((MAX($M301,1)*MIN($AJ301/300,1)))*IF(G301="Wagon",50,10)</f>
        <v>13.8</v>
      </c>
      <c r="BG301" s="0" t="n">
        <f aca="false">VLOOKUP($H301,Constants!$I:$K, 2, FALSE())</f>
        <v>0.9</v>
      </c>
      <c r="BH301" s="0" t="n">
        <f aca="false">VLOOKUP($H301,Constants!$I:$K, 3, FALSE())*IF(AND(G301="multiple_unit",AB301&lt;110),0.75,1)</f>
        <v>1.2</v>
      </c>
      <c r="BI301" s="0" t="n">
        <f aca="false">INT(POWER(((Constants!$G$2+$BB301+$BC301+$BD301+$BF301)*$BE301)*$BH301, 1.05))+$BA301</f>
        <v>47</v>
      </c>
      <c r="BJ301" s="0" t="n">
        <f aca="false">INT(POWER((((Constants!$G$1+$BB301+$BC301+$BD301+$BF301)*($BE301))*$BG301),IF($G301="wagon",1,1.2)))+$AZ301</f>
        <v>52</v>
      </c>
      <c r="BK301" s="17" t="n">
        <f aca="false">BI301*IF($G301="wagon",62.5,781.25)</f>
        <v>36718.75</v>
      </c>
      <c r="BL301" s="17" t="n">
        <f aca="false">BJ301*IF($G301="wagon",2.73,81.25)</f>
        <v>4225</v>
      </c>
      <c r="BV301" s="0" t="n">
        <v>11</v>
      </c>
      <c r="BW301" s="0" t="n">
        <v>120</v>
      </c>
      <c r="BZ301" s="0" t="s">
        <v>148</v>
      </c>
      <c r="CA301" s="0" t="str">
        <f aca="false">VLOOKUP(J301,Eras!$A$2:$C$10, 2, TRUE())</f>
        <v>lbr</v>
      </c>
      <c r="CB301" s="0" t="s">
        <v>1061</v>
      </c>
      <c r="CC301" s="0" t="str">
        <f aca="false">CONCATENATE(CA301,"_",CB301)</f>
        <v>lbr_LU</v>
      </c>
      <c r="CD301" s="0" t="str">
        <f aca="false">_xlfn.CONCAT(H301, "_",I301)</f>
        <v>tube_FOURTH_RAIL</v>
      </c>
      <c r="CE301" s="6" t="str">
        <f aca="false" t="array" ref="CE301:CE301">_xlfn.CONCAT("{BLACK}Length: {GOLD}", TEXT(ROUNDUP(IF(AQ301&lt;&gt;"",SUM(VALUE(_xlfn.TEXTSPLIT(AQ301, ","))), SUM(VALUE(_xlfn.TEXTSPLIT(AN301, ",")))*IF(M301, M301, 1))/16, 1), "#,##0.0"), " tiles{}")</f>
        <v>{BLACK}Length: {GOLD}2.1 tiles{}</v>
      </c>
      <c r="CF301" s="0" t="str">
        <f aca="false">VLOOKUP($CD301, Constants!$M:$N, 2, FALSE())</f>
        <v>{BLACK}Powered by: {GOLD}630V DC</v>
      </c>
      <c r="CG301" s="0" t="str">
        <f aca="false">IF(M301&gt;1,_xlfn.CONCAT("{BLACK}Cars: {GOLD}", M301),"")</f>
        <v>{BLACK}Cars: {GOLD}3</v>
      </c>
      <c r="CH301" s="0" t="s">
        <v>1112</v>
      </c>
      <c r="CI301" s="0" t="str">
        <f aca="false">IF($BU301="!param_no_gameplay_units","{GREEN}Included for gameplay purposes","")</f>
        <v/>
      </c>
      <c r="CJ301" s="0" t="str">
        <f aca="false">IF(BX301="buffet","{YELLOW}25% long distance bonus for consist{}",IF(BZ301="BRAKE","{YELLOW}Speed bonus for slow wagons{}",IF(BW301&gt;190,CONCATENATE("{YELLOW}",INT((BW301-185)/1.85),"% bonus for long distance travel{}"),IF(AND(BW301&lt;180,BW301&lt;&gt;0),CONCATENATE("{YELLOW}",INT((185-BW301)/1.85),"% penalty for long distance travel{}"),""))))</f>
        <v>{YELLOW}35% penalty for long distance travel{}</v>
      </c>
      <c r="CK301" s="0" t="str">
        <f aca="false">_xlfn.CONCAT(CF301,IF(CF301&lt;&gt;""," ",""),CG301,IF(OR(CG301&lt;&gt;"",CF301&lt;&gt;""),"{}",""),CE301,CJ301,"{SILVER}",CH301,IF(CI301&lt;&gt;"","{}{}",""),CI301)</f>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02" customFormat="false" ht="14.25" hidden="false" customHeight="false" outlineLevel="0" collapsed="false">
      <c r="A302" s="0" t="s">
        <v>1113</v>
      </c>
      <c r="B302" s="15" t="s">
        <v>1114</v>
      </c>
      <c r="C302" s="0" t="n">
        <v>303</v>
      </c>
      <c r="E302" s="0" t="n">
        <v>206</v>
      </c>
      <c r="F302" s="0" t="s">
        <v>143</v>
      </c>
      <c r="G302" s="0" t="s">
        <v>827</v>
      </c>
      <c r="H302" s="0" t="s">
        <v>1060</v>
      </c>
      <c r="I302" s="0" t="s">
        <v>159</v>
      </c>
      <c r="J302" s="0" t="n">
        <v>1993</v>
      </c>
      <c r="M302" s="0" t="n">
        <v>4</v>
      </c>
      <c r="N302" s="0" t="n">
        <v>1150</v>
      </c>
      <c r="W302" s="0" t="n">
        <f aca="false">20+22+29+22</f>
        <v>93</v>
      </c>
      <c r="Y302" s="0" t="n">
        <v>10</v>
      </c>
      <c r="Z302" s="0" t="n">
        <v>70</v>
      </c>
      <c r="AA302" s="3" t="n">
        <f aca="false">IF(AND(W302&gt;0,Z302&gt;0),(Z302/((W302+X302)*10)),"")</f>
        <v>0.0752688172043011</v>
      </c>
      <c r="AB302" s="0" t="n">
        <v>62</v>
      </c>
      <c r="AC302" s="0" t="n">
        <f aca="false">ROUND(AB302*1.6, 0)</f>
        <v>99</v>
      </c>
      <c r="AF302" s="0" t="n">
        <v>16.25</v>
      </c>
      <c r="AG302" s="0" t="n">
        <v>16.25</v>
      </c>
      <c r="AH302" s="0" t="n">
        <v>2.62</v>
      </c>
      <c r="AI302" s="0" t="n">
        <v>2.87</v>
      </c>
      <c r="AJ302" s="4" t="n">
        <v>114</v>
      </c>
      <c r="AK302" s="0" t="str">
        <f aca="false">CONCATENATE(VLOOKUP(AL302, 'Voxel Sizes'!$A$2:$B$18,2,FALSE()),"x",INT(AH302*15), "x", INT(AI302*15))</f>
        <v>164x39x43</v>
      </c>
      <c r="AL302" s="0" t="n">
        <f aca="false">ROUND(15*((AG302*10)/256),0)</f>
        <v>10</v>
      </c>
      <c r="AN302" s="0" t="str">
        <f aca="false">CONCATENATE(VLOOKUP(AL302,Constants!$A$2:$C$16,IF(AM302&lt;&gt;"", 3, 2), FALSE()),IF(AM302&lt;&gt;"",CONCATENATE(",",VLOOKUP(AM302,$B:$AN,39,FALSE())),""))</f>
        <v>4,2,4</v>
      </c>
      <c r="AR302" s="0" t="s">
        <v>1115</v>
      </c>
      <c r="AT302" s="0" t="s">
        <v>855</v>
      </c>
      <c r="AX302" s="0" t="n">
        <v>29</v>
      </c>
      <c r="AY302" s="16" t="str">
        <f aca="false">IF(L302&lt;&gt;"",MAX(16,(L302-J302)+8),"")</f>
        <v/>
      </c>
      <c r="AZ302" s="0" t="n">
        <v>-22</v>
      </c>
      <c r="BB302" s="0" t="n">
        <f aca="false">MIN(AB302/150, 1)*30</f>
        <v>12.4</v>
      </c>
      <c r="BC302" s="0" t="n">
        <f aca="false">MIN(N302/4000, 1)*20</f>
        <v>5.75</v>
      </c>
      <c r="BD302" s="0" t="n">
        <f aca="false">MIN(Z302/400,1)*20</f>
        <v>3.5</v>
      </c>
      <c r="BE302" s="3" t="n">
        <f aca="false">1-(MAX(J302-1900, 0)/750)</f>
        <v>0.876</v>
      </c>
      <c r="BF302" s="0" t="n">
        <f aca="false">((MAX($M302,1)*MIN($AJ302/300,1)))*IF(G302="Wagon",50,10)</f>
        <v>15.2</v>
      </c>
      <c r="BG302" s="0" t="n">
        <f aca="false">VLOOKUP($H302,Constants!$I:$K, 2, FALSE())</f>
        <v>0.9</v>
      </c>
      <c r="BH302" s="0" t="n">
        <f aca="false">VLOOKUP($H302,Constants!$I:$K, 3, FALSE())*IF(AND(G302="multiple_unit",AB302&lt;110),0.75,1)</f>
        <v>1.2</v>
      </c>
      <c r="BI302" s="0" t="n">
        <f aca="false">INT(POWER(((Constants!$G$2+$BB302+$BC302+$BD302+$BF302)*$BE302)*$BH302, 1.05))+$BA302</f>
        <v>53</v>
      </c>
      <c r="BJ302" s="0" t="n">
        <f aca="false">INT(POWER((((Constants!$G$1+$BB302+$BC302+$BD302+$BF302)*($BE302))*$BG302),IF($G302="wagon",1,1.2)))+$AZ302</f>
        <v>63</v>
      </c>
      <c r="BK302" s="17" t="n">
        <f aca="false">BI302*IF($G302="wagon",62.5,781.25)</f>
        <v>41406.25</v>
      </c>
      <c r="BL302" s="17" t="n">
        <f aca="false">BJ302*IF($G302="wagon",2.73,81.25)</f>
        <v>5118.75</v>
      </c>
      <c r="BV302" s="0" t="n">
        <v>3</v>
      </c>
      <c r="BW302" s="0" t="n">
        <v>120</v>
      </c>
      <c r="BZ302" s="0" t="s">
        <v>148</v>
      </c>
      <c r="CA302" s="0" t="str">
        <f aca="false">VLOOKUP(J302,Eras!$A$2:$C$10, 2, TRUE())</f>
        <v>lbr</v>
      </c>
      <c r="CB302" s="0" t="s">
        <v>1061</v>
      </c>
      <c r="CC302" s="0" t="str">
        <f aca="false">CONCATENATE(CA302,"_",CB302)</f>
        <v>lbr_LU</v>
      </c>
      <c r="CD302" s="0" t="str">
        <f aca="false">_xlfn.CONCAT(H302, "_",I302)</f>
        <v>tube_FOURTH_RAIL</v>
      </c>
      <c r="CE302" s="6" t="str">
        <f aca="false" t="array" ref="CE302:CE302">_xlfn.CONCAT("{BLACK}Length: {GOLD}", TEXT(ROUNDUP(IF(AQ302&lt;&gt;"",SUM(VALUE(_xlfn.TEXTSPLIT(AQ302, ","))), SUM(VALUE(_xlfn.TEXTSPLIT(AN302, ",")))*IF(M302, M302, 1))/16, 1), "#,##0.0"), " tiles{}")</f>
        <v>{BLACK}Length: {GOLD}2.5 tiles{}</v>
      </c>
      <c r="CF302" s="0" t="str">
        <f aca="false">VLOOKUP($CD302, Constants!$M:$N, 2, FALSE())</f>
        <v>{BLACK}Powered by: {GOLD}630V DC</v>
      </c>
      <c r="CG302" s="0" t="str">
        <f aca="false">IF(M302&gt;1,_xlfn.CONCAT("{BLACK}Cars: {GOLD}", M302),"")</f>
        <v>{BLACK}Cars: {GOLD}4</v>
      </c>
      <c r="CH302" s="0" t="s">
        <v>1116</v>
      </c>
      <c r="CI302" s="0" t="str">
        <f aca="false">IF($BU302="!param_no_gameplay_units","{GREEN}Included for gameplay purposes","")</f>
        <v/>
      </c>
      <c r="CJ302" s="0" t="str">
        <f aca="false">IF(BX302="buffet","{YELLOW}25% long distance bonus for consist{}",IF(BZ302="BRAKE","{YELLOW}Speed bonus for slow wagons{}",IF(BW302&gt;190,CONCATENATE("{YELLOW}",INT((BW302-185)/1.85),"% bonus for long distance travel{}"),IF(AND(BW302&lt;180,BW302&lt;&gt;0),CONCATENATE("{YELLOW}",INT((185-BW302)/1.85),"% penalty for long distance travel{}"),""))))</f>
        <v>{YELLOW}35% penalty for long distance travel{}</v>
      </c>
      <c r="CK302" s="0" t="str">
        <f aca="false">_xlfn.CONCAT(CF302,IF(CF302&lt;&gt;""," ",""),CG302,IF(OR(CG302&lt;&gt;"",CF302&lt;&gt;""),"{}",""),CE302,CJ302,"{SILVER}",CH302,IF(CI302&lt;&gt;"","{}{}",""),CI302)</f>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3" customFormat="false" ht="14.25" hidden="false" customHeight="false" outlineLevel="0" collapsed="false">
      <c r="A303" s="0" t="s">
        <v>1117</v>
      </c>
      <c r="B303" s="15" t="s">
        <v>1118</v>
      </c>
      <c r="C303" s="0" t="n">
        <v>304</v>
      </c>
      <c r="E303" s="0" t="n">
        <v>207</v>
      </c>
      <c r="F303" s="0" t="s">
        <v>143</v>
      </c>
      <c r="G303" s="0" t="s">
        <v>827</v>
      </c>
      <c r="H303" s="0" t="s">
        <v>1060</v>
      </c>
      <c r="I303" s="0" t="s">
        <v>159</v>
      </c>
      <c r="J303" s="0" t="n">
        <v>1996</v>
      </c>
      <c r="M303" s="0" t="n">
        <v>3</v>
      </c>
      <c r="N303" s="0" t="n">
        <v>1200</v>
      </c>
      <c r="W303" s="0" t="n">
        <f aca="false">29+27+21</f>
        <v>77</v>
      </c>
      <c r="Y303" s="0" t="n">
        <v>10</v>
      </c>
      <c r="Z303" s="0" t="n">
        <v>65</v>
      </c>
      <c r="AA303" s="3" t="n">
        <f aca="false">IF(AND(W303&gt;0,Z303&gt;0),(Z303/((W303+X303)*10)),"")</f>
        <v>0.0844155844155844</v>
      </c>
      <c r="AB303" s="0" t="n">
        <v>62</v>
      </c>
      <c r="AC303" s="0" t="n">
        <f aca="false">ROUND(AB303*1.6, 0)</f>
        <v>99</v>
      </c>
      <c r="AF303" s="0" t="n">
        <v>17.77</v>
      </c>
      <c r="AG303" s="0" t="n">
        <v>17.77</v>
      </c>
      <c r="AH303" s="0" t="n">
        <v>2.63</v>
      </c>
      <c r="AI303" s="0" t="n">
        <v>2.87</v>
      </c>
      <c r="AJ303" s="4" t="n">
        <v>108</v>
      </c>
      <c r="AK303" s="0" t="str">
        <f aca="false">CONCATENATE(VLOOKUP(AL303, 'Voxel Sizes'!$A$2:$B$18,2,FALSE()),"x",INT(AH303*15), "x", INT(AI303*15))</f>
        <v>164x39x43</v>
      </c>
      <c r="AL303" s="0" t="n">
        <f aca="false">ROUND(15*((AG303*10)/256),0)</f>
        <v>10</v>
      </c>
      <c r="AN303" s="0" t="str">
        <f aca="false">CONCATENATE(VLOOKUP(AL303,Constants!$A$2:$C$16,IF(AM303&lt;&gt;"", 3, 2), FALSE()),IF(AM303&lt;&gt;"",CONCATENATE(",",VLOOKUP(AM303,$B:$AN,39,FALSE())),""))</f>
        <v>4,2,4</v>
      </c>
      <c r="AR303" s="0" t="s">
        <v>1119</v>
      </c>
      <c r="AT303" s="0" t="s">
        <v>864</v>
      </c>
      <c r="AX303" s="0" t="n">
        <v>32</v>
      </c>
      <c r="AY303" s="16" t="str">
        <f aca="false">IF(L303&lt;&gt;"",MAX(16,(L303-J303)+8),"")</f>
        <v/>
      </c>
      <c r="AZ303" s="0" t="n">
        <v>-25</v>
      </c>
      <c r="BA303" s="0" t="n">
        <v>5</v>
      </c>
      <c r="BB303" s="0" t="n">
        <f aca="false">MIN(AB303/150, 1)*30</f>
        <v>12.4</v>
      </c>
      <c r="BC303" s="0" t="n">
        <f aca="false">MIN(N303/4000, 1)*20</f>
        <v>6</v>
      </c>
      <c r="BD303" s="0" t="n">
        <f aca="false">MIN(Z303/400,1)*20</f>
        <v>3.25</v>
      </c>
      <c r="BE303" s="3" t="n">
        <f aca="false">1-(MAX(J303-1900, 0)/750)</f>
        <v>0.872</v>
      </c>
      <c r="BF303" s="0" t="n">
        <f aca="false">((MAX($M303,1)*MIN($AJ303/300,1)))*IF(G303="Wagon",50,10)</f>
        <v>10.8</v>
      </c>
      <c r="BG303" s="0" t="n">
        <f aca="false">VLOOKUP($H303,Constants!$I:$K, 2, FALSE())</f>
        <v>0.9</v>
      </c>
      <c r="BH303" s="0" t="n">
        <f aca="false">VLOOKUP($H303,Constants!$I:$K, 3, FALSE())*IF(AND(G303="multiple_unit",AB303&lt;110),0.75,1)</f>
        <v>1.2</v>
      </c>
      <c r="BI303" s="0" t="n">
        <f aca="false">INT(POWER(((Constants!$G$2+$BB303+$BC303+$BD303+$BF303)*$BE303)*$BH303, 1.05))+$BA303</f>
        <v>52</v>
      </c>
      <c r="BJ303" s="0" t="n">
        <f aca="false">INT(POWER((((Constants!$G$1+$BB303+$BC303+$BD303+$BF303)*($BE303))*$BG303),IF($G303="wagon",1,1.2)))+$AZ303</f>
        <v>51</v>
      </c>
      <c r="BK303" s="17" t="n">
        <f aca="false">BI303*IF($G303="wagon",62.5,781.25)</f>
        <v>40625</v>
      </c>
      <c r="BL303" s="17" t="n">
        <f aca="false">BJ303*IF($G303="wagon",2.73,81.25)</f>
        <v>4143.75</v>
      </c>
      <c r="BV303" s="0" t="n">
        <v>2</v>
      </c>
      <c r="BW303" s="0" t="n">
        <v>120</v>
      </c>
      <c r="BZ303" s="0" t="s">
        <v>148</v>
      </c>
      <c r="CA303" s="0" t="str">
        <f aca="false">VLOOKUP(J303,Eras!$A$2:$C$10, 2, TRUE())</f>
        <v>prv</v>
      </c>
      <c r="CB303" s="0" t="s">
        <v>1061</v>
      </c>
      <c r="CC303" s="0" t="str">
        <f aca="false">CONCATENATE(CA303,"_",CB303)</f>
        <v>prv_LU</v>
      </c>
      <c r="CD303" s="0" t="str">
        <f aca="false">_xlfn.CONCAT(H303, "_",I303)</f>
        <v>tube_FOURTH_RAIL</v>
      </c>
      <c r="CE303" s="6" t="str">
        <f aca="false" t="array" ref="CE303:CE303">_xlfn.CONCAT("{BLACK}Length: {GOLD}", TEXT(ROUNDUP(IF(AQ303&lt;&gt;"",SUM(VALUE(_xlfn.TEXTSPLIT(AQ303, ","))), SUM(VALUE(_xlfn.TEXTSPLIT(AN303, ",")))*IF(M303, M303, 1))/16, 1), "#,##0.0"), " tiles{}")</f>
        <v>{BLACK}Length: {GOLD}1.9 tiles{}</v>
      </c>
      <c r="CF303" s="0" t="str">
        <f aca="false">VLOOKUP($CD303, Constants!$M:$N, 2, FALSE())</f>
        <v>{BLACK}Powered by: {GOLD}630V DC</v>
      </c>
      <c r="CG303" s="0" t="str">
        <f aca="false">IF(M303&gt;1,_xlfn.CONCAT("{BLACK}Cars: {GOLD}", M303),"")</f>
        <v>{BLACK}Cars: {GOLD}3</v>
      </c>
      <c r="CH303" s="0" t="s">
        <v>1120</v>
      </c>
      <c r="CI303" s="0" t="str">
        <f aca="false">IF($BU303="!param_no_gameplay_units","{GREEN}Included for gameplay purposes","")</f>
        <v/>
      </c>
      <c r="CJ303" s="0" t="str">
        <f aca="false">IF(BX303="buffet","{YELLOW}25% long distance bonus for consist{}",IF(BZ303="BRAKE","{YELLOW}Speed bonus for slow wagons{}",IF(BW303&gt;190,CONCATENATE("{YELLOW}",INT((BW303-185)/1.85),"% bonus for long distance travel{}"),IF(AND(BW303&lt;180,BW303&lt;&gt;0),CONCATENATE("{YELLOW}",INT((185-BW303)/1.85),"% penalty for long distance travel{}"),""))))</f>
        <v>{YELLOW}35% penalty for long distance travel{}</v>
      </c>
      <c r="CK303" s="0" t="str">
        <f aca="false">_xlfn.CONCAT(CF303,IF(CF303&lt;&gt;""," ",""),CG303,IF(OR(CG303&lt;&gt;"",CF303&lt;&gt;""),"{}",""),CE303,CJ303,"{SILVER}",CH303,IF(CI303&lt;&gt;"","{}{}",""),CI303)</f>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4" customFormat="false" ht="14.25" hidden="false" customHeight="false" outlineLevel="0" collapsed="false">
      <c r="A304" s="0" t="s">
        <v>1121</v>
      </c>
      <c r="B304" s="15" t="s">
        <v>1122</v>
      </c>
      <c r="C304" s="0" t="n">
        <v>305</v>
      </c>
      <c r="E304" s="0" t="n">
        <v>208</v>
      </c>
      <c r="F304" s="0" t="s">
        <v>143</v>
      </c>
      <c r="G304" s="0" t="s">
        <v>827</v>
      </c>
      <c r="H304" s="0" t="s">
        <v>1060</v>
      </c>
      <c r="I304" s="0" t="s">
        <v>159</v>
      </c>
      <c r="J304" s="0" t="n">
        <v>2009</v>
      </c>
      <c r="M304" s="0" t="n">
        <v>4</v>
      </c>
      <c r="N304" s="0" t="n">
        <v>1200</v>
      </c>
      <c r="W304" s="0" t="n">
        <f aca="false">197.3/2</f>
        <v>98.65</v>
      </c>
      <c r="Y304" s="0" t="n">
        <v>10</v>
      </c>
      <c r="Z304" s="0" t="n">
        <v>75</v>
      </c>
      <c r="AA304" s="3" t="n">
        <f aca="false">IF(AND(W304&gt;0,Z304&gt;0),(Z304/((W304+X304)*10)),"")</f>
        <v>0.0760263558033452</v>
      </c>
      <c r="AB304" s="0" t="n">
        <v>50</v>
      </c>
      <c r="AC304" s="0" t="n">
        <f aca="false">ROUND(AB304*1.6, 0)</f>
        <v>80</v>
      </c>
      <c r="AF304" s="0" t="n">
        <v>16.595</v>
      </c>
      <c r="AG304" s="0" t="n">
        <v>16.595</v>
      </c>
      <c r="AH304" s="0" t="n">
        <v>2.68</v>
      </c>
      <c r="AI304" s="0" t="n">
        <v>2.883</v>
      </c>
      <c r="AJ304" s="4" t="n">
        <v>141</v>
      </c>
      <c r="AK304" s="0" t="str">
        <f aca="false">CONCATENATE(VLOOKUP(AL304, 'Voxel Sizes'!$A$2:$B$18,2,FALSE()),"x",INT(AH304*15), "x", INT(AI304*15))</f>
        <v>164x40x43</v>
      </c>
      <c r="AL304" s="0" t="n">
        <f aca="false">ROUND(15*((AG304*10)/256),0)</f>
        <v>10</v>
      </c>
      <c r="AN304" s="0" t="str">
        <f aca="false">CONCATENATE(VLOOKUP(AL304,Constants!$A$2:$C$16,IF(AM304&lt;&gt;"", 3, 2), FALSE()),IF(AM304&lt;&gt;"",CONCATENATE(",",VLOOKUP(AM304,$B:$AN,39,FALSE())),""))</f>
        <v>4,2,4</v>
      </c>
      <c r="AR304" s="0" t="s">
        <v>1123</v>
      </c>
      <c r="AT304" s="0" t="s">
        <v>855</v>
      </c>
      <c r="AX304" s="0" t="n">
        <v>31</v>
      </c>
      <c r="AY304" s="16" t="str">
        <f aca="false">IF(L304&lt;&gt;"",MAX(16,(L304-J304)+8),"")</f>
        <v/>
      </c>
      <c r="AZ304" s="0" t="n">
        <v>-25</v>
      </c>
      <c r="BA304" s="0" t="n">
        <v>-8</v>
      </c>
      <c r="BB304" s="0" t="n">
        <f aca="false">MIN(AB304/150, 1)*30</f>
        <v>10</v>
      </c>
      <c r="BC304" s="0" t="n">
        <f aca="false">MIN(N304/4000, 1)*20</f>
        <v>6</v>
      </c>
      <c r="BD304" s="0" t="n">
        <f aca="false">MIN(Z304/400,1)*20</f>
        <v>3.75</v>
      </c>
      <c r="BE304" s="3" t="n">
        <f aca="false">1-(MAX(J304-1900, 0)/750)</f>
        <v>0.854666666666667</v>
      </c>
      <c r="BF304" s="0" t="n">
        <f aca="false">((MAX($M304,1)*MIN($AJ304/300,1)))*IF(G304="Wagon",50,10)</f>
        <v>18.8</v>
      </c>
      <c r="BG304" s="0" t="n">
        <f aca="false">VLOOKUP($H304,Constants!$I:$K, 2, FALSE())</f>
        <v>0.9</v>
      </c>
      <c r="BH304" s="0" t="n">
        <f aca="false">VLOOKUP($H304,Constants!$I:$K, 3, FALSE())*IF(AND(G304="multiple_unit",AB304&lt;110),0.75,1)</f>
        <v>1.2</v>
      </c>
      <c r="BI304" s="0" t="n">
        <f aca="false">INT(POWER(((Constants!$G$2+$BB304+$BC304+$BD304+$BF304)*$BE304)*$BH304, 1.05))+$BA304</f>
        <v>46</v>
      </c>
      <c r="BJ304" s="0" t="n">
        <f aca="false">INT(POWER((((Constants!$G$1+$BB304+$BC304+$BD304+$BF304)*($BE304))*$BG304),IF($G304="wagon",1,1.2)))+$AZ304</f>
        <v>61</v>
      </c>
      <c r="BK304" s="17" t="n">
        <f aca="false">BI304*IF($G304="wagon",62.5,781.25)</f>
        <v>35937.5</v>
      </c>
      <c r="BL304" s="17" t="n">
        <f aca="false">BJ304*IF($G304="wagon",2.73,81.25)</f>
        <v>4956.25</v>
      </c>
      <c r="BV304" s="0" t="n">
        <v>12</v>
      </c>
      <c r="BW304" s="0" t="n">
        <v>120</v>
      </c>
      <c r="BZ304" s="0" t="s">
        <v>148</v>
      </c>
      <c r="CA304" s="0" t="str">
        <f aca="false">VLOOKUP(J304,Eras!$A$2:$C$10, 2, TRUE())</f>
        <v>mod</v>
      </c>
      <c r="CB304" s="0" t="s">
        <v>1061</v>
      </c>
      <c r="CC304" s="0" t="str">
        <f aca="false">CONCATENATE(CA304,"_",CB304)</f>
        <v>mod_LU</v>
      </c>
      <c r="CD304" s="0" t="str">
        <f aca="false">_xlfn.CONCAT(H304, "_",I304)</f>
        <v>tube_FOURTH_RAIL</v>
      </c>
      <c r="CE304" s="6" t="str">
        <f aca="false" t="array" ref="CE304:CE304">_xlfn.CONCAT("{BLACK}Length: {GOLD}", TEXT(ROUNDUP(IF(AQ304&lt;&gt;"",SUM(VALUE(_xlfn.TEXTSPLIT(AQ304, ","))), SUM(VALUE(_xlfn.TEXTSPLIT(AN304, ",")))*IF(M304, M304, 1))/16, 1), "#,##0.0"), " tiles{}")</f>
        <v>{BLACK}Length: {GOLD}2.5 tiles{}</v>
      </c>
      <c r="CF304" s="0" t="str">
        <f aca="false">VLOOKUP($CD304, Constants!$M:$N, 2, FALSE())</f>
        <v>{BLACK}Powered by: {GOLD}630V DC</v>
      </c>
      <c r="CG304" s="0" t="str">
        <f aca="false">IF(M304&gt;1,_xlfn.CONCAT("{BLACK}Cars: {GOLD}", M304),"")</f>
        <v>{BLACK}Cars: {GOLD}4</v>
      </c>
      <c r="CH304" s="0" t="s">
        <v>1124</v>
      </c>
      <c r="CI304" s="0" t="str">
        <f aca="false">IF($BU304="!param_no_gameplay_units","{GREEN}Included for gameplay purposes","")</f>
        <v/>
      </c>
      <c r="CJ304" s="0" t="str">
        <f aca="false">IF(BX304="buffet","{YELLOW}25% long distance bonus for consist{}",IF(BZ304="BRAKE","{YELLOW}Speed bonus for slow wagons{}",IF(BW304&gt;190,CONCATENATE("{YELLOW}",INT((BW304-185)/1.85),"% bonus for long distance travel{}"),IF(AND(BW304&lt;180,BW304&lt;&gt;0),CONCATENATE("{YELLOW}",INT((185-BW304)/1.85),"% penalty for long distance travel{}"),""))))</f>
        <v>{YELLOW}35% penalty for long distance travel{}</v>
      </c>
      <c r="CK304" s="0" t="str">
        <f aca="false">_xlfn.CONCAT(CF304,IF(CF304&lt;&gt;""," ",""),CG304,IF(OR(CG304&lt;&gt;"",CF304&lt;&gt;""),"{}",""),CE304,CJ304,"{SILVER}",CH304,IF(CI304&lt;&gt;"","{}{}",""),CI304)</f>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5" customFormat="false" ht="14.25" hidden="false" customHeight="false" outlineLevel="0" collapsed="false">
      <c r="A305" s="0" t="s">
        <v>1125</v>
      </c>
      <c r="B305" s="15" t="s">
        <v>1126</v>
      </c>
      <c r="C305" s="0" t="n">
        <v>306</v>
      </c>
      <c r="E305" s="0" t="n">
        <v>209</v>
      </c>
      <c r="F305" s="0" t="s">
        <v>143</v>
      </c>
      <c r="G305" s="0" t="s">
        <v>827</v>
      </c>
      <c r="H305" s="0" t="s">
        <v>1060</v>
      </c>
      <c r="I305" s="0" t="s">
        <v>159</v>
      </c>
      <c r="J305" s="0" t="n">
        <v>2010</v>
      </c>
      <c r="M305" s="0" t="n">
        <v>7</v>
      </c>
      <c r="N305" s="0" t="n">
        <v>2400</v>
      </c>
      <c r="W305" s="0" t="n">
        <v>213.7</v>
      </c>
      <c r="Y305" s="0" t="n">
        <v>10</v>
      </c>
      <c r="Z305" s="0" t="n">
        <v>180</v>
      </c>
      <c r="AA305" s="3" t="n">
        <f aca="false">IF(AND(W305&gt;0,Z305&gt;0),(Z305/((W305+X305)*10)),"")</f>
        <v>0.084230229293402</v>
      </c>
      <c r="AB305" s="0" t="n">
        <v>62</v>
      </c>
      <c r="AC305" s="0" t="n">
        <f aca="false">ROUND(AB305*1.6, 0)</f>
        <v>99</v>
      </c>
      <c r="AF305" s="0" t="n">
        <v>17.45</v>
      </c>
      <c r="AG305" s="0" t="n">
        <v>17.45</v>
      </c>
      <c r="AH305" s="0" t="n">
        <v>2.92</v>
      </c>
      <c r="AI305" s="0" t="n">
        <v>3.68</v>
      </c>
      <c r="AJ305" s="4" t="n">
        <v>156</v>
      </c>
      <c r="AK305" s="0" t="str">
        <f aca="false">CONCATENATE(VLOOKUP(AL305, 'Voxel Sizes'!$A$2:$B$18,2,FALSE()),"x",INT(AH305*15), "x", INT(AI305*15))</f>
        <v>164x43x55</v>
      </c>
      <c r="AL305" s="0" t="n">
        <f aca="false">ROUND(15*((AG305*10)/256),0)</f>
        <v>10</v>
      </c>
      <c r="AN305" s="0" t="str">
        <f aca="false">CONCATENATE(VLOOKUP(AL305,Constants!$A$2:$C$16,IF(AM305&lt;&gt;"", 3, 2), FALSE()),IF(AM305&lt;&gt;"",CONCATENATE(",",VLOOKUP(AM305,$B:$AN,39,FALSE())),""))</f>
        <v>4,2,4</v>
      </c>
      <c r="AR305" s="0" t="s">
        <v>1127</v>
      </c>
      <c r="AT305" s="0" t="s">
        <v>1128</v>
      </c>
      <c r="AX305" s="0" t="n">
        <v>34</v>
      </c>
      <c r="AY305" s="16" t="str">
        <f aca="false">IF(L305&lt;&gt;"",MAX(16,(L305-J305)+8),"")</f>
        <v/>
      </c>
      <c r="AZ305" s="0" t="n">
        <v>-25</v>
      </c>
      <c r="BB305" s="0" t="n">
        <f aca="false">MIN(AB305/150, 1)*30</f>
        <v>12.4</v>
      </c>
      <c r="BC305" s="0" t="n">
        <f aca="false">MIN(N305/4000, 1)*20</f>
        <v>12</v>
      </c>
      <c r="BD305" s="0" t="n">
        <f aca="false">MIN(Z305/400,1)*20</f>
        <v>9</v>
      </c>
      <c r="BE305" s="3" t="n">
        <f aca="false">1-(MAX(J305-1900, 0)/750)</f>
        <v>0.853333333333333</v>
      </c>
      <c r="BF305" s="0" t="n">
        <f aca="false">((MAX($M305,1)*MIN($AJ305/300,1)))*IF(G305="Wagon",50,10)</f>
        <v>36.4</v>
      </c>
      <c r="BG305" s="0" t="n">
        <f aca="false">VLOOKUP($H305,Constants!$I:$K, 2, FALSE())</f>
        <v>0.9</v>
      </c>
      <c r="BH305" s="0" t="n">
        <f aca="false">VLOOKUP($H305,Constants!$I:$K, 3, FALSE())*IF(AND(G305="multiple_unit",AB305&lt;110),0.75,1)</f>
        <v>1.2</v>
      </c>
      <c r="BI305" s="0" t="n">
        <f aca="false">INT(POWER(((Constants!$G$2+$BB305+$BC305+$BD305+$BF305)*$BE305)*$BH305, 1.05))+$BA305</f>
        <v>95</v>
      </c>
      <c r="BJ305" s="0" t="n">
        <f aca="false">INT(POWER((((Constants!$G$1+$BB305+$BC305+$BD305+$BF305)*($BE305))*$BG305),IF($G305="wagon",1,1.2)))+$AZ305</f>
        <v>125</v>
      </c>
      <c r="BK305" s="17" t="n">
        <f aca="false">BI305*IF($G305="wagon",62.5,781.25)</f>
        <v>74218.75</v>
      </c>
      <c r="BL305" s="17" t="n">
        <f aca="false">BJ305*IF($G305="wagon",2.73,81.25)</f>
        <v>10156.25</v>
      </c>
      <c r="BU305" s="0" t="s">
        <v>927</v>
      </c>
      <c r="BV305" s="0" t="n">
        <v>1</v>
      </c>
      <c r="BW305" s="0" t="n">
        <v>120</v>
      </c>
      <c r="BZ305" s="0" t="s">
        <v>148</v>
      </c>
      <c r="CA305" s="0" t="str">
        <f aca="false">VLOOKUP(J305,Eras!$A$2:$C$10, 2, TRUE())</f>
        <v>mod</v>
      </c>
      <c r="CB305" s="0" t="s">
        <v>1061</v>
      </c>
      <c r="CC305" s="0" t="str">
        <f aca="false">CONCATENATE(CA305,"_",CB305)</f>
        <v>mod_LU</v>
      </c>
      <c r="CD305" s="0" t="str">
        <f aca="false">_xlfn.CONCAT(H305, "_",I305)</f>
        <v>tube_FOURTH_RAIL</v>
      </c>
      <c r="CE305" s="6" t="str">
        <f aca="false" t="array" ref="CE305:CE305">_xlfn.CONCAT("{BLACK}Length: {GOLD}", TEXT(ROUNDUP(IF(AQ305&lt;&gt;"",SUM(VALUE(_xlfn.TEXTSPLIT(AQ305, ","))), SUM(VALUE(_xlfn.TEXTSPLIT(AN305, ",")))*IF(M305, M305, 1))/16, 1), "#,##0.0"), " tiles{}")</f>
        <v>{BLACK}Length: {GOLD}4.4 tiles{}</v>
      </c>
      <c r="CF305" s="0" t="str">
        <f aca="false">VLOOKUP($CD305, Constants!$M:$N, 2, FALSE())</f>
        <v>{BLACK}Powered by: {GOLD}630V DC</v>
      </c>
      <c r="CG305" s="0" t="str">
        <f aca="false">IF(M305&gt;1,_xlfn.CONCAT("{BLACK}Cars: {GOLD}", M305),"")</f>
        <v>{BLACK}Cars: {GOLD}7</v>
      </c>
      <c r="CH305" s="0" t="s">
        <v>1129</v>
      </c>
      <c r="CI305" s="0" t="str">
        <f aca="false">IF($BU305="!param_no_gameplay_units","{GREEN}Included for gameplay purposes","")</f>
        <v/>
      </c>
      <c r="CJ305" s="0" t="str">
        <f aca="false">IF(BX305="buffet","{YELLOW}25% long distance bonus for consist{}",IF(BZ305="BRAKE","{YELLOW}Speed bonus for slow wagons{}",IF(BW305&gt;190,CONCATENATE("{YELLOW}",INT((BW305-185)/1.85),"% bonus for long distance travel{}"),IF(AND(BW305&lt;180,BW305&lt;&gt;0),CONCATENATE("{YELLOW}",INT((185-BW305)/1.85),"% penalty for long distance travel{}"),""))))</f>
        <v>{YELLOW}35% penalty for long distance travel{}</v>
      </c>
      <c r="CK305" s="0" t="str">
        <f aca="false">_xlfn.CONCAT(CF305,IF(CF305&lt;&gt;""," ",""),CG305,IF(OR(CG305&lt;&gt;"",CF305&lt;&gt;""),"{}",""),CE305,CJ305,"{SILVER}",CH305,IF(CI305&lt;&gt;"","{}{}",""),CI305)</f>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6" customFormat="false" ht="14.25" hidden="false" customHeight="false" outlineLevel="0" collapsed="false">
      <c r="A306" s="0" t="s">
        <v>1130</v>
      </c>
      <c r="B306" s="15" t="s">
        <v>1131</v>
      </c>
      <c r="C306" s="0" t="n">
        <v>307</v>
      </c>
      <c r="E306" s="0" t="n">
        <v>210</v>
      </c>
      <c r="F306" s="0" t="s">
        <v>143</v>
      </c>
      <c r="G306" s="0" t="s">
        <v>827</v>
      </c>
      <c r="H306" s="0" t="s">
        <v>1060</v>
      </c>
      <c r="I306" s="0" t="s">
        <v>159</v>
      </c>
      <c r="J306" s="0" t="n">
        <v>2010</v>
      </c>
      <c r="M306" s="0" t="n">
        <v>6</v>
      </c>
      <c r="N306" s="0" t="n">
        <v>2400</v>
      </c>
      <c r="W306" s="0" t="n">
        <f aca="false">213.7/7*6</f>
        <v>183.171428571429</v>
      </c>
      <c r="Y306" s="0" t="n">
        <v>10</v>
      </c>
      <c r="Z306" s="0" t="n">
        <v>180</v>
      </c>
      <c r="AA306" s="3" t="n">
        <f aca="false">IF(AND(W306&gt;0,Z306&gt;0),(Z306/((W306+X306)*10)),"")</f>
        <v>0.0982686008423023</v>
      </c>
      <c r="AB306" s="0" t="n">
        <v>62</v>
      </c>
      <c r="AC306" s="0" t="n">
        <f aca="false">ROUND(AB306*1.6, 0)</f>
        <v>99</v>
      </c>
      <c r="AF306" s="0" t="n">
        <v>17.45</v>
      </c>
      <c r="AG306" s="0" t="n">
        <v>17.45</v>
      </c>
      <c r="AH306" s="0" t="n">
        <v>2.92</v>
      </c>
      <c r="AI306" s="0" t="n">
        <v>3.68</v>
      </c>
      <c r="AJ306" s="4" t="n">
        <v>156</v>
      </c>
      <c r="AK306" s="0" t="str">
        <f aca="false">CONCATENATE(VLOOKUP(AL306, 'Voxel Sizes'!$A$2:$B$18,2,FALSE()),"x",INT(AH306*15), "x", INT(AI306*15))</f>
        <v>164x43x55</v>
      </c>
      <c r="AL306" s="0" t="n">
        <f aca="false">ROUND(15*((AG306*10)/256),0)</f>
        <v>10</v>
      </c>
      <c r="AN306" s="0" t="str">
        <f aca="false">CONCATENATE(VLOOKUP(AL306,Constants!$A$2:$C$16,IF(AM306&lt;&gt;"", 3, 2), FALSE()),IF(AM306&lt;&gt;"",CONCATENATE(",",VLOOKUP(AM306,$B:$AN,39,FALSE())),""))</f>
        <v>4,2,4</v>
      </c>
      <c r="AR306" s="0" t="s">
        <v>1132</v>
      </c>
      <c r="AT306" s="0" t="s">
        <v>1048</v>
      </c>
      <c r="AU306" s="0" t="s">
        <v>1126</v>
      </c>
      <c r="AX306" s="0" t="n">
        <v>34</v>
      </c>
      <c r="AY306" s="16" t="str">
        <f aca="false">IF(L306&lt;&gt;"",MAX(16,(L306-J306)+8),"")</f>
        <v/>
      </c>
      <c r="AZ306" s="0" t="n">
        <v>-25</v>
      </c>
      <c r="BB306" s="0" t="n">
        <f aca="false">MIN(AB306/150, 1)*30</f>
        <v>12.4</v>
      </c>
      <c r="BC306" s="0" t="n">
        <f aca="false">MIN(N306/4000, 1)*20</f>
        <v>12</v>
      </c>
      <c r="BD306" s="0" t="n">
        <f aca="false">MIN(Z306/400,1)*20</f>
        <v>9</v>
      </c>
      <c r="BE306" s="3" t="n">
        <f aca="false">1-(MAX(J306-1900, 0)/750)</f>
        <v>0.853333333333333</v>
      </c>
      <c r="BF306" s="0" t="n">
        <f aca="false">((MAX($M306,1)*MIN($AJ306/300,1)))*IF(G306="Wagon",50,10)</f>
        <v>31.2</v>
      </c>
      <c r="BG306" s="0" t="n">
        <f aca="false">VLOOKUP($H306,Constants!$I:$K, 2, FALSE())</f>
        <v>0.9</v>
      </c>
      <c r="BH306" s="0" t="n">
        <f aca="false">VLOOKUP($H306,Constants!$I:$K, 3, FALSE())*IF(AND(G306="multiple_unit",AB306&lt;110),0.75,1)</f>
        <v>1.2</v>
      </c>
      <c r="BI306" s="0" t="n">
        <f aca="false">INT(POWER(((Constants!$G$2+$BB306+$BC306+$BD306+$BF306)*$BE306)*$BH306, 1.05))+$BA306</f>
        <v>88</v>
      </c>
      <c r="BJ306" s="0" t="n">
        <f aca="false">INT(POWER((((Constants!$G$1+$BB306+$BC306+$BD306+$BF306)*($BE306))*$BG306),IF($G306="wagon",1,1.2)))+$AZ306</f>
        <v>114</v>
      </c>
      <c r="BK306" s="17" t="n">
        <f aca="false">BI306*IF($G306="wagon",62.5,781.25)</f>
        <v>68750</v>
      </c>
      <c r="BL306" s="17" t="n">
        <f aca="false">BJ306*IF($G306="wagon",2.73,81.25)</f>
        <v>9262.5</v>
      </c>
      <c r="BU306" s="0" t="s">
        <v>933</v>
      </c>
      <c r="BV306" s="0" t="n">
        <v>1</v>
      </c>
      <c r="BW306" s="0" t="n">
        <v>120</v>
      </c>
      <c r="BZ306" s="0" t="s">
        <v>148</v>
      </c>
      <c r="CA306" s="0" t="str">
        <f aca="false">VLOOKUP(J306,Eras!$A$2:$C$10, 2, TRUE())</f>
        <v>mod</v>
      </c>
      <c r="CB306" s="0" t="s">
        <v>1061</v>
      </c>
      <c r="CC306" s="0" t="str">
        <f aca="false">CONCATENATE(CA306,"_",CB306)</f>
        <v>mod_LU</v>
      </c>
      <c r="CD306" s="0" t="str">
        <f aca="false">_xlfn.CONCAT(H306, "_",I306)</f>
        <v>tube_FOURTH_RAIL</v>
      </c>
      <c r="CE306" s="6" t="str">
        <f aca="false" t="array" ref="CE306:CE306">_xlfn.CONCAT("{BLACK}Length: {GOLD}", TEXT(ROUNDUP(IF(AQ306&lt;&gt;"",SUM(VALUE(_xlfn.TEXTSPLIT(AQ306, ","))), SUM(VALUE(_xlfn.TEXTSPLIT(AN306, ",")))*IF(M306, M306, 1))/16, 1), "#,##0.0"), " tiles{}")</f>
        <v>{BLACK}Length: {GOLD}3.8 tiles{}</v>
      </c>
      <c r="CF306" s="0" t="str">
        <f aca="false">VLOOKUP($CD306, Constants!$M:$N, 2, FALSE())</f>
        <v>{BLACK}Powered by: {GOLD}630V DC</v>
      </c>
      <c r="CG306" s="0" t="str">
        <f aca="false">IF(M306&gt;1,_xlfn.CONCAT("{BLACK}Cars: {GOLD}", M306),"")</f>
        <v>{BLACK}Cars: {GOLD}6</v>
      </c>
      <c r="CH306" s="0" t="s">
        <v>1133</v>
      </c>
      <c r="CI306" s="0" t="str">
        <f aca="false">IF($BU306="!param_no_gameplay_units","{GREEN}Included for gameplay purposes","")</f>
        <v/>
      </c>
      <c r="CJ306" s="0" t="str">
        <f aca="false">IF(BX306="buffet","{YELLOW}25% long distance bonus for consist{}",IF(BZ306="BRAKE","{YELLOW}Speed bonus for slow wagons{}",IF(BW306&gt;190,CONCATENATE("{YELLOW}",INT((BW306-185)/1.85),"% bonus for long distance travel{}"),IF(AND(BW306&lt;180,BW306&lt;&gt;0),CONCATENATE("{YELLOW}",INT((185-BW306)/1.85),"% penalty for long distance travel{}"),""))))</f>
        <v>{YELLOW}35% penalty for long distance travel{}</v>
      </c>
      <c r="CK306" s="0" t="str">
        <f aca="false">_xlfn.CONCAT(CF306,IF(CF306&lt;&gt;""," ",""),CG306,IF(OR(CG306&lt;&gt;"",CF306&lt;&gt;""),"{}",""),CE306,CJ306,"{SILVER}",CH306,IF(CI306&lt;&gt;"","{}{}",""),CI306)</f>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7" customFormat="false" ht="14.25" hidden="false" customHeight="false" outlineLevel="0" collapsed="false">
      <c r="A307" s="0" t="s">
        <v>1134</v>
      </c>
      <c r="B307" s="15" t="s">
        <v>1135</v>
      </c>
      <c r="C307" s="0" t="n">
        <v>308</v>
      </c>
      <c r="E307" s="0" t="n">
        <v>211</v>
      </c>
      <c r="F307" s="0" t="s">
        <v>143</v>
      </c>
      <c r="G307" s="0" t="s">
        <v>827</v>
      </c>
      <c r="H307" s="0" t="s">
        <v>1060</v>
      </c>
      <c r="I307" s="0" t="s">
        <v>159</v>
      </c>
      <c r="J307" s="0" t="n">
        <v>2025</v>
      </c>
      <c r="M307" s="0" t="n">
        <v>9</v>
      </c>
      <c r="N307" s="0" t="n">
        <v>3400</v>
      </c>
      <c r="W307" s="0" t="n">
        <v>190</v>
      </c>
      <c r="Y307" s="0" t="n">
        <v>10</v>
      </c>
      <c r="Z307" s="0" t="n">
        <v>160</v>
      </c>
      <c r="AA307" s="3" t="n">
        <f aca="false">IF(AND(W307&gt;0,Z307&gt;0),(Z307/((W307+X307)*10)),"")</f>
        <v>0.0842105263157895</v>
      </c>
      <c r="AB307" s="0" t="n">
        <v>62</v>
      </c>
      <c r="AC307" s="0" t="n">
        <f aca="false">ROUND(AB307*1.6, 0)</f>
        <v>99</v>
      </c>
      <c r="AF307" s="0" t="n">
        <f aca="false">113.7/9</f>
        <v>12.6333333333333</v>
      </c>
      <c r="AG307" s="0" t="n">
        <v>12.6</v>
      </c>
      <c r="AH307" s="0" t="n">
        <v>2.6</v>
      </c>
      <c r="AI307" s="0" t="n">
        <v>2.8</v>
      </c>
      <c r="AJ307" s="4" t="n">
        <v>119</v>
      </c>
      <c r="AK307" s="0" t="str">
        <f aca="false">CONCATENATE(VLOOKUP(AL307, 'Voxel Sizes'!$A$2:$B$18,2,FALSE()),"x",INT(AH307*15), "x", INT(AI307*15))</f>
        <v>120x39x42</v>
      </c>
      <c r="AL307" s="0" t="n">
        <f aca="false">ROUND(15*((AG307*10)/256),0)</f>
        <v>7</v>
      </c>
      <c r="AN307" s="0" t="str">
        <f aca="false">CONCATENATE(VLOOKUP(AL307,Constants!$A$2:$C$16,IF(AM307&lt;&gt;"", 3, 2), FALSE()),IF(AM307&lt;&gt;"",CONCATENATE(",",VLOOKUP(AM307,$B:$AN,39,FALSE())),""))</f>
        <v>2,3,2</v>
      </c>
      <c r="AR307" s="0" t="s">
        <v>1136</v>
      </c>
      <c r="AT307" s="0" t="s">
        <v>1137</v>
      </c>
      <c r="AX307" s="0" t="n">
        <v>32</v>
      </c>
      <c r="AY307" s="16" t="str">
        <f aca="false">IF(L307&lt;&gt;"",MAX(16,(L307-J307)+8),"")</f>
        <v/>
      </c>
      <c r="AZ307" s="0" t="n">
        <v>-25</v>
      </c>
      <c r="BB307" s="0" t="n">
        <f aca="false">MIN(AB307/150, 1)*30</f>
        <v>12.4</v>
      </c>
      <c r="BC307" s="0" t="n">
        <f aca="false">MIN(N307/4000, 1)*20</f>
        <v>17</v>
      </c>
      <c r="BD307" s="0" t="n">
        <f aca="false">MIN(Z307/400,1)*20</f>
        <v>8</v>
      </c>
      <c r="BE307" s="3" t="n">
        <f aca="false">1-(MAX(J307-1900, 0)/750)</f>
        <v>0.833333333333333</v>
      </c>
      <c r="BF307" s="0" t="n">
        <f aca="false">((MAX($M307,1)*MIN($AJ307/300,1)))*IF(G307="Wagon",50,10)</f>
        <v>35.7</v>
      </c>
      <c r="BG307" s="0" t="n">
        <f aca="false">VLOOKUP($H307,Constants!$I:$K, 2, FALSE())</f>
        <v>0.9</v>
      </c>
      <c r="BH307" s="0" t="n">
        <f aca="false">VLOOKUP($H307,Constants!$I:$K, 3, FALSE())*IF(AND(G307="multiple_unit",AB307&lt;110),0.75,1)</f>
        <v>1.2</v>
      </c>
      <c r="BI307" s="0" t="n">
        <f aca="false">INT(POWER(((Constants!$G$2+$BB307+$BC307+$BD307+$BF307)*$BE307)*$BH307, 1.05))+$BA307</f>
        <v>97</v>
      </c>
      <c r="BJ307" s="0" t="n">
        <f aca="false">INT(POWER((((Constants!$G$1+$BB307+$BC307+$BD307+$BF307)*($BE307))*$BG307),IF($G307="wagon",1,1.2)))+$AZ307</f>
        <v>127</v>
      </c>
      <c r="BK307" s="17" t="n">
        <f aca="false">BI307*IF($G307="wagon",62.5,781.25)</f>
        <v>75781.25</v>
      </c>
      <c r="BL307" s="17" t="n">
        <f aca="false">BJ307*IF($G307="wagon",2.73,81.25)</f>
        <v>10318.75</v>
      </c>
      <c r="BV307" s="0" t="n">
        <v>6</v>
      </c>
      <c r="BW307" s="0" t="n">
        <v>120</v>
      </c>
      <c r="BZ307" s="0" t="s">
        <v>148</v>
      </c>
      <c r="CA307" s="0" t="str">
        <f aca="false">VLOOKUP(J307,Eras!$A$2:$C$10, 2, TRUE())</f>
        <v>mod</v>
      </c>
      <c r="CB307" s="0" t="s">
        <v>1061</v>
      </c>
      <c r="CC307" s="0" t="str">
        <f aca="false">CONCATENATE(CA307,"_",CB307)</f>
        <v>mod_LU</v>
      </c>
      <c r="CD307" s="0" t="str">
        <f aca="false">_xlfn.CONCAT(H307, "_",I307)</f>
        <v>tube_FOURTH_RAIL</v>
      </c>
      <c r="CE307" s="6" t="str">
        <f aca="false" t="array" ref="CE307:CE307">_xlfn.CONCAT("{BLACK}Length: {GOLD}", TEXT(ROUNDUP(IF(AQ307&lt;&gt;"",SUM(VALUE(_xlfn.TEXTSPLIT(AQ307, ","))), SUM(VALUE(_xlfn.TEXTSPLIT(AN307, ",")))*IF(M307, M307, 1))/16, 1), "#,##0.0"), " tiles{}")</f>
        <v>{BLACK}Length: {GOLD}4.0 tiles{}</v>
      </c>
      <c r="CF307" s="0" t="str">
        <f aca="false">VLOOKUP($CD307, Constants!$M:$N, 2, FALSE())</f>
        <v>{BLACK}Powered by: {GOLD}630V DC</v>
      </c>
      <c r="CG307" s="0" t="str">
        <f aca="false">IF(M307&gt;1,_xlfn.CONCAT("{BLACK}Cars: {GOLD}", M307),"")</f>
        <v>{BLACK}Cars: {GOLD}9</v>
      </c>
      <c r="CH307" s="0" t="s">
        <v>1138</v>
      </c>
      <c r="CI307" s="0" t="str">
        <f aca="false">IF($BU307="!param_no_gameplay_units","{GREEN}Included for gameplay purposes","")</f>
        <v/>
      </c>
      <c r="CJ307" s="0" t="str">
        <f aca="false">IF(BX307="buffet","{YELLOW}25% long distance bonus for consist{}",IF(BZ307="BRAKE","{YELLOW}Speed bonus for slow wagons{}",IF(BW307&gt;190,CONCATENATE("{YELLOW}",INT((BW307-185)/1.85),"% bonus for long distance travel{}"),IF(AND(BW307&lt;180,BW307&lt;&gt;0),CONCATENATE("{YELLOW}",INT((185-BW307)/1.85),"% penalty for long distance travel{}"),""))))</f>
        <v>{YELLOW}35% penalty for long distance travel{}</v>
      </c>
      <c r="CK307" s="0" t="str">
        <f aca="false">_xlfn.CONCAT(CF307,IF(CF307&lt;&gt;""," ",""),CG307,IF(OR(CG307&lt;&gt;"",CF307&lt;&gt;""),"{}",""),CE307,CJ307,"{SILVER}",CH307,IF(CI307&lt;&gt;"","{}{}",""),CI307)</f>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8" customFormat="false" ht="14.25" hidden="false" customHeight="false" outlineLevel="0" collapsed="false">
      <c r="A308" s="0" t="s">
        <v>1139</v>
      </c>
      <c r="B308" s="15" t="s">
        <v>1140</v>
      </c>
      <c r="C308" s="0" t="n">
        <v>309</v>
      </c>
      <c r="E308" s="0" t="n">
        <v>212</v>
      </c>
      <c r="F308" s="0" t="s">
        <v>143</v>
      </c>
      <c r="G308" s="0" t="s">
        <v>827</v>
      </c>
      <c r="H308" s="0" t="s">
        <v>1060</v>
      </c>
      <c r="I308" s="0" t="s">
        <v>159</v>
      </c>
      <c r="J308" s="0" t="n">
        <v>1980</v>
      </c>
      <c r="M308" s="0" t="n">
        <v>3</v>
      </c>
      <c r="N308" s="0" t="n">
        <v>300</v>
      </c>
      <c r="W308" s="0" t="n">
        <v>60</v>
      </c>
      <c r="Y308" s="0" t="n">
        <v>9</v>
      </c>
      <c r="Z308" s="0" t="n">
        <v>45</v>
      </c>
      <c r="AA308" s="3" t="n">
        <f aca="false">IF(AND(W308&gt;0,Z308&gt;0),(Z308/((W308+X308)*10)),"")</f>
        <v>0.075</v>
      </c>
      <c r="AB308" s="0" t="n">
        <v>34</v>
      </c>
      <c r="AC308" s="0" t="n">
        <f aca="false">ROUND(AB308*1.6, 0)</f>
        <v>54</v>
      </c>
      <c r="AF308" s="0" t="n">
        <v>12.58</v>
      </c>
      <c r="AG308" s="0" t="n">
        <v>12.58</v>
      </c>
      <c r="AH308" s="0" t="n">
        <v>2.34</v>
      </c>
      <c r="AI308" s="0" t="n">
        <v>2.65</v>
      </c>
      <c r="AJ308" s="4" t="n">
        <v>90</v>
      </c>
      <c r="AK308" s="0" t="str">
        <f aca="false">CONCATENATE(VLOOKUP(AL308, 'Voxel Sizes'!$A$2:$B$18,2,FALSE()),"x",INT(AH308*15), "x", INT(AI308*15))</f>
        <v>120x35x39</v>
      </c>
      <c r="AL308" s="0" t="n">
        <f aca="false">ROUND(15*((AG308*10)/256),0)</f>
        <v>7</v>
      </c>
      <c r="AN308" s="0" t="str">
        <f aca="false">CONCATENATE(VLOOKUP(AL308,Constants!$A$2:$C$16,IF(AM308&lt;&gt;"", 3, 2), FALSE()),IF(AM308&lt;&gt;"",CONCATENATE(",",VLOOKUP(AM308,$B:$AN,39,FALSE())),""))</f>
        <v>2,3,2</v>
      </c>
      <c r="AR308" s="0" t="s">
        <v>1141</v>
      </c>
      <c r="AT308" s="0" t="s">
        <v>864</v>
      </c>
      <c r="AX308" s="0" t="n">
        <v>33</v>
      </c>
      <c r="AY308" s="16" t="str">
        <f aca="false">IF(L308&lt;&gt;"",MAX(16,(L308-J308)+8),"")</f>
        <v/>
      </c>
      <c r="BB308" s="0" t="n">
        <f aca="false">MIN(AB308/150, 1)*30</f>
        <v>6.8</v>
      </c>
      <c r="BC308" s="0" t="n">
        <f aca="false">MIN(N308/4000, 1)*20</f>
        <v>1.5</v>
      </c>
      <c r="BD308" s="0" t="n">
        <f aca="false">MIN(Z308/400,1)*20</f>
        <v>2.25</v>
      </c>
      <c r="BE308" s="3" t="n">
        <f aca="false">1-(MAX(J308-1900, 0)/750)</f>
        <v>0.893333333333333</v>
      </c>
      <c r="BF308" s="0" t="n">
        <f aca="false">((MAX($M308,1)*MIN($AJ308/300,1)))*IF(G308="Wagon",50,10)</f>
        <v>9</v>
      </c>
      <c r="BG308" s="0" t="n">
        <f aca="false">VLOOKUP($H308,Constants!$I:$K, 2, FALSE())</f>
        <v>0.9</v>
      </c>
      <c r="BH308" s="0" t="n">
        <f aca="false">VLOOKUP($H308,Constants!$I:$K, 3, FALSE())*IF(AND(G308="multiple_unit",AB308&lt;110),0.75,1)</f>
        <v>1.2</v>
      </c>
      <c r="BI308" s="0" t="n">
        <f aca="false">INT(POWER(((Constants!$G$2+$BB308+$BC308+$BD308+$BF308)*$BE308)*$BH308, 1.05))+$BA308</f>
        <v>30</v>
      </c>
      <c r="BJ308" s="0" t="n">
        <f aca="false">INT(POWER((((Constants!$G$1+$BB308+$BC308+$BD308+$BF308)*($BE308))*$BG308),IF($G308="wagon",1,1.2)))+$AZ308</f>
        <v>54</v>
      </c>
      <c r="BK308" s="17" t="n">
        <f aca="false">BI308*IF($G308="wagon",62.5,781.25)</f>
        <v>23437.5</v>
      </c>
      <c r="BL308" s="17" t="n">
        <f aca="false">BJ308*IF($G308="wagon",2.73,81.25)</f>
        <v>4387.5</v>
      </c>
      <c r="BV308" s="0" t="n">
        <v>5</v>
      </c>
      <c r="BW308" s="0" t="n">
        <v>120</v>
      </c>
      <c r="BZ308" s="0" t="s">
        <v>148</v>
      </c>
      <c r="CA308" s="0" t="str">
        <f aca="false">VLOOKUP(J308,Eras!$A$2:$C$10, 2, TRUE())</f>
        <v>lbr</v>
      </c>
      <c r="CB308" s="0" t="s">
        <v>1061</v>
      </c>
      <c r="CC308" s="0" t="str">
        <f aca="false">CONCATENATE(CA308,"_",CB308)</f>
        <v>lbr_LU</v>
      </c>
      <c r="CD308" s="0" t="str">
        <f aca="false">_xlfn.CONCAT(H308, "_",I308)</f>
        <v>tube_FOURTH_RAIL</v>
      </c>
      <c r="CE308" s="6" t="str">
        <f aca="false" t="array" ref="CE308:CE308">_xlfn.CONCAT("{BLACK}Length: {GOLD}", TEXT(ROUNDUP(IF(AQ308&lt;&gt;"",SUM(VALUE(_xlfn.TEXTSPLIT(AQ308, ","))), SUM(VALUE(_xlfn.TEXTSPLIT(AN308, ",")))*IF(M308, M308, 1))/16, 1), "#,##0.0"), " tiles{}")</f>
        <v>{BLACK}Length: {GOLD}1.4 tiles{}</v>
      </c>
      <c r="CF308" s="0" t="str">
        <f aca="false">VLOOKUP($CD308, Constants!$M:$N, 2, FALSE())</f>
        <v>{BLACK}Powered by: {GOLD}630V DC</v>
      </c>
      <c r="CG308" s="0" t="str">
        <f aca="false">IF(M308&gt;1,_xlfn.CONCAT("{BLACK}Cars: {GOLD}", M308),"")</f>
        <v>{BLACK}Cars: {GOLD}3</v>
      </c>
      <c r="CH308" s="0" t="s">
        <v>1142</v>
      </c>
      <c r="CI308" s="0" t="str">
        <f aca="false">IF($BU308="!param_no_gameplay_units","{GREEN}Included for gameplay purposes","")</f>
        <v/>
      </c>
      <c r="CJ308" s="0" t="str">
        <f aca="false">IF(BX308="buffet","{YELLOW}25% long distance bonus for consist{}",IF(BZ308="BRAKE","{YELLOW}Speed bonus for slow wagons{}",IF(BW308&gt;190,CONCATENATE("{YELLOW}",INT((BW308-185)/1.85),"% bonus for long distance travel{}"),IF(AND(BW308&lt;180,BW308&lt;&gt;0),CONCATENATE("{YELLOW}",INT((185-BW308)/1.85),"% penalty for long distance travel{}"),""))))</f>
        <v>{YELLOW}35% penalty for long distance travel{}</v>
      </c>
      <c r="CK308" s="0" t="str">
        <f aca="false">_xlfn.CONCAT(CF308,IF(CF308&lt;&gt;""," ",""),CG308,IF(OR(CG308&lt;&gt;"",CF308&lt;&gt;""),"{}",""),CE308,CJ308,"{SILVER}",CH308,IF(CI308&lt;&gt;"","{}{}",""),CI308)</f>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09" customFormat="false" ht="13.5" hidden="false" customHeight="true" outlineLevel="0" collapsed="false">
      <c r="A309" s="0" t="s">
        <v>1143</v>
      </c>
      <c r="B309" s="42" t="s">
        <v>1144</v>
      </c>
      <c r="C309" s="0" t="n">
        <v>-1</v>
      </c>
      <c r="E309" s="0" t="n">
        <v>-1</v>
      </c>
      <c r="G309" s="0" t="s">
        <v>38</v>
      </c>
      <c r="H309" s="0" t="s">
        <v>38</v>
      </c>
      <c r="I309" s="0" t="s">
        <v>92</v>
      </c>
      <c r="J309" s="0" t="n">
        <v>1804</v>
      </c>
      <c r="W309" s="0" t="n">
        <v>2</v>
      </c>
      <c r="AA309" s="3" t="str">
        <f aca="false">IF(AND(W309&gt;0,Z309&gt;0),(Z309/((W309+X309)*10)),"")</f>
        <v/>
      </c>
      <c r="AF309" s="0" t="n">
        <v>7.5</v>
      </c>
      <c r="AG309" s="0" t="n">
        <v>5</v>
      </c>
      <c r="AJ309" s="4" t="n">
        <v>0</v>
      </c>
      <c r="AK309" s="16" t="str">
        <f aca="false">CONCATENATE(VLOOKUP(AL309, '[2]Voxel Sizes'!$A$2:$B$18,2,FALSE()),"x",INT(AH309*15), "x", INT(AI309*15))</f>
        <v>51x0x0</v>
      </c>
      <c r="AL309" s="16" t="n">
        <f aca="false">ROUND(15*((AG309*10)/256),0)</f>
        <v>3</v>
      </c>
      <c r="AN309" s="16" t="str">
        <f aca="false">CONCATENATE(VLOOKUP(AL309,[2]Constants!$A$2:$C$16,IF(AM309&lt;&gt;"", 3, 2), FALSE()),IF(AM309&lt;&gt;"",CONCATENATE(",",VLOOKUP(AM309,$B:$AN,39,FALSE())),""))</f>
        <v>1,1,1</v>
      </c>
      <c r="AX309" s="0" t="n">
        <v>30</v>
      </c>
      <c r="AY309" s="16" t="str">
        <f aca="false">IF(L309&lt;&gt;"",MAX(16,(L309-J309)+8),"")</f>
        <v/>
      </c>
      <c r="BB309" s="43" t="n">
        <f aca="false">MIN(AB309/150, 1)*30</f>
        <v>0</v>
      </c>
      <c r="BC309" s="43" t="n">
        <f aca="false">MIN(N309/4000, 1)*20</f>
        <v>0</v>
      </c>
      <c r="BD309" s="43" t="n">
        <f aca="false">MIN(Z309/400,1)*20</f>
        <v>0</v>
      </c>
      <c r="BE309" s="44" t="n">
        <f aca="false">1-(MAX(J309-1900, 0)/750)</f>
        <v>1</v>
      </c>
      <c r="BF309" s="43" t="n">
        <f aca="false">((MAX($M309,1)*MIN($AJ309/300,1)))*IF(G309="Wagon",50,10)</f>
        <v>0</v>
      </c>
      <c r="BG309" s="43" t="n">
        <f aca="false">VLOOKUP($H309,[2]Constants!$I$1:$K$1048576, 2, FALSE())</f>
        <v>0</v>
      </c>
      <c r="BH309" s="43" t="n">
        <f aca="false">VLOOKUP($H309,[2]Constants!$I$1:$K$1048576, 3, FALSE())*IF(AND(G309="multiple_unit",AB309&lt;110),0.75,1)</f>
        <v>0</v>
      </c>
      <c r="BI309" s="43" t="n">
        <f aca="false">INT(POWER((([2]Constants!$G$2+$BB309+$BC309+$BD309+$BF309)*$BE309)*$BH309, 1.05))+$BA309</f>
        <v>0</v>
      </c>
      <c r="BJ309" s="43" t="n">
        <f aca="false">INT(POWER(((([2]Constants!$G$1+$BB309+$BC309+$BD309+$BF309)*($BE309))*$BG309),IF($G309="wagon",1,1.2)))+$AZ309</f>
        <v>0</v>
      </c>
      <c r="BK309" s="45" t="n">
        <f aca="false">BI309*IF($G309="wagon",62.5,781.25)</f>
        <v>0</v>
      </c>
      <c r="BL309" s="45" t="n">
        <f aca="false">BJ309*IF($G309="wagon",2.73,81.25)</f>
        <v>0</v>
      </c>
      <c r="CA309" s="46" t="str">
        <f aca="false">VLOOKUP(J309,[2]Eras!$A$2:$C$10, 2, TRUE())</f>
        <v>early</v>
      </c>
      <c r="CB309" s="0" t="s">
        <v>439</v>
      </c>
      <c r="CC309" s="46" t="str">
        <f aca="false">CONCATENATE(CA309,"_",CB309)</f>
        <v>early_Mixed Traffic</v>
      </c>
      <c r="CD309" s="46" t="str">
        <f aca="false">_xlfn.CONCAT(H309, "_",I309)</f>
        <v>tender_RAIL</v>
      </c>
      <c r="CE309" s="6" t="str">
        <f aca="false" t="array" ref="CE309:CE309">IF(AN309&lt;&gt;"na", _xlfn.CONCAT("{BLACK}Length: {GOLD}", TEXT(ROUNDUP(IF(AQ309&lt;&gt;"",SUM(VALUE(_xlfn.TEXTSPLIT(AQ309, ","))), SUM(VALUE(_xlfn.TEXTSPLIT(AN309, ",")))*IF(M309, M309, 1))/16, 1),"#,##0.0"), " tiles{}"), "")</f>
        <v>{BLACK}Length: {GOLD}0.2 tiles{}</v>
      </c>
      <c r="CF309" s="46" t="str">
        <f aca="false">VLOOKUP($CD309, [2]Constants!$M$1:$N$1048576, 2, FALSE())</f>
        <v/>
      </c>
      <c r="CG309" s="46" t="str">
        <f aca="false">IF(AND(L309&gt;1,BN309&lt;&gt;1),_xlfn.CONCAT("{BLACK}Cars: {GOLD}", L309),"")</f>
        <v/>
      </c>
      <c r="CI309" s="0" t="str">
        <f aca="false">IF($BU309="!param_no_gameplay_units","{GREEN}Included for gameplay purposes","")</f>
        <v/>
      </c>
      <c r="CJ309" s="0" t="str">
        <f aca="false">IF(BX309="buffet","{YELLOW}25% long distance bonus for consist{}",IF(BY309="DANDY","{YELLOW}Faster downhill speeds for horse-drawn trains (1 required per 2 horses){}",IF(BY309="BRAKE","{YELLOW}Speed bonus for slow wagons{}",IF(BY309="NGPassengers","{YELLOW}Preserved railway bonus: passengers pay more when hauled by old locomotives{}",IF(AND(BW309&gt;190,NOT(AND(I309="NARROW_GAUGE",BY309&lt;&gt;"PASS"))),CONCATENATE("{YELLOW}",INT((BW309-185)/1.85),"% bonus for long distance travel{}"),IF(AND(BW309&lt;180,BW309&lt;&gt;0),CONCATENATE("{YELLOW}",INT((185-BW309)/1.85),"% penalty for long distance travel{}"),""))))))</f>
        <v/>
      </c>
      <c r="CK309" s="0" t="str">
        <f aca="false">_xlfn.CONCAT(CF309,IF(CF309&lt;&gt;""," ",""),CG309,IF(OR(CG309&lt;&gt;"",CF309&lt;&gt;""),"{}",""),CE309,CJ309,"{SILVER}",CH309,IF(CI309&lt;&gt;"","{}{}",""),CI309)</f>
        <v>{BLACK}Length: {GOLD}0.2 tiles{}{SILVER}</v>
      </c>
    </row>
    <row r="310" customFormat="false" ht="13.5" hidden="false" customHeight="true" outlineLevel="0" collapsed="false">
      <c r="A310" s="0" t="s">
        <v>1145</v>
      </c>
      <c r="B310" s="42" t="s">
        <v>1146</v>
      </c>
      <c r="C310" s="0" t="n">
        <v>-1</v>
      </c>
      <c r="E310" s="0" t="n">
        <v>-1</v>
      </c>
      <c r="G310" s="0" t="s">
        <v>38</v>
      </c>
      <c r="H310" s="0" t="s">
        <v>38</v>
      </c>
      <c r="I310" s="0" t="s">
        <v>92</v>
      </c>
      <c r="J310" s="0" t="n">
        <v>1870</v>
      </c>
      <c r="W310" s="0" t="n">
        <v>20</v>
      </c>
      <c r="AA310" s="3" t="str">
        <f aca="false">IF(AND(W310&gt;0,Z310&gt;0),(Z310/((W310+X310)*10)),"")</f>
        <v/>
      </c>
      <c r="AF310" s="0" t="n">
        <v>7.5</v>
      </c>
      <c r="AG310" s="0" t="n">
        <v>8</v>
      </c>
      <c r="AJ310" s="4" t="n">
        <v>0</v>
      </c>
      <c r="AK310" s="16" t="str">
        <f aca="false">CONCATENATE(VLOOKUP(AL310, '[2]Voxel Sizes'!$A$2:$B$18,2,FALSE()),"x",INT(AH310*15), "x", INT(AI310*15))</f>
        <v>82x0x0</v>
      </c>
      <c r="AL310" s="16" t="n">
        <f aca="false">ROUND(15*((AG310*10)/256),0)</f>
        <v>5</v>
      </c>
      <c r="AN310" s="16" t="str">
        <f aca="false">CONCATENATE(VLOOKUP(AL310,[2]Constants!$A$2:$C$16,IF(AM310&lt;&gt;"", 3, 2), FALSE()),IF(AM310&lt;&gt;"",CONCATENATE(",",VLOOKUP(AM310,$B:$AN,39,FALSE())),""))</f>
        <v>2,1,2</v>
      </c>
      <c r="AX310" s="0" t="n">
        <v>30</v>
      </c>
      <c r="AY310" s="16" t="str">
        <f aca="false">IF(L310&lt;&gt;"",MAX(16,(L310-J310)+8),"")</f>
        <v/>
      </c>
      <c r="BB310" s="43" t="n">
        <f aca="false">MIN(AB310/150, 1)*30</f>
        <v>0</v>
      </c>
      <c r="BC310" s="43" t="n">
        <f aca="false">MIN(N310/4000, 1)*20</f>
        <v>0</v>
      </c>
      <c r="BD310" s="43" t="n">
        <f aca="false">MIN(Z310/400,1)*20</f>
        <v>0</v>
      </c>
      <c r="BE310" s="44" t="n">
        <f aca="false">1-(MAX(J310-1900, 0)/750)</f>
        <v>1</v>
      </c>
      <c r="BF310" s="43" t="n">
        <f aca="false">((MAX($M310,1)*MIN($AJ310/300,1)))*IF(G310="Wagon",50,10)</f>
        <v>0</v>
      </c>
      <c r="BG310" s="43" t="n">
        <f aca="false">VLOOKUP($H310,[2]Constants!$I$1:$K$1048576, 2, FALSE())</f>
        <v>0</v>
      </c>
      <c r="BH310" s="43" t="n">
        <f aca="false">VLOOKUP($H310,[2]Constants!$I$1:$K$1048576, 3, FALSE())*IF(AND(G310="multiple_unit",AB310&lt;110),0.75,1)</f>
        <v>0</v>
      </c>
      <c r="BI310" s="43" t="n">
        <f aca="false">INT(POWER((([2]Constants!$G$2+$BB310+$BC310+$BD310+$BF310)*$BE310)*$BH310, 1.05))+$BA310</f>
        <v>0</v>
      </c>
      <c r="BJ310" s="43" t="n">
        <f aca="false">INT(POWER(((([2]Constants!$G$1+$BB310+$BC310+$BD310+$BF310)*($BE310))*$BG310),IF($G310="wagon",1,1.2)))+$AZ310</f>
        <v>0</v>
      </c>
      <c r="BK310" s="45" t="n">
        <f aca="false">BI310*IF($G310="wagon",62.5,781.25)</f>
        <v>0</v>
      </c>
      <c r="BL310" s="45" t="n">
        <f aca="false">BJ310*IF($G310="wagon",2.73,81.25)</f>
        <v>0</v>
      </c>
      <c r="CA310" s="46" t="str">
        <f aca="false">VLOOKUP(J310,[2]Eras!$A$2:$C$10, 2, TRUE())</f>
        <v>vct</v>
      </c>
      <c r="CB310" s="0" t="s">
        <v>439</v>
      </c>
      <c r="CC310" s="46" t="str">
        <f aca="false">CONCATENATE(CA310,"_",CB310)</f>
        <v>vct_Mixed Traffic</v>
      </c>
      <c r="CD310" s="46" t="str">
        <f aca="false">_xlfn.CONCAT(H310, "_",I310)</f>
        <v>tender_RAIL</v>
      </c>
      <c r="CE310" s="6" t="str">
        <f aca="false" t="array" ref="CE310:CE310">IF(AN310&lt;&gt;"na", _xlfn.CONCAT("{BLACK}Length: {GOLD}", TEXT(ROUNDUP(IF(AQ310&lt;&gt;"",SUM(VALUE(_xlfn.TEXTSPLIT(AQ310, ","))), SUM(VALUE(_xlfn.TEXTSPLIT(AN310, ",")))*IF(M310, M310, 1))/16, 1),"#,##0.0"), " tiles{}"), "")</f>
        <v>{BLACK}Length: {GOLD}0.4 tiles{}</v>
      </c>
      <c r="CF310" s="46" t="str">
        <f aca="false">VLOOKUP($CD310, [2]Constants!$M$1:$N$1048576, 2, FALSE())</f>
        <v/>
      </c>
      <c r="CG310" s="46" t="str">
        <f aca="false">IF(AND(L310&gt;1,BN310&lt;&gt;1),_xlfn.CONCAT("{BLACK}Cars: {GOLD}", L310),"")</f>
        <v/>
      </c>
      <c r="CI310" s="0" t="str">
        <f aca="false">IF($BU310="!param_no_gameplay_units","{GREEN}Included for gameplay purposes","")</f>
        <v/>
      </c>
      <c r="CJ310" s="0" t="str">
        <f aca="false">IF(BX310="buffet","{YELLOW}25% long distance bonus for consist{}",IF(BY310="DANDY","{YELLOW}Faster downhill speeds for horse-drawn trains (1 required per 2 horses){}",IF(BY310="BRAKE","{YELLOW}Speed bonus for slow wagons{}",IF(BY310="NGPassengers","{YELLOW}Preserved railway bonus: passengers pay more when hauled by old locomotives{}",IF(AND(BW310&gt;190,NOT(AND(I310="NARROW_GAUGE",BY310&lt;&gt;"PASS"))),CONCATENATE("{YELLOW}",INT((BW310-185)/1.85),"% bonus for long distance travel{}"),IF(AND(BW310&lt;180,BW310&lt;&gt;0),CONCATENATE("{YELLOW}",INT((185-BW310)/1.85),"% penalty for long distance travel{}"),""))))))</f>
        <v/>
      </c>
      <c r="CK310" s="0" t="str">
        <f aca="false">_xlfn.CONCAT(CF310,IF(CF310&lt;&gt;""," ",""),CG310,IF(OR(CG310&lt;&gt;"",CF310&lt;&gt;""),"{}",""),CE310,CJ310,"{SILVER}",CH310,IF(CI310&lt;&gt;"","{}{}",""),CI310)</f>
        <v>{BLACK}Length: {GOLD}0.4 tiles{}{SILVER}</v>
      </c>
    </row>
    <row r="311" customFormat="false" ht="13.5" hidden="false" customHeight="true" outlineLevel="0" collapsed="false">
      <c r="A311" s="0" t="s">
        <v>1147</v>
      </c>
      <c r="B311" s="42" t="s">
        <v>1148</v>
      </c>
      <c r="C311" s="0" t="n">
        <v>-1</v>
      </c>
      <c r="E311" s="0" t="n">
        <v>-1</v>
      </c>
      <c r="G311" s="0" t="s">
        <v>38</v>
      </c>
      <c r="H311" s="0" t="s">
        <v>38</v>
      </c>
      <c r="I311" s="0" t="s">
        <v>92</v>
      </c>
      <c r="J311" s="0" t="n">
        <v>1874</v>
      </c>
      <c r="W311" s="0" t="n">
        <v>20</v>
      </c>
      <c r="AA311" s="3" t="str">
        <f aca="false">IF(AND(W311&gt;0,Z311&gt;0),(Z311/((W311+X311)*10)),"")</f>
        <v/>
      </c>
      <c r="AF311" s="0" t="n">
        <v>7.5</v>
      </c>
      <c r="AG311" s="0" t="n">
        <v>8</v>
      </c>
      <c r="AJ311" s="4" t="n">
        <v>0</v>
      </c>
      <c r="AK311" s="16" t="str">
        <f aca="false">CONCATENATE(VLOOKUP(AL311, '[2]Voxel Sizes'!$A$2:$B$18,2,FALSE()),"x",INT(AH311*15), "x", INT(AI311*15))</f>
        <v>82x0x0</v>
      </c>
      <c r="AL311" s="16" t="n">
        <f aca="false">ROUND(15*((AG311*10)/256),0)</f>
        <v>5</v>
      </c>
      <c r="AN311" s="16" t="str">
        <f aca="false">CONCATENATE(VLOOKUP(AL311,[2]Constants!$A$2:$C$16,IF(AM311&lt;&gt;"", 3, 2), FALSE()),IF(AM311&lt;&gt;"",CONCATENATE(",",VLOOKUP(AM311,$B:$AN,39,FALSE())),""))</f>
        <v>2,1,2</v>
      </c>
      <c r="AX311" s="0" t="n">
        <v>30</v>
      </c>
      <c r="AY311" s="16" t="str">
        <f aca="false">IF(L311&lt;&gt;"",MAX(16,(L311-J311)+8),"")</f>
        <v/>
      </c>
      <c r="BB311" s="43" t="n">
        <f aca="false">MIN(AB311/150, 1)*30</f>
        <v>0</v>
      </c>
      <c r="BC311" s="43" t="n">
        <f aca="false">MIN(N311/4000, 1)*20</f>
        <v>0</v>
      </c>
      <c r="BD311" s="43" t="n">
        <f aca="false">MIN(Z311/400,1)*20</f>
        <v>0</v>
      </c>
      <c r="BE311" s="44" t="n">
        <f aca="false">1-(MAX(J311-1900, 0)/750)</f>
        <v>1</v>
      </c>
      <c r="BF311" s="43" t="n">
        <f aca="false">((MAX($M311,1)*MIN($AJ311/300,1)))*IF(G311="Wagon",50,10)</f>
        <v>0</v>
      </c>
      <c r="BG311" s="43" t="n">
        <f aca="false">VLOOKUP($H311,[2]Constants!$I$1:$K$1048576, 2, FALSE())</f>
        <v>0</v>
      </c>
      <c r="BH311" s="43" t="n">
        <f aca="false">VLOOKUP($H311,[2]Constants!$I$1:$K$1048576, 3, FALSE())*IF(AND(G311="multiple_unit",AB311&lt;110),0.75,1)</f>
        <v>0</v>
      </c>
      <c r="BI311" s="43" t="n">
        <f aca="false">INT(POWER((([2]Constants!$G$2+$BB311+$BC311+$BD311+$BF311)*$BE311)*$BH311, 1.05))+$BA311</f>
        <v>0</v>
      </c>
      <c r="BJ311" s="43" t="n">
        <f aca="false">INT(POWER(((([2]Constants!$G$1+$BB311+$BC311+$BD311+$BF311)*($BE311))*$BG311),IF($G311="wagon",1,1.2)))+$AZ311</f>
        <v>0</v>
      </c>
      <c r="BK311" s="45" t="n">
        <f aca="false">BI311*IF($G311="wagon",62.5,781.25)</f>
        <v>0</v>
      </c>
      <c r="BL311" s="45" t="n">
        <f aca="false">BJ311*IF($G311="wagon",2.73,81.25)</f>
        <v>0</v>
      </c>
      <c r="CA311" s="46" t="str">
        <f aca="false">VLOOKUP(J311,[2]Eras!$A$2:$C$10, 2, TRUE())</f>
        <v>vct</v>
      </c>
      <c r="CB311" s="0" t="s">
        <v>439</v>
      </c>
      <c r="CC311" s="46" t="str">
        <f aca="false">CONCATENATE(CA311,"_",CB311)</f>
        <v>vct_Mixed Traffic</v>
      </c>
      <c r="CD311" s="46" t="str">
        <f aca="false">_xlfn.CONCAT(H311, "_",I311)</f>
        <v>tender_RAIL</v>
      </c>
      <c r="CE311" s="6" t="str">
        <f aca="false" t="array" ref="CE311:CE311">IF(AN311&lt;&gt;"na", _xlfn.CONCAT("{BLACK}Length: {GOLD}", TEXT(ROUNDUP(IF(AQ311&lt;&gt;"",SUM(VALUE(_xlfn.TEXTSPLIT(AQ311, ","))), SUM(VALUE(_xlfn.TEXTSPLIT(AN311, ",")))*IF(M311, M311, 1))/16, 1),"#,##0.0"), " tiles{}"), "")</f>
        <v>{BLACK}Length: {GOLD}0.4 tiles{}</v>
      </c>
      <c r="CF311" s="46" t="str">
        <f aca="false">VLOOKUP($CD311, [2]Constants!$M$1:$N$1048576, 2, FALSE())</f>
        <v/>
      </c>
      <c r="CG311" s="46" t="str">
        <f aca="false">IF(AND(L311&gt;1,BN311&lt;&gt;1),_xlfn.CONCAT("{BLACK}Cars: {GOLD}", L311),"")</f>
        <v/>
      </c>
      <c r="CI311" s="0" t="str">
        <f aca="false">IF($BU311="!param_no_gameplay_units","{GREEN}Included for gameplay purposes","")</f>
        <v/>
      </c>
      <c r="CJ311" s="0" t="str">
        <f aca="false">IF(BX311="buffet","{YELLOW}25% long distance bonus for consist{}",IF(BY311="DANDY","{YELLOW}Faster downhill speeds for horse-drawn trains (1 required per 2 horses){}",IF(BY311="BRAKE","{YELLOW}Speed bonus for slow wagons{}",IF(BY311="NGPassengers","{YELLOW}Preserved railway bonus: passengers pay more when hauled by old locomotives{}",IF(AND(BW311&gt;190,NOT(AND(I311="NARROW_GAUGE",BY311&lt;&gt;"PASS"))),CONCATENATE("{YELLOW}",INT((BW311-185)/1.85),"% bonus for long distance travel{}"),IF(AND(BW311&lt;180,BW311&lt;&gt;0),CONCATENATE("{YELLOW}",INT((185-BW311)/1.85),"% penalty for long distance travel{}"),""))))))</f>
        <v/>
      </c>
      <c r="CK311" s="0" t="str">
        <f aca="false">_xlfn.CONCAT(CF311,IF(CF311&lt;&gt;""," ",""),CG311,IF(OR(CG311&lt;&gt;"",CF311&lt;&gt;""),"{}",""),CE311,CJ311,"{SILVER}",CH311,IF(CI311&lt;&gt;"","{}{}",""),CI311)</f>
        <v>{BLACK}Length: {GOLD}0.4 tiles{}{SILVER}</v>
      </c>
    </row>
    <row r="312" customFormat="false" ht="13.5" hidden="false" customHeight="true" outlineLevel="0" collapsed="false">
      <c r="A312" s="0" t="s">
        <v>1149</v>
      </c>
      <c r="B312" s="42" t="s">
        <v>1150</v>
      </c>
      <c r="C312" s="0" t="n">
        <v>-1</v>
      </c>
      <c r="E312" s="0" t="n">
        <v>-1</v>
      </c>
      <c r="G312" s="0" t="s">
        <v>38</v>
      </c>
      <c r="H312" s="0" t="s">
        <v>38</v>
      </c>
      <c r="I312" s="0" t="s">
        <v>92</v>
      </c>
      <c r="J312" s="0" t="n">
        <v>1863</v>
      </c>
      <c r="W312" s="0" t="n">
        <v>4</v>
      </c>
      <c r="AA312" s="3" t="str">
        <f aca="false">IF(AND(W312&gt;0,Z312&gt;0),(Z312/((W312+X312)*10)),"")</f>
        <v/>
      </c>
      <c r="AF312" s="0" t="n">
        <v>7.5</v>
      </c>
      <c r="AG312" s="0" t="n">
        <v>5</v>
      </c>
      <c r="AJ312" s="4" t="n">
        <v>0</v>
      </c>
      <c r="AK312" s="16" t="str">
        <f aca="false">CONCATENATE(VLOOKUP(AL312, '[2]Voxel Sizes'!$A$2:$B$18,2,FALSE()),"x",INT(AH312*15), "x", INT(AI312*15))</f>
        <v>51x0x0</v>
      </c>
      <c r="AL312" s="16" t="n">
        <f aca="false">ROUND(15*((AG312*10)/256),0)</f>
        <v>3</v>
      </c>
      <c r="AN312" s="16" t="str">
        <f aca="false">CONCATENATE(VLOOKUP(AL312,[2]Constants!$A$2:$C$16,IF(AM312&lt;&gt;"", 3, 2), FALSE()),IF(AM312&lt;&gt;"",CONCATENATE(",",VLOOKUP(AM312,$B:$AN,39,FALSE())),""))</f>
        <v>1,1,1</v>
      </c>
      <c r="AX312" s="0" t="n">
        <v>30</v>
      </c>
      <c r="AY312" s="16" t="str">
        <f aca="false">IF(L312&lt;&gt;"",MAX(16,(L312-J312)+8),"")</f>
        <v/>
      </c>
      <c r="BB312" s="43" t="n">
        <f aca="false">MIN(AB312/150, 1)*30</f>
        <v>0</v>
      </c>
      <c r="BC312" s="43" t="n">
        <f aca="false">MIN(N312/4000, 1)*20</f>
        <v>0</v>
      </c>
      <c r="BD312" s="43" t="n">
        <f aca="false">MIN(Z312/400,1)*20</f>
        <v>0</v>
      </c>
      <c r="BE312" s="44" t="n">
        <f aca="false">1-(MAX(J312-1900, 0)/750)</f>
        <v>1</v>
      </c>
      <c r="BF312" s="43" t="n">
        <f aca="false">((MAX($M312,1)*MIN($AJ312/300,1)))*IF(G312="Wagon",50,10)</f>
        <v>0</v>
      </c>
      <c r="BG312" s="43" t="n">
        <f aca="false">VLOOKUP($H312,[2]Constants!$I$1:$K$1048576, 2, FALSE())</f>
        <v>0</v>
      </c>
      <c r="BH312" s="43" t="n">
        <f aca="false">VLOOKUP($H312,[2]Constants!$I$1:$K$1048576, 3, FALSE())*IF(AND(G312="multiple_unit",AB312&lt;110),0.75,1)</f>
        <v>0</v>
      </c>
      <c r="BI312" s="43" t="n">
        <f aca="false">INT(POWER((([2]Constants!$G$2+$BB312+$BC312+$BD312+$BF312)*$BE312)*$BH312, 1.05))+$BA312</f>
        <v>0</v>
      </c>
      <c r="BJ312" s="43" t="n">
        <f aca="false">INT(POWER(((([2]Constants!$G$1+$BB312+$BC312+$BD312+$BF312)*($BE312))*$BG312),IF($G312="wagon",1,1.2)))+$AZ312</f>
        <v>0</v>
      </c>
      <c r="BK312" s="45" t="n">
        <f aca="false">BI312*IF($G312="wagon",62.5,781.25)</f>
        <v>0</v>
      </c>
      <c r="BL312" s="45" t="n">
        <f aca="false">BJ312*IF($G312="wagon",2.73,81.25)</f>
        <v>0</v>
      </c>
      <c r="CA312" s="46" t="str">
        <f aca="false">VLOOKUP(J312,[2]Eras!$A$2:$C$10, 2, TRUE())</f>
        <v>vct</v>
      </c>
      <c r="CB312" s="0" t="s">
        <v>439</v>
      </c>
      <c r="CC312" s="46" t="str">
        <f aca="false">CONCATENATE(CA312,"_",CB312)</f>
        <v>vct_Mixed Traffic</v>
      </c>
      <c r="CD312" s="46" t="str">
        <f aca="false">_xlfn.CONCAT(H312, "_",I312)</f>
        <v>tender_RAIL</v>
      </c>
      <c r="CE312" s="6" t="str">
        <f aca="false" t="array" ref="CE312:CE312">IF(AN312&lt;&gt;"na", _xlfn.CONCAT("{BLACK}Length: {GOLD}", TEXT(ROUNDUP(IF(AQ312&lt;&gt;"",SUM(VALUE(_xlfn.TEXTSPLIT(AQ312, ","))), SUM(VALUE(_xlfn.TEXTSPLIT(AN312, ",")))*IF(M312, M312, 1))/16, 1),"#,##0.0"), " tiles{}"), "")</f>
        <v>{BLACK}Length: {GOLD}0.2 tiles{}</v>
      </c>
      <c r="CF312" s="46" t="str">
        <f aca="false">VLOOKUP($CD312, [2]Constants!$M$1:$N$1048576, 2, FALSE())</f>
        <v/>
      </c>
      <c r="CG312" s="46" t="str">
        <f aca="false">IF(AND(L312&gt;1,BN312&lt;&gt;1),_xlfn.CONCAT("{BLACK}Cars: {GOLD}", L312),"")</f>
        <v/>
      </c>
      <c r="CI312" s="0" t="str">
        <f aca="false">IF($BU312="!param_no_gameplay_units","{GREEN}Included for gameplay purposes","")</f>
        <v/>
      </c>
      <c r="CJ312" s="0" t="str">
        <f aca="false">IF(BX312="buffet","{YELLOW}25% long distance bonus for consist{}",IF(BY312="DANDY","{YELLOW}Faster downhill speeds for horse-drawn trains (1 required per 2 horses){}",IF(BY312="BRAKE","{YELLOW}Speed bonus for slow wagons{}",IF(BY312="NGPassengers","{YELLOW}Preserved railway bonus: passengers pay more when hauled by old locomotives{}",IF(AND(BW312&gt;190,NOT(AND(I312="NARROW_GAUGE",BY312&lt;&gt;"PASS"))),CONCATENATE("{YELLOW}",INT((BW312-185)/1.85),"% bonus for long distance travel{}"),IF(AND(BW312&lt;180,BW312&lt;&gt;0),CONCATENATE("{YELLOW}",INT((185-BW312)/1.85),"% penalty for long distance travel{}"),""))))))</f>
        <v/>
      </c>
      <c r="CK312" s="0" t="str">
        <f aca="false">_xlfn.CONCAT(CF312,IF(CF312&lt;&gt;""," ",""),CG312,IF(OR(CG312&lt;&gt;"",CF312&lt;&gt;""),"{}",""),CE312,CJ312,"{SILVER}",CH312,IF(CI312&lt;&gt;"","{}{}",""),CI312)</f>
        <v>{BLACK}Length: {GOLD}0.2 tiles{}{SILVER}</v>
      </c>
    </row>
    <row r="313" customFormat="false" ht="14.25" hidden="false" customHeight="false" outlineLevel="0" collapsed="false">
      <c r="A313" s="0" t="s">
        <v>1151</v>
      </c>
      <c r="B313" s="42" t="s">
        <v>1152</v>
      </c>
      <c r="C313" s="0" t="n">
        <v>-1</v>
      </c>
      <c r="E313" s="0" t="n">
        <v>-1</v>
      </c>
      <c r="G313" s="0" t="s">
        <v>38</v>
      </c>
      <c r="H313" s="0" t="s">
        <v>38</v>
      </c>
      <c r="I313" s="0" t="s">
        <v>92</v>
      </c>
      <c r="J313" s="0" t="n">
        <v>1840</v>
      </c>
      <c r="W313" s="0" t="n">
        <v>5</v>
      </c>
      <c r="AA313" s="3" t="str">
        <f aca="false">IF(AND(W313&gt;0,Z313&gt;0),(Z313/((W313+X313)*10)),"")</f>
        <v/>
      </c>
      <c r="AF313" s="0" t="n">
        <v>7.5</v>
      </c>
      <c r="AG313" s="0" t="n">
        <v>6</v>
      </c>
      <c r="AJ313" s="4" t="n">
        <v>0</v>
      </c>
      <c r="AK313" s="16" t="str">
        <f aca="false">CONCATENATE(VLOOKUP(AL313, '[2]Voxel Sizes'!$A$2:$B$18,2,FALSE()),"x",INT(AH313*15), "x", INT(AI313*15))</f>
        <v>66x0x0</v>
      </c>
      <c r="AL313" s="16" t="n">
        <f aca="false">ROUND(15*((AG313*10)/256),0)</f>
        <v>4</v>
      </c>
      <c r="AN313" s="16" t="str">
        <f aca="false">CONCATENATE(VLOOKUP(AL313,[2]Constants!$A$2:$C$16,IF(AM313&lt;&gt;"", 3, 2), FALSE()),IF(AM313&lt;&gt;"",CONCATENATE(",",VLOOKUP(AM313,$B:$AN,39,FALSE())),""))</f>
        <v>1,2,1</v>
      </c>
      <c r="AX313" s="0" t="n">
        <v>30</v>
      </c>
      <c r="AY313" s="16" t="str">
        <f aca="false">IF(L313&lt;&gt;"",MAX(16,(L313-J313)+8),"")</f>
        <v/>
      </c>
      <c r="BB313" s="43" t="n">
        <f aca="false">MIN(AB313/150, 1)*30</f>
        <v>0</v>
      </c>
      <c r="BC313" s="43" t="n">
        <f aca="false">MIN(N313/4000, 1)*20</f>
        <v>0</v>
      </c>
      <c r="BD313" s="43" t="n">
        <f aca="false">MIN(Z313/400,1)*20</f>
        <v>0</v>
      </c>
      <c r="BE313" s="3" t="n">
        <f aca="false">1-(MAX(J313-1900, 0)/750)</f>
        <v>1</v>
      </c>
      <c r="BF313" s="43" t="n">
        <f aca="false">((MAX($M313,1)*MIN($AJ313/300,1)))*IF(G313="Wagon",50,10)</f>
        <v>0</v>
      </c>
      <c r="BG313" s="43" t="n">
        <v>0</v>
      </c>
      <c r="BH313" s="43" t="n">
        <v>0</v>
      </c>
      <c r="BI313" s="43" t="n">
        <v>0</v>
      </c>
      <c r="BJ313" s="43" t="n">
        <v>0</v>
      </c>
      <c r="BK313" s="17" t="n">
        <f aca="false">BI313*IF($G313="wagon",62.5,781.25)</f>
        <v>0</v>
      </c>
      <c r="BL313" s="17" t="n">
        <f aca="false">BJ313*IF($G313="wagon",2.73,81.25)</f>
        <v>0</v>
      </c>
      <c r="CA313" s="46" t="s">
        <v>1153</v>
      </c>
      <c r="CC313" s="46" t="str">
        <f aca="false">CONCATENATE(CA313,"_",CB313)</f>
        <v>early_</v>
      </c>
      <c r="CD313" s="46" t="str">
        <f aca="false">_xlfn.CONCAT(H313, "_",I313)</f>
        <v>tender_RAIL</v>
      </c>
      <c r="CE313" s="6" t="str">
        <f aca="false" t="array" ref="CE313:CE313">IF(AN313&lt;&gt;"na", _xlfn.CONCAT("{BLACK}Length: {GOLD}", TEXT(ROUNDUP(IF(AQ313&lt;&gt;"",SUM(VALUE(_xlfn.TEXTSPLIT(AQ313, ","))), SUM(VALUE(_xlfn.TEXTSPLIT(AN313, ",")))*IF(M313, M313, 1))/16, 1),"#,##0.0"), " tiles{}"), "")</f>
        <v>{BLACK}Length: {GOLD}0.3 tiles{}</v>
      </c>
      <c r="CF313" s="46" t="str">
        <f aca="false">VLOOKUP($CD313, [2]Constants!$M$1:$N$1048576, 2, FALSE())</f>
        <v/>
      </c>
      <c r="CG313" s="46" t="str">
        <f aca="false">IF(AND(L313&gt;1,BN313&lt;&gt;1),_xlfn.CONCAT("{BLACK}Cars: {GOLD}", L313),"")</f>
        <v/>
      </c>
      <c r="CI313" s="0" t="str">
        <f aca="false">IF($BU313="!param_no_gameplay_units","{GREEN}Included for gameplay purposes","")</f>
        <v/>
      </c>
      <c r="CJ313" s="0" t="str">
        <f aca="false">IF(BX313="buffet","{YELLOW}25% long distance bonus for consist{}",IF(BY313="DANDY","{YELLOW}Faster downhill speeds for horse-drawn trains (1 required per 2 horses){}",IF(BY313="BRAKE","{YELLOW}Speed bonus for slow wagons{}",IF(BY313="NGPassengers","{YELLOW}Preserved railway bonus: passengers pay more when hauled by old locomotives{}",IF(AND(BW313&gt;190,NOT(AND(I313="NARROW_GAUGE",BY313&lt;&gt;"PASS"))),CONCATENATE("{YELLOW}",INT((BW313-185)/1.85),"% bonus for long distance travel{}"),IF(AND(BW313&lt;180,BW313&lt;&gt;0),CONCATENATE("{YELLOW}",INT((185-BW313)/1.85),"% penalty for long distance travel{}"),""))))))</f>
        <v/>
      </c>
      <c r="CK313" s="0" t="str">
        <f aca="false">_xlfn.CONCAT(CF313,IF(CF313&lt;&gt;""," ",""),CG313,IF(OR(CG313&lt;&gt;"",CF313&lt;&gt;""),"{}",""),CE313,CJ313,"{SILVER}",CH313,IF(CI313&lt;&gt;"","{}{}",""),CI313)</f>
        <v>{BLACK}Length: {GOLD}0.3 tiles{}{SILVER}</v>
      </c>
    </row>
    <row r="314" customFormat="false" ht="14.25" hidden="false" customHeight="false" outlineLevel="0" collapsed="false">
      <c r="A314" s="0" t="s">
        <v>1154</v>
      </c>
      <c r="B314" s="42" t="s">
        <v>1155</v>
      </c>
      <c r="C314" s="0" t="n">
        <v>-1</v>
      </c>
      <c r="E314" s="0" t="n">
        <v>-1</v>
      </c>
      <c r="G314" s="0" t="s">
        <v>38</v>
      </c>
      <c r="H314" s="0" t="s">
        <v>38</v>
      </c>
      <c r="I314" s="0" t="s">
        <v>92</v>
      </c>
      <c r="J314" s="0" t="n">
        <v>1848</v>
      </c>
      <c r="W314" s="0" t="n">
        <v>20</v>
      </c>
      <c r="AA314" s="3" t="str">
        <f aca="false">IF(AND(W314&gt;0,Z314&gt;0),(Z314/((W314+X314)*10)),"")</f>
        <v/>
      </c>
      <c r="AF314" s="0" t="n">
        <v>7.5</v>
      </c>
      <c r="AG314" s="0" t="n">
        <v>6</v>
      </c>
      <c r="AJ314" s="4" t="n">
        <v>0</v>
      </c>
      <c r="AK314" s="16" t="str">
        <f aca="false">CONCATENATE(VLOOKUP(AL314, '[2]Voxel Sizes'!$A$2:$B$18,2,FALSE()),"x",INT(AH314*15), "x", INT(AI314*15))</f>
        <v>66x0x0</v>
      </c>
      <c r="AL314" s="16" t="n">
        <f aca="false">ROUND(15*((AG314*10)/256),0)</f>
        <v>4</v>
      </c>
      <c r="AN314" s="16" t="str">
        <f aca="false">CONCATENATE(VLOOKUP(AL314,[2]Constants!$A$2:$C$16,IF(AM314&lt;&gt;"", 3, 2), FALSE()),IF(AM314&lt;&gt;"",CONCATENATE(",",VLOOKUP(AM314,$B:$AN,39,FALSE())),""))</f>
        <v>1,2,1</v>
      </c>
      <c r="AX314" s="0" t="n">
        <v>30</v>
      </c>
      <c r="AY314" s="16" t="str">
        <f aca="false">IF(L314&lt;&gt;"",MAX(16,(L314-J314)+8),"")</f>
        <v/>
      </c>
      <c r="BB314" s="43" t="n">
        <f aca="false">MIN(AB314/150, 1)*30</f>
        <v>0</v>
      </c>
      <c r="BC314" s="43" t="n">
        <f aca="false">MIN(N314/4000, 1)*20</f>
        <v>0</v>
      </c>
      <c r="BD314" s="43" t="n">
        <f aca="false">MIN(Z314/400,1)*20</f>
        <v>0</v>
      </c>
      <c r="BE314" s="3" t="n">
        <f aca="false">1-(MAX(J314-1900, 0)/750)</f>
        <v>1</v>
      </c>
      <c r="BF314" s="43" t="n">
        <f aca="false">((MAX($M314,1)*MIN($AJ314/300,1)))*IF(G314="Wagon",50,10)</f>
        <v>0</v>
      </c>
      <c r="BG314" s="43" t="n">
        <v>0</v>
      </c>
      <c r="BH314" s="43" t="n">
        <v>0</v>
      </c>
      <c r="BI314" s="43" t="n">
        <v>0</v>
      </c>
      <c r="BJ314" s="43" t="n">
        <v>0</v>
      </c>
      <c r="BK314" s="17" t="n">
        <f aca="false">BI314*IF($G314="wagon",62.5,781.25)</f>
        <v>0</v>
      </c>
      <c r="BL314" s="17" t="n">
        <f aca="false">BJ314*IF($G314="wagon",2.73,81.25)</f>
        <v>0</v>
      </c>
      <c r="CA314" s="46" t="s">
        <v>1153</v>
      </c>
      <c r="CC314" s="46" t="str">
        <f aca="false">CONCATENATE(CA314,"_",CB314)</f>
        <v>early_</v>
      </c>
      <c r="CD314" s="46" t="str">
        <f aca="false">_xlfn.CONCAT(H314, "_",I314)</f>
        <v>tender_RAIL</v>
      </c>
      <c r="CE314" s="6" t="str">
        <f aca="false" t="array" ref="CE314:CE314">IF(AN314&lt;&gt;"na", _xlfn.CONCAT("{BLACK}Length: {GOLD}", TEXT(ROUNDUP(IF(AQ314&lt;&gt;"",SUM(VALUE(_xlfn.TEXTSPLIT(AQ314, ","))), SUM(VALUE(_xlfn.TEXTSPLIT(AN314, ",")))*IF(M314, M314, 1))/16, 1),"#,##0.0"), " tiles{}"), "")</f>
        <v>{BLACK}Length: {GOLD}0.3 tiles{}</v>
      </c>
      <c r="CF314" s="46" t="str">
        <f aca="false">VLOOKUP($CD314, [2]Constants!$M$1:$N$1048576, 2, FALSE())</f>
        <v/>
      </c>
      <c r="CG314" s="46" t="str">
        <f aca="false">IF(AND(L314&gt;1,BN314&lt;&gt;1),_xlfn.CONCAT("{BLACK}Cars: {GOLD}", L314),"")</f>
        <v/>
      </c>
      <c r="CI314" s="0" t="str">
        <f aca="false">IF($BU314="!param_no_gameplay_units","{GREEN}Included for gameplay purposes","")</f>
        <v/>
      </c>
      <c r="CJ314" s="0" t="str">
        <f aca="false">IF(BX314="buffet","{YELLOW}25% long distance bonus for consist{}",IF(BY314="DANDY","{YELLOW}Faster downhill speeds for horse-drawn trains (1 required per 2 horses){}",IF(BY314="BRAKE","{YELLOW}Speed bonus for slow wagons{}",IF(BY314="NGPassengers","{YELLOW}Preserved railway bonus: passengers pay more when hauled by old locomotives{}",IF(AND(BW314&gt;190,NOT(AND(I314="NARROW_GAUGE",BY314&lt;&gt;"PASS"))),CONCATENATE("{YELLOW}",INT((BW314-185)/1.85),"% bonus for long distance travel{}"),IF(AND(BW314&lt;180,BW314&lt;&gt;0),CONCATENATE("{YELLOW}",INT((185-BW314)/1.85),"% penalty for long distance travel{}"),""))))))</f>
        <v/>
      </c>
      <c r="CK314" s="0" t="str">
        <f aca="false">_xlfn.CONCAT(CF314,IF(CF314&lt;&gt;""," ",""),CG314,IF(OR(CG314&lt;&gt;"",CF314&lt;&gt;""),"{}",""),CE314,CJ314,"{SILVER}",CH314,IF(CI314&lt;&gt;"","{}{}",""),CI314)</f>
        <v>{BLACK}Length: {GOLD}0.3 tiles{}{SILVER}</v>
      </c>
    </row>
    <row r="315" customFormat="false" ht="14.25" hidden="false" customHeight="false" outlineLevel="0" collapsed="false">
      <c r="A315" s="0" t="s">
        <v>1156</v>
      </c>
      <c r="B315" s="42" t="s">
        <v>1157</v>
      </c>
      <c r="C315" s="0" t="n">
        <v>-1</v>
      </c>
      <c r="E315" s="0" t="n">
        <v>-1</v>
      </c>
      <c r="G315" s="0" t="s">
        <v>38</v>
      </c>
      <c r="H315" s="0" t="s">
        <v>38</v>
      </c>
      <c r="I315" s="0" t="s">
        <v>92</v>
      </c>
      <c r="J315" s="0" t="n">
        <v>1870</v>
      </c>
      <c r="W315" s="0" t="n">
        <v>42</v>
      </c>
      <c r="AA315" s="3" t="str">
        <f aca="false">IF(AND(W315&gt;0,Z315&gt;0),(Z315/((W315+X315)*10)),"")</f>
        <v/>
      </c>
      <c r="AF315" s="0" t="n">
        <v>7.5</v>
      </c>
      <c r="AG315" s="0" t="n">
        <v>8</v>
      </c>
      <c r="AJ315" s="4" t="n">
        <v>0</v>
      </c>
      <c r="AK315" s="16" t="str">
        <f aca="false">CONCATENATE(VLOOKUP(AL315, '[2]Voxel Sizes'!$A$2:$B$18,2,FALSE()),"x",INT(AH315*15), "x", INT(AI315*15))</f>
        <v>82x0x0</v>
      </c>
      <c r="AL315" s="16" t="n">
        <f aca="false">ROUND(15*((AG315*10)/256),0)</f>
        <v>5</v>
      </c>
      <c r="AN315" s="16" t="str">
        <f aca="false">CONCATENATE(VLOOKUP(AL315,[2]Constants!$A$2:$C$16,IF(AM315&lt;&gt;"", 3, 2), FALSE()),IF(AM315&lt;&gt;"",CONCATENATE(",",VLOOKUP(AM315,$B:$AN,39,FALSE())),""))</f>
        <v>2,1,2</v>
      </c>
      <c r="AX315" s="0" t="n">
        <v>30</v>
      </c>
      <c r="AY315" s="16" t="str">
        <f aca="false">IF(L315&lt;&gt;"",MAX(16,(L315-J315)+8),"")</f>
        <v/>
      </c>
      <c r="BB315" s="43" t="n">
        <f aca="false">MIN(AB315/150, 1)*30</f>
        <v>0</v>
      </c>
      <c r="BC315" s="43" t="n">
        <f aca="false">MIN(N315/4000, 1)*20</f>
        <v>0</v>
      </c>
      <c r="BD315" s="43" t="n">
        <f aca="false">MIN(Z315/400,1)*20</f>
        <v>0</v>
      </c>
      <c r="BE315" s="44" t="n">
        <f aca="false">1-(MAX(J315-1900, 0)/750)</f>
        <v>1</v>
      </c>
      <c r="BF315" s="43" t="n">
        <f aca="false">((MAX($M315,1)*MIN($AJ315/300,1)))*IF(G315="Wagon",50,10)</f>
        <v>0</v>
      </c>
      <c r="BG315" s="43" t="n">
        <f aca="false">VLOOKUP($H315,[2]Constants!$I$1:$K$1048576, 2, FALSE())</f>
        <v>0</v>
      </c>
      <c r="BH315" s="43" t="n">
        <f aca="false">VLOOKUP($H315,[2]Constants!$I$1:$K$1048576, 3, FALSE())*IF(AND(G315="multiple_unit",AB315&lt;110),0.75,1)</f>
        <v>0</v>
      </c>
      <c r="BI315" s="43" t="n">
        <f aca="false">INT(POWER((([2]Constants!$G$2+$BB315+$BC315+$BD315+$BF315)*$BE315)*$BH315, 1.05))+$BA315</f>
        <v>0</v>
      </c>
      <c r="BJ315" s="43" t="n">
        <f aca="false">INT(POWER(((([2]Constants!$G$1+$BB315+$BC315+$BD315+$BF315)*($BE315))*$BG315),IF($G315="wagon",1,1.2)))+$AZ315</f>
        <v>0</v>
      </c>
      <c r="BK315" s="45" t="n">
        <f aca="false">BI315*IF($G315="wagon",62.5,781.25)</f>
        <v>0</v>
      </c>
      <c r="BL315" s="45" t="n">
        <f aca="false">BJ315*IF($G315="wagon",2.73,81.25)</f>
        <v>0</v>
      </c>
      <c r="CA315" s="46" t="str">
        <f aca="false">VLOOKUP(J315,[2]Eras!$A$2:$C$10, 2, TRUE())</f>
        <v>vct</v>
      </c>
      <c r="CB315" s="0" t="s">
        <v>439</v>
      </c>
      <c r="CC315" s="46" t="str">
        <f aca="false">CONCATENATE(CA315,"_",CB315)</f>
        <v>vct_Mixed Traffic</v>
      </c>
      <c r="CD315" s="46" t="str">
        <f aca="false">_xlfn.CONCAT(H315, "_",I315)</f>
        <v>tender_RAIL</v>
      </c>
      <c r="CE315" s="6" t="str">
        <f aca="false" t="array" ref="CE315:CE315">IF(AN315&lt;&gt;"na", _xlfn.CONCAT("{BLACK}Length: {GOLD}", TEXT(ROUNDUP(IF(AQ315&lt;&gt;"",SUM(VALUE(_xlfn.TEXTSPLIT(AQ315, ","))), SUM(VALUE(_xlfn.TEXTSPLIT(AN315, ",")))*IF(M315, M315, 1))/16, 1),"#,##0.0"), " tiles{}"), "")</f>
        <v>{BLACK}Length: {GOLD}0.4 tiles{}</v>
      </c>
      <c r="CF315" s="46" t="str">
        <f aca="false">VLOOKUP($CD315, [2]Constants!$M$1:$N$1048576, 2, FALSE())</f>
        <v/>
      </c>
      <c r="CG315" s="46" t="str">
        <f aca="false">IF(AND(L315&gt;1,BN315&lt;&gt;1),_xlfn.CONCAT("{BLACK}Cars: {GOLD}", L315),"")</f>
        <v/>
      </c>
      <c r="CI315" s="0" t="str">
        <f aca="false">IF($BU315="!param_no_gameplay_units","{GREEN}Included for gameplay purposes","")</f>
        <v/>
      </c>
      <c r="CJ315" s="0" t="str">
        <f aca="false">IF(BX315="buffet","{YELLOW}25% long distance bonus for consist{}",IF(BY315="DANDY","{YELLOW}Faster downhill speeds for horse-drawn trains (1 required per 2 horses){}",IF(BY315="BRAKE","{YELLOW}Speed bonus for slow wagons{}",IF(BY315="NGPassengers","{YELLOW}Preserved railway bonus: passengers pay more when hauled by old locomotives{}",IF(AND(BW315&gt;190,NOT(AND(I315="NARROW_GAUGE",BY315&lt;&gt;"PASS"))),CONCATENATE("{YELLOW}",INT((BW315-185)/1.85),"% bonus for long distance travel{}"),IF(AND(BW315&lt;180,BW315&lt;&gt;0),CONCATENATE("{YELLOW}",INT((185-BW315)/1.85),"% penalty for long distance travel{}"),""))))))</f>
        <v/>
      </c>
      <c r="CK315" s="0" t="str">
        <f aca="false">_xlfn.CONCAT(CF315,IF(CF315&lt;&gt;""," ",""),CG315,IF(OR(CG315&lt;&gt;"",CF315&lt;&gt;""),"{}",""),CE315,CJ315,"{SILVER}",CH315,IF(CI315&lt;&gt;"","{}{}",""),CI315)</f>
        <v>{BLACK}Length: {GOLD}0.4 tiles{}{SILVER}</v>
      </c>
    </row>
    <row r="316" customFormat="false" ht="14.25" hidden="false" customHeight="false" outlineLevel="0" collapsed="false">
      <c r="A316" s="0" t="s">
        <v>1158</v>
      </c>
      <c r="B316" s="42" t="s">
        <v>1159</v>
      </c>
      <c r="C316" s="0" t="n">
        <v>-1</v>
      </c>
      <c r="E316" s="0" t="n">
        <v>-1</v>
      </c>
      <c r="G316" s="0" t="s">
        <v>38</v>
      </c>
      <c r="H316" s="0" t="s">
        <v>38</v>
      </c>
      <c r="I316" s="0" t="s">
        <v>92</v>
      </c>
      <c r="J316" s="0" t="n">
        <v>1870</v>
      </c>
      <c r="W316" s="0" t="n">
        <v>42</v>
      </c>
      <c r="AA316" s="3" t="str">
        <f aca="false">IF(AND(W316&gt;0,Z316&gt;0),(Z316/((W316+X316)*10)),"")</f>
        <v/>
      </c>
      <c r="AF316" s="0" t="n">
        <v>7.5</v>
      </c>
      <c r="AG316" s="0" t="n">
        <v>8</v>
      </c>
      <c r="AJ316" s="4" t="n">
        <v>0</v>
      </c>
      <c r="AK316" s="16" t="str">
        <f aca="false">CONCATENATE(VLOOKUP(AL316, '[2]Voxel Sizes'!$A$2:$B$18,2,FALSE()),"x",INT(AH316*15), "x", INT(AI316*15))</f>
        <v>82x0x0</v>
      </c>
      <c r="AL316" s="16" t="n">
        <f aca="false">ROUND(15*((AG316*10)/256),0)</f>
        <v>5</v>
      </c>
      <c r="AN316" s="16" t="str">
        <f aca="false">CONCATENATE(VLOOKUP(AL316,[2]Constants!$A$2:$C$16,IF(AM316&lt;&gt;"", 3, 2), FALSE()),IF(AM316&lt;&gt;"",CONCATENATE(",",VLOOKUP(AM316,$B:$AN,39,FALSE())),""))</f>
        <v>2,1,2</v>
      </c>
      <c r="AX316" s="0" t="n">
        <v>30</v>
      </c>
      <c r="AY316" s="16" t="str">
        <f aca="false">IF(L316&lt;&gt;"",MAX(16,(L316-J316)+8),"")</f>
        <v/>
      </c>
      <c r="BB316" s="43" t="n">
        <f aca="false">MIN(AB316/150, 1)*30</f>
        <v>0</v>
      </c>
      <c r="BC316" s="43" t="n">
        <f aca="false">MIN(N316/4000, 1)*20</f>
        <v>0</v>
      </c>
      <c r="BD316" s="43" t="n">
        <f aca="false">MIN(Z316/400,1)*20</f>
        <v>0</v>
      </c>
      <c r="BE316" s="44" t="n">
        <f aca="false">1-(MAX(J316-1900, 0)/750)</f>
        <v>1</v>
      </c>
      <c r="BF316" s="43" t="n">
        <f aca="false">((MAX($M316,1)*MIN($AJ316/300,1)))*IF(G316="Wagon",50,10)</f>
        <v>0</v>
      </c>
      <c r="BG316" s="43" t="n">
        <f aca="false">VLOOKUP($H316,[2]Constants!$I$1:$K$1048576, 2, FALSE())</f>
        <v>0</v>
      </c>
      <c r="BH316" s="43" t="n">
        <f aca="false">VLOOKUP($H316,[2]Constants!$I$1:$K$1048576, 3, FALSE())*IF(AND(G316="multiple_unit",AB316&lt;110),0.75,1)</f>
        <v>0</v>
      </c>
      <c r="BI316" s="43" t="n">
        <f aca="false">INT(POWER((([2]Constants!$G$2+$BB316+$BC316+$BD316+$BF316)*$BE316)*$BH316, 1.05))+$BA316</f>
        <v>0</v>
      </c>
      <c r="BJ316" s="43" t="n">
        <f aca="false">INT(POWER(((([2]Constants!$G$1+$BB316+$BC316+$BD316+$BF316)*($BE316))*$BG316),IF($G316="wagon",1,1.2)))+$AZ316</f>
        <v>0</v>
      </c>
      <c r="BK316" s="45" t="n">
        <f aca="false">BI316*IF($G316="wagon",62.5,781.25)</f>
        <v>0</v>
      </c>
      <c r="BL316" s="45" t="n">
        <f aca="false">BJ316*IF($G316="wagon",2.73,81.25)</f>
        <v>0</v>
      </c>
      <c r="CA316" s="46" t="str">
        <f aca="false">VLOOKUP(J316,[2]Eras!$A$2:$C$10, 2, TRUE())</f>
        <v>vct</v>
      </c>
      <c r="CB316" s="0" t="s">
        <v>439</v>
      </c>
      <c r="CC316" s="46" t="str">
        <f aca="false">CONCATENATE(CA316,"_",CB316)</f>
        <v>vct_Mixed Traffic</v>
      </c>
      <c r="CD316" s="46" t="str">
        <f aca="false">_xlfn.CONCAT(H316, "_",I316)</f>
        <v>tender_RAIL</v>
      </c>
      <c r="CE316" s="6" t="str">
        <f aca="false" t="array" ref="CE316:CE316">IF(AN316&lt;&gt;"na", _xlfn.CONCAT("{BLACK}Length: {GOLD}", TEXT(ROUNDUP(IF(AQ316&lt;&gt;"",SUM(VALUE(_xlfn.TEXTSPLIT(AQ316, ","))), SUM(VALUE(_xlfn.TEXTSPLIT(AN316, ",")))*IF(M316, M316, 1))/16, 1),"#,##0.0"), " tiles{}"), "")</f>
        <v>{BLACK}Length: {GOLD}0.4 tiles{}</v>
      </c>
      <c r="CF316" s="46" t="str">
        <f aca="false">VLOOKUP($CD316, [2]Constants!$M$1:$N$1048576, 2, FALSE())</f>
        <v/>
      </c>
      <c r="CG316" s="46" t="str">
        <f aca="false">IF(AND(L316&gt;1,BN316&lt;&gt;1),_xlfn.CONCAT("{BLACK}Cars: {GOLD}", L316),"")</f>
        <v/>
      </c>
      <c r="CI316" s="0" t="str">
        <f aca="false">IF($BU316="!param_no_gameplay_units","{GREEN}Included for gameplay purposes","")</f>
        <v/>
      </c>
      <c r="CJ316" s="0" t="str">
        <f aca="false">IF(BX316="buffet","{YELLOW}25% long distance bonus for consist{}",IF(BY316="DANDY","{YELLOW}Faster downhill speeds for horse-drawn trains (1 required per 2 horses){}",IF(BY316="BRAKE","{YELLOW}Speed bonus for slow wagons{}",IF(BY316="NGPassengers","{YELLOW}Preserved railway bonus: passengers pay more when hauled by old locomotives{}",IF(AND(BW316&gt;190,NOT(AND(I316="NARROW_GAUGE",BY316&lt;&gt;"PASS"))),CONCATENATE("{YELLOW}",INT((BW316-185)/1.85),"% bonus for long distance travel{}"),IF(AND(BW316&lt;180,BW316&lt;&gt;0),CONCATENATE("{YELLOW}",INT((185-BW316)/1.85),"% penalty for long distance travel{}"),""))))))</f>
        <v/>
      </c>
      <c r="CK316" s="0" t="str">
        <f aca="false">_xlfn.CONCAT(CF316,IF(CF316&lt;&gt;""," ",""),CG316,IF(OR(CG316&lt;&gt;"",CF316&lt;&gt;""),"{}",""),CE316,CJ316,"{SILVER}",CH316,IF(CI316&lt;&gt;"","{}{}",""),CI316)</f>
        <v>{BLACK}Length: {GOLD}0.4 tiles{}{SILVER}</v>
      </c>
    </row>
    <row r="317" customFormat="false" ht="14.25" hidden="false" customHeight="false" outlineLevel="0" collapsed="false">
      <c r="A317" s="0" t="s">
        <v>1160</v>
      </c>
      <c r="B317" s="42" t="s">
        <v>1161</v>
      </c>
      <c r="C317" s="0" t="n">
        <v>-1</v>
      </c>
      <c r="E317" s="0" t="n">
        <v>-1</v>
      </c>
      <c r="G317" s="0" t="s">
        <v>38</v>
      </c>
      <c r="H317" s="0" t="s">
        <v>38</v>
      </c>
      <c r="I317" s="0" t="s">
        <v>92</v>
      </c>
      <c r="J317" s="0" t="n">
        <v>1870</v>
      </c>
      <c r="W317" s="0" t="n">
        <v>42</v>
      </c>
      <c r="AA317" s="3" t="str">
        <f aca="false">IF(AND(W317&gt;0,Z317&gt;0),(Z317/((W317+X317)*10)),"")</f>
        <v/>
      </c>
      <c r="AF317" s="0" t="n">
        <v>7.5</v>
      </c>
      <c r="AG317" s="0" t="n">
        <v>8</v>
      </c>
      <c r="AJ317" s="4" t="n">
        <v>0</v>
      </c>
      <c r="AK317" s="16" t="str">
        <f aca="false">CONCATENATE(VLOOKUP(AL317, '[2]Voxel Sizes'!$A$2:$B$18,2,FALSE()),"x",INT(AH317*15), "x", INT(AI317*15))</f>
        <v>82x0x0</v>
      </c>
      <c r="AL317" s="16" t="n">
        <f aca="false">ROUND(15*((AG317*10)/256),0)</f>
        <v>5</v>
      </c>
      <c r="AN317" s="16" t="str">
        <f aca="false">CONCATENATE(VLOOKUP(AL317,[2]Constants!$A$2:$C$16,IF(AM317&lt;&gt;"", 3, 2), FALSE()),IF(AM317&lt;&gt;"",CONCATENATE(",",VLOOKUP(AM317,$B:$AN,39,FALSE())),""))</f>
        <v>2,1,2</v>
      </c>
      <c r="AX317" s="0" t="n">
        <v>30</v>
      </c>
      <c r="AY317" s="16" t="str">
        <f aca="false">IF(L317&lt;&gt;"",MAX(16,(L317-J317)+8),"")</f>
        <v/>
      </c>
      <c r="BB317" s="43" t="n">
        <f aca="false">MIN(AB317/150, 1)*30</f>
        <v>0</v>
      </c>
      <c r="BC317" s="43" t="n">
        <f aca="false">MIN(N317/4000, 1)*20</f>
        <v>0</v>
      </c>
      <c r="BD317" s="43" t="n">
        <f aca="false">MIN(Z317/400,1)*20</f>
        <v>0</v>
      </c>
      <c r="BE317" s="44" t="n">
        <f aca="false">1-(MAX(J317-1900, 0)/750)</f>
        <v>1</v>
      </c>
      <c r="BF317" s="43" t="n">
        <f aca="false">((MAX($M317,1)*MIN($AJ317/300,1)))*IF(G317="Wagon",50,10)</f>
        <v>0</v>
      </c>
      <c r="BG317" s="43" t="n">
        <f aca="false">VLOOKUP($H317,[2]Constants!$I$1:$K$1048576, 2, FALSE())</f>
        <v>0</v>
      </c>
      <c r="BH317" s="43" t="n">
        <f aca="false">VLOOKUP($H317,[2]Constants!$I$1:$K$1048576, 3, FALSE())*IF(AND(G317="multiple_unit",AB317&lt;110),0.75,1)</f>
        <v>0</v>
      </c>
      <c r="BI317" s="43" t="n">
        <f aca="false">INT(POWER((([2]Constants!$G$2+$BB317+$BC317+$BD317+$BF317)*$BE317)*$BH317, 1.05))+$BA317</f>
        <v>0</v>
      </c>
      <c r="BJ317" s="43" t="n">
        <f aca="false">INT(POWER(((([2]Constants!$G$1+$BB317+$BC317+$BD317+$BF317)*($BE317))*$BG317),IF($G317="wagon",1,1.2)))+$AZ317</f>
        <v>0</v>
      </c>
      <c r="BK317" s="45" t="n">
        <f aca="false">BI317*IF($G317="wagon",62.5,781.25)</f>
        <v>0</v>
      </c>
      <c r="BL317" s="45" t="n">
        <f aca="false">BJ317*IF($G317="wagon",2.73,81.25)</f>
        <v>0</v>
      </c>
      <c r="CA317" s="46" t="str">
        <f aca="false">VLOOKUP(J317,[2]Eras!$A$2:$C$10, 2, TRUE())</f>
        <v>vct</v>
      </c>
      <c r="CB317" s="0" t="s">
        <v>439</v>
      </c>
      <c r="CC317" s="46" t="str">
        <f aca="false">CONCATENATE(CA317,"_",CB317)</f>
        <v>vct_Mixed Traffic</v>
      </c>
      <c r="CD317" s="46" t="str">
        <f aca="false">_xlfn.CONCAT(H317, "_",I317)</f>
        <v>tender_RAIL</v>
      </c>
      <c r="CE317" s="6" t="str">
        <f aca="false" t="array" ref="CE317:CE317">IF(AN317&lt;&gt;"na", _xlfn.CONCAT("{BLACK}Length: {GOLD}", TEXT(ROUNDUP(IF(AQ317&lt;&gt;"",SUM(VALUE(_xlfn.TEXTSPLIT(AQ317, ","))), SUM(VALUE(_xlfn.TEXTSPLIT(AN317, ",")))*IF(M317, M317, 1))/16, 1),"#,##0.0"), " tiles{}"), "")</f>
        <v>{BLACK}Length: {GOLD}0.4 tiles{}</v>
      </c>
      <c r="CF317" s="46" t="str">
        <f aca="false">VLOOKUP($CD317, [2]Constants!$M$1:$N$1048576, 2, FALSE())</f>
        <v/>
      </c>
      <c r="CG317" s="46" t="str">
        <f aca="false">IF(AND(L317&gt;1,BN317&lt;&gt;1),_xlfn.CONCAT("{BLACK}Cars: {GOLD}", L317),"")</f>
        <v/>
      </c>
      <c r="CI317" s="0" t="str">
        <f aca="false">IF($BU317="!param_no_gameplay_units","{GREEN}Included for gameplay purposes","")</f>
        <v/>
      </c>
      <c r="CJ317" s="0" t="str">
        <f aca="false">IF(BX317="buffet","{YELLOW}25% long distance bonus for consist{}",IF(BY317="DANDY","{YELLOW}Faster downhill speeds for horse-drawn trains (1 required per 2 horses){}",IF(BY317="BRAKE","{YELLOW}Speed bonus for slow wagons{}",IF(BY317="NGPassengers","{YELLOW}Preserved railway bonus: passengers pay more when hauled by old locomotives{}",IF(AND(BW317&gt;190,NOT(AND(I317="NARROW_GAUGE",BY317&lt;&gt;"PASS"))),CONCATENATE("{YELLOW}",INT((BW317-185)/1.85),"% bonus for long distance travel{}"),IF(AND(BW317&lt;180,BW317&lt;&gt;0),CONCATENATE("{YELLOW}",INT((185-BW317)/1.85),"% penalty for long distance travel{}"),""))))))</f>
        <v/>
      </c>
      <c r="CK317" s="0" t="str">
        <f aca="false">_xlfn.CONCAT(CF317,IF(CF317&lt;&gt;""," ",""),CG317,IF(OR(CG317&lt;&gt;"",CF317&lt;&gt;""),"{}",""),CE317,CJ317,"{SILVER}",CH317,IF(CI317&lt;&gt;"","{}{}",""),CI317)</f>
        <v>{BLACK}Length: {GOLD}0.4 tiles{}{SILVER}</v>
      </c>
    </row>
    <row r="318" customFormat="false" ht="14.25" hidden="false" customHeight="false" outlineLevel="0" collapsed="false">
      <c r="A318" s="0" t="s">
        <v>1162</v>
      </c>
      <c r="B318" s="42" t="s">
        <v>1163</v>
      </c>
      <c r="C318" s="0" t="n">
        <v>1010</v>
      </c>
      <c r="E318" s="0" t="n">
        <v>1000</v>
      </c>
      <c r="F318" s="0" t="s">
        <v>143</v>
      </c>
      <c r="G318" s="0" t="s">
        <v>144</v>
      </c>
      <c r="H318" s="0" t="s">
        <v>145</v>
      </c>
      <c r="I318" s="0" t="s">
        <v>92</v>
      </c>
      <c r="J318" s="0" t="n">
        <v>1906</v>
      </c>
      <c r="L318" s="0" t="n">
        <v>1955</v>
      </c>
      <c r="W318" s="0" t="n">
        <v>31</v>
      </c>
      <c r="Y318" s="0" t="n">
        <v>6</v>
      </c>
      <c r="AA318" s="3" t="str">
        <f aca="false">IF(AND(W318&gt;0,Z318&gt;0),(Z318/((W318+X318)*10)),"")</f>
        <v/>
      </c>
      <c r="AB318" s="0" t="n">
        <v>100</v>
      </c>
      <c r="AC318" s="0" t="n">
        <f aca="false">ROUND(AB318*1.6, 0)</f>
        <v>160</v>
      </c>
      <c r="AF318" s="0" t="n">
        <v>17.7</v>
      </c>
      <c r="AG318" s="0" t="n">
        <v>17.7</v>
      </c>
      <c r="AH318" s="0" t="n">
        <v>2.83</v>
      </c>
      <c r="AI318" s="0" t="n">
        <v>3.79</v>
      </c>
      <c r="AJ318" s="4" t="n">
        <v>57</v>
      </c>
      <c r="AK318" s="16" t="str">
        <f aca="false">CONCATENATE(VLOOKUP(AL318, '[2]Voxel Sizes'!$A$2:$B$18,2,FALSE()),"x",INT(AH318*15), "x", INT(AI318*15))</f>
        <v>164x42x56</v>
      </c>
      <c r="AL318" s="16" t="n">
        <f aca="false">ROUND(15*((AG318*10)/256),0)</f>
        <v>10</v>
      </c>
      <c r="AN318" s="16" t="str">
        <f aca="false">CONCATENATE(VLOOKUP(AL318,[2]Constants!$A$2:$C$16,IF(AM318&lt;&gt;"", 3, 2), FALSE()),IF(AM318&lt;&gt;"",CONCATENATE(",",VLOOKUP(AM318,$B:$AN,39,FALSE())),""))</f>
        <v>4,2,4</v>
      </c>
      <c r="AX318" s="0" t="n">
        <v>30</v>
      </c>
      <c r="AY318" s="16" t="n">
        <f aca="false">IF(L318&lt;&gt;"",MAX(16,(L318-J318)+8),"")</f>
        <v>57</v>
      </c>
      <c r="AZ318" s="0" t="n">
        <v>72</v>
      </c>
      <c r="BA318" s="0" t="n">
        <f aca="false">20*3</f>
        <v>60</v>
      </c>
      <c r="BB318" s="43" t="n">
        <f aca="false">MIN(AB318/150, 1)*30</f>
        <v>20</v>
      </c>
      <c r="BC318" s="43" t="n">
        <f aca="false">MIN(N318/4000, 1)*20</f>
        <v>0</v>
      </c>
      <c r="BD318" s="43" t="n">
        <f aca="false">MIN(Z318/400,1)*20</f>
        <v>0</v>
      </c>
      <c r="BE318" s="44" t="n">
        <f aca="false">1-(MAX(J318-1900, 0)/750)</f>
        <v>0.992</v>
      </c>
      <c r="BF318" s="43" t="n">
        <f aca="false">((MAX($M318,1)*MIN($AJ318/300,1)))*IF(G318="Wagon",50,10)</f>
        <v>9.5</v>
      </c>
      <c r="BG318" s="43" t="n">
        <f aca="false">VLOOKUP($H318,[2]Constants!$I$1:$K$1048576, 2, FALSE())</f>
        <v>1.2</v>
      </c>
      <c r="BH318" s="43" t="n">
        <f aca="false">VLOOKUP($H318,[2]Constants!$I$1:$K$1048576, 3, FALSE())*IF(AND(G318="multiple_unit",AB318&lt;110),0.75,1)</f>
        <v>0.6</v>
      </c>
      <c r="BI318" s="43" t="n">
        <f aca="false">INT(POWER((([2]Constants!$G$2+$BB318+$BC318+$BD318+$BF318)*$BE318)*$BH318, 1.05))+$BA318</f>
        <v>83</v>
      </c>
      <c r="BJ318" s="43" t="n">
        <f aca="false">INT(POWER(((([2]Constants!$G$1+$BB318+$BC318+$BD318+$BF318)*($BE318))*$BG318),IF($G318="wagon",1,1.2)))+$AZ318</f>
        <v>124</v>
      </c>
      <c r="BK318" s="45" t="n">
        <f aca="false">BI318*IF($G318="wagon",62.5,781.25)</f>
        <v>5187.5</v>
      </c>
      <c r="BL318" s="45" t="n">
        <f aca="false">BJ318*IF($G318="wagon",2.73,81.25)</f>
        <v>338.52</v>
      </c>
      <c r="BV318" s="0" t="n">
        <v>1</v>
      </c>
      <c r="BW318" s="0" t="n">
        <v>165</v>
      </c>
      <c r="BY318" s="0" t="s">
        <v>147</v>
      </c>
      <c r="BZ318" s="0" t="s">
        <v>148</v>
      </c>
      <c r="CA318" s="46" t="str">
        <f aca="false">VLOOKUP(J318,[2]Eras!$A$2:$C$10, 2, TRUE())</f>
        <v>edw</v>
      </c>
      <c r="CB318" s="47" t="s">
        <v>149</v>
      </c>
      <c r="CC318" s="46" t="str">
        <f aca="false">CONCATENATE(CA318,"_",CB318)</f>
        <v>edw_Carriage</v>
      </c>
      <c r="CD318" s="46" t="str">
        <f aca="false">_xlfn.CONCAT(H318, "_",I318)</f>
        <v>carriage_RAIL</v>
      </c>
      <c r="CE318" s="6" t="str">
        <f aca="false" t="array" ref="CE318:CE318">IF(AN318&lt;&gt;"na", _xlfn.CONCAT("{BLACK}Length: {GOLD}", TEXT(ROUNDUP(IF(AQ318&lt;&gt;"",SUM(VALUE(_xlfn.TEXTSPLIT(AQ318, ","))), SUM(VALUE(_xlfn.TEXTSPLIT(AN318, ",")))*IF(M318, M318, 1))/16, 1),"#,##0.0"), " tiles{}"), "")</f>
        <v>{BLACK}Length: {GOLD}0.7 tiles{}</v>
      </c>
      <c r="CF318" s="46" t="str">
        <f aca="false">VLOOKUP($CD318, [2]Constants!$M$1:$N$1048576, 2, FALSE())</f>
        <v/>
      </c>
      <c r="CG318" s="46" t="str">
        <f aca="false">IF(AND(L318&gt;1,BN318&lt;&gt;1),_xlfn.CONCAT("{BLACK}Cars: {GOLD}", L318),"")</f>
        <v>{BLACK}Cars: {GOLD}1955</v>
      </c>
      <c r="CH318" s="0" t="s">
        <v>1164</v>
      </c>
      <c r="CI318" s="0" t="str">
        <f aca="false">IF($BU318="!param_no_gameplay_units","{GREEN}Included for gameplay purposes","")</f>
        <v/>
      </c>
      <c r="CJ318" s="0" t="str">
        <f aca="false">IF(BX318="buffet","{YELLOW}25% long distance bonus for consist{}",IF(BY318="DANDY","{YELLOW}Faster downhill speeds for horse-drawn trains (1 required per 2 horses){}",IF(BY318="BRAKE","{YELLOW}Speed bonus for slow wagons{}",IF(BY318="NGPassengers","{YELLOW}Preserved railway bonus: passengers pay more when hauled by old locomotives{}",IF(AND(BW318&gt;190,NOT(AND(I318="NARROW_GAUGE",BY318&lt;&gt;"PASS"))),CONCATENATE("{YELLOW}",INT((BW318-185)/1.85),"% bonus for long distance travel{}"),IF(AND(BW318&lt;180,BW318&lt;&gt;0),CONCATENATE("{YELLOW}",INT((185-BW318)/1.85),"% penalty for long distance travel{}"),""))))))</f>
        <v>{YELLOW}10% penalty for long distance travel{}</v>
      </c>
      <c r="CK318" s="0" t="str">
        <f aca="false">_xlfn.CONCAT(CF318,IF(CF318&lt;&gt;""," ",""),CG318,IF(OR(CG318&lt;&gt;"",CF318&lt;&gt;""),"{}",""),CE318,CJ318,"{SILVER}",CH318,IF(CI318&lt;&gt;"","{}{}",""),CI318)</f>
        <v>{BLACK}Cars: {GOLD}1955{}{BLACK}Length: {GOLD}0.7 tiles{}{YELLOW}10% penalty for long distance travel{}{SILVER}Non-corridor carriages allow greater seating density, at the cost of passenger comfort.</v>
      </c>
    </row>
    <row r="319" customFormat="false" ht="14.25" hidden="false" customHeight="false" outlineLevel="0" collapsed="false">
      <c r="A319" s="0" t="s">
        <v>1165</v>
      </c>
      <c r="B319" s="42" t="s">
        <v>1166</v>
      </c>
      <c r="C319" s="0" t="n">
        <v>1011</v>
      </c>
      <c r="E319" s="0" t="n">
        <v>1001</v>
      </c>
      <c r="F319" s="0" t="s">
        <v>143</v>
      </c>
      <c r="G319" s="0" t="s">
        <v>144</v>
      </c>
      <c r="H319" s="0" t="s">
        <v>145</v>
      </c>
      <c r="I319" s="0" t="s">
        <v>92</v>
      </c>
      <c r="J319" s="0" t="n">
        <v>1952</v>
      </c>
      <c r="K319" s="0" t="n">
        <v>1963</v>
      </c>
      <c r="L319" s="0" t="n">
        <v>1977</v>
      </c>
      <c r="W319" s="0" t="n">
        <v>30</v>
      </c>
      <c r="Y319" s="0" t="n">
        <v>6</v>
      </c>
      <c r="AA319" s="3" t="str">
        <f aca="false">IF(AND(W319&gt;0,Z319&gt;0),(Z319/((W319+X319)*10)),"")</f>
        <v/>
      </c>
      <c r="AB319" s="0" t="n">
        <v>100</v>
      </c>
      <c r="AC319" s="0" t="n">
        <f aca="false">ROUND(AB319*1.6, 0)</f>
        <v>160</v>
      </c>
      <c r="AF319" s="0" t="n">
        <v>19.3</v>
      </c>
      <c r="AG319" s="0" t="n">
        <v>20</v>
      </c>
      <c r="AJ319" s="4" t="n">
        <v>66</v>
      </c>
      <c r="AK319" s="16" t="str">
        <f aca="false">CONCATENATE(VLOOKUP(AL319, '[2]Voxel Sizes'!$A$2:$B$18,2,FALSE()),"x",INT(AH319*15), "x", INT(AI319*15))</f>
        <v>198x0x0</v>
      </c>
      <c r="AL319" s="16" t="n">
        <f aca="false">ROUND(15*((AG319*10)/256),0)</f>
        <v>12</v>
      </c>
      <c r="AN319" s="16" t="str">
        <f aca="false">CONCATENATE(VLOOKUP(AL319,[2]Constants!$A$2:$C$16,IF(AM319&lt;&gt;"", 3, 2), FALSE()),IF(AM319&lt;&gt;"",CONCATENATE(",",VLOOKUP(AM319,$B:$AN,39,FALSE())),""))</f>
        <v>4,4,4</v>
      </c>
      <c r="AX319" s="0" t="n">
        <v>30</v>
      </c>
      <c r="AY319" s="16" t="n">
        <f aca="false">IF(L319&lt;&gt;"",MAX(16,(L319-J319)+8),"")</f>
        <v>33</v>
      </c>
      <c r="AZ319" s="0" t="n">
        <v>76</v>
      </c>
      <c r="BA319" s="0" t="n">
        <f aca="false">23*3</f>
        <v>69</v>
      </c>
      <c r="BB319" s="43" t="n">
        <f aca="false">MIN(AB319/150, 1)*30</f>
        <v>20</v>
      </c>
      <c r="BC319" s="43" t="n">
        <f aca="false">MIN(N319/4000, 1)*20</f>
        <v>0</v>
      </c>
      <c r="BD319" s="43" t="n">
        <f aca="false">MIN(Z319/400,1)*20</f>
        <v>0</v>
      </c>
      <c r="BE319" s="44" t="n">
        <f aca="false">1-(MAX(J319-1900, 0)/750)</f>
        <v>0.930666666666667</v>
      </c>
      <c r="BF319" s="43" t="n">
        <f aca="false">((MAX($M319,1)*MIN($AJ319/300,1)))*IF(G319="Wagon",50,10)</f>
        <v>11</v>
      </c>
      <c r="BG319" s="43" t="n">
        <f aca="false">VLOOKUP($H319,[2]Constants!$I$1:$K$1048576, 2, FALSE())</f>
        <v>1.2</v>
      </c>
      <c r="BH319" s="43" t="n">
        <f aca="false">VLOOKUP($H319,[2]Constants!$I$1:$K$1048576, 3, FALSE())*IF(AND(G319="multiple_unit",AB319&lt;110),0.75,1)</f>
        <v>0.6</v>
      </c>
      <c r="BI319" s="43" t="n">
        <f aca="false">INT(POWER((([2]Constants!$G$2+$BB319+$BC319+$BD319+$BF319)*$BE319)*$BH319, 1.05))+$BA319</f>
        <v>92</v>
      </c>
      <c r="BJ319" s="43" t="n">
        <f aca="false">INT(POWER(((([2]Constants!$G$1+$BB319+$BC319+$BD319+$BF319)*($BE319))*$BG319),IF($G319="wagon",1,1.2)))+$AZ319</f>
        <v>127</v>
      </c>
      <c r="BK319" s="45" t="n">
        <f aca="false">BI319*IF($G319="wagon",62.5,781.25)</f>
        <v>5750</v>
      </c>
      <c r="BL319" s="45" t="n">
        <f aca="false">BJ319*IF($G319="wagon",2.73,81.25)</f>
        <v>346.71</v>
      </c>
      <c r="BV319" s="0" t="n">
        <v>1</v>
      </c>
      <c r="BW319" s="0" t="n">
        <v>165</v>
      </c>
      <c r="BY319" s="0" t="s">
        <v>147</v>
      </c>
      <c r="BZ319" s="0" t="s">
        <v>148</v>
      </c>
      <c r="CA319" s="46" t="str">
        <f aca="false">VLOOKUP(J319,[2]Eras!$A$2:$C$10, 2, TRUE())</f>
        <v>ebr</v>
      </c>
      <c r="CB319" s="47" t="s">
        <v>149</v>
      </c>
      <c r="CC319" s="46" t="str">
        <f aca="false">CONCATENATE(CA319,"_",CB319)</f>
        <v>ebr_Carriage</v>
      </c>
      <c r="CD319" s="46" t="str">
        <f aca="false">_xlfn.CONCAT(H319, "_",I319)</f>
        <v>carriage_RAIL</v>
      </c>
      <c r="CE319" s="6" t="str">
        <f aca="false" t="array" ref="CE319:CE319">IF(AN319&lt;&gt;"na", _xlfn.CONCAT("{BLACK}Length: {GOLD}", TEXT(ROUNDUP(IF(AQ319&lt;&gt;"",SUM(VALUE(_xlfn.TEXTSPLIT(AQ319, ","))), SUM(VALUE(_xlfn.TEXTSPLIT(AN319, ",")))*IF(M319, M319, 1))/16, 1),"#,##0.0"), " tiles{}"), "")</f>
        <v>{BLACK}Length: {GOLD}0.8 tiles{}</v>
      </c>
      <c r="CF319" s="46" t="str">
        <f aca="false">VLOOKUP($CD319, [2]Constants!$M$1:$N$1048576, 2, FALSE())</f>
        <v/>
      </c>
      <c r="CG319" s="46" t="str">
        <f aca="false">IF(AND(L319&gt;1,BN319&lt;&gt;1),_xlfn.CONCAT("{BLACK}Cars: {GOLD}", L319),"")</f>
        <v>{BLACK}Cars: {GOLD}1977</v>
      </c>
      <c r="CH319" s="0" t="s">
        <v>1167</v>
      </c>
      <c r="CI319" s="0" t="str">
        <f aca="false">IF($BU319="!param_no_gameplay_units","{GREEN}Included for gameplay purposes","")</f>
        <v/>
      </c>
      <c r="CJ319" s="0" t="str">
        <f aca="false">IF(BX319="buffet","{YELLOW}25% long distance bonus for consist{}",IF(BY319="DANDY","{YELLOW}Faster downhill speeds for horse-drawn trains (1 required per 2 horses){}",IF(BY319="BRAKE","{YELLOW}Speed bonus for slow wagons{}",IF(BY319="NGPassengers","{YELLOW}Preserved railway bonus: passengers pay more when hauled by old locomotives{}",IF(AND(BW319&gt;190,NOT(AND(I319="NARROW_GAUGE",BY319&lt;&gt;"PASS"))),CONCATENATE("{YELLOW}",INT((BW319-185)/1.85),"% bonus for long distance travel{}"),IF(AND(BW319&lt;180,BW319&lt;&gt;0),CONCATENATE("{YELLOW}",INT((185-BW319)/1.85),"% penalty for long distance travel{}"),""))))))</f>
        <v>{YELLOW}10% penalty for long distance travel{}</v>
      </c>
      <c r="CK319" s="0" t="str">
        <f aca="false">_xlfn.CONCAT(CF319,IF(CF319&lt;&gt;""," ",""),CG319,IF(OR(CG319&lt;&gt;"",CF319&lt;&gt;""),"{}",""),CE319,CJ319,"{SILVER}",CH319,IF(CI319&lt;&gt;"","{}{}",""),CI319)</f>
        <v>{BLACK}Cars: {GOLD}1977{}{BLACK}Length: {GOLD}0.8 tiles{}{YELLOW}10% penalty for long distance travel{}{SILVER}BR built many suburban Mk1 carriages with no gangways, although typically only one or two would be used per train across most of the country.</v>
      </c>
    </row>
    <row r="320" customFormat="false" ht="14.25" hidden="false" customHeight="false" outlineLevel="0" collapsed="false">
      <c r="A320" s="0" t="s">
        <v>1168</v>
      </c>
      <c r="B320" s="42" t="s">
        <v>1169</v>
      </c>
      <c r="C320" s="0" t="n">
        <v>1012</v>
      </c>
      <c r="E320" s="0" t="n">
        <v>1002</v>
      </c>
      <c r="F320" s="0" t="s">
        <v>143</v>
      </c>
      <c r="G320" s="0" t="s">
        <v>144</v>
      </c>
      <c r="H320" s="0" t="s">
        <v>145</v>
      </c>
      <c r="I320" s="0" t="s">
        <v>92</v>
      </c>
      <c r="J320" s="0" t="n">
        <v>1973</v>
      </c>
      <c r="W320" s="0" t="n">
        <v>40</v>
      </c>
      <c r="Y320" s="0" t="n">
        <v>5</v>
      </c>
      <c r="AA320" s="3" t="str">
        <f aca="false">IF(AND(W320&gt;0,Z320&gt;0),(Z320/((W320+X320)*10)),"")</f>
        <v/>
      </c>
      <c r="AB320" s="0" t="n">
        <v>110</v>
      </c>
      <c r="AC320" s="0" t="n">
        <f aca="false">ROUND(AB320*1.6, 0)</f>
        <v>176</v>
      </c>
      <c r="AF320" s="0" t="n">
        <v>19.66</v>
      </c>
      <c r="AG320" s="0" t="n">
        <v>19.66</v>
      </c>
      <c r="AJ320" s="4" t="n">
        <v>63</v>
      </c>
      <c r="AK320" s="16" t="str">
        <f aca="false">CONCATENATE(VLOOKUP(AL320, '[2]Voxel Sizes'!$A$2:$B$18,2,FALSE()),"x",INT(AH320*15), "x", INT(AI320*15))</f>
        <v>198x0x0</v>
      </c>
      <c r="AL320" s="16" t="n">
        <f aca="false">ROUND(15*((AG320*10)/256),0)</f>
        <v>12</v>
      </c>
      <c r="AN320" s="16" t="str">
        <f aca="false">CONCATENATE(VLOOKUP(AL320,[2]Constants!$A$2:$C$16,IF(AM320&lt;&gt;"", 3, 2), FALSE()),IF(AM320&lt;&gt;"",CONCATENATE(",",VLOOKUP(AM320,$B:$AN,39,FALSE())),""))</f>
        <v>4,4,4</v>
      </c>
      <c r="AX320" s="0" t="n">
        <v>30</v>
      </c>
      <c r="AY320" s="16" t="str">
        <f aca="false">IF(L320&lt;&gt;"",MAX(16,(L320-J320)+8),"")</f>
        <v/>
      </c>
      <c r="AZ320" s="0" t="n">
        <v>79</v>
      </c>
      <c r="BA320" s="0" t="n">
        <f aca="false">25*3</f>
        <v>75</v>
      </c>
      <c r="BB320" s="43" t="n">
        <f aca="false">MIN(AB320/150, 1)*30</f>
        <v>22</v>
      </c>
      <c r="BC320" s="43" t="n">
        <f aca="false">MIN(N320/4000, 1)*20</f>
        <v>0</v>
      </c>
      <c r="BD320" s="43" t="n">
        <f aca="false">MIN(Z320/400,1)*20</f>
        <v>0</v>
      </c>
      <c r="BE320" s="44" t="n">
        <f aca="false">1-(MAX(J320-1900, 0)/750)</f>
        <v>0.902666666666667</v>
      </c>
      <c r="BF320" s="43" t="n">
        <f aca="false">((MAX($M320,1)*MIN($AJ320/300,1)))*IF(G320="Wagon",50,10)</f>
        <v>10.5</v>
      </c>
      <c r="BG320" s="43" t="n">
        <f aca="false">VLOOKUP($H320,[2]Constants!$I$1:$K$1048576, 2, FALSE())</f>
        <v>1.2</v>
      </c>
      <c r="BH320" s="43" t="n">
        <f aca="false">VLOOKUP($H320,[2]Constants!$I$1:$K$1048576, 3, FALSE())*IF(AND(G320="multiple_unit",AB320&lt;110),0.75,1)</f>
        <v>0.6</v>
      </c>
      <c r="BI320" s="43" t="n">
        <f aca="false">INT(POWER((([2]Constants!$G$2+$BB320+$BC320+$BD320+$BF320)*$BE320)*$BH320, 1.05))+$BA320</f>
        <v>98</v>
      </c>
      <c r="BJ320" s="43" t="n">
        <f aca="false">INT(POWER(((([2]Constants!$G$1+$BB320+$BC320+$BD320+$BF320)*($BE320))*$BG320),IF($G320="wagon",1,1.2)))+$AZ320</f>
        <v>130</v>
      </c>
      <c r="BK320" s="45" t="n">
        <f aca="false">BI320*IF($G320="wagon",62.5,781.25)</f>
        <v>6125</v>
      </c>
      <c r="BL320" s="45" t="n">
        <f aca="false">BJ320*IF($G320="wagon",2.73,81.25)</f>
        <v>354.9</v>
      </c>
      <c r="BV320" s="0" t="n">
        <v>1</v>
      </c>
      <c r="BY320" s="0" t="s">
        <v>147</v>
      </c>
      <c r="BZ320" s="0" t="s">
        <v>148</v>
      </c>
      <c r="CA320" s="46" t="str">
        <f aca="false">VLOOKUP(J320,[2]Eras!$A$2:$C$10, 2, TRUE())</f>
        <v>lbr</v>
      </c>
      <c r="CB320" s="47" t="s">
        <v>149</v>
      </c>
      <c r="CC320" s="46" t="str">
        <f aca="false">CONCATENATE(CA320,"_",CB320)</f>
        <v>lbr_Carriage</v>
      </c>
      <c r="CD320" s="46" t="str">
        <f aca="false">_xlfn.CONCAT(H320, "_",I320)</f>
        <v>carriage_RAIL</v>
      </c>
      <c r="CE320" s="6" t="str">
        <f aca="false" t="array" ref="CE320:CE320">IF(AN320&lt;&gt;"na", _xlfn.CONCAT("{BLACK}Length: {GOLD}", TEXT(ROUNDUP(IF(AQ320&lt;&gt;"",SUM(VALUE(_xlfn.TEXTSPLIT(AQ320, ","))), SUM(VALUE(_xlfn.TEXTSPLIT(AN320, ",")))*IF(M320, M320, 1))/16, 1),"#,##0.0"), " tiles{}"), "")</f>
        <v>{BLACK}Length: {GOLD}0.8 tiles{}</v>
      </c>
      <c r="CF320" s="46" t="str">
        <f aca="false">VLOOKUP($CD320, [2]Constants!$M$1:$N$1048576, 2, FALSE())</f>
        <v/>
      </c>
      <c r="CG320" s="46" t="str">
        <f aca="false">IF(AND(L320&gt;1,BN320&lt;&gt;1),_xlfn.CONCAT("{BLACK}Cars: {GOLD}", L320),"")</f>
        <v/>
      </c>
      <c r="CH320" s="0" t="s">
        <v>1170</v>
      </c>
      <c r="CI320" s="0" t="str">
        <f aca="false">IF($BU320="!param_no_gameplay_units","{GREEN}Included for gameplay purposes","")</f>
        <v/>
      </c>
      <c r="CJ320" s="0" t="str">
        <f aca="false">IF(BX320="buffet","{YELLOW}25% long distance bonus for consist{}",IF(BY320="DANDY","{YELLOW}Faster downhill speeds for horse-drawn trains (1 required per 2 horses){}",IF(BY320="BRAKE","{YELLOW}Speed bonus for slow wagons{}",IF(BY320="NGPassengers","{YELLOW}Preserved railway bonus: passengers pay more when hauled by old locomotives{}",IF(AND(BW320&gt;190,NOT(AND(I320="NARROW_GAUGE",BY320&lt;&gt;"PASS"))),CONCATENATE("{YELLOW}",INT((BW320-185)/1.85),"% bonus for long distance travel{}"),IF(AND(BW320&lt;180,BW320&lt;&gt;0),CONCATENATE("{YELLOW}",INT((185-BW320)/1.85),"% penalty for long distance travel{}"),""))))))</f>
        <v/>
      </c>
      <c r="CK320" s="0" t="str">
        <f aca="false">_xlfn.CONCAT(CF320,IF(CF320&lt;&gt;""," ",""),CG320,IF(OR(CG320&lt;&gt;"",CF320&lt;&gt;""),"{}",""),CE320,CJ320,"{SILVER}",CH320,IF(CI320&lt;&gt;"","{}{}",""),CI320)</f>
        <v>{BLACK}Length: {GOLD}0.8 tiles{}{SILVER}The Mark 2F was the final development of the Mark 2 carriage, introducing many features which would be used on the Mark 3 Intercity carriages.</v>
      </c>
    </row>
    <row r="321" customFormat="false" ht="14.25" hidden="false" customHeight="false" outlineLevel="0" collapsed="false">
      <c r="A321" s="0" t="s">
        <v>1171</v>
      </c>
      <c r="B321" s="42" t="s">
        <v>1172</v>
      </c>
      <c r="C321" s="0" t="n">
        <v>1013</v>
      </c>
      <c r="D321" s="0" t="n">
        <v>1012</v>
      </c>
      <c r="E321" s="0" t="n">
        <v>1003</v>
      </c>
      <c r="F321" s="0" t="s">
        <v>143</v>
      </c>
      <c r="G321" s="0" t="s">
        <v>144</v>
      </c>
      <c r="H321" s="0" t="s">
        <v>145</v>
      </c>
      <c r="I321" s="0" t="s">
        <v>92</v>
      </c>
      <c r="J321" s="0" t="n">
        <v>1973</v>
      </c>
      <c r="W321" s="0" t="n">
        <v>40</v>
      </c>
      <c r="Y321" s="0" t="n">
        <v>5</v>
      </c>
      <c r="AA321" s="3" t="str">
        <f aca="false">IF(AND(W321&gt;0,Z321&gt;0),(Z321/((W321+X321)*10)),"")</f>
        <v/>
      </c>
      <c r="AB321" s="0" t="n">
        <v>110</v>
      </c>
      <c r="AC321" s="0" t="n">
        <f aca="false">ROUND(AB321*1.6, 0)</f>
        <v>176</v>
      </c>
      <c r="AF321" s="0" t="n">
        <v>19.66</v>
      </c>
      <c r="AG321" s="0" t="n">
        <v>19.66</v>
      </c>
      <c r="AJ321" s="4" t="n">
        <v>42</v>
      </c>
      <c r="AK321" s="16" t="str">
        <f aca="false">CONCATENATE(VLOOKUP(AL321, '[2]Voxel Sizes'!$A$2:$B$18,2,FALSE()),"x",INT(AH321*15), "x", INT(AI321*15))</f>
        <v>198x0x0</v>
      </c>
      <c r="AL321" s="16" t="n">
        <f aca="false">ROUND(15*((AG321*10)/256),0)</f>
        <v>12</v>
      </c>
      <c r="AN321" s="16" t="str">
        <f aca="false">CONCATENATE(VLOOKUP(AL321,[2]Constants!$A$2:$C$16,IF(AM321&lt;&gt;"", 3, 2), FALSE()),IF(AM321&lt;&gt;"",CONCATENATE(",",VLOOKUP(AM321,$B:$AN,39,FALSE())),""))</f>
        <v>4,4,4</v>
      </c>
      <c r="AX321" s="0" t="n">
        <v>30</v>
      </c>
      <c r="AY321" s="16" t="str">
        <f aca="false">IF(L321&lt;&gt;"",MAX(16,(L321-J321)+8),"")</f>
        <v/>
      </c>
      <c r="AZ321" s="0" t="n">
        <v>135</v>
      </c>
      <c r="BA321" s="0" t="n">
        <v>105</v>
      </c>
      <c r="BB321" s="43" t="n">
        <f aca="false">MIN(AB321/150, 1)*30</f>
        <v>22</v>
      </c>
      <c r="BC321" s="43" t="n">
        <f aca="false">MIN(N321/4000, 1)*20</f>
        <v>0</v>
      </c>
      <c r="BD321" s="43" t="n">
        <f aca="false">MIN(Z321/400,1)*20</f>
        <v>0</v>
      </c>
      <c r="BE321" s="44" t="n">
        <f aca="false">1-(MAX(J321-1900, 0)/750)</f>
        <v>0.902666666666667</v>
      </c>
      <c r="BF321" s="43" t="n">
        <f aca="false">((MAX($M321,1)*MIN($AJ321/300,1)))*IF(G321="Wagon",50,10)</f>
        <v>7</v>
      </c>
      <c r="BG321" s="43" t="n">
        <f aca="false">VLOOKUP($H321,[2]Constants!$I$1:$K$1048576, 2, FALSE())</f>
        <v>1.2</v>
      </c>
      <c r="BH321" s="43" t="n">
        <f aca="false">VLOOKUP($H321,[2]Constants!$I$1:$K$1048576, 3, FALSE())*IF(AND(G321="multiple_unit",AB321&lt;110),0.75,1)</f>
        <v>0.6</v>
      </c>
      <c r="BI321" s="43" t="n">
        <f aca="false">INT(POWER((([2]Constants!$G$2+$BB321+$BC321+$BD321+$BF321)*$BE321)*$BH321, 1.05))+$BA321</f>
        <v>126</v>
      </c>
      <c r="BJ321" s="43" t="n">
        <f aca="false">INT(POWER(((([2]Constants!$G$1+$BB321+$BC321+$BD321+$BF321)*($BE321))*$BG321),IF($G321="wagon",1,1.2)))+$AZ321</f>
        <v>182</v>
      </c>
      <c r="BK321" s="45" t="n">
        <f aca="false">BI321*IF($G321="wagon",62.5,781.25)</f>
        <v>7875</v>
      </c>
      <c r="BL321" s="45" t="n">
        <f aca="false">BJ321*IF($G321="wagon",2.73,81.25)</f>
        <v>496.86</v>
      </c>
      <c r="BV321" s="0" t="n">
        <v>1</v>
      </c>
      <c r="BW321" s="0" t="n">
        <v>222</v>
      </c>
      <c r="BY321" s="0" t="s">
        <v>147</v>
      </c>
      <c r="BZ321" s="0" t="s">
        <v>148</v>
      </c>
      <c r="CA321" s="46" t="str">
        <f aca="false">VLOOKUP(J321,[2]Eras!$A$2:$C$10, 2, TRUE())</f>
        <v>lbr</v>
      </c>
      <c r="CB321" s="47" t="s">
        <v>149</v>
      </c>
      <c r="CC321" s="46" t="str">
        <f aca="false">CONCATENATE(CA321,"_",CB321)</f>
        <v>lbr_Carriage</v>
      </c>
      <c r="CD321" s="46" t="str">
        <f aca="false">_xlfn.CONCAT(H321, "_",I321)</f>
        <v>carriage_RAIL</v>
      </c>
      <c r="CE321" s="6" t="str">
        <f aca="false" t="array" ref="CE321:CE321">IF(AN321&lt;&gt;"na", _xlfn.CONCAT("{BLACK}Length: {GOLD}", TEXT(ROUNDUP(IF(AQ321&lt;&gt;"",SUM(VALUE(_xlfn.TEXTSPLIT(AQ321, ","))), SUM(VALUE(_xlfn.TEXTSPLIT(AN321, ",")))*IF(M321, M321, 1))/16, 1),"#,##0.0"), " tiles{}"), "")</f>
        <v>{BLACK}Length: {GOLD}0.8 tiles{}</v>
      </c>
      <c r="CF321" s="46" t="str">
        <f aca="false">VLOOKUP($CD321, [2]Constants!$M$1:$N$1048576, 2, FALSE())</f>
        <v/>
      </c>
      <c r="CG321" s="46" t="str">
        <f aca="false">IF(AND(L321&gt;1,BN321&lt;&gt;1),_xlfn.CONCAT("{BLACK}Cars: {GOLD}", L321),"")</f>
        <v/>
      </c>
      <c r="CH321" s="0" t="s">
        <v>1173</v>
      </c>
      <c r="CI321" s="0" t="str">
        <f aca="false">IF($BU321="!param_no_gameplay_units","{GREEN}Included for gameplay purposes","")</f>
        <v/>
      </c>
      <c r="CJ321" s="0" t="str">
        <f aca="false">IF(BX321="buffet","{YELLOW}25% long distance bonus for consist{}",IF(BY321="DANDY","{YELLOW}Faster downhill speeds for horse-drawn trains (1 required per 2 horses){}",IF(BY321="BRAKE","{YELLOW}Speed bonus for slow wagons{}",IF(BY321="NGPassengers","{YELLOW}Preserved railway bonus: passengers pay more when hauled by old locomotives{}",IF(AND(BW321&gt;190,NOT(AND(I321="NARROW_GAUGE",BY321&lt;&gt;"PASS"))),CONCATENATE("{YELLOW}",INT((BW321-185)/1.85),"% bonus for long distance travel{}"),IF(AND(BW321&lt;180,BW321&lt;&gt;0),CONCATENATE("{YELLOW}",INT((185-BW321)/1.85),"% penalty for long distance travel{}"),""))))))</f>
        <v>{YELLOW}20% bonus for long distance travel{}</v>
      </c>
      <c r="CK321" s="0" t="str">
        <f aca="false">_xlfn.CONCAT(CF321,IF(CF321&lt;&gt;""," ",""),CG321,IF(OR(CG321&lt;&gt;"",CF321&lt;&gt;""),"{}",""),CE321,CJ321,"{SILVER}",CH321,IF(CI321&lt;&gt;"","{}{}",""),CI321)</f>
        <v>{BLACK}Length: {GOLD}0.8 tiles{}{YELLOW}20% bonus for long distance travel{}{SILVER}By the point of the Mk2F, BR had abandoned corridor carriage layouts, using only open saloons even for first class.</v>
      </c>
    </row>
    <row r="322" customFormat="false" ht="14.25" hidden="false" customHeight="false" outlineLevel="0" collapsed="false">
      <c r="A322" s="0" t="s">
        <v>1174</v>
      </c>
      <c r="B322" s="42" t="s">
        <v>1175</v>
      </c>
      <c r="C322" s="0" t="n">
        <v>1014</v>
      </c>
      <c r="D322" s="0" t="n">
        <v>1012</v>
      </c>
      <c r="E322" s="0" t="n">
        <v>1004</v>
      </c>
      <c r="F322" s="0" t="s">
        <v>143</v>
      </c>
      <c r="G322" s="0" t="s">
        <v>144</v>
      </c>
      <c r="H322" s="0" t="s">
        <v>145</v>
      </c>
      <c r="I322" s="0" t="s">
        <v>92</v>
      </c>
      <c r="J322" s="0" t="n">
        <v>1973</v>
      </c>
      <c r="W322" s="0" t="n">
        <v>44</v>
      </c>
      <c r="Y322" s="0" t="n">
        <v>5</v>
      </c>
      <c r="AA322" s="3" t="str">
        <f aca="false">IF(AND(W322&gt;0,Z322&gt;0),(Z322/((W322+X322)*10)),"")</f>
        <v/>
      </c>
      <c r="AB322" s="0" t="n">
        <v>110</v>
      </c>
      <c r="AC322" s="0" t="n">
        <f aca="false">ROUND(AB322*1.6, 0)</f>
        <v>176</v>
      </c>
      <c r="AF322" s="0" t="n">
        <v>19.66</v>
      </c>
      <c r="AG322" s="0" t="n">
        <v>19.66</v>
      </c>
      <c r="AJ322" s="4" t="n">
        <v>24</v>
      </c>
      <c r="AK322" s="16" t="str">
        <f aca="false">CONCATENATE(VLOOKUP(AL322, '[2]Voxel Sizes'!$A$2:$B$18,2,FALSE()),"x",INT(AH322*15), "x", INT(AI322*15))</f>
        <v>198x0x0</v>
      </c>
      <c r="AL322" s="16" t="n">
        <f aca="false">ROUND(15*((AG322*10)/256),0)</f>
        <v>12</v>
      </c>
      <c r="AN322" s="16" t="str">
        <f aca="false">CONCATENATE(VLOOKUP(AL322,[2]Constants!$A$2:$C$16,IF(AM322&lt;&gt;"", 3, 2), FALSE()),IF(AM322&lt;&gt;"",CONCATENATE(",",VLOOKUP(AM322,$B:$AN,39,FALSE())),""))</f>
        <v>4,4,4</v>
      </c>
      <c r="AX322" s="0" t="n">
        <v>30</v>
      </c>
      <c r="AY322" s="16" t="str">
        <f aca="false">IF(L322&lt;&gt;"",MAX(16,(L322-J322)+8),"")</f>
        <v/>
      </c>
      <c r="AZ322" s="0" t="n">
        <v>1150</v>
      </c>
      <c r="BA322" s="0" t="n">
        <v>150</v>
      </c>
      <c r="BB322" s="43" t="n">
        <f aca="false">MIN(AB322/150, 1)*30</f>
        <v>22</v>
      </c>
      <c r="BC322" s="43" t="n">
        <f aca="false">MIN(N322/4000, 1)*20</f>
        <v>0</v>
      </c>
      <c r="BD322" s="43" t="n">
        <f aca="false">MIN(Z322/400,1)*20</f>
        <v>0</v>
      </c>
      <c r="BE322" s="44" t="n">
        <f aca="false">1-(MAX(J322-1900, 0)/750)</f>
        <v>0.902666666666667</v>
      </c>
      <c r="BF322" s="43" t="n">
        <f aca="false">((MAX($M322,1)*MIN($AJ322/300,1)))*IF(G322="Wagon",50,10)</f>
        <v>4</v>
      </c>
      <c r="BG322" s="43" t="n">
        <f aca="false">VLOOKUP($H322,[2]Constants!$I$1:$K$1048576, 2, FALSE())</f>
        <v>1.2</v>
      </c>
      <c r="BH322" s="43" t="n">
        <f aca="false">VLOOKUP($H322,[2]Constants!$I$1:$K$1048576, 3, FALSE())*IF(AND(G322="multiple_unit",AB322&lt;110),0.75,1)</f>
        <v>0.6</v>
      </c>
      <c r="BI322" s="43" t="n">
        <f aca="false">INT(POWER((([2]Constants!$G$2+$BB322+$BC322+$BD322+$BF322)*$BE322)*$BH322, 1.05))+$BA322</f>
        <v>169</v>
      </c>
      <c r="BJ322" s="43" t="n">
        <f aca="false">INT(POWER(((([2]Constants!$G$1+$BB322+$BC322+$BD322+$BF322)*($BE322))*$BG322),IF($G322="wagon",1,1.2)))+$AZ322</f>
        <v>1194</v>
      </c>
      <c r="BK322" s="45" t="n">
        <f aca="false">BI322*IF($G322="wagon",62.5,781.25)</f>
        <v>10562.5</v>
      </c>
      <c r="BL322" s="45" t="n">
        <f aca="false">BJ322*IF($G322="wagon",2.73,81.25)</f>
        <v>3259.62</v>
      </c>
      <c r="BV322" s="0" t="n">
        <v>1</v>
      </c>
      <c r="BW322" s="0" t="n">
        <v>222</v>
      </c>
      <c r="BX322" s="0" t="s">
        <v>190</v>
      </c>
      <c r="BY322" s="0" t="s">
        <v>147</v>
      </c>
      <c r="BZ322" s="0" t="s">
        <v>148</v>
      </c>
      <c r="CA322" s="46" t="str">
        <f aca="false">VLOOKUP(J322,[2]Eras!$A$2:$C$10, 2, TRUE())</f>
        <v>lbr</v>
      </c>
      <c r="CB322" s="47" t="s">
        <v>149</v>
      </c>
      <c r="CC322" s="46" t="str">
        <f aca="false">CONCATENATE(CA322,"_",CB322)</f>
        <v>lbr_Carriage</v>
      </c>
      <c r="CD322" s="46" t="str">
        <f aca="false">_xlfn.CONCAT(H322, "_",I322)</f>
        <v>carriage_RAIL</v>
      </c>
      <c r="CE322" s="6" t="str">
        <f aca="false" t="array" ref="CE322:CE322">IF(AN322&lt;&gt;"na", _xlfn.CONCAT("{BLACK}Length: {GOLD}", TEXT(ROUNDUP(IF(AQ322&lt;&gt;"",SUM(VALUE(_xlfn.TEXTSPLIT(AQ322, ","))), SUM(VALUE(_xlfn.TEXTSPLIT(AN322, ",")))*IF(M322, M322, 1))/16, 1),"#,##0.0"), " tiles{}"), "")</f>
        <v>{BLACK}Length: {GOLD}0.8 tiles{}</v>
      </c>
      <c r="CF322" s="46" t="str">
        <f aca="false">VLOOKUP($CD322, [2]Constants!$M$1:$N$1048576, 2, FALSE())</f>
        <v/>
      </c>
      <c r="CG322" s="46" t="str">
        <f aca="false">IF(AND(L322&gt;1,BN322&lt;&gt;1),_xlfn.CONCAT("{BLACK}Cars: {GOLD}", L322),"")</f>
        <v/>
      </c>
      <c r="CH322" s="0" t="s">
        <v>1176</v>
      </c>
      <c r="CI322" s="0" t="str">
        <f aca="false">IF($BU322="!param_no_gameplay_units","{GREEN}Included for gameplay purposes","")</f>
        <v/>
      </c>
      <c r="CJ322" s="0" t="str">
        <f aca="false">IF(BX322="buffet","{YELLOW}25% long distance bonus for consist{}",IF(BY322="DANDY","{YELLOW}Faster downhill speeds for horse-drawn trains (1 required per 2 horses){}",IF(BY322="BRAKE","{YELLOW}Speed bonus for slow wagons{}",IF(BY322="NGPassengers","{YELLOW}Preserved railway bonus: passengers pay more when hauled by old locomotives{}",IF(AND(BW322&gt;190,NOT(AND(I322="NARROW_GAUGE",BY322&lt;&gt;"PASS"))),CONCATENATE("{YELLOW}",INT((BW322-185)/1.85),"% bonus for long distance travel{}"),IF(AND(BW322&lt;180,BW322&lt;&gt;0),CONCATENATE("{YELLOW}",INT((185-BW322)/1.85),"% penalty for long distance travel{}"),""))))))</f>
        <v>{YELLOW}25% long distance bonus for consist{}</v>
      </c>
      <c r="CK322" s="0" t="str">
        <f aca="false">_xlfn.CONCAT(CF322,IF(CF322&lt;&gt;""," ",""),CG322,IF(OR(CG322&lt;&gt;"",CF322&lt;&gt;""),"{}",""),CE322,CJ322,"{SILVER}",CH322,IF(CI322&lt;&gt;"","{}{}",""),CI322)</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23" customFormat="false" ht="14.25" hidden="false" customHeight="false" outlineLevel="0" collapsed="false">
      <c r="A323" s="0" t="s">
        <v>1177</v>
      </c>
      <c r="B323" s="42" t="s">
        <v>1178</v>
      </c>
      <c r="C323" s="0" t="n">
        <v>1015</v>
      </c>
      <c r="D323" s="0" t="n">
        <v>1012</v>
      </c>
      <c r="E323" s="0" t="n">
        <v>1005</v>
      </c>
      <c r="F323" s="0" t="s">
        <v>143</v>
      </c>
      <c r="G323" s="0" t="s">
        <v>144</v>
      </c>
      <c r="H323" s="0" t="s">
        <v>145</v>
      </c>
      <c r="I323" s="0" t="s">
        <v>92</v>
      </c>
      <c r="J323" s="0" t="n">
        <v>1973</v>
      </c>
      <c r="W323" s="0" t="n">
        <v>40</v>
      </c>
      <c r="Y323" s="0" t="n">
        <v>5</v>
      </c>
      <c r="AA323" s="3" t="str">
        <f aca="false">IF(AND(W323&gt;0,Z323&gt;0),(Z323/((W323+X323)*10)),"")</f>
        <v/>
      </c>
      <c r="AB323" s="0" t="n">
        <v>110</v>
      </c>
      <c r="AC323" s="0" t="n">
        <f aca="false">ROUND(AB323*1.6, 0)</f>
        <v>176</v>
      </c>
      <c r="AF323" s="0" t="n">
        <v>19.66</v>
      </c>
      <c r="AG323" s="0" t="n">
        <v>19.66</v>
      </c>
      <c r="AJ323" s="4" t="n">
        <v>69</v>
      </c>
      <c r="AK323" s="16" t="str">
        <f aca="false">CONCATENATE(VLOOKUP(AL323, '[2]Voxel Sizes'!$A$2:$B$18,2,FALSE()),"x",INT(AH323*15), "x", INT(AI323*15))</f>
        <v>198x0x0</v>
      </c>
      <c r="AL323" s="16" t="n">
        <f aca="false">ROUND(15*((AG323*10)/256),0)</f>
        <v>12</v>
      </c>
      <c r="AN323" s="16" t="str">
        <f aca="false">CONCATENATE(VLOOKUP(AL323,[2]Constants!$A$2:$C$16,IF(AM323&lt;&gt;"", 3, 2), FALSE()),IF(AM323&lt;&gt;"",CONCATENATE(",",VLOOKUP(AM323,$B:$AN,39,FALSE())),""))</f>
        <v>4,4,4</v>
      </c>
      <c r="AX323" s="0" t="n">
        <v>30</v>
      </c>
      <c r="AY323" s="16" t="str">
        <f aca="false">IF(L323&lt;&gt;"",MAX(16,(L323-J323)+8),"")</f>
        <v/>
      </c>
      <c r="AZ323" s="0" t="n">
        <v>79</v>
      </c>
      <c r="BA323" s="0" t="n">
        <f aca="false">25*3</f>
        <v>75</v>
      </c>
      <c r="BB323" s="43" t="n">
        <f aca="false">MIN(AB323/150, 1)*30</f>
        <v>22</v>
      </c>
      <c r="BC323" s="43" t="n">
        <f aca="false">MIN(N323/4000, 1)*20</f>
        <v>0</v>
      </c>
      <c r="BD323" s="43" t="n">
        <f aca="false">MIN(Z323/400,1)*20</f>
        <v>0</v>
      </c>
      <c r="BE323" s="44" t="n">
        <f aca="false">1-(MAX(J323-1900, 0)/750)</f>
        <v>0.902666666666667</v>
      </c>
      <c r="BF323" s="43" t="n">
        <f aca="false">((MAX($M323,1)*MIN($AJ323/300,1)))*IF(G323="Wagon",50,10)</f>
        <v>11.5</v>
      </c>
      <c r="BG323" s="43" t="n">
        <f aca="false">VLOOKUP($H323,[2]Constants!$I$1:$K$1048576, 2, FALSE())</f>
        <v>1.2</v>
      </c>
      <c r="BH323" s="43" t="n">
        <f aca="false">VLOOKUP($H323,[2]Constants!$I$1:$K$1048576, 3, FALSE())*IF(AND(G323="multiple_unit",AB323&lt;110),0.75,1)</f>
        <v>0.6</v>
      </c>
      <c r="BI323" s="43" t="n">
        <f aca="false">INT(POWER((([2]Constants!$G$2+$BB323+$BC323+$BD323+$BF323)*$BE323)*$BH323, 1.05))+$BA323</f>
        <v>99</v>
      </c>
      <c r="BJ323" s="43" t="n">
        <f aca="false">INT(POWER(((([2]Constants!$G$1+$BB323+$BC323+$BD323+$BF323)*($BE323))*$BG323),IF($G323="wagon",1,1.2)))+$AZ323</f>
        <v>131</v>
      </c>
      <c r="BK323" s="45" t="n">
        <f aca="false">BI323*IF($G323="wagon",62.5,781.25)</f>
        <v>6187.5</v>
      </c>
      <c r="BL323" s="45" t="n">
        <f aca="false">BJ323*IF($G323="wagon",2.73,81.25)</f>
        <v>357.63</v>
      </c>
      <c r="BU323" s="0" t="s">
        <v>218</v>
      </c>
      <c r="BV323" s="0" t="n">
        <v>1</v>
      </c>
      <c r="BY323" s="0" t="s">
        <v>219</v>
      </c>
      <c r="BZ323" s="0" t="s">
        <v>220</v>
      </c>
      <c r="CA323" s="46" t="str">
        <f aca="false">VLOOKUP(J323,[2]Eras!$A$2:$C$10, 2, TRUE())</f>
        <v>lbr</v>
      </c>
      <c r="CB323" s="47" t="s">
        <v>149</v>
      </c>
      <c r="CC323" s="46" t="str">
        <f aca="false">CONCATENATE(CA323,"_",CB323)</f>
        <v>lbr_Carriage</v>
      </c>
      <c r="CD323" s="46" t="str">
        <f aca="false">_xlfn.CONCAT(H323, "_",I323)</f>
        <v>carriage_RAIL</v>
      </c>
      <c r="CE323" s="6" t="str">
        <f aca="false" t="array" ref="CE323:CE323">IF(AN323&lt;&gt;"na", _xlfn.CONCAT("{BLACK}Length: {GOLD}", TEXT(ROUNDUP(IF(AQ323&lt;&gt;"",SUM(VALUE(_xlfn.TEXTSPLIT(AQ323, ","))), SUM(VALUE(_xlfn.TEXTSPLIT(AN323, ",")))*IF(M323, M323, 1))/16, 1),"#,##0.0"), " tiles{}"), "")</f>
        <v>{BLACK}Length: {GOLD}0.8 tiles{}</v>
      </c>
      <c r="CF323" s="46" t="str">
        <f aca="false">VLOOKUP($CD323, [2]Constants!$M$1:$N$1048576, 2, FALSE())</f>
        <v/>
      </c>
      <c r="CG323" s="46" t="str">
        <f aca="false">IF(AND(L323&gt;1,BN323&lt;&gt;1),_xlfn.CONCAT("{BLACK}Cars: {GOLD}", L323),"")</f>
        <v/>
      </c>
      <c r="CH323" s="0" t="s">
        <v>1179</v>
      </c>
      <c r="CI323" s="0" t="str">
        <f aca="false">IF($BU323="!param_no_gameplay_units","{GREEN}Included for gameplay purposes","")</f>
        <v>{GREEN}Included for gameplay purposes</v>
      </c>
      <c r="CJ323" s="0" t="str">
        <f aca="false">IF(BX323="buffet","{YELLOW}25% long distance bonus for consist{}",IF(BY323="DANDY","{YELLOW}Faster downhill speeds for horse-drawn trains (1 required per 2 horses){}",IF(BY323="BRAKE","{YELLOW}Speed bonus for slow wagons{}",IF(BY323="NGPassengers","{YELLOW}Preserved railway bonus: passengers pay more when hauled by old locomotives{}",IF(AND(BW323&gt;190,NOT(AND(I323="NARROW_GAUGE",BY323&lt;&gt;"PASS"))),CONCATENATE("{YELLOW}",INT((BW323-185)/1.85),"% bonus for long distance travel{}"),IF(AND(BW323&lt;180,BW323&lt;&gt;0),CONCATENATE("{YELLOW}",INT((185-BW323)/1.85),"% penalty for long distance travel{}"),""))))))</f>
        <v/>
      </c>
      <c r="CK323" s="0" t="str">
        <f aca="false">_xlfn.CONCAT(CF323,IF(CF323&lt;&gt;""," ",""),CG323,IF(OR(CG323&lt;&gt;"",CF323&lt;&gt;""),"{}",""),CE323,CJ323,"{SILVER}",CH323,IF(CI323&lt;&gt;"","{}{}",""),CI323)</f>
        <v>{BLACK}Length: {GOLD}0.8 tiles{}{SILVER}By the 1970s BR had ceased to build carriages with the intention of adding parcel vans to passenger services, but that hasn't stopped railfans and modellers wondering what could have been.{}{}{GREEN}Included for gameplay purposes</v>
      </c>
    </row>
    <row r="324" customFormat="false" ht="14.25" hidden="false" customHeight="false" outlineLevel="0" collapsed="false">
      <c r="A324" s="0" t="s">
        <v>1180</v>
      </c>
      <c r="B324" s="42" t="s">
        <v>1181</v>
      </c>
      <c r="C324" s="0" t="n">
        <v>1016</v>
      </c>
      <c r="D324" s="0" t="n">
        <v>1012</v>
      </c>
      <c r="E324" s="0" t="n">
        <v>1006</v>
      </c>
      <c r="F324" s="0" t="s">
        <v>143</v>
      </c>
      <c r="G324" s="0" t="s">
        <v>144</v>
      </c>
      <c r="H324" s="0" t="s">
        <v>145</v>
      </c>
      <c r="I324" s="0" t="s">
        <v>92</v>
      </c>
      <c r="J324" s="0" t="n">
        <v>1973</v>
      </c>
      <c r="W324" s="0" t="n">
        <v>40</v>
      </c>
      <c r="Y324" s="0" t="n">
        <v>5</v>
      </c>
      <c r="AA324" s="3" t="str">
        <f aca="false">IF(AND(W324&gt;0,Z324&gt;0),(Z324/((W324+X324)*10)),"")</f>
        <v/>
      </c>
      <c r="AB324" s="0" t="n">
        <v>110</v>
      </c>
      <c r="AC324" s="0" t="n">
        <f aca="false">ROUND(AB324*1.6, 0)</f>
        <v>176</v>
      </c>
      <c r="AF324" s="0" t="n">
        <v>19.66</v>
      </c>
      <c r="AG324" s="0" t="n">
        <v>19.66</v>
      </c>
      <c r="AJ324" s="4" t="n">
        <v>60</v>
      </c>
      <c r="AK324" s="16" t="str">
        <f aca="false">CONCATENATE(VLOOKUP(AL324, '[2]Voxel Sizes'!$A$2:$B$18,2,FALSE()),"x",INT(AH324*15), "x", INT(AI324*15))</f>
        <v>198x0x0</v>
      </c>
      <c r="AL324" s="16" t="n">
        <f aca="false">ROUND(15*((AG324*10)/256),0)</f>
        <v>12</v>
      </c>
      <c r="AN324" s="16" t="str">
        <f aca="false">CONCATENATE(VLOOKUP(AL324,[2]Constants!$A$2:$C$16,IF(AM324&lt;&gt;"", 3, 2), FALSE()),IF(AM324&lt;&gt;"",CONCATENATE(",",VLOOKUP(AM324,$B:$AN,39,FALSE())),""))</f>
        <v>4,4,4</v>
      </c>
      <c r="AU324" s="0" t="s">
        <v>1169</v>
      </c>
      <c r="AX324" s="0" t="n">
        <v>30</v>
      </c>
      <c r="AY324" s="16" t="str">
        <f aca="false">IF(L324&lt;&gt;"",MAX(16,(L324-J324)+8),"")</f>
        <v/>
      </c>
      <c r="AZ324" s="0" t="n">
        <v>79</v>
      </c>
      <c r="BA324" s="0" t="n">
        <f aca="false">25*3</f>
        <v>75</v>
      </c>
      <c r="BB324" s="43" t="n">
        <f aca="false">MIN(AB324/150, 1)*30</f>
        <v>22</v>
      </c>
      <c r="BC324" s="43" t="n">
        <f aca="false">MIN(N324/4000, 1)*20</f>
        <v>0</v>
      </c>
      <c r="BD324" s="43" t="n">
        <f aca="false">MIN(Z324/400,1)*20</f>
        <v>0</v>
      </c>
      <c r="BE324" s="44" t="n">
        <f aca="false">1-(MAX(J324-1900, 0)/750)</f>
        <v>0.902666666666667</v>
      </c>
      <c r="BF324" s="43" t="n">
        <f aca="false">((MAX($M324,1)*MIN($AJ324/300,1)))*IF(G324="Wagon",50,10)</f>
        <v>10</v>
      </c>
      <c r="BG324" s="43" t="n">
        <f aca="false">VLOOKUP($H324,[2]Constants!$I$1:$K$1048576, 2, FALSE())</f>
        <v>1.2</v>
      </c>
      <c r="BH324" s="43" t="n">
        <f aca="false">VLOOKUP($H324,[2]Constants!$I$1:$K$1048576, 3, FALSE())*IF(AND(G324="multiple_unit",AB324&lt;110),0.75,1)</f>
        <v>0.6</v>
      </c>
      <c r="BI324" s="43" t="n">
        <f aca="false">INT(POWER((([2]Constants!$G$2+$BB324+$BC324+$BD324+$BF324)*$BE324)*$BH324, 1.05))+$BA324</f>
        <v>98</v>
      </c>
      <c r="BJ324" s="43" t="n">
        <f aca="false">INT(POWER(((([2]Constants!$G$1+$BB324+$BC324+$BD324+$BF324)*($BE324))*$BG324),IF($G324="wagon",1,1.2)))+$AZ324</f>
        <v>129</v>
      </c>
      <c r="BK324" s="45" t="n">
        <f aca="false">BI324*IF($G324="wagon",62.5,781.25)</f>
        <v>6125</v>
      </c>
      <c r="BL324" s="45" t="n">
        <f aca="false">BJ324*IF($G324="wagon",2.73,81.25)</f>
        <v>352.17</v>
      </c>
      <c r="BU324" s="0" t="s">
        <v>1107</v>
      </c>
      <c r="BV324" s="0" t="n">
        <v>1</v>
      </c>
      <c r="BY324" s="0" t="s">
        <v>147</v>
      </c>
      <c r="BZ324" s="0" t="s">
        <v>148</v>
      </c>
      <c r="CA324" s="46" t="str">
        <f aca="false">VLOOKUP(J324,[2]Eras!$A$2:$C$10, 2, TRUE())</f>
        <v>lbr</v>
      </c>
      <c r="CB324" s="47" t="s">
        <v>149</v>
      </c>
      <c r="CC324" s="46" t="str">
        <f aca="false">CONCATENATE(CA324,"_",CB324)</f>
        <v>lbr_Carriage</v>
      </c>
      <c r="CD324" s="46" t="str">
        <f aca="false">_xlfn.CONCAT(H324, "_",I324)</f>
        <v>carriage_RAIL</v>
      </c>
      <c r="CE324" s="6" t="str">
        <f aca="false" t="array" ref="CE324:CE324">IF(AN324&lt;&gt;"na", _xlfn.CONCAT("{BLACK}Length: {GOLD}", TEXT(ROUNDUP(IF(AQ324&lt;&gt;"",SUM(VALUE(_xlfn.TEXTSPLIT(AQ324, ","))), SUM(VALUE(_xlfn.TEXTSPLIT(AN324, ",")))*IF(M324, M324, 1))/16, 1),"#,##0.0"), " tiles{}"), "")</f>
        <v>{BLACK}Length: {GOLD}0.8 tiles{}</v>
      </c>
      <c r="CF324" s="46" t="str">
        <f aca="false">VLOOKUP($CD324, [2]Constants!$M$1:$N$1048576, 2, FALSE())</f>
        <v/>
      </c>
      <c r="CG324" s="46" t="str">
        <f aca="false">IF(AND(L324&gt;1,BN324&lt;&gt;1),_xlfn.CONCAT("{BLACK}Cars: {GOLD}", L324),"")</f>
        <v/>
      </c>
      <c r="CH324" s="0" t="s">
        <v>1170</v>
      </c>
      <c r="CI324" s="0" t="str">
        <f aca="false">IF($BU324="!param_no_gameplay_units","{GREEN}Included for gameplay purposes","")</f>
        <v/>
      </c>
      <c r="CJ324" s="0" t="str">
        <f aca="false">IF(BX324="buffet","{YELLOW}25% long distance bonus for consist{}",IF(BY324="DANDY","{YELLOW}Faster downhill speeds for horse-drawn trains (1 required per 2 horses){}",IF(BY324="BRAKE","{YELLOW}Speed bonus for slow wagons{}",IF(BY324="NGPassengers","{YELLOW}Preserved railway bonus: passengers pay more when hauled by old locomotives{}",IF(AND(BW324&gt;190,NOT(AND(I324="NARROW_GAUGE",BY324&lt;&gt;"PASS"))),CONCATENATE("{YELLOW}",INT((BW324-185)/1.85),"% bonus for long distance travel{}"),IF(AND(BW324&lt;180,BW324&lt;&gt;0),CONCATENATE("{YELLOW}",INT((185-BW324)/1.85),"% penalty for long distance travel{}"),""))))))</f>
        <v/>
      </c>
      <c r="CK324" s="0" t="str">
        <f aca="false">_xlfn.CONCAT(CF324,IF(CF324&lt;&gt;""," ",""),CG324,IF(OR(CG324&lt;&gt;"",CF324&lt;&gt;""),"{}",""),CE324,CJ324,"{SILVER}",CH324,IF(CI324&lt;&gt;"","{}{}",""),CI324)</f>
        <v>{BLACK}Length: {GOLD}0.8 tiles{}{SILVER}The Mark 2F was the final development of the Mark 2 carriage, introducing many features which would be used on the Mark 3 Intercity carriages.</v>
      </c>
    </row>
    <row r="325" customFormat="false" ht="14.25" hidden="false" customHeight="false" outlineLevel="0" collapsed="false">
      <c r="A325" s="0" t="s">
        <v>1182</v>
      </c>
      <c r="B325" s="42" t="s">
        <v>1183</v>
      </c>
      <c r="C325" s="0" t="n">
        <v>1017</v>
      </c>
      <c r="E325" s="0" t="n">
        <v>1007</v>
      </c>
      <c r="F325" s="0" t="s">
        <v>143</v>
      </c>
      <c r="G325" s="0" t="s">
        <v>144</v>
      </c>
      <c r="H325" s="0" t="s">
        <v>145</v>
      </c>
      <c r="I325" s="0" t="s">
        <v>92</v>
      </c>
      <c r="J325" s="0" t="n">
        <v>2017</v>
      </c>
      <c r="W325" s="0" t="n">
        <v>40</v>
      </c>
      <c r="Y325" s="0" t="n">
        <v>5</v>
      </c>
      <c r="AA325" s="3" t="str">
        <f aca="false">IF(AND(W325&gt;0,Z325&gt;0),(Z325/((W325+X325)*10)),"")</f>
        <v/>
      </c>
      <c r="AB325" s="0" t="n">
        <v>125</v>
      </c>
      <c r="AC325" s="0" t="n">
        <f aca="false">ROUND(AB325*1.6, 0)</f>
        <v>200</v>
      </c>
      <c r="AF325" s="0" t="n">
        <v>23</v>
      </c>
      <c r="AG325" s="0" t="n">
        <v>23</v>
      </c>
      <c r="AJ325" s="4" t="n">
        <v>57</v>
      </c>
      <c r="AK325" s="16" t="str">
        <f aca="false">CONCATENATE(VLOOKUP(AL325, '[2]Voxel Sizes'!$A$2:$B$18,2,FALSE()),"x",INT(AH325*15), "x", INT(AI325*15))</f>
        <v>214x0x0</v>
      </c>
      <c r="AL325" s="16" t="n">
        <f aca="false">ROUND(15*((AG325*10)/256),0)</f>
        <v>13</v>
      </c>
      <c r="AN325" s="16" t="str">
        <f aca="false">CONCATENATE(VLOOKUP(AL325,[2]Constants!$A$2:$C$16,IF(AM325&lt;&gt;"", 3, 2), FALSE()),IF(AM325&lt;&gt;"",CONCATENATE(",",VLOOKUP(AM325,$B:$AN,39,FALSE())),""))</f>
        <v>4,5,4</v>
      </c>
      <c r="AX325" s="0" t="n">
        <v>30</v>
      </c>
      <c r="AY325" s="16" t="str">
        <f aca="false">IF(L325&lt;&gt;"",MAX(16,(L325-J325)+8),"")</f>
        <v/>
      </c>
      <c r="AZ325" s="0" t="n">
        <v>85</v>
      </c>
      <c r="BA325" s="0" t="n">
        <v>85</v>
      </c>
      <c r="BB325" s="43" t="n">
        <f aca="false">MIN(AB325/150, 1)*30</f>
        <v>25</v>
      </c>
      <c r="BC325" s="43" t="n">
        <f aca="false">MIN(N325/4000, 1)*20</f>
        <v>0</v>
      </c>
      <c r="BD325" s="43" t="n">
        <f aca="false">MIN(Z325/400,1)*20</f>
        <v>0</v>
      </c>
      <c r="BE325" s="44" t="n">
        <f aca="false">1-(MAX(J325-1900, 0)/750)</f>
        <v>0.844</v>
      </c>
      <c r="BF325" s="43" t="n">
        <f aca="false">((MAX($M325,1)*MIN($AJ325/300,1)))*IF(G325="Wagon",50,10)</f>
        <v>9.5</v>
      </c>
      <c r="BG325" s="43" t="n">
        <f aca="false">VLOOKUP($H325,[2]Constants!$I$1:$K$1048576, 2, FALSE())</f>
        <v>1.2</v>
      </c>
      <c r="BH325" s="43" t="n">
        <f aca="false">VLOOKUP($H325,[2]Constants!$I$1:$K$1048576, 3, FALSE())*IF(AND(G325="multiple_unit",AB325&lt;110),0.75,1)</f>
        <v>0.6</v>
      </c>
      <c r="BI325" s="43" t="n">
        <f aca="false">INT(POWER((([2]Constants!$G$2+$BB325+$BC325+$BD325+$BF325)*$BE325)*$BH325, 1.05))+$BA325</f>
        <v>108</v>
      </c>
      <c r="BJ325" s="43" t="n">
        <f aca="false">INT(POWER(((([2]Constants!$G$1+$BB325+$BC325+$BD325+$BF325)*($BE325))*$BG325),IF($G325="wagon",1,1.2)))+$AZ325</f>
        <v>135</v>
      </c>
      <c r="BK325" s="45" t="n">
        <f aca="false">BI325*IF($G325="wagon",62.5,781.25)</f>
        <v>6750</v>
      </c>
      <c r="BL325" s="45" t="n">
        <f aca="false">BJ325*IF($G325="wagon",2.73,81.25)</f>
        <v>368.55</v>
      </c>
      <c r="BV325" s="0" t="n">
        <v>1</v>
      </c>
      <c r="BW325" s="0" t="n">
        <v>222</v>
      </c>
      <c r="BY325" s="0" t="s">
        <v>147</v>
      </c>
      <c r="BZ325" s="0" t="s">
        <v>148</v>
      </c>
      <c r="CA325" s="46" t="str">
        <f aca="false">VLOOKUP(J325,[2]Eras!$A$2:$C$10, 2, TRUE())</f>
        <v>mod</v>
      </c>
      <c r="CB325" s="47" t="s">
        <v>149</v>
      </c>
      <c r="CC325" s="46" t="str">
        <f aca="false">CONCATENATE(CA325,"_",CB325)</f>
        <v>mod_Carriage</v>
      </c>
      <c r="CD325" s="46" t="str">
        <f aca="false">_xlfn.CONCAT(H325, "_",I325)</f>
        <v>carriage_RAIL</v>
      </c>
      <c r="CE325" s="6" t="str">
        <f aca="false" t="array" ref="CE325:CE325">IF(AN325&lt;&gt;"na", _xlfn.CONCAT("{BLACK}Length: {GOLD}", TEXT(ROUNDUP(IF(AQ325&lt;&gt;"",SUM(VALUE(_xlfn.TEXTSPLIT(AQ325, ","))), SUM(VALUE(_xlfn.TEXTSPLIT(AN325, ",")))*IF(M325, M325, 1))/16, 1),"#,##0.0"), " tiles{}"), "")</f>
        <v>{BLACK}Length: {GOLD}0.9 tiles{}</v>
      </c>
      <c r="CF325" s="46" t="str">
        <f aca="false">VLOOKUP($CD325, [2]Constants!$M$1:$N$1048576, 2, FALSE())</f>
        <v/>
      </c>
      <c r="CG325" s="46" t="str">
        <f aca="false">IF(AND(L325&gt;1,BN325&lt;&gt;1),_xlfn.CONCAT("{BLACK}Cars: {GOLD}", L325),"")</f>
        <v/>
      </c>
      <c r="CH325" s="0" t="s">
        <v>1184</v>
      </c>
      <c r="CI325" s="0" t="str">
        <f aca="false">IF($BU325="!param_no_gameplay_units","{GREEN}Included for gameplay purposes","")</f>
        <v/>
      </c>
      <c r="CJ325" s="0" t="str">
        <f aca="false">IF(BX325="buffet","{YELLOW}25% long distance bonus for consist{}",IF(BY325="DANDY","{YELLOW}Faster downhill speeds for horse-drawn trains (1 required per 2 horses){}",IF(BY325="BRAKE","{YELLOW}Speed bonus for slow wagons{}",IF(BY325="NGPassengers","{YELLOW}Preserved railway bonus: passengers pay more when hauled by old locomotives{}",IF(AND(BW325&gt;190,NOT(AND(I325="NARROW_GAUGE",BY325&lt;&gt;"PASS"))),CONCATENATE("{YELLOW}",INT((BW325-185)/1.85),"% bonus for long distance travel{}"),IF(AND(BW325&lt;180,BW325&lt;&gt;0),CONCATENATE("{YELLOW}",INT((185-BW325)/1.85),"% penalty for long distance travel{}"),""))))))</f>
        <v>{YELLOW}20% bonus for long distance travel{}</v>
      </c>
      <c r="CK325" s="0" t="str">
        <f aca="false">_xlfn.CONCAT(CF325,IF(CF325&lt;&gt;""," ",""),CG325,IF(OR(CG325&lt;&gt;"",CF325&lt;&gt;""),"{}",""),CE325,CJ325,"{SILVER}",CH325,IF(CI325&lt;&gt;"","{}{}",""),CI325)</f>
        <v>{BLACK}Length: {GOLD}0.9 tiles{}{YELLOW}20% bonus for long distance travel{}{SILVER}The Mark 5A was built for loco-hauled services on the TransPennine Express, but was withdrawn barely four years after introduction.</v>
      </c>
    </row>
    <row r="326" customFormat="false" ht="14.25" hidden="false" customHeight="false" outlineLevel="0" collapsed="false">
      <c r="A326" s="0" t="s">
        <v>1185</v>
      </c>
      <c r="B326" s="42" t="s">
        <v>1186</v>
      </c>
      <c r="C326" s="0" t="n">
        <v>1018</v>
      </c>
      <c r="E326" s="0" t="n">
        <v>1008</v>
      </c>
      <c r="F326" s="0" t="s">
        <v>143</v>
      </c>
      <c r="G326" s="0" t="s">
        <v>144</v>
      </c>
      <c r="H326" s="0" t="s">
        <v>145</v>
      </c>
      <c r="I326" s="0" t="s">
        <v>92</v>
      </c>
      <c r="J326" s="0" t="n">
        <v>1960</v>
      </c>
      <c r="W326" s="0" t="n">
        <v>28</v>
      </c>
      <c r="Y326" s="0" t="n">
        <v>4</v>
      </c>
      <c r="AA326" s="3" t="str">
        <f aca="false">IF(AND(W326&gt;0,Z326&gt;0),(Z326/((W326+X326)*10)),"")</f>
        <v/>
      </c>
      <c r="AB326" s="0" t="n">
        <v>25</v>
      </c>
      <c r="AC326" s="0" t="n">
        <f aca="false">ROUND(AB326*1.6, 0)</f>
        <v>40</v>
      </c>
      <c r="AF326" s="0" t="n">
        <v>16.2</v>
      </c>
      <c r="AG326" s="0" t="n">
        <v>16.2</v>
      </c>
      <c r="AH326" s="0" t="n">
        <v>2.8</v>
      </c>
      <c r="AJ326" s="4" t="n">
        <v>42</v>
      </c>
      <c r="AK326" s="16" t="str">
        <f aca="false">CONCATENATE(VLOOKUP(AL326, '[2]Voxel Sizes'!$A$2:$B$18,2,FALSE()),"x",INT(AH326*15), "x", INT(AI326*15))</f>
        <v>152x42x0</v>
      </c>
      <c r="AL326" s="16" t="n">
        <f aca="false">ROUND(15*((AG326*10)/256),0)</f>
        <v>9</v>
      </c>
      <c r="AN326" s="16" t="str">
        <f aca="false">CONCATENATE(VLOOKUP(AL326,[2]Constants!$A$2:$C$16,IF(AM326&lt;&gt;"", 3, 2), FALSE()),IF(AM326&lt;&gt;"",CONCATENATE(",",VLOOKUP(AM326,$B:$AN,39,FALSE())),""))</f>
        <v>2,5,2</v>
      </c>
      <c r="AX326" s="0" t="n">
        <v>30</v>
      </c>
      <c r="AY326" s="16" t="str">
        <f aca="false">IF(L326&lt;&gt;"",MAX(16,(L326-J326)+8),"")</f>
        <v/>
      </c>
      <c r="AZ326" s="0" t="n">
        <v>69</v>
      </c>
      <c r="BA326" s="0" t="n">
        <v>57</v>
      </c>
      <c r="BB326" s="43" t="n">
        <f aca="false">MIN(AB326/150, 1)*30</f>
        <v>5</v>
      </c>
      <c r="BC326" s="43" t="n">
        <f aca="false">MIN(N326/4000, 1)*20</f>
        <v>0</v>
      </c>
      <c r="BD326" s="43" t="n">
        <f aca="false">MIN(Z326/400,1)*20</f>
        <v>0</v>
      </c>
      <c r="BE326" s="44" t="n">
        <f aca="false">1-(MAX(J326-1900, 0)/750)</f>
        <v>0.92</v>
      </c>
      <c r="BF326" s="43" t="n">
        <f aca="false">((MAX($M326,1)*MIN($AJ326/300,1)))*IF(G326="Wagon",50,10)</f>
        <v>7</v>
      </c>
      <c r="BG326" s="43" t="n">
        <f aca="false">VLOOKUP($H326,[2]Constants!$I$1:$K$1048576, 2, FALSE())</f>
        <v>1.2</v>
      </c>
      <c r="BH326" s="43" t="n">
        <f aca="false">VLOOKUP($H326,[2]Constants!$I$1:$K$1048576, 3, FALSE())*IF(AND(G326="multiple_unit",AB326&lt;110),0.75,1)</f>
        <v>0.6</v>
      </c>
      <c r="BI326" s="43" t="n">
        <f aca="false">INT(POWER((([2]Constants!$G$2+$BB326+$BC326+$BD326+$BF326)*$BE326)*$BH326, 1.05))+$BA326</f>
        <v>67</v>
      </c>
      <c r="BJ326" s="43" t="n">
        <f aca="false">INT(POWER(((([2]Constants!$G$1+$BB326+$BC326+$BD326+$BF326)*($BE326))*$BG326),IF($G326="wagon",1,1.2)))+$AZ326</f>
        <v>98</v>
      </c>
      <c r="BK326" s="45" t="n">
        <f aca="false">BI326*IF($G326="wagon",62.5,781.25)</f>
        <v>4187.5</v>
      </c>
      <c r="BL326" s="45" t="n">
        <f aca="false">BJ326*IF($G326="wagon",2.73,81.25)</f>
        <v>267.54</v>
      </c>
      <c r="BV326" s="0" t="n">
        <v>1</v>
      </c>
      <c r="BW326" s="0" t="n">
        <v>74</v>
      </c>
      <c r="BY326" s="0" t="s">
        <v>1187</v>
      </c>
      <c r="BZ326" s="0" t="s">
        <v>148</v>
      </c>
      <c r="CA326" s="46" t="str">
        <f aca="false">VLOOKUP(J326,[2]Eras!$A$2:$C$10, 2, TRUE())</f>
        <v>dsl</v>
      </c>
      <c r="CB326" s="47" t="s">
        <v>149</v>
      </c>
      <c r="CC326" s="46" t="str">
        <f aca="false">CONCATENATE(CA326,"_",CB326)</f>
        <v>dsl_Carriage</v>
      </c>
      <c r="CD326" s="46" t="str">
        <f aca="false">_xlfn.CONCAT(H326, "_",I326)</f>
        <v>carriage_RAIL</v>
      </c>
      <c r="CE326" s="6" t="str">
        <f aca="false" t="array" ref="CE326:CE326">IF(AN326&lt;&gt;"na", _xlfn.CONCAT("{BLACK}Length: {GOLD}", TEXT(ROUNDUP(IF(AQ326&lt;&gt;"",SUM(VALUE(_xlfn.TEXTSPLIT(AQ326, ","))), SUM(VALUE(_xlfn.TEXTSPLIT(AN326, ",")))*IF(M326, M326, 1))/16, 1),"#,##0.0"), " tiles{}"), "")</f>
        <v>{BLACK}Length: {GOLD}0.6 tiles{}</v>
      </c>
      <c r="CF326" s="46" t="str">
        <f aca="false">VLOOKUP($CD326, [2]Constants!$M$1:$N$1048576, 2, FALSE())</f>
        <v/>
      </c>
      <c r="CG326" s="46" t="str">
        <f aca="false">IF(AND(L326&gt;1,BN326&lt;&gt;1),_xlfn.CONCAT("{BLACK}Cars: {GOLD}", L326),"")</f>
        <v/>
      </c>
      <c r="CH326" s="0" t="s">
        <v>1188</v>
      </c>
      <c r="CI326" s="0" t="str">
        <f aca="false">IF($BU326="!param_no_gameplay_units","{GREEN}Included for gameplay purposes","")</f>
        <v/>
      </c>
      <c r="CJ326" s="0" t="str">
        <f aca="false">IF(BX326="buffet","{YELLOW}25% long distance bonus for consist{}",IF(BY326="DANDY","{YELLOW}Faster downhill speeds for horse-drawn trains (1 required per 2 horses){}",IF(BY326="BRAKE","{YELLOW}Speed bonus for slow wagons{}",IF(BY326="NGPassengers","{YELLOW}Preserved railway bonus: passengers pay more when hauled by old locomotives{}",IF(AND(BW326&gt;190,NOT(AND(I326="NARROW_GAUGE",BY326&lt;&gt;"PASS"))),CONCATENATE("{YELLOW}",INT((BW326-185)/1.85),"% bonus for long distance travel{}"),IF(AND(BW326&lt;180,BW326&lt;&gt;0),CONCATENATE("{YELLOW}",INT((185-BW326)/1.85),"% penalty for long distance travel{}"),""))))))</f>
        <v>{YELLOW}Preserved railway bonus: passengers pay more when hauled by old locomotives{}</v>
      </c>
      <c r="CK326" s="0" t="str">
        <f aca="false">_xlfn.CONCAT(CF326,IF(CF326&lt;&gt;""," ",""),CG326,IF(OR(CG326&lt;&gt;"",CF326&lt;&gt;""),"{}",""),CE326,CJ326,"{SILVER}",CH326,IF(CI326&lt;&gt;"","{}{}",""),CI326)</f>
        <v>{BLACK}Length: {GOLD}0.6 tiles{}{YELLOW}Preserved railway bonus: passengers pay more when hauled by old locomotives{}{SILVER}The first standard gauge preservation railway in the UK was the Bluebell Railway, opened in 1960. Preservation lines are limited to 25mph.</v>
      </c>
    </row>
    <row r="327" customFormat="false" ht="14.25" hidden="false" customHeight="false" outlineLevel="0" collapsed="false">
      <c r="A327" s="0" t="s">
        <v>1189</v>
      </c>
      <c r="B327" s="42" t="s">
        <v>1190</v>
      </c>
      <c r="C327" s="0" t="n">
        <v>1019</v>
      </c>
      <c r="E327" s="0" t="n">
        <v>1009</v>
      </c>
      <c r="F327" s="0" t="s">
        <v>143</v>
      </c>
      <c r="G327" s="0" t="s">
        <v>144</v>
      </c>
      <c r="H327" s="0" t="s">
        <v>145</v>
      </c>
      <c r="I327" s="0" t="s">
        <v>92</v>
      </c>
      <c r="J327" s="0" t="n">
        <v>1979</v>
      </c>
      <c r="W327" s="0" t="n">
        <v>32.5</v>
      </c>
      <c r="Y327" s="0" t="n">
        <v>5</v>
      </c>
      <c r="AA327" s="3" t="str">
        <f aca="false">IF(AND(W327&gt;0,Z327&gt;0),(Z327/((W327+X327)*10)),"")</f>
        <v/>
      </c>
      <c r="AB327" s="0" t="n">
        <v>25</v>
      </c>
      <c r="AC327" s="0" t="n">
        <f aca="false">ROUND(AB327*1.6, 0)</f>
        <v>40</v>
      </c>
      <c r="AF327" s="0" t="n">
        <v>19.3</v>
      </c>
      <c r="AG327" s="0" t="n">
        <v>20</v>
      </c>
      <c r="AJ327" s="4" t="n">
        <v>54</v>
      </c>
      <c r="AK327" s="16" t="str">
        <f aca="false">CONCATENATE(VLOOKUP(AL327, '[2]Voxel Sizes'!$A$2:$B$18,2,FALSE()),"x",INT(AH327*15), "x", INT(AI327*15))</f>
        <v>198x0x0</v>
      </c>
      <c r="AL327" s="16" t="n">
        <f aca="false">ROUND(15*((AG327*10)/256),0)</f>
        <v>12</v>
      </c>
      <c r="AN327" s="16" t="str">
        <f aca="false">CONCATENATE(VLOOKUP(AL327,[2]Constants!$A$2:$C$16,IF(AM327&lt;&gt;"", 3, 2), FALSE()),IF(AM327&lt;&gt;"",CONCATENATE(",",VLOOKUP(AM327,$B:$AN,39,FALSE())),""))</f>
        <v>4,4,4</v>
      </c>
      <c r="AX327" s="0" t="n">
        <v>30</v>
      </c>
      <c r="AY327" s="16" t="str">
        <f aca="false">IF(L327&lt;&gt;"",MAX(16,(L327-J327)+8),"")</f>
        <v/>
      </c>
      <c r="AZ327" s="0" t="n">
        <v>76</v>
      </c>
      <c r="BA327" s="0" t="n">
        <f aca="false">23*3</f>
        <v>69</v>
      </c>
      <c r="BB327" s="43" t="n">
        <f aca="false">MIN(AB327/150, 1)*30</f>
        <v>5</v>
      </c>
      <c r="BC327" s="43" t="n">
        <f aca="false">MIN(N327/4000, 1)*20</f>
        <v>0</v>
      </c>
      <c r="BD327" s="43" t="n">
        <f aca="false">MIN(Z327/400,1)*20</f>
        <v>0</v>
      </c>
      <c r="BE327" s="44" t="n">
        <f aca="false">1-(MAX(J327-1900, 0)/750)</f>
        <v>0.894666666666667</v>
      </c>
      <c r="BF327" s="43" t="n">
        <f aca="false">((MAX($M327,1)*MIN($AJ327/300,1)))*IF(G327="Wagon",50,10)</f>
        <v>9</v>
      </c>
      <c r="BG327" s="43" t="n">
        <f aca="false">VLOOKUP($H327,[2]Constants!$I$1:$K$1048576, 2, FALSE())</f>
        <v>1.2</v>
      </c>
      <c r="BH327" s="43" t="n">
        <f aca="false">VLOOKUP($H327,[2]Constants!$I$1:$K$1048576, 3, FALSE())*IF(AND(G327="multiple_unit",AB327&lt;110),0.75,1)</f>
        <v>0.6</v>
      </c>
      <c r="BI327" s="43" t="n">
        <f aca="false">INT(POWER((([2]Constants!$G$2+$BB327+$BC327+$BD327+$BF327)*$BE327)*$BH327, 1.05))+$BA327</f>
        <v>80</v>
      </c>
      <c r="BJ327" s="43" t="n">
        <f aca="false">INT(POWER(((([2]Constants!$G$1+$BB327+$BC327+$BD327+$BF327)*($BE327))*$BG327),IF($G327="wagon",1,1.2)))+$AZ327</f>
        <v>107</v>
      </c>
      <c r="BK327" s="45" t="n">
        <f aca="false">BI327*IF($G327="wagon",62.5,781.25)</f>
        <v>5000</v>
      </c>
      <c r="BL327" s="45" t="n">
        <f aca="false">BJ327*IF($G327="wagon",2.73,81.25)</f>
        <v>292.11</v>
      </c>
      <c r="BV327" s="0" t="n">
        <v>1</v>
      </c>
      <c r="BW327" s="0" t="n">
        <v>74</v>
      </c>
      <c r="BY327" s="0" t="s">
        <v>1187</v>
      </c>
      <c r="BZ327" s="0" t="s">
        <v>148</v>
      </c>
      <c r="CA327" s="46" t="str">
        <f aca="false">VLOOKUP(J327,[2]Eras!$A$2:$C$10, 2, TRUE())</f>
        <v>lbr</v>
      </c>
      <c r="CB327" s="47" t="s">
        <v>149</v>
      </c>
      <c r="CC327" s="46" t="str">
        <f aca="false">CONCATENATE(CA327,"_",CB327)</f>
        <v>lbr_Carriage</v>
      </c>
      <c r="CD327" s="46" t="str">
        <f aca="false">_xlfn.CONCAT(H327, "_",I327)</f>
        <v>carriage_RAIL</v>
      </c>
      <c r="CE327" s="6" t="str">
        <f aca="false" t="array" ref="CE327:CE327">IF(AN327&lt;&gt;"na", _xlfn.CONCAT("{BLACK}Length: {GOLD}", TEXT(ROUNDUP(IF(AQ327&lt;&gt;"",SUM(VALUE(_xlfn.TEXTSPLIT(AQ327, ","))), SUM(VALUE(_xlfn.TEXTSPLIT(AN327, ",")))*IF(M327, M327, 1))/16, 1),"#,##0.0"), " tiles{}"), "")</f>
        <v>{BLACK}Length: {GOLD}0.8 tiles{}</v>
      </c>
      <c r="CF327" s="46" t="str">
        <f aca="false">VLOOKUP($CD327, [2]Constants!$M$1:$N$1048576, 2, FALSE())</f>
        <v/>
      </c>
      <c r="CG327" s="46" t="str">
        <f aca="false">IF(AND(L327&gt;1,BN327&lt;&gt;1),_xlfn.CONCAT("{BLACK}Cars: {GOLD}", L327),"")</f>
        <v/>
      </c>
      <c r="CH327" s="0" t="s">
        <v>1191</v>
      </c>
      <c r="CI327" s="0" t="str">
        <f aca="false">IF($BU327="!param_no_gameplay_units","{GREEN}Included for gameplay purposes","")</f>
        <v/>
      </c>
      <c r="CJ327" s="0" t="str">
        <f aca="false">IF(BX327="buffet","{YELLOW}25% long distance bonus for consist{}",IF(BY327="DANDY","{YELLOW}Faster downhill speeds for horse-drawn trains (1 required per 2 horses){}",IF(BY327="BRAKE","{YELLOW}Speed bonus for slow wagons{}",IF(BY327="NGPassengers","{YELLOW}Preserved railway bonus: passengers pay more when hauled by old locomotives{}",IF(AND(BW327&gt;190,NOT(AND(I327="NARROW_GAUGE",BY327&lt;&gt;"PASS"))),CONCATENATE("{YELLOW}",INT((BW327-185)/1.85),"% bonus for long distance travel{}"),IF(AND(BW327&lt;180,BW327&lt;&gt;0),CONCATENATE("{YELLOW}",INT((185-BW327)/1.85),"% penalty for long distance travel{}"),""))))))</f>
        <v>{YELLOW}Preserved railway bonus: passengers pay more when hauled by old locomotives{}</v>
      </c>
      <c r="CK327" s="0" t="str">
        <f aca="false">_xlfn.CONCAT(CF327,IF(CF327&lt;&gt;""," ",""),CG327,IF(OR(CG327&lt;&gt;"",CF327&lt;&gt;""),"{}",""),CE327,CJ327,"{SILVER}",CH327,IF(CI327&lt;&gt;"","{}{}",""),CI327)</f>
        <v>{BLACK}Length: {GOLD}0.8 tiles{}{YELLOW}Preserved railway bonus: passengers pay more when hauled by old locomotives{}{SILVER}The ubiquity of the BR Mk1 carriage has made it a mainstay of preserved railways across the UK.</v>
      </c>
    </row>
    <row r="328" customFormat="false" ht="14.25" hidden="false" customHeight="false" outlineLevel="0" collapsed="false">
      <c r="A328" s="0" t="s">
        <v>1192</v>
      </c>
      <c r="B328" s="42" t="s">
        <v>1193</v>
      </c>
      <c r="C328" s="0" t="n">
        <v>1020</v>
      </c>
      <c r="E328" s="0" t="n">
        <v>1010</v>
      </c>
      <c r="F328" s="0" t="s">
        <v>143</v>
      </c>
      <c r="G328" s="0" t="s">
        <v>144</v>
      </c>
      <c r="H328" s="0" t="s">
        <v>144</v>
      </c>
      <c r="I328" s="0" t="s">
        <v>92</v>
      </c>
      <c r="J328" s="0" t="n">
        <v>1969</v>
      </c>
      <c r="W328" s="0" t="n">
        <v>160</v>
      </c>
      <c r="Y328" s="0" t="n">
        <v>5</v>
      </c>
      <c r="AA328" s="3" t="str">
        <f aca="false">IF(AND(W328&gt;0,Z328&gt;0),(Z328/((W328+X328)*10)),"")</f>
        <v/>
      </c>
      <c r="AB328" s="0" t="n">
        <v>65</v>
      </c>
      <c r="AC328" s="0" t="n">
        <f aca="false">ROUND(AB328*1.6, 0)</f>
        <v>104</v>
      </c>
      <c r="AF328" s="0" t="n">
        <v>25</v>
      </c>
      <c r="AG328" s="0" t="n">
        <v>22</v>
      </c>
      <c r="AJ328" s="4" t="n">
        <v>81</v>
      </c>
      <c r="AK328" s="16" t="str">
        <f aca="false">CONCATENATE(VLOOKUP(AL328, '[2]Voxel Sizes'!$A$2:$B$18,2,FALSE()),"x",INT(AH328*15), "x", INT(AI328*15))</f>
        <v>214x0x0</v>
      </c>
      <c r="AL328" s="16" t="n">
        <f aca="false">ROUND(15*((AG328*10)/256),0)</f>
        <v>13</v>
      </c>
      <c r="AN328" s="16" t="str">
        <f aca="false">CONCATENATE(VLOOKUP(AL328,[2]Constants!$A$2:$C$16,IF(AM328&lt;&gt;"", 3, 2), FALSE()),IF(AM328&lt;&gt;"",CONCATENATE(",",VLOOKUP(AM328,$B:$AN,39,FALSE())),""))</f>
        <v>4,5,4</v>
      </c>
      <c r="AX328" s="0" t="n">
        <v>30</v>
      </c>
      <c r="AY328" s="16" t="str">
        <f aca="false">IF(L328&lt;&gt;"",MAX(16,(L328-J328)+8),"")</f>
        <v/>
      </c>
      <c r="BB328" s="43" t="n">
        <f aca="false">MIN(AB328/150, 1)*30</f>
        <v>13</v>
      </c>
      <c r="BC328" s="43" t="n">
        <f aca="false">MIN(N328/4000, 1)*20</f>
        <v>0</v>
      </c>
      <c r="BD328" s="43" t="n">
        <f aca="false">MIN(Z328/400,1)*20</f>
        <v>0</v>
      </c>
      <c r="BE328" s="44" t="n">
        <f aca="false">1-(MAX(J328-1900, 0)/750)</f>
        <v>0.908</v>
      </c>
      <c r="BF328" s="43" t="n">
        <f aca="false">((MAX($M328,1)*MIN($AJ328/300,1)))*IF(G328="Wagon",50,10)</f>
        <v>13.5</v>
      </c>
      <c r="BG328" s="43" t="n">
        <f aca="false">VLOOKUP($H328,[2]Constants!$I$1:$K$1048576, 2, FALSE())</f>
        <v>1</v>
      </c>
      <c r="BH328" s="43" t="n">
        <f aca="false">VLOOKUP($H328,[2]Constants!$I$1:$K$1048576, 3, FALSE())*IF(AND(G328="multiple_unit",AB328&lt;110),0.75,1)</f>
        <v>0.45</v>
      </c>
      <c r="BI328" s="43" t="n">
        <f aca="false">INT(POWER((([2]Constants!$G$2+$BB328+$BC328+$BD328+$BF328)*$BE328)*$BH328, 1.05))+$BA328</f>
        <v>14</v>
      </c>
      <c r="BJ328" s="43" t="n">
        <f aca="false">INT(POWER(((([2]Constants!$G$1+$BB328+$BC328+$BD328+$BF328)*($BE328))*$BG328),IF($G328="wagon",1,1.2)))+$AZ328</f>
        <v>37</v>
      </c>
      <c r="BK328" s="45" t="n">
        <f aca="false">BI328*IF($G328="wagon",62.5,781.25)</f>
        <v>875</v>
      </c>
      <c r="BL328" s="45" t="n">
        <f aca="false">BJ328*IF($G328="wagon",2.73,81.25)</f>
        <v>101.01</v>
      </c>
      <c r="BV328" s="0" t="n">
        <v>1</v>
      </c>
      <c r="BW328" s="0" t="n">
        <v>205</v>
      </c>
      <c r="BY328" s="0" t="s">
        <v>1194</v>
      </c>
      <c r="BZ328" s="0" t="s">
        <v>148</v>
      </c>
      <c r="CA328" s="46" t="str">
        <f aca="false">VLOOKUP(J328,[2]Eras!$A$2:$C$10, 2, TRUE())</f>
        <v>dsl</v>
      </c>
      <c r="CB328" s="47" t="s">
        <v>303</v>
      </c>
      <c r="CC328" s="46" t="str">
        <f aca="false">CONCATENATE(CA328,"_",CB328)</f>
        <v>dsl_Extra</v>
      </c>
      <c r="CD328" s="46" t="str">
        <f aca="false">_xlfn.CONCAT(H328, "_",I328)</f>
        <v>wagon_RAIL</v>
      </c>
      <c r="CE328" s="6" t="str">
        <f aca="false" t="array" ref="CE328:CE328">IF(AN328&lt;&gt;"na", _xlfn.CONCAT("{BLACK}Length: {GOLD}", TEXT(ROUNDUP(IF(AQ328&lt;&gt;"",SUM(VALUE(_xlfn.TEXTSPLIT(AQ328, ","))), SUM(VALUE(_xlfn.TEXTSPLIT(AN328, ",")))*IF(M328, M328, 1))/16, 1),"#,##0.0"), " tiles{}"), "")</f>
        <v>{BLACK}Length: {GOLD}0.9 tiles{}</v>
      </c>
      <c r="CF328" s="46" t="str">
        <f aca="false">VLOOKUP($CD328, [2]Constants!$M$1:$N$1048576, 2, FALSE())</f>
        <v/>
      </c>
      <c r="CG328" s="46" t="str">
        <f aca="false">IF(AND(L328&gt;1,BN328&lt;&gt;1),_xlfn.CONCAT("{BLACK}Cars: {GOLD}", L328),"")</f>
        <v/>
      </c>
      <c r="CH328" s="0" t="s">
        <v>1195</v>
      </c>
      <c r="CI328" s="0" t="str">
        <f aca="false">IF($BU328="!param_no_gameplay_units","{GREEN}Included for gameplay purposes","")</f>
        <v/>
      </c>
      <c r="CJ328" s="0" t="str">
        <f aca="false">IF(BX328="buffet","{YELLOW}25% long distance bonus for consist{}",IF(BY328="DANDY","{YELLOW}Faster downhill speeds for horse-drawn trains (1 required per 2 horses){}",IF(BY328="BRAKE","{YELLOW}Speed bonus for slow wagons{}",IF(BY328="NGPassengers","{YELLOW}Preserved railway bonus: passengers pay more when hauled by old locomotives{}",IF(AND(BW328&gt;190,NOT(AND(I328="NARROW_GAUGE",BY328&lt;&gt;"PASS"))),CONCATENATE("{YELLOW}",INT((BW328-185)/1.85),"% bonus for long distance travel{}"),IF(AND(BW328&lt;180,BW328&lt;&gt;0),CONCATENATE("{YELLOW}",INT((185-BW328)/1.85),"% penalty for long distance travel{}"),""))))))</f>
        <v>{YELLOW}10% bonus for long distance travel{}</v>
      </c>
      <c r="CK328" s="0" t="str">
        <f aca="false">_xlfn.CONCAT(CF328,IF(CF328&lt;&gt;""," ",""),CG328,IF(OR(CG328&lt;&gt;"",CF328&lt;&gt;""),"{}",""),CE328,CJ328,"{SILVER}",CH328,IF(CI328&lt;&gt;"","{}{}",""),CI328)</f>
        <v>{BLACK}Length: {GOLD}0.9 tiles{}{YELLOW}10% bonus for long distance travel{}{SILVER}Torpedo cars haul molten metal directly from furnaces, meaning it does not have to be processed to an intermediate form and melted again.</v>
      </c>
    </row>
    <row r="329" customFormat="false" ht="14.25" hidden="false" customHeight="false" outlineLevel="0" collapsed="false">
      <c r="A329" s="0" t="s">
        <v>1196</v>
      </c>
      <c r="B329" s="42" t="s">
        <v>1197</v>
      </c>
      <c r="C329" s="0" t="n">
        <v>1021</v>
      </c>
      <c r="E329" s="0" t="n">
        <v>1</v>
      </c>
      <c r="F329" s="0" t="s">
        <v>143</v>
      </c>
      <c r="G329" s="0" t="s">
        <v>445</v>
      </c>
      <c r="H329" s="0" t="s">
        <v>446</v>
      </c>
      <c r="I329" s="0" t="s">
        <v>92</v>
      </c>
      <c r="J329" s="0" t="n">
        <v>1834</v>
      </c>
      <c r="L329" s="0" t="n">
        <v>1860</v>
      </c>
      <c r="N329" s="0" t="n">
        <v>85</v>
      </c>
      <c r="P329" s="2" t="n">
        <v>11</v>
      </c>
      <c r="Q329" s="2" t="n">
        <v>16</v>
      </c>
      <c r="R329" s="2" t="n">
        <v>2</v>
      </c>
      <c r="S329" s="2" t="n">
        <v>50</v>
      </c>
      <c r="T329" s="18" t="n">
        <f aca="false">((($AB329/2)/60)*5280)/($U329*3.2*PI())</f>
        <v>106.750266707979</v>
      </c>
      <c r="U329" s="2" t="n">
        <v>1.435</v>
      </c>
      <c r="V329" s="2" t="n">
        <f aca="false">((($P329*$P329/4)*PI())*($Q329/12)*$R329*$S329*$T329)/(33000*1.1)</f>
        <v>37.2628726287263</v>
      </c>
      <c r="W329" s="0" t="n">
        <v>6</v>
      </c>
      <c r="X329" s="1" t="n">
        <v>4</v>
      </c>
      <c r="Z329" s="0" t="n">
        <v>15</v>
      </c>
      <c r="AA329" s="3" t="n">
        <f aca="false">IF(AND(W329&gt;0,Z329&gt;0),(Z329/((W329+X329)*10)),"")</f>
        <v>0.15</v>
      </c>
      <c r="AB329" s="0" t="n">
        <v>35</v>
      </c>
      <c r="AC329" s="0" t="n">
        <f aca="false">ROUND(AB329*1.6, 0)</f>
        <v>56</v>
      </c>
      <c r="AG329" s="0" t="n">
        <v>8</v>
      </c>
      <c r="AJ329" s="4" t="n">
        <v>0</v>
      </c>
      <c r="AK329" s="16" t="str">
        <f aca="false">CONCATENATE(VLOOKUP(AL329, '[2]Voxel Sizes'!$A$2:$B$18,2,FALSE()),"x",INT(AH329*15), "x", INT(AI329*15))</f>
        <v>82x0x0</v>
      </c>
      <c r="AL329" s="16" t="n">
        <f aca="false">ROUND(15*((AG329*10)/256),0)</f>
        <v>5</v>
      </c>
      <c r="AN329" s="16" t="str">
        <f aca="false">CONCATENATE(VLOOKUP(AL329,[2]Constants!$A$2:$C$16,IF(AM329&lt;&gt;"", 3, 2), FALSE()),IF(AM329&lt;&gt;"",CONCATENATE(",",VLOOKUP(AM329,$B:$AN,39,FALSE())),""))</f>
        <v>2,1,2</v>
      </c>
      <c r="AV329" s="0" t="n">
        <v>1</v>
      </c>
      <c r="AX329" s="0" t="n">
        <v>29</v>
      </c>
      <c r="AY329" s="16" t="n">
        <f aca="false">IF(L329&lt;&gt;"",MAX(16,(L329-J329)+8),"")</f>
        <v>34</v>
      </c>
      <c r="AZ329" s="0" t="n">
        <v>-16</v>
      </c>
      <c r="BA329" s="0" t="n">
        <v>-8</v>
      </c>
      <c r="BB329" s="43" t="n">
        <f aca="false">MIN(AB329/150, 1)*30</f>
        <v>7</v>
      </c>
      <c r="BC329" s="43" t="n">
        <f aca="false">MIN(N329/4000, 1)*20</f>
        <v>0.425</v>
      </c>
      <c r="BD329" s="43" t="n">
        <f aca="false">MIN(Z329/400,1)*20</f>
        <v>0.75</v>
      </c>
      <c r="BE329" s="44" t="n">
        <f aca="false">1-(MAX(J329-1900, 0)/750)</f>
        <v>1</v>
      </c>
      <c r="BF329" s="43" t="n">
        <f aca="false">((MAX($M329,1)*MIN($AJ329/300,1)))*IF(G329="Wagon",50,10)</f>
        <v>0</v>
      </c>
      <c r="BG329" s="43" t="n">
        <f aca="false">VLOOKUP($H329,[2]Constants!$I$1:$K$1048576, 2, FALSE())</f>
        <v>1.15</v>
      </c>
      <c r="BH329" s="43" t="n">
        <f aca="false">VLOOKUP($H329,[2]Constants!$I$1:$K$1048576, 3, FALSE())*IF(AND(G329="multiple_unit",AB329&lt;110),0.75,1)</f>
        <v>1.7</v>
      </c>
      <c r="BI329" s="43" t="n">
        <f aca="false">INT(POWER((([2]Constants!$G$2+$BB329+$BC329+$BD329+$BF329)*$BE329)*$BH329, 1.05))+$BA329</f>
        <v>18</v>
      </c>
      <c r="BJ329" s="43" t="n">
        <f aca="false">INT(POWER(((([2]Constants!$G$1+$BB329+$BC329+$BD329+$BF329)*($BE329))*$BG329),IF($G329="wagon",1,1.2)))+$AZ329</f>
        <v>35</v>
      </c>
      <c r="BK329" s="45" t="n">
        <f aca="false">BI329*IF($G329="wagon",62.5,781.25)</f>
        <v>14062.5</v>
      </c>
      <c r="BL329" s="45" t="n">
        <f aca="false">BJ329*IF($G329="wagon",2.73,81.25)</f>
        <v>2843.75</v>
      </c>
      <c r="BV329" s="0" t="n">
        <v>5</v>
      </c>
      <c r="CA329" s="46" t="str">
        <f aca="false">VLOOKUP(J329,[2]Eras!$A$2:$C$10, 2, TRUE())</f>
        <v>early</v>
      </c>
      <c r="CB329" s="47" t="s">
        <v>303</v>
      </c>
      <c r="CC329" s="46" t="str">
        <f aca="false">CONCATENATE(CA329,"_",CB329)</f>
        <v>early_Extra</v>
      </c>
      <c r="CD329" s="46" t="str">
        <f aca="false">_xlfn.CONCAT(H329, "_",I329)</f>
        <v>steam_RAIL</v>
      </c>
      <c r="CE329" s="6" t="str">
        <f aca="false" t="array" ref="CE329:CE329">IF(AN329&lt;&gt;"na", _xlfn.CONCAT("{BLACK}Length: {GOLD}", TEXT(ROUNDUP(IF(AQ329&lt;&gt;"",SUM(VALUE(_xlfn.TEXTSPLIT(AQ329, ","))), SUM(VALUE(_xlfn.TEXTSPLIT(AN329, ",")))*IF(M329, M329, 1))/16, 1),"#,##0.0"), " tiles{}"), "")</f>
        <v>{BLACK}Length: {GOLD}0.4 tiles{}</v>
      </c>
      <c r="CF329" s="46" t="str">
        <f aca="false">VLOOKUP($CD329, [2]Constants!$M$1:$N$1048576, 2, FALSE())</f>
        <v>{BLACK}Powered by: {GOLD}Steam</v>
      </c>
      <c r="CG329" s="46" t="str">
        <f aca="false">IF(AND(L329&gt;1,BN329&lt;&gt;1),_xlfn.CONCAT("{BLACK}Cars: {GOLD}", L329),"")</f>
        <v>{BLACK}Cars: {GOLD}1860</v>
      </c>
      <c r="CH329" s="0" t="s">
        <v>1198</v>
      </c>
      <c r="CI329" s="0" t="str">
        <f aca="false">IF($BU329="!param_no_gameplay_units","{GREEN}Included for gameplay purposes","")</f>
        <v/>
      </c>
      <c r="CJ329" s="0" t="str">
        <f aca="false">IF(BX329="buffet","{YELLOW}25% long distance bonus for consist{}",IF(BY329="DANDY","{YELLOW}Faster downhill speeds for horse-drawn trains (1 required per 2 horses){}",IF(BY329="BRAKE","{YELLOW}Speed bonus for slow wagons{}",IF(BY329="NGPassengers","{YELLOW}Preserved railway bonus: passengers pay more when hauled by old locomotives{}",IF(AND(BW329&gt;190,NOT(AND(I329="NARROW_GAUGE",BY329&lt;&gt;"PASS"))),CONCATENATE("{YELLOW}",INT((BW329-185)/1.85),"% bonus for long distance travel{}"),IF(AND(BW329&lt;180,BW329&lt;&gt;0),CONCATENATE("{YELLOW}",INT((185-BW329)/1.85),"% penalty for long distance travel{}"),""))))))</f>
        <v/>
      </c>
      <c r="CK329" s="0" t="str">
        <f aca="false">_xlfn.CONCAT(CF329,IF(CF329&lt;&gt;""," ",""),CG329,IF(OR(CG329&lt;&gt;"",CF329&lt;&gt;""),"{}",""),CE329,CJ329,"{SILVER}",CH329,IF(CI329&lt;&gt;"","{}{}",""),CI329)</f>
        <v>{BLACK}Powered by: {GOLD}Steam {BLACK}Cars: {GOLD}1860{}{BLACK}Length: {GOLD}0.4 tiles{}{SILVER}George Forrester and Company built the first passenger tank locomotive to enter service. They were supplied to multiple railways in both tank and tender forms.</v>
      </c>
    </row>
    <row r="330" customFormat="false" ht="14.25" hidden="false" customHeight="false" outlineLevel="0" collapsed="false">
      <c r="A330" s="0" t="s">
        <v>1199</v>
      </c>
      <c r="B330" s="42" t="s">
        <v>1200</v>
      </c>
      <c r="C330" s="0" t="n">
        <v>1022</v>
      </c>
      <c r="E330" s="0" t="n">
        <v>2</v>
      </c>
      <c r="F330" s="0" t="s">
        <v>143</v>
      </c>
      <c r="G330" s="0" t="s">
        <v>445</v>
      </c>
      <c r="H330" s="0" t="s">
        <v>446</v>
      </c>
      <c r="I330" s="0" t="s">
        <v>92</v>
      </c>
      <c r="J330" s="0" t="n">
        <v>1841</v>
      </c>
      <c r="L330" s="0" t="n">
        <v>1871</v>
      </c>
      <c r="N330" s="0" t="n">
        <v>220</v>
      </c>
      <c r="P330" s="2" t="n">
        <v>16</v>
      </c>
      <c r="Q330" s="2" t="n">
        <v>16</v>
      </c>
      <c r="R330" s="2" t="n">
        <v>2</v>
      </c>
      <c r="S330" s="2" t="n">
        <v>140</v>
      </c>
      <c r="T330" s="18" t="n">
        <f aca="false">((($AB330/2)/60)*5280)/($U330*3.2*PI())</f>
        <v>104.208593691122</v>
      </c>
      <c r="U330" s="2" t="n">
        <v>2.1</v>
      </c>
      <c r="V330" s="2" t="n">
        <f aca="false">((($P330*$P330/4)*PI())*($Q330/12)*$R330*$S330*$T330)/(33000*1.1)</f>
        <v>215.488215488215</v>
      </c>
      <c r="W330" s="0" t="n">
        <v>11</v>
      </c>
      <c r="Z330" s="0" t="n">
        <v>16</v>
      </c>
      <c r="AA330" s="3" t="n">
        <f aca="false">IF(AND(W330&gt;0,Z330&gt;0),(Z330/((W330+X330)*10)),"")</f>
        <v>0.145454545454545</v>
      </c>
      <c r="AB330" s="0" t="n">
        <v>50</v>
      </c>
      <c r="AC330" s="0" t="n">
        <f aca="false">ROUND(AB330*1.6, 0)</f>
        <v>80</v>
      </c>
      <c r="AF330" s="0" t="n">
        <v>8</v>
      </c>
      <c r="AG330" s="0" t="n">
        <v>8</v>
      </c>
      <c r="AJ330" s="4" t="n">
        <v>0</v>
      </c>
      <c r="AK330" s="16" t="str">
        <f aca="false">CONCATENATE(VLOOKUP(AL330, '[2]Voxel Sizes'!$A$2:$B$18,2,FALSE()),"x",INT(AH330*15), "x", INT(AI330*15))</f>
        <v>82x0x0</v>
      </c>
      <c r="AL330" s="16" t="n">
        <f aca="false">ROUND(15*((AG330*10)/256),0)</f>
        <v>5</v>
      </c>
      <c r="AM330" s="0" t="s">
        <v>1152</v>
      </c>
      <c r="AN330" s="16" t="str">
        <f aca="false">CONCATENATE(VLOOKUP(AL330,[2]Constants!$A$2:$C$16,IF(AM330&lt;&gt;"", 3, 2), FALSE()),IF(AM330&lt;&gt;"",CONCATENATE(",",VLOOKUP(AM330,$B:$AN,39,FALSE())),""))</f>
        <v>2,1,2,1,2,1</v>
      </c>
      <c r="AX330" s="0" t="n">
        <v>30</v>
      </c>
      <c r="AY330" s="16" t="n">
        <f aca="false">IF(L330&lt;&gt;"",MAX(16,(L330-J330)+8),"")</f>
        <v>38</v>
      </c>
      <c r="BB330" s="43" t="n">
        <f aca="false">MIN(AB330/150, 1)*30</f>
        <v>10</v>
      </c>
      <c r="BC330" s="43" t="n">
        <f aca="false">MIN(N330/4000, 1)*20</f>
        <v>1.1</v>
      </c>
      <c r="BD330" s="43" t="n">
        <f aca="false">MIN(Z330/400,1)*20</f>
        <v>0.8</v>
      </c>
      <c r="BE330" s="44" t="n">
        <f aca="false">1-(MAX(J330-1900, 0)/750)</f>
        <v>1</v>
      </c>
      <c r="BF330" s="43" t="n">
        <f aca="false">((MAX($M330,1)*MIN($AJ330/300,1)))*IF(G330="Wagon",50,10)</f>
        <v>0</v>
      </c>
      <c r="BG330" s="43" t="n">
        <f aca="false">VLOOKUP($H330,[2]Constants!$I$1:$K$1048576, 2, FALSE())</f>
        <v>1.15</v>
      </c>
      <c r="BH330" s="43" t="n">
        <f aca="false">VLOOKUP($H330,[2]Constants!$I$1:$K$1048576, 3, FALSE())*IF(AND(G330="multiple_unit",AB330&lt;110),0.75,1)</f>
        <v>1.7</v>
      </c>
      <c r="BI330" s="43" t="n">
        <f aca="false">INT(POWER((([2]Constants!$G$2+$BB330+$BC330+$BD330+$BF330)*$BE330)*$BH330, 1.05))+$BA330</f>
        <v>33</v>
      </c>
      <c r="BJ330" s="43" t="n">
        <f aca="false">INT(POWER(((([2]Constants!$G$1+$BB330+$BC330+$BD330+$BF330)*($BE330))*$BG330),IF($G330="wagon",1,1.2)))+$AZ330</f>
        <v>61</v>
      </c>
      <c r="BK330" s="45" t="n">
        <f aca="false">BI330*IF($G330="wagon",62.5,781.25)</f>
        <v>25781.25</v>
      </c>
      <c r="BL330" s="45" t="n">
        <f aca="false">BJ330*IF($G330="wagon",2.73,81.25)</f>
        <v>4956.25</v>
      </c>
      <c r="BV330" s="0" t="n">
        <v>3</v>
      </c>
      <c r="CA330" s="46" t="s">
        <v>1153</v>
      </c>
      <c r="CB330" s="0" t="s">
        <v>474</v>
      </c>
      <c r="CC330" s="46" t="str">
        <f aca="false">CONCATENATE(CA330,"_",CB330)</f>
        <v>early_Express</v>
      </c>
      <c r="CD330" s="46" t="str">
        <f aca="false">_xlfn.CONCAT(H330, "_",I330)</f>
        <v>steam_RAIL</v>
      </c>
      <c r="CE330" s="6" t="str">
        <f aca="false" t="array" ref="CE330:CE330">IF(AN330&lt;&gt;"na", _xlfn.CONCAT("{BLACK}Length: {GOLD}", TEXT(ROUNDUP(IF(AQ330&lt;&gt;"",SUM(VALUE(_xlfn.TEXTSPLIT(AQ330, ","))), SUM(VALUE(_xlfn.TEXTSPLIT(AN330, ",")))*IF(M330, M330, 1))/16, 1),"#,##0.0"), " tiles{}"), "")</f>
        <v>{BLACK}Length: {GOLD}0.6 tiles{}</v>
      </c>
      <c r="CF330" s="46" t="str">
        <f aca="false">VLOOKUP($CD330, [2]Constants!$M$1:$N$1048576, 2, FALSE())</f>
        <v>{BLACK}Powered by: {GOLD}Steam</v>
      </c>
      <c r="CG330" s="46" t="str">
        <f aca="false">IF(AND(L330&gt;1,BN330&lt;&gt;1),_xlfn.CONCAT("{BLACK}Cars: {GOLD}", L330),"")</f>
        <v>{BLACK}Cars: {GOLD}1871</v>
      </c>
      <c r="CH330" s="0" t="s">
        <v>1201</v>
      </c>
      <c r="CI330" s="0" t="str">
        <f aca="false">IF($BU330="!param_no_gameplay_units","{GREEN}Included for gameplay purposes","")</f>
        <v/>
      </c>
      <c r="CJ330" s="0" t="str">
        <f aca="false">IF(BX330="buffet","{YELLOW}25% long distance bonus for consist{}",IF(BY330="DANDY","{YELLOW}Faster downhill speeds for horse-drawn trains (1 required per 2 horses){}",IF(BY330="BRAKE","{YELLOW}Speed bonus for slow wagons{}",IF(BY330="NGPassengers","{YELLOW}Preserved railway bonus: passengers pay more when hauled by old locomotives{}",IF(AND(BW330&gt;190,NOT(AND(I330="NARROW_GAUGE",BY330&lt;&gt;"PASS"))),CONCATENATE("{YELLOW}",INT((BW330-185)/1.85),"% bonus for long distance travel{}"),IF(AND(BW330&lt;180,BW330&lt;&gt;0),CONCATENATE("{YELLOW}",INT((185-BW330)/1.85),"% penalty for long distance travel{}"),""))))))</f>
        <v/>
      </c>
      <c r="CK330" s="0" t="str">
        <f aca="false">_xlfn.CONCAT(CF330,IF(CF330&lt;&gt;""," ",""),CG330,IF(OR(CG330&lt;&gt;"",CF330&lt;&gt;""),"{}",""),CE330,CJ330,"{SILVER}",CH330,IF(CI330&lt;&gt;"","{}{}",""),CI330)</f>
        <v>{BLACK}Powered by: {GOLD}Steam {BLACK}Cars: {GOLD}1871{}{BLACK}Length: {GOLD}0.6 tiles{}{SILVER}The first GWR Star class was typical of a 2-2-2 "single" passenger locomotive. They were given common names of stars, such as "Dog Star" and "Shooting Star"</v>
      </c>
    </row>
    <row r="331" customFormat="false" ht="13.5" hidden="false" customHeight="true" outlineLevel="0" collapsed="false">
      <c r="A331" s="0" t="s">
        <v>1202</v>
      </c>
      <c r="B331" s="42" t="s">
        <v>1203</v>
      </c>
      <c r="C331" s="0" t="n">
        <v>1023</v>
      </c>
      <c r="E331" s="0" t="n">
        <v>3</v>
      </c>
      <c r="F331" s="0" t="s">
        <v>143</v>
      </c>
      <c r="G331" s="0" t="s">
        <v>445</v>
      </c>
      <c r="H331" s="0" t="s">
        <v>446</v>
      </c>
      <c r="I331" s="0" t="s">
        <v>92</v>
      </c>
      <c r="J331" s="0" t="n">
        <v>1847</v>
      </c>
      <c r="L331" s="0" t="n">
        <v>1884</v>
      </c>
      <c r="N331" s="0" t="n">
        <v>400</v>
      </c>
      <c r="P331" s="2" t="n">
        <v>21</v>
      </c>
      <c r="Q331" s="2" t="n">
        <v>26</v>
      </c>
      <c r="R331" s="2" t="n">
        <v>2</v>
      </c>
      <c r="S331" s="2" t="n">
        <v>115</v>
      </c>
      <c r="T331" s="18" t="n">
        <f aca="false">((($AB331/2)/60)*5280)/($U331*3.2*PI())</f>
        <v>140.488622605809</v>
      </c>
      <c r="U331" s="2" t="n">
        <v>2.43</v>
      </c>
      <c r="V331" s="2" t="n">
        <f aca="false">((($P331*$P331/4)*PI())*($Q331/12)*$R331*$S331*$T331)/(33000*1.1)</f>
        <v>668.009960718294</v>
      </c>
      <c r="W331" s="0" t="n">
        <v>42</v>
      </c>
      <c r="Z331" s="0" t="n">
        <v>35</v>
      </c>
      <c r="AA331" s="3" t="n">
        <f aca="false">IF(AND(W331&gt;0,Z331&gt;0),(Z331/((W331+X331)*10)),"")</f>
        <v>0.0833333333333333</v>
      </c>
      <c r="AB331" s="0" t="n">
        <v>78</v>
      </c>
      <c r="AC331" s="0" t="n">
        <f aca="false">ROUND(AB331*1.6, 0)</f>
        <v>125</v>
      </c>
      <c r="AF331" s="0" t="n">
        <v>9</v>
      </c>
      <c r="AG331" s="0" t="n">
        <v>9</v>
      </c>
      <c r="AJ331" s="4" t="n">
        <v>0</v>
      </c>
      <c r="AK331" s="16" t="str">
        <f aca="false">CONCATENATE(VLOOKUP(AL331, '[2]Voxel Sizes'!$A$2:$B$18,2,FALSE()),"x",INT(AH331*15), "x", INT(AI331*15))</f>
        <v>82x0x0</v>
      </c>
      <c r="AL331" s="16" t="n">
        <f aca="false">ROUND(15*((AG331*10)/256),0)</f>
        <v>5</v>
      </c>
      <c r="AM331" s="0" t="s">
        <v>1155</v>
      </c>
      <c r="AN331" s="16" t="str">
        <f aca="false">CONCATENATE(VLOOKUP(AL331,[2]Constants!$A$2:$C$16,IF(AM331&lt;&gt;"", 3, 2), FALSE()),IF(AM331&lt;&gt;"",CONCATENATE(",",VLOOKUP(AM331,$B:$AN,39,FALSE())),""))</f>
        <v>2,1,2,1,2,1</v>
      </c>
      <c r="AX331" s="0" t="n">
        <v>31</v>
      </c>
      <c r="AY331" s="16" t="n">
        <f aca="false">IF(L331&lt;&gt;"",MAX(16,(L331-J331)+8),"")</f>
        <v>45</v>
      </c>
      <c r="AZ331" s="0" t="n">
        <v>15</v>
      </c>
      <c r="BA331" s="0" t="n">
        <v>20</v>
      </c>
      <c r="BB331" s="43" t="n">
        <f aca="false">MIN(AB331/150, 1)*30</f>
        <v>15.6</v>
      </c>
      <c r="BC331" s="43" t="n">
        <f aca="false">MIN(N331/4000, 1)*20</f>
        <v>2</v>
      </c>
      <c r="BD331" s="43" t="n">
        <f aca="false">MIN(Z331/400,1)*20</f>
        <v>1.75</v>
      </c>
      <c r="BE331" s="44" t="n">
        <f aca="false">1-(MAX(J331-1900, 0)/750)</f>
        <v>1</v>
      </c>
      <c r="BF331" s="43" t="n">
        <f aca="false">((MAX($M331,1)*MIN($AJ331/300,1)))*IF(G331="Wagon",50,10)</f>
        <v>0</v>
      </c>
      <c r="BG331" s="43" t="n">
        <f aca="false">VLOOKUP($H331,[2]Constants!$I$1:$K$1048576, 2, FALSE())</f>
        <v>1.15</v>
      </c>
      <c r="BH331" s="43" t="n">
        <f aca="false">VLOOKUP($H331,[2]Constants!$I$1:$K$1048576, 3, FALSE())*IF(AND(G331="multiple_unit",AB331&lt;110),0.75,1)</f>
        <v>1.7</v>
      </c>
      <c r="BI331" s="43" t="n">
        <f aca="false">INT(POWER((([2]Constants!$G$2+$BB331+$BC331+$BD331+$BF331)*$BE331)*$BH331, 1.05))+$BA331</f>
        <v>69</v>
      </c>
      <c r="BJ331" s="43" t="n">
        <f aca="false">INT(POWER(((([2]Constants!$G$1+$BB331+$BC331+$BD331+$BF331)*($BE331))*$BG331),IF($G331="wagon",1,1.2)))+$AZ331</f>
        <v>97</v>
      </c>
      <c r="BK331" s="45" t="n">
        <f aca="false">BI331*IF($G331="wagon",62.5,781.25)</f>
        <v>53906.25</v>
      </c>
      <c r="BL331" s="45" t="n">
        <f aca="false">BJ331*IF($G331="wagon",2.73,81.25)</f>
        <v>7881.25</v>
      </c>
      <c r="BV331" s="0" t="n">
        <v>7</v>
      </c>
      <c r="CA331" s="46" t="s">
        <v>1153</v>
      </c>
      <c r="CB331" s="0" t="s">
        <v>474</v>
      </c>
      <c r="CC331" s="46" t="str">
        <f aca="false">CONCATENATE(CA331,"_",CB331)</f>
        <v>early_Express</v>
      </c>
      <c r="CD331" s="46" t="str">
        <f aca="false">_xlfn.CONCAT(H331, "_",I331)</f>
        <v>steam_RAIL</v>
      </c>
      <c r="CE331" s="6" t="str">
        <f aca="false" t="array" ref="CE331:CE331">IF(AN331&lt;&gt;"na", _xlfn.CONCAT("{BLACK}Length: {GOLD}", TEXT(ROUNDUP(IF(AQ331&lt;&gt;"",SUM(VALUE(_xlfn.TEXTSPLIT(AQ331, ","))), SUM(VALUE(_xlfn.TEXTSPLIT(AN331, ",")))*IF(M331, M331, 1))/16, 1),"#,##0.0"), " tiles{}"), "")</f>
        <v>{BLACK}Length: {GOLD}0.6 tiles{}</v>
      </c>
      <c r="CF331" s="46" t="str">
        <f aca="false">VLOOKUP($CD331, [2]Constants!$M$1:$N$1048576, 2, FALSE())</f>
        <v>{BLACK}Powered by: {GOLD}Steam</v>
      </c>
      <c r="CG331" s="46" t="str">
        <f aca="false">IF(AND(L331&gt;1,BN331&lt;&gt;1),_xlfn.CONCAT("{BLACK}Cars: {GOLD}", L331),"")</f>
        <v>{BLACK}Cars: {GOLD}1884</v>
      </c>
      <c r="CH331" s="0" t="s">
        <v>1204</v>
      </c>
      <c r="CI331" s="0" t="str">
        <f aca="false">IF($BU331="!param_no_gameplay_units","{GREEN}Included for gameplay purposes","")</f>
        <v/>
      </c>
      <c r="CJ331" s="0" t="str">
        <f aca="false">IF(BX331="buffet","{YELLOW}25% long distance bonus for consist{}",IF(BY331="DANDY","{YELLOW}Faster downhill speeds for horse-drawn trains (1 required per 2 horses){}",IF(BY331="BRAKE","{YELLOW}Speed bonus for slow wagons{}",IF(BY331="NGPassengers","{YELLOW}Preserved railway bonus: passengers pay more when hauled by old locomotives{}",IF(AND(BW331&gt;190,NOT(AND(I331="NARROW_GAUGE",BY331&lt;&gt;"PASS"))),CONCATENATE("{YELLOW}",INT((BW331-185)/1.85),"% bonus for long distance travel{}"),IF(AND(BW331&lt;180,BW331&lt;&gt;0),CONCATENATE("{YELLOW}",INT((185-BW331)/1.85),"% penalty for long distance travel{}"),""))))))</f>
        <v/>
      </c>
      <c r="CK331" s="0" t="str">
        <f aca="false">_xlfn.CONCAT(CF331,IF(CF331&lt;&gt;""," ",""),CG331,IF(OR(CG331&lt;&gt;"",CF331&lt;&gt;""),"{}",""),CE331,CJ331,"{SILVER}",CH331,IF(CI331&lt;&gt;"","{}{}",""),CI331)</f>
        <v>{BLACK}Powered by: {GOLD}Steam {BLACK}Cars: {GOLD}1884{}{BLACK}Length: {GOLD}0.6 tiles{}{SILVER}The Iron Duke class was powerful and very fast for its time. Although both leading axles were rigidly mounted, the wide curves and broad gauge of the GWR's track made this less of a problem.</v>
      </c>
    </row>
    <row r="332" customFormat="false" ht="13.5" hidden="false" customHeight="true" outlineLevel="0" collapsed="false">
      <c r="A332" s="0" t="s">
        <v>1205</v>
      </c>
      <c r="B332" s="42" t="s">
        <v>1206</v>
      </c>
      <c r="C332" s="0" t="n">
        <v>1024</v>
      </c>
      <c r="E332" s="0" t="n">
        <v>4</v>
      </c>
      <c r="F332" s="0" t="s">
        <v>143</v>
      </c>
      <c r="G332" s="0" t="s">
        <v>445</v>
      </c>
      <c r="H332" s="0" t="s">
        <v>446</v>
      </c>
      <c r="I332" s="0" t="s">
        <v>92</v>
      </c>
      <c r="J332" s="0" t="n">
        <v>1874</v>
      </c>
      <c r="L332" s="0" t="n">
        <v>1923</v>
      </c>
      <c r="N332" s="0" t="n">
        <v>550</v>
      </c>
      <c r="P332" s="2" t="n">
        <v>17</v>
      </c>
      <c r="Q332" s="2" t="n">
        <v>24</v>
      </c>
      <c r="R332" s="2" t="n">
        <v>2</v>
      </c>
      <c r="S332" s="2" t="n">
        <v>140</v>
      </c>
      <c r="T332" s="18" t="n">
        <f aca="false">((($AB332/2)/60)*5280)/($U332*3.2*PI())</f>
        <v>154.65586342852</v>
      </c>
      <c r="U332" s="2" t="n">
        <v>1.981</v>
      </c>
      <c r="V332" s="2" t="n">
        <f aca="false">((($P332*$P332/4)*PI())*($Q332/12)*$R332*$S332*$T332)/(33000*1.1)</f>
        <v>541.546204090374</v>
      </c>
      <c r="W332" s="0" t="n">
        <v>34</v>
      </c>
      <c r="X332" s="1" t="n">
        <v>30</v>
      </c>
      <c r="Z332" s="0" t="n">
        <v>49</v>
      </c>
      <c r="AA332" s="3" t="n">
        <f aca="false">IF(AND(W332&gt;0,Z332&gt;0),(Z332/((W332+X332)*10)),"")</f>
        <v>0.0765625</v>
      </c>
      <c r="AB332" s="0" t="n">
        <v>70</v>
      </c>
      <c r="AC332" s="0" t="n">
        <f aca="false">ROUND(AB332*1.6, 0)</f>
        <v>112</v>
      </c>
      <c r="AF332" s="0" t="n">
        <v>10</v>
      </c>
      <c r="AG332" s="0" t="n">
        <v>10</v>
      </c>
      <c r="AK332" s="16" t="str">
        <f aca="false">CONCATENATE(VLOOKUP(AL332, '[2]Voxel Sizes'!$A$2:$B$18,2,FALSE()),"x",INT(AH332*15), "x", INT(AI332*15))</f>
        <v>102x0x0</v>
      </c>
      <c r="AL332" s="16" t="n">
        <f aca="false">ROUND(15*((AG332*10)/256),0)</f>
        <v>6</v>
      </c>
      <c r="AM332" s="0" t="s">
        <v>1148</v>
      </c>
      <c r="AN332" s="16" t="str">
        <f aca="false">CONCATENATE(VLOOKUP(AL332,[2]Constants!$A$2:$C$16,IF(AM332&lt;&gt;"", 3, 2), FALSE()),IF(AM332&lt;&gt;"",CONCATENATE(",",VLOOKUP(AM332,$B:$AN,39,FALSE())),""))</f>
        <v>2,2,2,2,1,2</v>
      </c>
      <c r="AV332" s="0" t="n">
        <v>1</v>
      </c>
      <c r="AX332" s="0" t="n">
        <v>32</v>
      </c>
      <c r="AY332" s="16" t="n">
        <f aca="false">IF(L332&lt;&gt;"",MAX(16,(L332-J332)+8),"")</f>
        <v>57</v>
      </c>
      <c r="BB332" s="43" t="n">
        <f aca="false">MIN(AB332/150, 1)*30</f>
        <v>14</v>
      </c>
      <c r="BC332" s="43" t="n">
        <f aca="false">MIN(N332/4000, 1)*20</f>
        <v>2.75</v>
      </c>
      <c r="BD332" s="43" t="n">
        <f aca="false">MIN(Z332/400,1)*20</f>
        <v>2.45</v>
      </c>
      <c r="BE332" s="44" t="n">
        <f aca="false">1-(MAX(J332-1900, 0)/750)</f>
        <v>1</v>
      </c>
      <c r="BF332" s="43" t="n">
        <f aca="false">((MAX($M332,1)*MIN($AJ332/300,1)))*IF(G332="Wagon",50,10)</f>
        <v>0</v>
      </c>
      <c r="BG332" s="43" t="n">
        <f aca="false">VLOOKUP($H332,[2]Constants!$I$1:$K$1048576, 2, FALSE())</f>
        <v>1.15</v>
      </c>
      <c r="BH332" s="43" t="n">
        <f aca="false">VLOOKUP($H332,[2]Constants!$I$1:$K$1048576, 3, FALSE())*IF(AND(G332="multiple_unit",AB332&lt;110),0.75,1)</f>
        <v>1.7</v>
      </c>
      <c r="BI332" s="43" t="n">
        <f aca="false">INT(POWER((([2]Constants!$G$2+$BB332+$BC332+$BD332+$BF332)*$BE332)*$BH332, 1.05))+$BA332</f>
        <v>49</v>
      </c>
      <c r="BJ332" s="43" t="n">
        <f aca="false">INT(POWER(((([2]Constants!$G$1+$BB332+$BC332+$BD332+$BF332)*($BE332))*$BG332),IF($G332="wagon",1,1.2)))+$AZ332</f>
        <v>81</v>
      </c>
      <c r="BK332" s="45" t="n">
        <f aca="false">BI332*IF($G332="wagon",62.5,781.25)</f>
        <v>38281.25</v>
      </c>
      <c r="BL332" s="45" t="n">
        <f aca="false">BJ332*IF($G332="wagon",2.73,81.25)</f>
        <v>6581.25</v>
      </c>
      <c r="BV332" s="0" t="n">
        <v>7</v>
      </c>
      <c r="CA332" s="46" t="s">
        <v>1153</v>
      </c>
      <c r="CB332" s="0" t="s">
        <v>474</v>
      </c>
      <c r="CC332" s="46" t="str">
        <f aca="false">CONCATENATE(CA332,"_",CB332)</f>
        <v>early_Express</v>
      </c>
      <c r="CD332" s="46" t="str">
        <f aca="false">_xlfn.CONCAT(H332, "_",I332)</f>
        <v>steam_RAIL</v>
      </c>
      <c r="CE332" s="6" t="str">
        <f aca="false" t="array" ref="CE332:CE332">IF(AN332&lt;&gt;"na", _xlfn.CONCAT("{BLACK}Length: {GOLD}", TEXT(ROUNDUP(IF(AQ332&lt;&gt;"",SUM(VALUE(_xlfn.TEXTSPLIT(AQ332, ","))), SUM(VALUE(_xlfn.TEXTSPLIT(AN332, ",")))*IF(M332, M332, 1))/16, 1),"#,##0.0"), " tiles{}"), "")</f>
        <v>{BLACK}Length: {GOLD}0.7 tiles{}</v>
      </c>
      <c r="CF332" s="46" t="str">
        <f aca="false">VLOOKUP($CD332, [2]Constants!$M$1:$N$1048576, 2, FALSE())</f>
        <v>{BLACK}Powered by: {GOLD}Steam</v>
      </c>
      <c r="CG332" s="46" t="str">
        <f aca="false">IF(AND(L332&gt;1,BN332&lt;&gt;1),_xlfn.CONCAT("{BLACK}Cars: {GOLD}", L332),"")</f>
        <v>{BLACK}Cars: {GOLD}1923</v>
      </c>
      <c r="CH332" s="0" t="s">
        <v>1207</v>
      </c>
      <c r="CI332" s="0" t="str">
        <f aca="false">IF($BU332="!param_no_gameplay_units","{GREEN}Included for gameplay purposes","")</f>
        <v/>
      </c>
      <c r="CJ332" s="0" t="str">
        <f aca="false">IF(BX332="buffet","{YELLOW}25% long distance bonus for consist{}",IF(BY332="DANDY","{YELLOW}Faster downhill speeds for horse-drawn trains (1 required per 2 horses){}",IF(BY332="BRAKE","{YELLOW}Speed bonus for slow wagons{}",IF(BY332="NGPassengers","{YELLOW}Preserved railway bonus: passengers pay more when hauled by old locomotives{}",IF(AND(BW332&gt;190,NOT(AND(I332="NARROW_GAUGE",BY332&lt;&gt;"PASS"))),CONCATENATE("{YELLOW}",INT((BW332-185)/1.85),"% bonus for long distance travel{}"),IF(AND(BW332&lt;180,BW332&lt;&gt;0),CONCATENATE("{YELLOW}",INT((185-BW332)/1.85),"% penalty for long distance travel{}"),""))))))</f>
        <v/>
      </c>
      <c r="CK332" s="0" t="str">
        <f aca="false">_xlfn.CONCAT(CF332,IF(CF332&lt;&gt;""," ",""),CG332,IF(OR(CG332&lt;&gt;"",CF332&lt;&gt;""),"{}",""),CE332,CJ332,"{SILVER}",CH332,IF(CI332&lt;&gt;"","{}{}",""),CI332)</f>
        <v>{BLACK}Powered by: {GOLD}Steam {BLACK}Cars: {GOLD}1923{}{BLACK}Length: {GOLD}0.7 tiles{}{SILVER}F.W. Webb's Precedent class was an express passenger locomotive. A large part of the class was given numbers and names of previously withdrawn locomotives, giving it a fragmented numbering scheme.</v>
      </c>
    </row>
    <row r="333" customFormat="false" ht="14.25" hidden="false" customHeight="false" outlineLevel="0" collapsed="false">
      <c r="A333" s="0" t="s">
        <v>1208</v>
      </c>
      <c r="B333" s="42" t="s">
        <v>1209</v>
      </c>
      <c r="C333" s="0" t="n">
        <v>1025</v>
      </c>
      <c r="E333" s="0" t="n">
        <v>5</v>
      </c>
      <c r="F333" s="0" t="s">
        <v>143</v>
      </c>
      <c r="G333" s="0" t="s">
        <v>445</v>
      </c>
      <c r="H333" s="0" t="s">
        <v>446</v>
      </c>
      <c r="I333" s="0" t="s">
        <v>92</v>
      </c>
      <c r="J333" s="0" t="n">
        <v>1866</v>
      </c>
      <c r="L333" s="0" t="n">
        <v>1947</v>
      </c>
      <c r="N333" s="0" t="n">
        <v>500</v>
      </c>
      <c r="P333" s="2" t="n">
        <v>17</v>
      </c>
      <c r="Q333" s="2" t="n">
        <v>24</v>
      </c>
      <c r="R333" s="2" t="n">
        <v>2</v>
      </c>
      <c r="S333" s="2" t="n">
        <v>140</v>
      </c>
      <c r="T333" s="18" t="n">
        <f aca="false">((($AB333/2)/60)*5280)/($U333*3.2*PI())</f>
        <v>150.364408444378</v>
      </c>
      <c r="U333" s="2" t="n">
        <v>1.892</v>
      </c>
      <c r="V333" s="2" t="n">
        <f aca="false">((($P333*$P333/4)*PI())*($Q333/12)*$R333*$S333*$T333)/(33000*1.1)</f>
        <v>526.51915561535</v>
      </c>
      <c r="W333" s="0" t="n">
        <v>38</v>
      </c>
      <c r="X333" s="1" t="n">
        <v>30</v>
      </c>
      <c r="Y333" s="0" t="n">
        <v>5</v>
      </c>
      <c r="Z333" s="0" t="n">
        <v>50</v>
      </c>
      <c r="AA333" s="3" t="n">
        <f aca="false">IF(AND(W333&gt;0,Z333&gt;0),(Z333/((W333+X333)*10)),"")</f>
        <v>0.0735294117647059</v>
      </c>
      <c r="AB333" s="0" t="n">
        <v>65</v>
      </c>
      <c r="AC333" s="0" t="n">
        <f aca="false">ROUND(AB333*1.6, 0)</f>
        <v>104</v>
      </c>
      <c r="AF333" s="0" t="n">
        <v>10</v>
      </c>
      <c r="AG333" s="0" t="n">
        <v>10</v>
      </c>
      <c r="AK333" s="16" t="str">
        <f aca="false">CONCATENATE(VLOOKUP(AL333, '[2]Voxel Sizes'!$A$2:$B$18,2,FALSE()),"x",INT(AH333*15), "x", INT(AI333*15))</f>
        <v>102x0x0</v>
      </c>
      <c r="AL333" s="16" t="n">
        <f aca="false">ROUND(15*((AG333*10)/256),0)</f>
        <v>6</v>
      </c>
      <c r="AM333" s="0" t="s">
        <v>1157</v>
      </c>
      <c r="AN333" s="16" t="str">
        <f aca="false">CONCATENATE(VLOOKUP(AL333,[2]Constants!$A$2:$C$16,IF(AM333&lt;&gt;"", 3, 2), FALSE()),IF(AM333&lt;&gt;"",CONCATENATE(",",VLOOKUP(AM333,$B:$AN,39,FALSE())),""))</f>
        <v>2,2,2,2,1,2</v>
      </c>
      <c r="AV333" s="0" t="n">
        <v>1</v>
      </c>
      <c r="AX333" s="0" t="n">
        <v>34</v>
      </c>
      <c r="AY333" s="16" t="n">
        <f aca="false">IF(L333&lt;&gt;"",MAX(16,(L333-J333)+8),"")</f>
        <v>89</v>
      </c>
      <c r="BB333" s="43" t="n">
        <f aca="false">MIN(AB333/150, 1)*30</f>
        <v>13</v>
      </c>
      <c r="BC333" s="43" t="n">
        <f aca="false">MIN(N333/4000, 1)*20</f>
        <v>2.5</v>
      </c>
      <c r="BD333" s="43" t="n">
        <f aca="false">MIN(Z333/400,1)*20</f>
        <v>2.5</v>
      </c>
      <c r="BE333" s="44" t="n">
        <f aca="false">1-(MAX(J333-1900, 0)/750)</f>
        <v>1</v>
      </c>
      <c r="BF333" s="43" t="n">
        <f aca="false">((MAX($M333,1)*MIN($AJ333/300,1)))*IF(G333="Wagon",50,10)</f>
        <v>0</v>
      </c>
      <c r="BG333" s="43" t="n">
        <f aca="false">VLOOKUP($H333,[2]Constants!$I$1:$K$1048576, 2, FALSE())</f>
        <v>1.15</v>
      </c>
      <c r="BH333" s="43" t="n">
        <f aca="false">VLOOKUP($H333,[2]Constants!$I$1:$K$1048576, 3, FALSE())*IF(AND(G333="multiple_unit",AB333&lt;110),0.75,1)</f>
        <v>1.7</v>
      </c>
      <c r="BI333" s="43" t="n">
        <f aca="false">INT(POWER((([2]Constants!$G$2+$BB333+$BC333+$BD333+$BF333)*$BE333)*$BH333, 1.05))+$BA333</f>
        <v>46</v>
      </c>
      <c r="BJ333" s="43" t="n">
        <f aca="false">INT(POWER(((([2]Constants!$G$1+$BB333+$BC333+$BD333+$BF333)*($BE333))*$BG333),IF($G333="wagon",1,1.2)))+$AZ333</f>
        <v>78</v>
      </c>
      <c r="BK333" s="45" t="n">
        <f aca="false">BI333*IF($G333="wagon",62.5,781.25)</f>
        <v>35937.5</v>
      </c>
      <c r="BL333" s="45" t="n">
        <f aca="false">BJ333*IF($G333="wagon",2.73,81.25)</f>
        <v>6337.5</v>
      </c>
      <c r="BV333" s="0" t="n">
        <v>9</v>
      </c>
      <c r="CA333" s="46" t="str">
        <f aca="false">VLOOKUP(J333,[2]Eras!$A$2:$C$10, 2, TRUE())</f>
        <v>vct</v>
      </c>
      <c r="CB333" s="0" t="s">
        <v>474</v>
      </c>
      <c r="CC333" s="46" t="str">
        <f aca="false">CONCATENATE(CA333,"_",CB333)</f>
        <v>vct_Express</v>
      </c>
      <c r="CD333" s="46" t="str">
        <f aca="false">_xlfn.CONCAT(H333, "_",I333)</f>
        <v>steam_RAIL</v>
      </c>
      <c r="CE333" s="6" t="str">
        <f aca="false" t="array" ref="CE333:CE333">IF(AN333&lt;&gt;"na", _xlfn.CONCAT("{BLACK}Length: {GOLD}", TEXT(ROUNDUP(IF(AQ333&lt;&gt;"",SUM(VALUE(_xlfn.TEXTSPLIT(AQ333, ","))), SUM(VALUE(_xlfn.TEXTSPLIT(AN333, ",")))*IF(M333, M333, 1))/16, 1),"#,##0.0"), " tiles{}"), "")</f>
        <v>{BLACK}Length: {GOLD}0.7 tiles{}</v>
      </c>
      <c r="CF333" s="46" t="str">
        <f aca="false">VLOOKUP($CD333, [2]Constants!$M$1:$N$1048576, 2, FALSE())</f>
        <v>{BLACK}Powered by: {GOLD}Steam</v>
      </c>
      <c r="CG333" s="46" t="str">
        <f aca="false">IF(AND(L333&gt;1,BN333&lt;&gt;1),_xlfn.CONCAT("{BLACK}Cars: {GOLD}", L333),"")</f>
        <v>{BLACK}Cars: {GOLD}1947</v>
      </c>
      <c r="CH333" s="0" t="s">
        <v>1210</v>
      </c>
      <c r="CI333" s="0" t="str">
        <f aca="false">IF($BU333="!param_no_gameplay_units","{GREEN}Included for gameplay purposes","")</f>
        <v/>
      </c>
      <c r="CJ333" s="0" t="str">
        <f aca="false">IF(BX333="buffet","{YELLOW}25% long distance bonus for consist{}",IF(BY333="DANDY","{YELLOW}Faster downhill speeds for horse-drawn trains (1 required per 2 horses){}",IF(BY333="BRAKE","{YELLOW}Speed bonus for slow wagons{}",IF(BY333="NGPassengers","{YELLOW}Preserved railway bonus: passengers pay more when hauled by old locomotives{}",IF(AND(BW333&gt;190,NOT(AND(I333="NARROW_GAUGE",BY333&lt;&gt;"PASS"))),CONCATENATE("{YELLOW}",INT((BW333-185)/1.85),"% bonus for long distance travel{}"),IF(AND(BW333&lt;180,BW333&lt;&gt;0),CONCATENATE("{YELLOW}",INT((185-BW333)/1.85),"% penalty for long distance travel{}"),""))))))</f>
        <v/>
      </c>
      <c r="CK333" s="0" t="str">
        <f aca="false">_xlfn.CONCAT(CF333,IF(CF333&lt;&gt;""," ",""),CG333,IF(OR(CG333&lt;&gt;"",CF333&lt;&gt;""),"{}",""),CE333,CJ333,"{SILVER}",CH333,IF(CI333&lt;&gt;"","{}{}",""),CI333)</f>
        <v>{BLACK}Powered by: {GOLD}Steam {BLACK}Cars: {GOLD}1947{}{BLACK}Length: {GOLD}0.7 tiles{}{SILVER}The Midland 156 class had a long career. It started as an express engine but as power outputs and speeds on the mainline increased it was relegated to increasingly minor duties, ending up being used on small branch lines.</v>
      </c>
    </row>
    <row r="334" customFormat="false" ht="14.25" hidden="false" customHeight="false" outlineLevel="0" collapsed="false">
      <c r="A334" s="0" t="s">
        <v>1211</v>
      </c>
      <c r="B334" s="42" t="s">
        <v>1212</v>
      </c>
      <c r="C334" s="0" t="n">
        <v>1026</v>
      </c>
      <c r="E334" s="0" t="n">
        <v>6</v>
      </c>
      <c r="F334" s="0" t="s">
        <v>143</v>
      </c>
      <c r="G334" s="0" t="s">
        <v>445</v>
      </c>
      <c r="H334" s="0" t="s">
        <v>446</v>
      </c>
      <c r="I334" s="0" t="s">
        <v>92</v>
      </c>
      <c r="J334" s="0" t="n">
        <v>1870</v>
      </c>
      <c r="L334" s="0" t="n">
        <v>1916</v>
      </c>
      <c r="N334" s="0" t="n">
        <v>650</v>
      </c>
      <c r="P334" s="2" t="n">
        <v>18</v>
      </c>
      <c r="Q334" s="2" t="n">
        <v>28</v>
      </c>
      <c r="R334" s="2" t="n">
        <v>2</v>
      </c>
      <c r="S334" s="2" t="n">
        <v>140</v>
      </c>
      <c r="T334" s="18" t="n">
        <f aca="false">((($AB334/2)/60)*5280)/($U334*3.2*PI())</f>
        <v>151.22954450297</v>
      </c>
      <c r="U334" s="2" t="n">
        <v>2.46</v>
      </c>
      <c r="V334" s="2" t="n">
        <f aca="false">((($P334*$P334/4)*PI())*($Q334/12)*$R334*$S334*$T334)/(33000*1.1)</f>
        <v>692.627494456763</v>
      </c>
      <c r="W334" s="0" t="n">
        <v>40</v>
      </c>
      <c r="X334" s="1" t="n">
        <v>30</v>
      </c>
      <c r="Y334" s="0" t="n">
        <v>5</v>
      </c>
      <c r="Z334" s="0" t="n">
        <v>50</v>
      </c>
      <c r="AA334" s="3" t="n">
        <f aca="false">IF(AND(W334&gt;0,Z334&gt;0),(Z334/((W334+X334)*10)),"")</f>
        <v>0.0714285714285714</v>
      </c>
      <c r="AB334" s="0" t="n">
        <v>85</v>
      </c>
      <c r="AC334" s="0" t="n">
        <f aca="false">ROUND(AB334*1.6, 0)</f>
        <v>136</v>
      </c>
      <c r="AF334" s="0" t="n">
        <v>15.4</v>
      </c>
      <c r="AG334" s="0" t="n">
        <v>12</v>
      </c>
      <c r="AK334" s="16" t="str">
        <f aca="false">CONCATENATE(VLOOKUP(AL334, '[2]Voxel Sizes'!$A$2:$B$18,2,FALSE()),"x",INT(AH334*15), "x", INT(AI334*15))</f>
        <v>120x0x0</v>
      </c>
      <c r="AL334" s="16" t="n">
        <f aca="false">ROUND(15*((AG334*10)/256),0)</f>
        <v>7</v>
      </c>
      <c r="AM334" s="0" t="s">
        <v>1146</v>
      </c>
      <c r="AN334" s="16" t="str">
        <f aca="false">CONCATENATE(VLOOKUP(AL334,[2]Constants!$A$2:$C$16,IF(AM334&lt;&gt;"", 3, 2), FALSE()),IF(AM334&lt;&gt;"",CONCATENATE(",",VLOOKUP(AM334,$B:$AN,39,FALSE())),""))</f>
        <v>2,3,2,2,1,2</v>
      </c>
      <c r="AV334" s="0" t="n">
        <v>1</v>
      </c>
      <c r="AX334" s="0" t="n">
        <v>31</v>
      </c>
      <c r="AY334" s="16" t="n">
        <f aca="false">IF(L334&lt;&gt;"",MAX(16,(L334-J334)+8),"")</f>
        <v>54</v>
      </c>
      <c r="BB334" s="43" t="n">
        <f aca="false">MIN(AB334/150, 1)*30</f>
        <v>17</v>
      </c>
      <c r="BC334" s="43" t="n">
        <f aca="false">MIN(N334/4000, 1)*20</f>
        <v>3.25</v>
      </c>
      <c r="BD334" s="43" t="n">
        <f aca="false">MIN(Z334/400,1)*20</f>
        <v>2.5</v>
      </c>
      <c r="BE334" s="44" t="n">
        <f aca="false">1-(MAX(J334-1900, 0)/750)</f>
        <v>1</v>
      </c>
      <c r="BF334" s="43" t="n">
        <f aca="false">((MAX($M334,1)*MIN($AJ334/300,1)))*IF(G334="Wagon",50,10)</f>
        <v>0</v>
      </c>
      <c r="BG334" s="43" t="n">
        <f aca="false">VLOOKUP($H334,[2]Constants!$I$1:$K$1048576, 2, FALSE())</f>
        <v>1.15</v>
      </c>
      <c r="BH334" s="43" t="n">
        <f aca="false">VLOOKUP($H334,[2]Constants!$I$1:$K$1048576, 3, FALSE())*IF(AND(G334="multiple_unit",AB334&lt;110),0.75,1)</f>
        <v>1.7</v>
      </c>
      <c r="BI334" s="43" t="n">
        <f aca="false">INT(POWER((([2]Constants!$G$2+$BB334+$BC334+$BD334+$BF334)*$BE334)*$BH334, 1.05))+$BA334</f>
        <v>57</v>
      </c>
      <c r="BJ334" s="43" t="n">
        <f aca="false">INT(POWER(((([2]Constants!$G$1+$BB334+$BC334+$BD334+$BF334)*($BE334))*$BG334),IF($G334="wagon",1,1.2)))+$AZ334</f>
        <v>92</v>
      </c>
      <c r="BK334" s="45" t="n">
        <f aca="false">BI334*IF($G334="wagon",62.5,781.25)</f>
        <v>44531.25</v>
      </c>
      <c r="BL334" s="45" t="n">
        <f aca="false">BJ334*IF($G334="wagon",2.73,81.25)</f>
        <v>7475</v>
      </c>
      <c r="BV334" s="0" t="n">
        <v>4</v>
      </c>
      <c r="CA334" s="46" t="str">
        <f aca="false">VLOOKUP(J334,[2]Eras!$A$2:$C$10, 2, TRUE())</f>
        <v>vct</v>
      </c>
      <c r="CB334" s="0" t="s">
        <v>474</v>
      </c>
      <c r="CC334" s="46" t="str">
        <f aca="false">CONCATENATE(CA334,"_",CB334)</f>
        <v>vct_Express</v>
      </c>
      <c r="CD334" s="46" t="str">
        <f aca="false">_xlfn.CONCAT(H334, "_",I334)</f>
        <v>steam_RAIL</v>
      </c>
      <c r="CE334" s="6" t="str">
        <f aca="false" t="array" ref="CE334:CE334">IF(AN334&lt;&gt;"na", _xlfn.CONCAT("{BLACK}Length: {GOLD}", TEXT(ROUNDUP(IF(AQ334&lt;&gt;"",SUM(VALUE(_xlfn.TEXTSPLIT(AQ334, ","))), SUM(VALUE(_xlfn.TEXTSPLIT(AN334, ",")))*IF(M334, M334, 1))/16, 1),"#,##0.0"), " tiles{}"), "")</f>
        <v>{BLACK}Length: {GOLD}0.8 tiles{}</v>
      </c>
      <c r="CF334" s="46" t="str">
        <f aca="false">VLOOKUP($CD334, [2]Constants!$M$1:$N$1048576, 2, FALSE())</f>
        <v>{BLACK}Powered by: {GOLD}Steam</v>
      </c>
      <c r="CG334" s="46" t="str">
        <f aca="false">IF(AND(L334&gt;1,BN334&lt;&gt;1),_xlfn.CONCAT("{BLACK}Cars: {GOLD}", L334),"")</f>
        <v>{BLACK}Cars: {GOLD}1916</v>
      </c>
      <c r="CH334" s="0" t="s">
        <v>1213</v>
      </c>
      <c r="CI334" s="0" t="str">
        <f aca="false">IF($BU334="!param_no_gameplay_units","{GREEN}Included for gameplay purposes","")</f>
        <v/>
      </c>
      <c r="CJ334" s="0" t="str">
        <f aca="false">IF(BX334="buffet","{YELLOW}25% long distance bonus for consist{}",IF(BY334="DANDY","{YELLOW}Faster downhill speeds for horse-drawn trains (1 required per 2 horses){}",IF(BY334="BRAKE","{YELLOW}Speed bonus for slow wagons{}",IF(BY334="NGPassengers","{YELLOW}Preserved railway bonus: passengers pay more when hauled by old locomotives{}",IF(AND(BW334&gt;190,NOT(AND(I334="NARROW_GAUGE",BY334&lt;&gt;"PASS"))),CONCATENATE("{YELLOW}",INT((BW334-185)/1.85),"% bonus for long distance travel{}"),IF(AND(BW334&lt;180,BW334&lt;&gt;0),CONCATENATE("{YELLOW}",INT((185-BW334)/1.85),"% penalty for long distance travel{}"),""))))))</f>
        <v/>
      </c>
      <c r="CK334" s="0" t="str">
        <f aca="false">_xlfn.CONCAT(CF334,IF(CF334&lt;&gt;""," ",""),CG334,IF(OR(CG334&lt;&gt;"",CF334&lt;&gt;""),"{}",""),CE334,CJ334,"{SILVER}",CH334,IF(CI334&lt;&gt;"","{}{}",""),CI334)</f>
        <v>{BLACK}Powered by: {GOLD}Steam {BLACK}Cars: {GOLD}1916{}{BLACK}Length: {GOLD}0.8 tiles{}{SILVER}Patrick Stirling's "singles" (also known as "eight footers" due to the large driving wheels) were designed to haul heavy express trains.</v>
      </c>
    </row>
    <row r="335" customFormat="false" ht="13.5" hidden="false" customHeight="true" outlineLevel="0" collapsed="false">
      <c r="A335" s="0" t="s">
        <v>1214</v>
      </c>
      <c r="B335" s="42" t="s">
        <v>1215</v>
      </c>
      <c r="C335" s="0" t="n">
        <v>1027</v>
      </c>
      <c r="E335" s="0" t="n">
        <v>7</v>
      </c>
      <c r="F335" s="0" t="s">
        <v>143</v>
      </c>
      <c r="G335" s="0" t="s">
        <v>445</v>
      </c>
      <c r="H335" s="0" t="s">
        <v>446</v>
      </c>
      <c r="I335" s="0" t="s">
        <v>92</v>
      </c>
      <c r="J335" s="0" t="n">
        <v>1887</v>
      </c>
      <c r="L335" s="0" t="n">
        <v>1934</v>
      </c>
      <c r="N335" s="0" t="n">
        <v>620</v>
      </c>
      <c r="P335" s="2" t="n">
        <v>17</v>
      </c>
      <c r="Q335" s="2" t="n">
        <v>24</v>
      </c>
      <c r="R335" s="2" t="n">
        <v>2</v>
      </c>
      <c r="S335" s="2" t="n">
        <v>150</v>
      </c>
      <c r="T335" s="18" t="n">
        <f aca="false">((($AB335/2)/60)*5280)/($U335*3.2*PI())</f>
        <v>165.702710816272</v>
      </c>
      <c r="U335" s="2" t="n">
        <v>1.981</v>
      </c>
      <c r="V335" s="2" t="n">
        <f aca="false">((($P335*$P335/4)*PI())*($Q335/12)*$R335*$S335*$T335)/(33000*1.1)</f>
        <v>621.672938369051</v>
      </c>
      <c r="W335" s="0" t="n">
        <v>34</v>
      </c>
      <c r="X335" s="1" t="n">
        <v>30</v>
      </c>
      <c r="Z335" s="0" t="n">
        <v>49</v>
      </c>
      <c r="AA335" s="3" t="n">
        <f aca="false">IF(AND(W335&gt;0,Z335&gt;0),(Z335/((W335+X335)*10)),"")</f>
        <v>0.0765625</v>
      </c>
      <c r="AB335" s="0" t="n">
        <v>75</v>
      </c>
      <c r="AC335" s="0" t="n">
        <f aca="false">ROUND(AB335*1.6, 0)</f>
        <v>120</v>
      </c>
      <c r="AF335" s="0" t="n">
        <v>10</v>
      </c>
      <c r="AG335" s="0" t="n">
        <v>10</v>
      </c>
      <c r="AK335" s="16" t="str">
        <f aca="false">CONCATENATE(VLOOKUP(AL335, '[2]Voxel Sizes'!$A$2:$B$18,2,FALSE()),"x",INT(AH335*15), "x", INT(AI335*15))</f>
        <v>102x0x0</v>
      </c>
      <c r="AL335" s="16" t="n">
        <f aca="false">ROUND(15*((AG335*10)/256),0)</f>
        <v>6</v>
      </c>
      <c r="AM335" s="0" t="s">
        <v>1159</v>
      </c>
      <c r="AN335" s="16" t="str">
        <f aca="false">CONCATENATE(VLOOKUP(AL335,[2]Constants!$A$2:$C$16,IF(AM335&lt;&gt;"", 3, 2), FALSE()),IF(AM335&lt;&gt;"",CONCATENATE(",",VLOOKUP(AM335,$B:$AN,39,FALSE())),""))</f>
        <v>2,2,2,2,1,2</v>
      </c>
      <c r="AV335" s="0" t="n">
        <v>1</v>
      </c>
      <c r="AX335" s="0" t="n">
        <v>32</v>
      </c>
      <c r="AY335" s="16" t="n">
        <f aca="false">IF(L335&lt;&gt;"",MAX(16,(L335-J335)+8),"")</f>
        <v>55</v>
      </c>
      <c r="BB335" s="43" t="n">
        <f aca="false">MIN(AB335/150, 1)*30</f>
        <v>15</v>
      </c>
      <c r="BC335" s="43" t="n">
        <f aca="false">MIN(N335/4000, 1)*20</f>
        <v>3.1</v>
      </c>
      <c r="BD335" s="43" t="n">
        <f aca="false">MIN(Z335/400,1)*20</f>
        <v>2.45</v>
      </c>
      <c r="BE335" s="44" t="n">
        <f aca="false">1-(MAX(J335-1900, 0)/750)</f>
        <v>1</v>
      </c>
      <c r="BF335" s="43" t="n">
        <f aca="false">((MAX($M335,1)*MIN($AJ335/300,1)))*IF(G335="Wagon",50,10)</f>
        <v>0</v>
      </c>
      <c r="BG335" s="43" t="n">
        <f aca="false">VLOOKUP($H335,[2]Constants!$I$1:$K$1048576, 2, FALSE())</f>
        <v>1.15</v>
      </c>
      <c r="BH335" s="43" t="n">
        <f aca="false">VLOOKUP($H335,[2]Constants!$I$1:$K$1048576, 3, FALSE())*IF(AND(G335="multiple_unit",AB335&lt;110),0.75,1)</f>
        <v>1.7</v>
      </c>
      <c r="BI335" s="43" t="n">
        <f aca="false">INT(POWER((([2]Constants!$G$2+$BB335+$BC335+$BD335+$BF335)*$BE335)*$BH335, 1.05))+$BA335</f>
        <v>52</v>
      </c>
      <c r="BJ335" s="43" t="n">
        <f aca="false">INT(POWER(((([2]Constants!$G$1+$BB335+$BC335+$BD335+$BF335)*($BE335))*$BG335),IF($G335="wagon",1,1.2)))+$AZ335</f>
        <v>85</v>
      </c>
      <c r="BK335" s="45" t="n">
        <f aca="false">BI335*IF($G335="wagon",62.5,781.25)</f>
        <v>40625</v>
      </c>
      <c r="BL335" s="45" t="n">
        <f aca="false">BJ335*IF($G335="wagon",2.73,81.25)</f>
        <v>6906.25</v>
      </c>
      <c r="BV335" s="0" t="n">
        <v>7</v>
      </c>
      <c r="CA335" s="46" t="s">
        <v>1153</v>
      </c>
      <c r="CB335" s="0" t="s">
        <v>474</v>
      </c>
      <c r="CC335" s="46" t="str">
        <f aca="false">CONCATENATE(CA335,"_",CB335)</f>
        <v>early_Express</v>
      </c>
      <c r="CD335" s="46" t="str">
        <f aca="false">_xlfn.CONCAT(H335, "_",I335)</f>
        <v>steam_RAIL</v>
      </c>
      <c r="CE335" s="6" t="str">
        <f aca="false" t="array" ref="CE335:CE335">IF(AN335&lt;&gt;"na", _xlfn.CONCAT("{BLACK}Length: {GOLD}", TEXT(ROUNDUP(IF(AQ335&lt;&gt;"",SUM(VALUE(_xlfn.TEXTSPLIT(AQ335, ","))), SUM(VALUE(_xlfn.TEXTSPLIT(AN335, ",")))*IF(M335, M335, 1))/16, 1),"#,##0.0"), " tiles{}"), "")</f>
        <v>{BLACK}Length: {GOLD}0.7 tiles{}</v>
      </c>
      <c r="CF335" s="46" t="str">
        <f aca="false">VLOOKUP($CD335, [2]Constants!$M$1:$N$1048576, 2, FALSE())</f>
        <v>{BLACK}Powered by: {GOLD}Steam</v>
      </c>
      <c r="CG335" s="46" t="str">
        <f aca="false">IF(AND(L335&gt;1,BN335&lt;&gt;1),_xlfn.CONCAT("{BLACK}Cars: {GOLD}", L335),"")</f>
        <v>{BLACK}Cars: {GOLD}1934</v>
      </c>
      <c r="CH335" s="0" t="s">
        <v>1216</v>
      </c>
      <c r="CI335" s="0" t="str">
        <f aca="false">IF($BU335="!param_no_gameplay_units","{GREEN}Included for gameplay purposes","")</f>
        <v/>
      </c>
      <c r="CJ335" s="0" t="str">
        <f aca="false">IF(BX335="buffet","{YELLOW}25% long distance bonus for consist{}",IF(BY335="DANDY","{YELLOW}Faster downhill speeds for horse-drawn trains (1 required per 2 horses){}",IF(BY335="BRAKE","{YELLOW}Speed bonus for slow wagons{}",IF(BY335="NGPassengers","{YELLOW}Preserved railway bonus: passengers pay more when hauled by old locomotives{}",IF(AND(BW335&gt;190,NOT(AND(I335="NARROW_GAUGE",BY335&lt;&gt;"PASS"))),CONCATENATE("{YELLOW}",INT((BW335-185)/1.85),"% bonus for long distance travel{}"),IF(AND(BW335&lt;180,BW335&lt;&gt;0),CONCATENATE("{YELLOW}",INT((185-BW335)/1.85),"% penalty for long distance travel{}"),""))))))</f>
        <v/>
      </c>
      <c r="CK335" s="0" t="str">
        <f aca="false">_xlfn.CONCAT(CF335,IF(CF335&lt;&gt;""," ",""),CG335,IF(OR(CG335&lt;&gt;"",CF335&lt;&gt;""),"{}",""),CE335,CJ335,"{SILVER}",CH335,IF(CI335&lt;&gt;"","{}{}",""),CI335)</f>
        <v>{BLACK}Powered by: {GOLD}Steam {BLACK}Cars: {GOLD}1934{}{BLACK}Length: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336" customFormat="false" ht="14.25" hidden="false" customHeight="false" outlineLevel="0" collapsed="false">
      <c r="A336" s="0" t="s">
        <v>1217</v>
      </c>
      <c r="B336" s="42" t="s">
        <v>1218</v>
      </c>
      <c r="C336" s="0" t="n">
        <v>1028</v>
      </c>
      <c r="E336" s="0" t="n">
        <v>8</v>
      </c>
      <c r="F336" s="0" t="s">
        <v>143</v>
      </c>
      <c r="G336" s="0" t="s">
        <v>445</v>
      </c>
      <c r="H336" s="0" t="s">
        <v>446</v>
      </c>
      <c r="I336" s="0" t="s">
        <v>92</v>
      </c>
      <c r="J336" s="0" t="n">
        <v>1898</v>
      </c>
      <c r="L336" s="0" t="n">
        <v>1946</v>
      </c>
      <c r="N336" s="0" t="n">
        <v>950</v>
      </c>
      <c r="P336" s="2" t="n">
        <v>18.75</v>
      </c>
      <c r="Q336" s="2" t="n">
        <v>24</v>
      </c>
      <c r="R336" s="2" t="n">
        <v>2</v>
      </c>
      <c r="S336" s="2" t="n">
        <v>170</v>
      </c>
      <c r="T336" s="18" t="n">
        <f aca="false">((($AB336/2)/60)*5280)/($U336*3.2*PI())</f>
        <v>196.95424207622</v>
      </c>
      <c r="U336" s="2" t="n">
        <v>2</v>
      </c>
      <c r="V336" s="2" t="n">
        <f aca="false">((($P336*$P336/4)*PI())*($Q336/12)*$R336*$S336*$T336)/(33000*1.1)</f>
        <v>1018.73224431818</v>
      </c>
      <c r="W336" s="0" t="n">
        <v>60</v>
      </c>
      <c r="X336" s="1" t="n">
        <v>30</v>
      </c>
      <c r="Y336" s="0" t="n">
        <v>5</v>
      </c>
      <c r="Z336" s="0" t="n">
        <v>68</v>
      </c>
      <c r="AA336" s="3" t="n">
        <f aca="false">IF(AND(W336&gt;0,Z336&gt;0),(Z336/((W336+X336)*10)),"")</f>
        <v>0.0755555555555556</v>
      </c>
      <c r="AB336" s="0" t="n">
        <v>90</v>
      </c>
      <c r="AC336" s="0" t="n">
        <f aca="false">ROUND(AB336*1.6, 0)</f>
        <v>144</v>
      </c>
      <c r="AF336" s="0" t="n">
        <v>15.4</v>
      </c>
      <c r="AG336" s="0" t="n">
        <v>12</v>
      </c>
      <c r="AK336" s="16" t="str">
        <f aca="false">CONCATENATE(VLOOKUP(AL336, '[2]Voxel Sizes'!$A$2:$B$18,2,FALSE()),"x",INT(AH336*15), "x", INT(AI336*15))</f>
        <v>120x0x0</v>
      </c>
      <c r="AL336" s="16" t="n">
        <f aca="false">ROUND(15*((AG336*10)/256),0)</f>
        <v>7</v>
      </c>
      <c r="AM336" s="0" t="s">
        <v>1146</v>
      </c>
      <c r="AN336" s="16" t="str">
        <f aca="false">CONCATENATE(VLOOKUP(AL336,[2]Constants!$A$2:$C$16,IF(AM336&lt;&gt;"", 3, 2), FALSE()),IF(AM336&lt;&gt;"",CONCATENATE(",",VLOOKUP(AM336,$B:$AN,39,FALSE())),""))</f>
        <v>2,3,2,2,1,2</v>
      </c>
      <c r="AV336" s="0" t="n">
        <v>1</v>
      </c>
      <c r="AX336" s="0" t="n">
        <v>29</v>
      </c>
      <c r="AY336" s="16" t="n">
        <f aca="false">IF(L336&lt;&gt;"",MAX(16,(L336-J336)+8),"")</f>
        <v>56</v>
      </c>
      <c r="BB336" s="43" t="n">
        <f aca="false">MIN(AB336/150, 1)*30</f>
        <v>18</v>
      </c>
      <c r="BC336" s="43" t="n">
        <f aca="false">MIN(N336/4000, 1)*20</f>
        <v>4.75</v>
      </c>
      <c r="BD336" s="43" t="n">
        <f aca="false">MIN(Z336/400,1)*20</f>
        <v>3.4</v>
      </c>
      <c r="BE336" s="44" t="n">
        <f aca="false">1-(MAX(J336-1900, 0)/750)</f>
        <v>1</v>
      </c>
      <c r="BF336" s="43" t="n">
        <f aca="false">((MAX($M336,1)*MIN($AJ336/300,1)))*IF(G336="Wagon",50,10)</f>
        <v>0</v>
      </c>
      <c r="BG336" s="43" t="n">
        <f aca="false">VLOOKUP($H336,[2]Constants!$I$1:$K$1048576, 2, FALSE())</f>
        <v>1.15</v>
      </c>
      <c r="BH336" s="43" t="n">
        <f aca="false">VLOOKUP($H336,[2]Constants!$I$1:$K$1048576, 3, FALSE())*IF(AND(G336="multiple_unit",AB336&lt;110),0.75,1)</f>
        <v>1.7</v>
      </c>
      <c r="BI336" s="43" t="n">
        <f aca="false">INT(POWER((([2]Constants!$G$2+$BB336+$BC336+$BD336+$BF336)*$BE336)*$BH336, 1.05))+$BA336</f>
        <v>64</v>
      </c>
      <c r="BJ336" s="43" t="n">
        <f aca="false">INT(POWER(((([2]Constants!$G$1+$BB336+$BC336+$BD336+$BF336)*($BE336))*$BG336),IF($G336="wagon",1,1.2)))+$AZ336</f>
        <v>102</v>
      </c>
      <c r="BK336" s="45" t="n">
        <f aca="false">BI336*IF($G336="wagon",62.5,781.25)</f>
        <v>50000</v>
      </c>
      <c r="BL336" s="45" t="n">
        <f aca="false">BJ336*IF($G336="wagon",2.73,81.25)</f>
        <v>8287.5</v>
      </c>
      <c r="BV336" s="0" t="n">
        <v>3</v>
      </c>
      <c r="CA336" s="46" t="str">
        <f aca="false">VLOOKUP(J336,[2]Eras!$A$2:$C$10, 2, TRUE())</f>
        <v>vct</v>
      </c>
      <c r="CB336" s="0" t="s">
        <v>474</v>
      </c>
      <c r="CC336" s="46" t="str">
        <f aca="false">CONCATENATE(CA336,"_",CB336)</f>
        <v>vct_Express</v>
      </c>
      <c r="CD336" s="46" t="str">
        <f aca="false">_xlfn.CONCAT(H336, "_",I336)</f>
        <v>steam_RAIL</v>
      </c>
      <c r="CE336" s="6" t="str">
        <f aca="false" t="array" ref="CE336:CE336">IF(AN336&lt;&gt;"na", _xlfn.CONCAT("{BLACK}Length: {GOLD}", TEXT(ROUNDUP(IF(AQ336&lt;&gt;"",SUM(VALUE(_xlfn.TEXTSPLIT(AQ336, ","))), SUM(VALUE(_xlfn.TEXTSPLIT(AN336, ",")))*IF(M336, M336, 1))/16, 1),"#,##0.0"), " tiles{}"), "")</f>
        <v>{BLACK}Length: {GOLD}0.8 tiles{}</v>
      </c>
      <c r="CF336" s="46" t="str">
        <f aca="false">VLOOKUP($CD336, [2]Constants!$M$1:$N$1048576, 2, FALSE())</f>
        <v>{BLACK}Powered by: {GOLD}Steam</v>
      </c>
      <c r="CG336" s="46" t="str">
        <f aca="false">IF(AND(L336&gt;1,BN336&lt;&gt;1),_xlfn.CONCAT("{BLACK}Cars: {GOLD}", L336),"")</f>
        <v>{BLACK}Cars: {GOLD}1946</v>
      </c>
      <c r="CH336" s="0" t="s">
        <v>1219</v>
      </c>
      <c r="CI336" s="0" t="str">
        <f aca="false">IF($BU336="!param_no_gameplay_units","{GREEN}Included for gameplay purposes","")</f>
        <v/>
      </c>
      <c r="CJ336" s="0" t="str">
        <f aca="false">IF(BX336="buffet","{YELLOW}25% long distance bonus for consist{}",IF(BY336="DANDY","{YELLOW}Faster downhill speeds for horse-drawn trains (1 required per 2 horses){}",IF(BY336="BRAKE","{YELLOW}Speed bonus for slow wagons{}",IF(BY336="NGPassengers","{YELLOW}Preserved railway bonus: passengers pay more when hauled by old locomotives{}",IF(AND(BW336&gt;190,NOT(AND(I336="NARROW_GAUGE",BY336&lt;&gt;"PASS"))),CONCATENATE("{YELLOW}",INT((BW336-185)/1.85),"% bonus for long distance travel{}"),IF(AND(BW336&lt;180,BW336&lt;&gt;0),CONCATENATE("{YELLOW}",INT((185-BW336)/1.85),"% penalty for long distance travel{}"),""))))))</f>
        <v/>
      </c>
      <c r="CK336" s="0" t="str">
        <f aca="false">_xlfn.CONCAT(CF336,IF(CF336&lt;&gt;""," ",""),CG336,IF(OR(CG336&lt;&gt;"",CF336&lt;&gt;""),"{}",""),CE336,CJ336,"{SILVER}",CH336,IF(CI336&lt;&gt;"","{}{}",""),CI336)</f>
        <v>{BLACK}Powered by: {GOLD}Steam {BLACK}Cars: {GOLD}1946{}{BLACK}Length: {GOLD}0.8 tiles{}{SILVER}Henry Ivatt introduced the 4-4-2 Atlantic type to the UK with this design, nicknamed "Klondyke" after the peak of the Klondike Gold Rush of the previous year.</v>
      </c>
    </row>
    <row r="337" customFormat="false" ht="14.25" hidden="false" customHeight="false" outlineLevel="0" collapsed="false">
      <c r="A337" s="48" t="s">
        <v>1220</v>
      </c>
      <c r="B337" s="42" t="s">
        <v>1221</v>
      </c>
      <c r="C337" s="0" t="n">
        <v>1029</v>
      </c>
      <c r="E337" s="0" t="n">
        <v>9</v>
      </c>
      <c r="G337" s="0" t="s">
        <v>1222</v>
      </c>
      <c r="H337" s="0" t="s">
        <v>446</v>
      </c>
      <c r="I337" s="0" t="s">
        <v>92</v>
      </c>
      <c r="J337" s="0" t="n">
        <v>1891</v>
      </c>
      <c r="L337" s="0" t="n">
        <v>1915</v>
      </c>
      <c r="N337" s="0" t="n">
        <v>800</v>
      </c>
      <c r="T337" s="18"/>
      <c r="W337" s="0" t="n">
        <v>46</v>
      </c>
      <c r="X337" s="1" t="n">
        <v>41</v>
      </c>
      <c r="Z337" s="0" t="n">
        <v>75</v>
      </c>
      <c r="AA337" s="3" t="n">
        <f aca="false">IF(AND(W337&gt;0,Z337&gt;0),(Z337/((W337+X337)*10)),"")</f>
        <v>0.0862068965517241</v>
      </c>
      <c r="AB337" s="0" t="n">
        <v>80</v>
      </c>
      <c r="AC337" s="0" t="n">
        <f aca="false">ROUND(AB337*1.6, 0)</f>
        <v>128</v>
      </c>
      <c r="AF337" s="0" t="n">
        <v>11</v>
      </c>
      <c r="AG337" s="0" t="n">
        <v>11</v>
      </c>
      <c r="AJ337" s="4" t="n">
        <v>0</v>
      </c>
      <c r="AK337" s="16" t="s">
        <v>1223</v>
      </c>
      <c r="AL337" s="16" t="n">
        <f aca="false">ROUND(15*((AG337*10)/256),0)</f>
        <v>6</v>
      </c>
      <c r="AM337" s="0" t="s">
        <v>114</v>
      </c>
      <c r="AN337" s="16" t="str">
        <f aca="false">CONCATENATE(VLOOKUP(AL337,[2]Constants!$A$2:$C$16,IF(AM337&lt;&gt;"", 3, 2), FALSE()),IF(AM337&lt;&gt;"",CONCATENATE(",",VLOOKUP(AM337,$B:$AN,39,FALSE())),""))</f>
        <v>2,2,2,2,1,2</v>
      </c>
      <c r="AX337" s="0" t="n">
        <v>24</v>
      </c>
      <c r="AY337" s="16" t="n">
        <f aca="false">IF(L337&lt;&gt;"",MAX(16,(L337-J337)+8),"")</f>
        <v>32</v>
      </c>
      <c r="BB337" s="43" t="n">
        <f aca="false">MIN(AB337/150, 1)*30</f>
        <v>16</v>
      </c>
      <c r="BC337" s="43" t="n">
        <f aca="false">MIN(N337/4000, 1)*20</f>
        <v>4</v>
      </c>
      <c r="BD337" s="43" t="n">
        <f aca="false">MIN(Z337/400,1)*20</f>
        <v>3.75</v>
      </c>
      <c r="BE337" s="44" t="n">
        <f aca="false">1-(MAX(J337-1900, 0)/750)</f>
        <v>1</v>
      </c>
      <c r="BF337" s="43" t="n">
        <f aca="false">((MAX($M337,1)*MIN($AJ337/300,1)))*IF(G337="Wagon",50,10)</f>
        <v>0</v>
      </c>
      <c r="BG337" s="43" t="n">
        <f aca="false">VLOOKUP($H337,[2]Constants!$I$1:$K$1048576, 2, FALSE())</f>
        <v>1.15</v>
      </c>
      <c r="BH337" s="43" t="n">
        <f aca="false">VLOOKUP($H337,[2]Constants!$I$1:$K$1048576, 3, FALSE())*IF(AND(G337="multiple_unit",AB337&lt;110),0.75,1)</f>
        <v>1.7</v>
      </c>
      <c r="BI337" s="43" t="n">
        <f aca="false">INT(POWER((([2]Constants!$G$2+$BB337+$BC337+$BD337+$BF337)*$BE337)*$BH337, 1.05))+$BA337</f>
        <v>59</v>
      </c>
      <c r="BJ337" s="43" t="n">
        <f aca="false">INT(POWER(((([2]Constants!$G$1+$BB337+$BC337+$BD337+$BF337)*($BE337))*$BG337),IF($G337="wagon",1,1.2)))+$AZ337</f>
        <v>95</v>
      </c>
      <c r="BK337" s="45" t="n">
        <f aca="false">BI337*IF($G337="wagon",62.5,781.25)</f>
        <v>46093.75</v>
      </c>
      <c r="BL337" s="45" t="n">
        <f aca="false">BJ337*IF($G337="wagon",2.73,81.25)</f>
        <v>7718.75</v>
      </c>
      <c r="BV337" s="0" t="n">
        <v>5</v>
      </c>
      <c r="CA337" s="46" t="s">
        <v>491</v>
      </c>
      <c r="CB337" s="0" t="s">
        <v>474</v>
      </c>
      <c r="CC337" s="46" t="str">
        <f aca="false">CONCATENATE(CA337,"_",CB337)</f>
        <v>vct_Express</v>
      </c>
      <c r="CD337" s="46" t="str">
        <f aca="false">_xlfn.CONCAT(H337, "_",I337)</f>
        <v>steam_RAIL</v>
      </c>
      <c r="CE337" s="6" t="str">
        <f aca="false" t="array" ref="CE337:CE337">IF(AN337&lt;&gt;"na", _xlfn.CONCAT("{BLACK}Length: {GOLD}", TEXT(ROUNDUP(IF(AQ337&lt;&gt;"",SUM(VALUE(_xlfn.TEXTSPLIT(AQ337, ","))), SUM(VALUE(_xlfn.TEXTSPLIT(AN337, ",")))*IF(M337, M337, 1))/16, 1),"#,##0.0"), " tiles{}"), "")</f>
        <v>{BLACK}Length: {GOLD}0.7 tiles{}</v>
      </c>
      <c r="CF337" s="46" t="str">
        <f aca="false">VLOOKUP($CD337, [2]Constants!$M$1:$N$1048576, 2, FALSE())</f>
        <v>{BLACK}Powered by: {GOLD}Steam</v>
      </c>
      <c r="CG337" s="46" t="str">
        <f aca="false">IF(AND(L337&gt;1,BN337&lt;&gt;1),_xlfn.CONCAT("{BLACK}Cars: {GOLD}", L337),"")</f>
        <v>{BLACK}Cars: {GOLD}1915</v>
      </c>
      <c r="CH337" s="0" t="s">
        <v>1224</v>
      </c>
      <c r="CI337" s="0" t="str">
        <f aca="false">IF($BU337="!param_no_gameplay_units","{GREEN}Included for gameplay purposes","")</f>
        <v/>
      </c>
      <c r="CJ337" s="0" t="str">
        <f aca="false">IF(BX337="buffet","{YELLOW}25% long distance bonus for consist{}",IF(BY337="DANDY","{YELLOW}Faster downhill speeds for horse-drawn trains (1 required per 2 horses){}",IF(BY337="BRAKE","{YELLOW}Speed bonus for slow wagons{}",IF(BY337="NGPassengers","{YELLOW}Preserved railway bonus: passengers pay more when hauled by old locomotives{}",IF(AND(BW337&gt;190,NOT(AND(I337="NARROW_GAUGE",BY337&lt;&gt;"PASS"))),CONCATENATE("{YELLOW}",INT((BW337-185)/1.85),"% bonus for long distance travel{}"),IF(AND(BW337&lt;180,BW337&lt;&gt;0),CONCATENATE("{YELLOW}",INT((185-BW337)/1.85),"% penalty for long distance travel{}"),""))))))</f>
        <v/>
      </c>
      <c r="CK337" s="0" t="str">
        <f aca="false">_xlfn.CONCAT(CF337,IF(CF337&lt;&gt;""," ",""),CG337,IF(OR(CG337&lt;&gt;"",CF337&lt;&gt;""),"{}",""),CE337,CJ337,"{SILVER}",CH337,IF(CI337&lt;&gt;"","{}{}",""),CI337)</f>
        <v>{BLACK}Powered by: {GOLD}Steam {BLACK}Cars: {GOLD}1915{}{BLACK}Length: {GOLD}0.7 tiles{}{SILVER}William Dean's 3001 class was the last of the GWR's 2-2-2 singles. They were rebuilt early on with a 4-2-2 layout to prevent derailments caused by the heavy front axle load.</v>
      </c>
    </row>
    <row r="338" customFormat="false" ht="14.25" hidden="false" customHeight="false" outlineLevel="0" collapsed="false">
      <c r="A338" s="0" t="s">
        <v>1225</v>
      </c>
      <c r="B338" s="42" t="s">
        <v>1226</v>
      </c>
      <c r="C338" s="0" t="n">
        <v>1030</v>
      </c>
      <c r="E338" s="0" t="n">
        <v>10</v>
      </c>
      <c r="F338" s="0" t="s">
        <v>143</v>
      </c>
      <c r="G338" s="0" t="s">
        <v>445</v>
      </c>
      <c r="H338" s="0" t="s">
        <v>446</v>
      </c>
      <c r="I338" s="0" t="s">
        <v>92</v>
      </c>
      <c r="J338" s="0" t="n">
        <v>1899</v>
      </c>
      <c r="L338" s="0" t="n">
        <v>1933</v>
      </c>
      <c r="N338" s="0" t="n">
        <v>180</v>
      </c>
      <c r="P338" s="2" t="n">
        <v>11.5</v>
      </c>
      <c r="Q338" s="2" t="n">
        <v>18</v>
      </c>
      <c r="R338" s="2" t="n">
        <v>2</v>
      </c>
      <c r="S338" s="2" t="n">
        <v>175</v>
      </c>
      <c r="T338" s="18" t="n">
        <f aca="false">((($AB338/2)/60)*5280)/($U338*3.2*PI())</f>
        <v>128.728262794915</v>
      </c>
      <c r="U338" s="2" t="n">
        <v>1.7</v>
      </c>
      <c r="V338" s="2" t="n">
        <f aca="false">((($P338*$P338/4)*PI())*($Q338/12)*$R338*$S338*$T338)/(33000*1.1)</f>
        <v>193.380264037433</v>
      </c>
      <c r="W338" s="0" t="n">
        <v>38</v>
      </c>
      <c r="Y338" s="0" t="n">
        <v>5</v>
      </c>
      <c r="Z338" s="0" t="n">
        <v>24</v>
      </c>
      <c r="AA338" s="3" t="n">
        <f aca="false">IF(AND(W338&gt;0,Z338&gt;0),(Z338/((W338+X338)*10)),"")</f>
        <v>0.0631578947368421</v>
      </c>
      <c r="AB338" s="0" t="n">
        <v>50</v>
      </c>
      <c r="AC338" s="0" t="n">
        <f aca="false">ROUND(AB338*1.6, 0)</f>
        <v>80</v>
      </c>
      <c r="AF338" s="0" t="n">
        <v>10.9</v>
      </c>
      <c r="AG338" s="0" t="n">
        <v>12</v>
      </c>
      <c r="AJ338" s="4" t="n">
        <v>12</v>
      </c>
      <c r="AK338" s="16" t="str">
        <f aca="false">CONCATENATE(VLOOKUP(AL338, '[2]Voxel Sizes'!$A$2:$B$18,2,FALSE()),"x",INT(AH338*15), "x", INT(AI338*15))</f>
        <v>120x0x0</v>
      </c>
      <c r="AL338" s="16" t="n">
        <f aca="false">ROUND(15*((AG338*10)/256),0)</f>
        <v>7</v>
      </c>
      <c r="AN338" s="16" t="str">
        <f aca="false">CONCATENATE(VLOOKUP(AL338,[2]Constants!$A$2:$C$16,IF(AM338&lt;&gt;"", 3, 2), FALSE()),IF(AM338&lt;&gt;"",CONCATENATE(",",VLOOKUP(AM338,$B:$AN,39,FALSE())),""))</f>
        <v>2,3,2</v>
      </c>
      <c r="AV338" s="0" t="n">
        <v>1</v>
      </c>
      <c r="AX338" s="0" t="n">
        <v>26</v>
      </c>
      <c r="AY338" s="16" t="n">
        <f aca="false">IF(L338&lt;&gt;"",MAX(16,(L338-J338)+8),"")</f>
        <v>42</v>
      </c>
      <c r="AZ338" s="0" t="n">
        <v>-14</v>
      </c>
      <c r="BA338" s="0" t="n">
        <v>-4</v>
      </c>
      <c r="BB338" s="43" t="n">
        <f aca="false">MIN(AB338/150, 1)*30</f>
        <v>10</v>
      </c>
      <c r="BC338" s="43" t="n">
        <f aca="false">MIN(N338/4000, 1)*20</f>
        <v>0.9</v>
      </c>
      <c r="BD338" s="43" t="n">
        <f aca="false">MIN(Z338/400,1)*20</f>
        <v>1.2</v>
      </c>
      <c r="BE338" s="44" t="n">
        <f aca="false">1-(MAX(J338-1900, 0)/750)</f>
        <v>1</v>
      </c>
      <c r="BF338" s="43" t="n">
        <f aca="false">((MAX($M338,1)*MIN($AJ338/300,1)))*IF(G338="Wagon",50,10)</f>
        <v>0.4</v>
      </c>
      <c r="BG338" s="43" t="n">
        <f aca="false">VLOOKUP($H338,[2]Constants!$I$1:$K$1048576, 2, FALSE())</f>
        <v>1.15</v>
      </c>
      <c r="BH338" s="43" t="n">
        <f aca="false">VLOOKUP($H338,[2]Constants!$I$1:$K$1048576, 3, FALSE())*IF(AND(G338="multiple_unit",AB338&lt;110),0.75,1)</f>
        <v>1.7</v>
      </c>
      <c r="BI338" s="43" t="n">
        <f aca="false">INT(POWER((([2]Constants!$G$2+$BB338+$BC338+$BD338+$BF338)*$BE338)*$BH338, 1.05))+$BA338</f>
        <v>31</v>
      </c>
      <c r="BJ338" s="43" t="n">
        <f aca="false">INT(POWER(((([2]Constants!$G$1+$BB338+$BC338+$BD338+$BF338)*($BE338))*$BG338),IF($G338="wagon",1,1.2)))+$AZ338</f>
        <v>49</v>
      </c>
      <c r="BK338" s="45" t="n">
        <f aca="false">BI338*IF($G338="wagon",62.5,781.25)</f>
        <v>24218.75</v>
      </c>
      <c r="BL338" s="45" t="n">
        <f aca="false">BJ338*IF($G338="wagon",2.73,81.25)</f>
        <v>3981.25</v>
      </c>
      <c r="BV338" s="0" t="n">
        <v>4</v>
      </c>
      <c r="BY338" s="0" t="s">
        <v>147</v>
      </c>
      <c r="BZ338" s="0" t="s">
        <v>148</v>
      </c>
      <c r="CA338" s="46" t="str">
        <f aca="false">VLOOKUP(J338,[2]Eras!$A$2:$C$10, 2, TRUE())</f>
        <v>vct</v>
      </c>
      <c r="CB338" s="0" t="s">
        <v>513</v>
      </c>
      <c r="CC338" s="46" t="str">
        <f aca="false">CONCATENATE(CA338,"_",CB338)</f>
        <v>vct_Cheap</v>
      </c>
      <c r="CD338" s="46" t="str">
        <f aca="false">_xlfn.CONCAT(H338, "_",I338)</f>
        <v>steam_RAIL</v>
      </c>
      <c r="CE338" s="6" t="str">
        <f aca="false" t="array" ref="CE338:CE338">IF(AN338&lt;&gt;"na", _xlfn.CONCAT("{BLACK}Length: {GOLD}", TEXT(ROUNDUP(IF(AQ338&lt;&gt;"",SUM(VALUE(_xlfn.TEXTSPLIT(AQ338, ","))), SUM(VALUE(_xlfn.TEXTSPLIT(AN338, ",")))*IF(M338, M338, 1))/16, 1),"#,##0.0"), " tiles{}"), "")</f>
        <v>{BLACK}Length: {GOLD}0.5 tiles{}</v>
      </c>
      <c r="CF338" s="46" t="str">
        <f aca="false">VLOOKUP($CD338, [2]Constants!$M$1:$N$1048576, 2, FALSE())</f>
        <v>{BLACK}Powered by: {GOLD}Steam</v>
      </c>
      <c r="CG338" s="46" t="str">
        <f aca="false">IF(AND(L338&gt;1,BN338&lt;&gt;1),_xlfn.CONCAT("{BLACK}Cars: {GOLD}", L338),"")</f>
        <v>{BLACK}Cars: {GOLD}1933</v>
      </c>
      <c r="CH338" s="0" t="s">
        <v>1227</v>
      </c>
      <c r="CI338" s="0" t="str">
        <f aca="false">IF($BU338="!param_no_gameplay_units","{GREEN}Included for gameplay purposes","")</f>
        <v/>
      </c>
      <c r="CJ338" s="0" t="str">
        <f aca="false">IF(BX338="buffet","{YELLOW}25% long distance bonus for consist{}",IF(BY338="DANDY","{YELLOW}Faster downhill speeds for horse-drawn trains (1 required per 2 horses){}",IF(BY338="BRAKE","{YELLOW}Speed bonus for slow wagons{}",IF(BY338="NGPassengers","{YELLOW}Preserved railway bonus: passengers pay more when hauled by old locomotives{}",IF(AND(BW338&gt;190,NOT(AND(I338="NARROW_GAUGE",BY338&lt;&gt;"PASS"))),CONCATENATE("{YELLOW}",INT((BW338-185)/1.85),"% bonus for long distance travel{}"),IF(AND(BW338&lt;180,BW338&lt;&gt;0),CONCATENATE("{YELLOW}",INT((185-BW338)/1.85),"% penalty for long distance travel{}"),""))))))</f>
        <v/>
      </c>
      <c r="CK338" s="0" t="str">
        <f aca="false">_xlfn.CONCAT(CF338,IF(CF338&lt;&gt;""," ",""),CG338,IF(OR(CG338&lt;&gt;"",CF338&lt;&gt;""),"{}",""),CE338,CJ338,"{SILVER}",CH338,IF(CI338&lt;&gt;"","{}{}",""),CI338)</f>
        <v>{BLACK}Powered by: {GOLD}Steam {BLACK}Cars: {GOLD}1933{}{BLACK}Length: {GOLD}0.5 tiles{}{SILVER}The F9 was Dugald Drummond's personal locomotive, allowing him to travel across the LSWR for inspections. After Drummond it only saw occasional use at Southampton Docks.</v>
      </c>
    </row>
    <row r="339" customFormat="false" ht="14.25" hidden="false" customHeight="false" outlineLevel="0" collapsed="false">
      <c r="A339" s="48" t="s">
        <v>1228</v>
      </c>
      <c r="B339" s="42" t="s">
        <v>1229</v>
      </c>
      <c r="C339" s="0" t="n">
        <v>1031</v>
      </c>
      <c r="E339" s="0" t="n">
        <v>11</v>
      </c>
      <c r="G339" s="0" t="s">
        <v>1222</v>
      </c>
      <c r="H339" s="0" t="s">
        <v>446</v>
      </c>
      <c r="I339" s="0" t="s">
        <v>92</v>
      </c>
      <c r="J339" s="0" t="n">
        <v>1899</v>
      </c>
      <c r="AA339" s="3" t="str">
        <f aca="false">IF(AND(W339&gt;0,Z339&gt;0),(Z339/((W339+X339)*10)),"")</f>
        <v/>
      </c>
      <c r="AC339" s="0" t="n">
        <f aca="false">ROUND(AB339*1.6, 0)</f>
        <v>0</v>
      </c>
      <c r="AJ339" s="4" t="n">
        <v>0</v>
      </c>
      <c r="AK339" s="16" t="s">
        <v>1230</v>
      </c>
      <c r="AL339" s="16" t="n">
        <f aca="false">ROUND(15*((AG339*10)/256),0)</f>
        <v>0</v>
      </c>
      <c r="AN339" s="16" t="str">
        <f aca="false">CONCATENATE(VLOOKUP(AL339,[2]Constants!$A$2:$C$16,IF(AM339&lt;&gt;"", 3, 2), FALSE()),IF(AM339&lt;&gt;"",CONCATENATE(",",VLOOKUP(AM339,$B:$AN,39,FALSE())),""))</f>
        <v>na</v>
      </c>
      <c r="AX339" s="0" t="n">
        <v>30</v>
      </c>
      <c r="AY339" s="16" t="str">
        <f aca="false">IF(L339&lt;&gt;"",MAX(16,(L339-J339)+8),"")</f>
        <v/>
      </c>
      <c r="BB339" s="43" t="n">
        <f aca="false">MIN(AB339/150, 1)*30</f>
        <v>0</v>
      </c>
      <c r="BC339" s="43" t="n">
        <f aca="false">MIN(N339/4000, 1)*20</f>
        <v>0</v>
      </c>
      <c r="BD339" s="43" t="n">
        <f aca="false">MIN(Z339/400,1)*20</f>
        <v>0</v>
      </c>
      <c r="BE339" s="44" t="n">
        <f aca="false">1-(MAX(J339-1900, 0)/750)</f>
        <v>1</v>
      </c>
      <c r="BF339" s="43" t="n">
        <f aca="false">((MAX($M339,1)*MIN($AJ339/300,1)))*IF(G339="Wagon",50,10)</f>
        <v>0</v>
      </c>
      <c r="BG339" s="43" t="n">
        <f aca="false">VLOOKUP($H339,[2]Constants!$I$1:$K$1048576, 2, FALSE())</f>
        <v>1.15</v>
      </c>
      <c r="BH339" s="43" t="n">
        <f aca="false">VLOOKUP($H339,[2]Constants!$I$1:$K$1048576, 3, FALSE())*IF(AND(G339="multiple_unit",AB339&lt;110),0.75,1)</f>
        <v>1.7</v>
      </c>
      <c r="BI339" s="43" t="n">
        <f aca="false">INT(POWER((([2]Constants!$G$2+$BB339+$BC339+$BD339+$BF339)*$BE339)*$BH339, 1.05))+$BA339</f>
        <v>9</v>
      </c>
      <c r="BJ339" s="43" t="n">
        <f aca="false">INT(POWER(((([2]Constants!$G$1+$BB339+$BC339+$BD339+$BF339)*($BE339))*$BG339),IF($G339="wagon",1,1.2)))+$AZ339</f>
        <v>30</v>
      </c>
      <c r="BK339" s="45" t="n">
        <f aca="false">BI339*IF($G339="wagon",62.5,781.25)</f>
        <v>7031.25</v>
      </c>
      <c r="BL339" s="45" t="n">
        <f aca="false">BJ339*IF($G339="wagon",2.73,81.25)</f>
        <v>2437.5</v>
      </c>
      <c r="BV339" s="0" t="n">
        <v>8</v>
      </c>
      <c r="CA339" s="46" t="s">
        <v>491</v>
      </c>
      <c r="CC339" s="46" t="str">
        <f aca="false">CONCATENATE(CA339,"_",CB339)</f>
        <v>vct_</v>
      </c>
      <c r="CD339" s="46" t="str">
        <f aca="false">_xlfn.CONCAT(H339, "_",I339)</f>
        <v>steam_RAIL</v>
      </c>
      <c r="CE339" s="6" t="str">
        <f aca="false" t="array" ref="CE339:CE339">IF(AN339&lt;&gt;"na", _xlfn.CONCAT("{BLACK}Length: {GOLD}", TEXT(ROUNDUP(IF(AQ339&lt;&gt;"",SUM(VALUE(_xlfn.TEXTSPLIT(AQ339, ","))), SUM(VALUE(_xlfn.TEXTSPLIT(AN339, ",")))*IF(M339, M339, 1))/16, 1),"#,##0.0"), " tiles{}"), "")</f>
        <v/>
      </c>
      <c r="CF339" s="46" t="str">
        <f aca="false">VLOOKUP($CD339, [2]Constants!$M$1:$N$1048576, 2, FALSE())</f>
        <v>{BLACK}Powered by: {GOLD}Steam</v>
      </c>
      <c r="CG339" s="46" t="str">
        <f aca="false">IF(AND(L339&gt;1,BN339&lt;&gt;1),_xlfn.CONCAT("{BLACK}Cars: {GOLD}", L339),"")</f>
        <v/>
      </c>
      <c r="CI339" s="0" t="str">
        <f aca="false">IF($BU339="!param_no_gameplay_units","{GREEN}Included for gameplay purposes","")</f>
        <v/>
      </c>
      <c r="CJ339" s="0" t="str">
        <f aca="false">IF(BX339="buffet","{YELLOW}25% long distance bonus for consist{}",IF(BY339="DANDY","{YELLOW}Faster downhill speeds for horse-drawn trains (1 required per 2 horses){}",IF(BY339="BRAKE","{YELLOW}Speed bonus for slow wagons{}",IF(BY339="NGPassengers","{YELLOW}Preserved railway bonus: passengers pay more when hauled by old locomotives{}",IF(AND(BW339&gt;190,NOT(AND(I339="NARROW_GAUGE",BY339&lt;&gt;"PASS"))),CONCATENATE("{YELLOW}",INT((BW339-185)/1.85),"% bonus for long distance travel{}"),IF(AND(BW339&lt;180,BW339&lt;&gt;0),CONCATENATE("{YELLOW}",INT((185-BW339)/1.85),"% penalty for long distance travel{}"),""))))))</f>
        <v/>
      </c>
      <c r="CK339" s="0" t="str">
        <f aca="false">_xlfn.CONCAT(CF339,IF(CF339&lt;&gt;""," ",""),CG339,IF(OR(CG339&lt;&gt;"",CF339&lt;&gt;""),"{}",""),CE339,CJ339,"{SILVER}",CH339,IF(CI339&lt;&gt;"","{}{}",""),CI339)</f>
        <v>{BLACK}Powered by: {GOLD}Steam {}{SILVER}</v>
      </c>
    </row>
    <row r="340" customFormat="false" ht="14.25" hidden="false" customHeight="false" outlineLevel="0" collapsed="false">
      <c r="A340" s="0" t="s">
        <v>1231</v>
      </c>
      <c r="B340" s="42" t="s">
        <v>1232</v>
      </c>
      <c r="C340" s="0" t="n">
        <v>1032</v>
      </c>
      <c r="E340" s="0" t="n">
        <v>12</v>
      </c>
      <c r="F340" s="0" t="s">
        <v>143</v>
      </c>
      <c r="G340" s="0" t="s">
        <v>445</v>
      </c>
      <c r="H340" s="0" t="s">
        <v>446</v>
      </c>
      <c r="I340" s="0" t="s">
        <v>92</v>
      </c>
      <c r="J340" s="0" t="n">
        <v>1902</v>
      </c>
      <c r="L340" s="0" t="n">
        <v>1924</v>
      </c>
      <c r="N340" s="0" t="n">
        <v>1000</v>
      </c>
      <c r="P340" s="2" t="n">
        <v>18.5</v>
      </c>
      <c r="Q340" s="2" t="n">
        <v>24</v>
      </c>
      <c r="R340" s="2" t="n">
        <v>3</v>
      </c>
      <c r="S340" s="2" t="n">
        <v>200</v>
      </c>
      <c r="T340" s="18" t="n">
        <f aca="false">((($AB340/2)/60)*5280)/($U340*3.2*PI())</f>
        <v>111.815060383905</v>
      </c>
      <c r="U340" s="2" t="n">
        <v>1.37</v>
      </c>
      <c r="V340" s="2" t="n">
        <f aca="false">((($P340*$P340/4)*PI())*($Q340/12)*$R340*$S340*$T340)/(33000*1.1)</f>
        <v>993.592402123424</v>
      </c>
      <c r="W340" s="0" t="n">
        <v>81</v>
      </c>
      <c r="Y340" s="0" t="n">
        <v>5</v>
      </c>
      <c r="Z340" s="0" t="n">
        <v>173</v>
      </c>
      <c r="AA340" s="3" t="n">
        <f aca="false">IF(AND(W340&gt;0,Z340&gt;0),(Z340/((W340+X340)*10)),"")</f>
        <v>0.21358024691358</v>
      </c>
      <c r="AB340" s="0" t="n">
        <v>35</v>
      </c>
      <c r="AC340" s="0" t="n">
        <f aca="false">ROUND(AB340*1.6, 0)</f>
        <v>56</v>
      </c>
      <c r="AF340" s="0" t="n">
        <v>12</v>
      </c>
      <c r="AG340" s="0" t="n">
        <v>12</v>
      </c>
      <c r="AK340" s="16" t="str">
        <f aca="false">CONCATENATE(VLOOKUP(AL340, '[2]Voxel Sizes'!$A$2:$B$18,2,FALSE()),"x",INT(AH340*15), "x", INT(AI340*15))</f>
        <v>120x0x0</v>
      </c>
      <c r="AL340" s="16" t="n">
        <f aca="false">ROUND(15*((AG340*10)/256),0)</f>
        <v>7</v>
      </c>
      <c r="AN340" s="16" t="str">
        <f aca="false">CONCATENATE(VLOOKUP(AL340,[2]Constants!$A$2:$C$16,IF(AM340&lt;&gt;"", 3, 2), FALSE()),IF(AM340&lt;&gt;"",CONCATENATE(",",VLOOKUP(AM340,$B:$AN,39,FALSE())),""))</f>
        <v>2,3,2</v>
      </c>
      <c r="AV340" s="0" t="n">
        <v>1</v>
      </c>
      <c r="AX340" s="0" t="n">
        <v>18</v>
      </c>
      <c r="AY340" s="16" t="n">
        <f aca="false">IF(L340&lt;&gt;"",MAX(16,(L340-J340)+8),"")</f>
        <v>30</v>
      </c>
      <c r="AZ340" s="0" t="n">
        <v>4</v>
      </c>
      <c r="BB340" s="43" t="n">
        <f aca="false">MIN(AB340/150, 1)*30</f>
        <v>7</v>
      </c>
      <c r="BC340" s="43" t="n">
        <f aca="false">MIN(N340/4000, 1)*20</f>
        <v>5</v>
      </c>
      <c r="BD340" s="43" t="n">
        <f aca="false">MIN(Z340/400,1)*20</f>
        <v>8.65</v>
      </c>
      <c r="BE340" s="44" t="n">
        <f aca="false">1-(MAX(J340-1900, 0)/750)</f>
        <v>0.997333333333333</v>
      </c>
      <c r="BF340" s="43" t="n">
        <f aca="false">((MAX($M340,1)*MIN($AJ340/300,1)))*IF(G340="Wagon",50,10)</f>
        <v>0</v>
      </c>
      <c r="BG340" s="43" t="n">
        <f aca="false">VLOOKUP($H340,[2]Constants!$I$1:$K$1048576, 2, FALSE())</f>
        <v>1.15</v>
      </c>
      <c r="BH340" s="43" t="n">
        <f aca="false">VLOOKUP($H340,[2]Constants!$I$1:$K$1048576, 3, FALSE())*IF(AND(G340="multiple_unit",AB340&lt;110),0.75,1)</f>
        <v>1.7</v>
      </c>
      <c r="BI340" s="43" t="n">
        <f aca="false">INT(POWER((([2]Constants!$G$2+$BB340+$BC340+$BD340+$BF340)*$BE340)*$BH340, 1.05))+$BA340</f>
        <v>52</v>
      </c>
      <c r="BJ340" s="43" t="n">
        <f aca="false">INT(POWER(((([2]Constants!$G$1+$BB340+$BC340+$BD340+$BF340)*($BE340))*$BG340),IF($G340="wagon",1,1.2)))+$AZ340</f>
        <v>89</v>
      </c>
      <c r="BK340" s="45" t="n">
        <f aca="false">BI340*IF($G340="wagon",62.5,781.25)</f>
        <v>40625</v>
      </c>
      <c r="BL340" s="45" t="n">
        <f aca="false">BJ340*IF($G340="wagon",2.73,81.25)</f>
        <v>7231.25</v>
      </c>
      <c r="BV340" s="0" t="n">
        <v>3</v>
      </c>
      <c r="CA340" s="46" t="str">
        <f aca="false">VLOOKUP(J340,[2]Eras!$A$2:$C$10, 2, TRUE())</f>
        <v>edw</v>
      </c>
      <c r="CB340" s="0" t="s">
        <v>474</v>
      </c>
      <c r="CC340" s="46" t="str">
        <f aca="false">CONCATENATE(CA340,"_",CB340)</f>
        <v>edw_Express</v>
      </c>
      <c r="CD340" s="46" t="str">
        <f aca="false">_xlfn.CONCAT(H340, "_",I340)</f>
        <v>steam_RAIL</v>
      </c>
      <c r="CE340" s="6" t="str">
        <f aca="false" t="array" ref="CE340:CE340">IF(AN340&lt;&gt;"na", _xlfn.CONCAT("{BLACK}Length: {GOLD}", TEXT(ROUNDUP(IF(AQ340&lt;&gt;"",SUM(VALUE(_xlfn.TEXTSPLIT(AQ340, ","))), SUM(VALUE(_xlfn.TEXTSPLIT(AN340, ",")))*IF(M340, M340, 1))/16, 1),"#,##0.0"), " tiles{}"), "")</f>
        <v>{BLACK}Length: {GOLD}0.5 tiles{}</v>
      </c>
      <c r="CF340" s="46" t="str">
        <f aca="false">VLOOKUP($CD340, [2]Constants!$M$1:$N$1048576, 2, FALSE())</f>
        <v>{BLACK}Powered by: {GOLD}Steam</v>
      </c>
      <c r="CG340" s="46" t="str">
        <f aca="false">IF(AND(L340&gt;1,BN340&lt;&gt;1),_xlfn.CONCAT("{BLACK}Cars: {GOLD}", L340),"")</f>
        <v>{BLACK}Cars: {GOLD}1924</v>
      </c>
      <c r="CH340" s="0" t="s">
        <v>1233</v>
      </c>
      <c r="CI340" s="0" t="str">
        <f aca="false">IF($BU340="!param_no_gameplay_units","{GREEN}Included for gameplay purposes","")</f>
        <v/>
      </c>
      <c r="CJ340" s="0" t="str">
        <f aca="false">IF(BX340="buffet","{YELLOW}25% long distance bonus for consist{}",IF(BY340="DANDY","{YELLOW}Faster downhill speeds for horse-drawn trains (1 required per 2 horses){}",IF(BY340="BRAKE","{YELLOW}Speed bonus for slow wagons{}",IF(BY340="NGPassengers","{YELLOW}Preserved railway bonus: passengers pay more when hauled by old locomotives{}",IF(AND(BW340&gt;190,NOT(AND(I340="NARROW_GAUGE",BY340&lt;&gt;"PASS"))),CONCATENATE("{YELLOW}",INT((BW340-185)/1.85),"% bonus for long distance travel{}"),IF(AND(BW340&lt;180,BW340&lt;&gt;0),CONCATENATE("{YELLOW}",INT((185-BW340)/1.85),"% penalty for long distance travel{}"),""))))))</f>
        <v/>
      </c>
      <c r="CK340" s="0" t="str">
        <f aca="false">_xlfn.CONCAT(CF340,IF(CF340&lt;&gt;""," ",""),CG340,IF(OR(CG340&lt;&gt;"",CF340&lt;&gt;""),"{}",""),CE340,CJ340,"{SILVER}",CH340,IF(CI340&lt;&gt;"","{}{}",""),CI340)</f>
        <v>{BLACK}Powered by: {GOLD}Steam {BLACK}Cars: {GOLD}1924{}{BLACK}Length: {GOLD}0.5 tiles{}{SILVER}GER's prototype Decapod was built to outperform low speed acceleration of electric locomotives, to prevent a rival electric railway being approved by Parliament.</v>
      </c>
    </row>
    <row r="341" customFormat="false" ht="14.25" hidden="false" customHeight="false" outlineLevel="0" collapsed="false">
      <c r="A341" s="48" t="s">
        <v>1234</v>
      </c>
      <c r="B341" s="42" t="s">
        <v>1235</v>
      </c>
      <c r="C341" s="0" t="n">
        <v>1033</v>
      </c>
      <c r="E341" s="0" t="n">
        <v>-1</v>
      </c>
      <c r="F341" s="0" t="s">
        <v>143</v>
      </c>
      <c r="G341" s="0" t="s">
        <v>1222</v>
      </c>
      <c r="T341" s="18"/>
      <c r="AK341" s="16"/>
      <c r="AL341" s="16"/>
      <c r="AN341" s="16" t="e">
        <f aca="false">CONCATENATE(VLOOKUP(AL341,[2]Constants!$A$2:$C$16,IF(AM341&lt;&gt;"", 3, 2), FALSE()),IF(AM341&lt;&gt;"",CONCATENATE(",",VLOOKUP(AM341,$B:$AN,39,FALSE())),""))</f>
        <v>#N/A</v>
      </c>
      <c r="AY341" s="16"/>
      <c r="BB341" s="43"/>
      <c r="BC341" s="43"/>
      <c r="BD341" s="43"/>
      <c r="BE341" s="44"/>
      <c r="BF341" s="43" t="n">
        <f aca="false">((MAX($M341,1)*MIN($AJ341/300,1)))*IF(G341="Wagon",50,10)</f>
        <v>0</v>
      </c>
      <c r="BG341" s="43"/>
      <c r="BH341" s="43"/>
      <c r="BI341" s="43"/>
      <c r="BJ341" s="43"/>
      <c r="BK341" s="45"/>
      <c r="BL341" s="45"/>
      <c r="CA341" s="46" t="s">
        <v>1236</v>
      </c>
      <c r="CB341" s="0" t="s">
        <v>474</v>
      </c>
      <c r="CC341" s="46" t="str">
        <f aca="false">CONCATENATE(CA341,"_",CB341)</f>
        <v>edw_Express</v>
      </c>
      <c r="CD341" s="46" t="str">
        <f aca="false">_xlfn.CONCAT(H341, "_",I341)</f>
        <v>_</v>
      </c>
      <c r="CE341" s="6" t="e">
        <f aca="false" t="array" ref="CE341:CE341">IF(AN341&lt;&gt;"na", _xlfn.CONCAT("{BLACK}Length: {GOLD}", TEXT(ROUNDUP(IF(AQ341&lt;&gt;"",SUM(VALUE(_xlfn.TEXTSPLIT(AQ341, ","))), SUM(VALUE(_xlfn.TEXTSPLIT(AN341, ",")))*IF(M341, M341, 1))/16, 1),"#,##0.0"), " tiles{}"), "")</f>
        <v>#N/A</v>
      </c>
      <c r="CF341" s="46" t="str">
        <f aca="false">VLOOKUP($CD341, [2]Constants!$M$1:$N$1048576, 2, FALSE())</f>
        <v/>
      </c>
      <c r="CG341" s="46"/>
      <c r="CI341" s="0" t="str">
        <f aca="false">IF($BU341="!param_no_gameplay_units","{GREEN}Included for gameplay purposes","")</f>
        <v/>
      </c>
      <c r="CJ341" s="0" t="str">
        <f aca="false">IF(BX341="buffet","{YELLOW}25% long distance bonus for consist{}",IF(BY341="DANDY","{YELLOW}Faster downhill speeds for horse-drawn trains (1 required per 2 horses){}",IF(BY341="BRAKE","{YELLOW}Speed bonus for slow wagons{}",IF(BY341="NGPassengers","{YELLOW}Preserved railway bonus: passengers pay more when hauled by old locomotives{}",IF(AND(BW341&gt;190,NOT(AND(I341="NARROW_GAUGE",BY341&lt;&gt;"PASS"))),CONCATENATE("{YELLOW}",INT((BW341-185)/1.85),"% bonus for long distance travel{}"),IF(AND(BW341&lt;180,BW341&lt;&gt;0),CONCATENATE("{YELLOW}",INT((185-BW341)/1.85),"% penalty for long distance travel{}"),""))))))</f>
        <v/>
      </c>
      <c r="CK341" s="0" t="e">
        <f aca="false">_xlfn.CONCAT(CF341,IF(CF341&lt;&gt;""," ",""),CG341,IF(OR(CG341&lt;&gt;"",CF341&lt;&gt;""),"{}",""),CE341,CJ341,"{SILVER}",CH341,IF(CI341&lt;&gt;"","{}{}",""),CI341)</f>
        <v>#N/A</v>
      </c>
    </row>
    <row r="342" customFormat="false" ht="14.25" hidden="false" customHeight="false" outlineLevel="0" collapsed="false">
      <c r="A342" s="0" t="s">
        <v>1237</v>
      </c>
      <c r="B342" s="42" t="s">
        <v>1238</v>
      </c>
      <c r="C342" s="0" t="n">
        <v>1034</v>
      </c>
      <c r="E342" s="0" t="n">
        <v>14</v>
      </c>
      <c r="F342" s="0" t="s">
        <v>143</v>
      </c>
      <c r="G342" s="0" t="s">
        <v>445</v>
      </c>
      <c r="H342" s="0" t="s">
        <v>446</v>
      </c>
      <c r="I342" s="0" t="s">
        <v>92</v>
      </c>
      <c r="J342" s="0" t="n">
        <v>1908</v>
      </c>
      <c r="L342" s="0" t="n">
        <v>1953</v>
      </c>
      <c r="N342" s="0" t="n">
        <v>1975</v>
      </c>
      <c r="P342" s="2" t="n">
        <v>15</v>
      </c>
      <c r="Q342" s="2" t="n">
        <v>26</v>
      </c>
      <c r="R342" s="2" t="n">
        <v>4</v>
      </c>
      <c r="S342" s="2" t="n">
        <v>225</v>
      </c>
      <c r="T342" s="18" t="n">
        <f aca="false">((($AB342/2)/60)*5280)/($U342*3.2*PI())</f>
        <v>207.656540712966</v>
      </c>
      <c r="U342" s="2" t="n">
        <v>1.37</v>
      </c>
      <c r="V342" s="2" t="n">
        <f aca="false">((($P342*$P342/4)*PI())*($Q342/12)*$R342*$S342*$T342)/(33000*1.1)</f>
        <v>1971.26949236894</v>
      </c>
      <c r="W342" s="0" t="n">
        <v>99</v>
      </c>
      <c r="X342" s="1" t="n">
        <v>46</v>
      </c>
      <c r="Z342" s="0" t="n">
        <v>124</v>
      </c>
      <c r="AA342" s="3" t="n">
        <f aca="false">IF(AND(W342&gt;0,Z342&gt;0),(Z342/((W342+X342)*10)),"")</f>
        <v>0.0855172413793103</v>
      </c>
      <c r="AB342" s="0" t="n">
        <v>65</v>
      </c>
      <c r="AC342" s="0" t="n">
        <f aca="false">ROUND(AB342*1.6, 0)</f>
        <v>104</v>
      </c>
      <c r="AF342" s="0" t="n">
        <v>23</v>
      </c>
      <c r="AG342" s="0" t="n">
        <v>14</v>
      </c>
      <c r="AK342" s="16" t="str">
        <f aca="false">CONCATENATE(VLOOKUP(AL342, '[2]Voxel Sizes'!$A$2:$B$18,2,FALSE()),"x",INT(AH342*15), "x", INT(AI342*15))</f>
        <v>136x0x0</v>
      </c>
      <c r="AL342" s="16" t="n">
        <f aca="false">ROUND(15*((AG342*10)/256),0)</f>
        <v>8</v>
      </c>
      <c r="AM342" s="0" t="s">
        <v>114</v>
      </c>
      <c r="AN342" s="16" t="str">
        <f aca="false">CONCATENATE(VLOOKUP(AL342,[2]Constants!$A$2:$C$16,IF(AM342&lt;&gt;"", 3, 2), FALSE()),IF(AM342&lt;&gt;"",CONCATENATE(",",VLOOKUP(AM342,$B:$AN,39,FALSE())),""))</f>
        <v>2,4,2,2,1,2</v>
      </c>
      <c r="AV342" s="0" t="n">
        <v>1</v>
      </c>
      <c r="AX342" s="0" t="n">
        <v>26</v>
      </c>
      <c r="AY342" s="16" t="n">
        <f aca="false">IF(L342&lt;&gt;"",MAX(16,(L342-J342)+8),"")</f>
        <v>53</v>
      </c>
      <c r="AZ342" s="0" t="n">
        <v>10</v>
      </c>
      <c r="BA342" s="0" t="n">
        <v>10</v>
      </c>
      <c r="BB342" s="43" t="n">
        <f aca="false">MIN(AB342/150, 1)*30</f>
        <v>13</v>
      </c>
      <c r="BC342" s="43" t="n">
        <f aca="false">MIN(N342/4000, 1)*20</f>
        <v>9.875</v>
      </c>
      <c r="BD342" s="43" t="n">
        <f aca="false">MIN(Z342/400,1)*20</f>
        <v>6.2</v>
      </c>
      <c r="BE342" s="44" t="n">
        <f aca="false">1-(MAX(J342-1900, 0)/750)</f>
        <v>0.989333333333333</v>
      </c>
      <c r="BF342" s="43" t="n">
        <f aca="false">((MAX($M342,1)*MIN($AJ342/300,1)))*IF(G342="Wagon",50,10)</f>
        <v>0</v>
      </c>
      <c r="BG342" s="43" t="n">
        <f aca="false">VLOOKUP($H342,[2]Constants!$I$1:$K$1048576, 2, FALSE())</f>
        <v>1.15</v>
      </c>
      <c r="BH342" s="43" t="n">
        <f aca="false">VLOOKUP($H342,[2]Constants!$I$1:$K$1048576, 3, FALSE())*IF(AND(G342="multiple_unit",AB342&lt;110),0.75,1)</f>
        <v>1.7</v>
      </c>
      <c r="BI342" s="43" t="n">
        <f aca="false">INT(POWER((([2]Constants!$G$2+$BB342+$BC342+$BD342+$BF342)*$BE342)*$BH342, 1.05))+$BA342</f>
        <v>80</v>
      </c>
      <c r="BJ342" s="43" t="n">
        <f aca="false">INT(POWER(((([2]Constants!$G$1+$BB342+$BC342+$BD342+$BF342)*($BE342))*$BG342),IF($G342="wagon",1,1.2)))+$AZ342</f>
        <v>119</v>
      </c>
      <c r="BK342" s="45" t="n">
        <f aca="false">BI342*IF($G342="wagon",62.5,781.25)</f>
        <v>62500</v>
      </c>
      <c r="BL342" s="45" t="n">
        <f aca="false">BJ342*IF($G342="wagon",2.73,81.25)</f>
        <v>9668.75</v>
      </c>
      <c r="BV342" s="0" t="n">
        <v>2</v>
      </c>
      <c r="CA342" s="46" t="s">
        <v>1236</v>
      </c>
      <c r="CB342" s="0" t="s">
        <v>474</v>
      </c>
      <c r="CC342" s="46" t="str">
        <f aca="false">CONCATENATE(CA342,"_",CB342)</f>
        <v>edw_Express</v>
      </c>
      <c r="CD342" s="46" t="str">
        <f aca="false">_xlfn.CONCAT(H342, "_",I342)</f>
        <v>steam_RAIL</v>
      </c>
      <c r="CE342" s="6" t="str">
        <f aca="false" t="array" ref="CE342:CE342">IF(AN342&lt;&gt;"na", _xlfn.CONCAT("{BLACK}Length: {GOLD}", TEXT(ROUNDUP(IF(AQ342&lt;&gt;"",SUM(VALUE(_xlfn.TEXTSPLIT(AQ342, ","))), SUM(VALUE(_xlfn.TEXTSPLIT(AN342, ",")))*IF(M342, M342, 1))/16, 1),"#,##0.0"), " tiles{}"), "")</f>
        <v>{BLACK}Length: {GOLD}0.9 tiles{}</v>
      </c>
      <c r="CF342" s="46" t="str">
        <f aca="false">VLOOKUP($CD342, [2]Constants!$M$1:$N$1048576, 2, FALSE())</f>
        <v>{BLACK}Powered by: {GOLD}Steam</v>
      </c>
      <c r="CG342" s="46" t="str">
        <f aca="false">IF(AND(L342&gt;1,BN342&lt;&gt;1),_xlfn.CONCAT("{BLACK}Cars: {GOLD}", L342),"")</f>
        <v>{BLACK}Cars: {GOLD}1953</v>
      </c>
      <c r="CH342" s="0" t="s">
        <v>1239</v>
      </c>
      <c r="CI342" s="0" t="str">
        <f aca="false">IF($BU342="!param_no_gameplay_units","{GREEN}Included for gameplay purposes","")</f>
        <v/>
      </c>
      <c r="CJ342" s="0" t="str">
        <f aca="false">IF(BX342="buffet","{YELLOW}25% long distance bonus for consist{}",IF(BY342="DANDY","{YELLOW}Faster downhill speeds for horse-drawn trains (1 required per 2 horses){}",IF(BY342="BRAKE","{YELLOW}Speed bonus for slow wagons{}",IF(BY342="NGPassengers","{YELLOW}Preserved railway bonus: passengers pay more when hauled by old locomotives{}",IF(AND(BW342&gt;190,NOT(AND(I342="NARROW_GAUGE",BY342&lt;&gt;"PASS"))),CONCATENATE("{YELLOW}",INT((BW342-185)/1.85),"% bonus for long distance travel{}"),IF(AND(BW342&lt;180,BW342&lt;&gt;0),CONCATENATE("{YELLOW}",INT((185-BW342)/1.85),"% penalty for long distance travel{}"),""))))))</f>
        <v/>
      </c>
      <c r="CK342" s="0" t="str">
        <f aca="false">_xlfn.CONCAT(CF342,IF(CF342&lt;&gt;""," ",""),CG342,IF(OR(CG342&lt;&gt;"",CF342&lt;&gt;""),"{}",""),CE342,CJ342,"{SILVER}",CH342,IF(CI342&lt;&gt;"","{}{}",""),CI342)</f>
        <v>{BLACK}Powered by: {GOLD}Steam {BLACK}Cars: {GOLD}1953{}{BLACK}Length: {GOLD}0.9 tiles{}{SILVER}The Great Bear was a single locomotive, the first 4-6-2 "Pacific" type built in the UK, which served as the GWR's flagship until 1922 despite disappointing performance and low route availability.</v>
      </c>
    </row>
    <row r="343" customFormat="false" ht="14.25" hidden="false" customHeight="false" outlineLevel="0" collapsed="false">
      <c r="A343" s="0" t="s">
        <v>1240</v>
      </c>
      <c r="B343" s="42" t="s">
        <v>1241</v>
      </c>
      <c r="C343" s="0" t="n">
        <v>1035</v>
      </c>
      <c r="E343" s="0" t="n">
        <v>15</v>
      </c>
      <c r="F343" s="0" t="s">
        <v>143</v>
      </c>
      <c r="G343" s="0" t="s">
        <v>445</v>
      </c>
      <c r="H343" s="0" t="s">
        <v>446</v>
      </c>
      <c r="I343" s="0" t="s">
        <v>92</v>
      </c>
      <c r="J343" s="0" t="n">
        <v>1913</v>
      </c>
      <c r="L343" s="0" t="n">
        <v>1949</v>
      </c>
      <c r="N343" s="0" t="n">
        <v>1600</v>
      </c>
      <c r="P343" s="2" t="n">
        <v>15.75</v>
      </c>
      <c r="Q343" s="2" t="n">
        <v>26</v>
      </c>
      <c r="R343" s="2" t="n">
        <v>4</v>
      </c>
      <c r="S343" s="2" t="n">
        <v>175</v>
      </c>
      <c r="T343" s="18" t="n">
        <f aca="false">((($AB343/2)/60)*5280)/($U343*3.2*PI())</f>
        <v>177.205442735244</v>
      </c>
      <c r="U343" s="2" t="n">
        <v>2.05</v>
      </c>
      <c r="V343" s="2" t="n">
        <f aca="false">((($P343*$P343/4)*PI())*($Q343/12)*$R343*$S343*$T343)/(33000*1.1)</f>
        <v>1442.48588206763</v>
      </c>
      <c r="W343" s="0" t="n">
        <v>79</v>
      </c>
      <c r="X343" s="1" t="n">
        <v>35</v>
      </c>
      <c r="Y343" s="0" t="n">
        <v>5</v>
      </c>
      <c r="Z343" s="0" t="n">
        <v>120</v>
      </c>
      <c r="AA343" s="3" t="n">
        <f aca="false">IF(AND(W343&gt;0,Z343&gt;0),(Z343/((W343+X343)*10)),"")</f>
        <v>0.105263157894737</v>
      </c>
      <c r="AB343" s="0" t="n">
        <v>83</v>
      </c>
      <c r="AC343" s="0" t="n">
        <f aca="false">ROUND(AB343*1.6, 0)</f>
        <v>133</v>
      </c>
      <c r="AF343" s="0" t="n">
        <v>12</v>
      </c>
      <c r="AG343" s="0" t="n">
        <v>12</v>
      </c>
      <c r="AK343" s="16" t="str">
        <f aca="false">CONCATENATE(VLOOKUP(AL343, '[2]Voxel Sizes'!$A$2:$B$18,2,FALSE()),"x",INT(AH343*15), "x", INT(AI343*15))</f>
        <v>120x0x0</v>
      </c>
      <c r="AL343" s="16" t="n">
        <f aca="false">ROUND(15*((AG343*10)/256),0)</f>
        <v>7</v>
      </c>
      <c r="AM343" s="0" t="s">
        <v>1159</v>
      </c>
      <c r="AN343" s="16" t="str">
        <f aca="false">CONCATENATE(VLOOKUP(AL343,[2]Constants!$A$2:$C$16,IF(AM343&lt;&gt;"", 3, 2), FALSE()),IF(AM343&lt;&gt;"",CONCATENATE(",",VLOOKUP(AM343,$B:$AN,39,FALSE())),""))</f>
        <v>2,3,2,2,1,2</v>
      </c>
      <c r="AV343" s="0" t="n">
        <v>1</v>
      </c>
      <c r="AX343" s="0" t="n">
        <v>26</v>
      </c>
      <c r="AY343" s="16" t="n">
        <f aca="false">IF(L343&lt;&gt;"",MAX(16,(L343-J343)+8),"")</f>
        <v>44</v>
      </c>
      <c r="AZ343" s="0" t="n">
        <v>3</v>
      </c>
      <c r="BB343" s="43" t="n">
        <f aca="false">MIN(AB343/150, 1)*30</f>
        <v>16.6</v>
      </c>
      <c r="BC343" s="43" t="n">
        <f aca="false">MIN(N343/4000, 1)*20</f>
        <v>8</v>
      </c>
      <c r="BD343" s="43" t="n">
        <f aca="false">MIN(Z343/400,1)*20</f>
        <v>6</v>
      </c>
      <c r="BE343" s="44" t="n">
        <f aca="false">1-(MAX(J343-1900, 0)/750)</f>
        <v>0.982666666666667</v>
      </c>
      <c r="BF343" s="43" t="n">
        <f aca="false">((MAX($M343,1)*MIN($AJ343/300,1)))*IF(G343="Wagon",50,10)</f>
        <v>0</v>
      </c>
      <c r="BG343" s="43" t="n">
        <f aca="false">VLOOKUP($H343,[2]Constants!$I$1:$K$1048576, 2, FALSE())</f>
        <v>1.15</v>
      </c>
      <c r="BH343" s="43" t="n">
        <f aca="false">VLOOKUP($H343,[2]Constants!$I$1:$K$1048576, 3, FALSE())*IF(AND(G343="multiple_unit",AB343&lt;110),0.75,1)</f>
        <v>1.7</v>
      </c>
      <c r="BI343" s="43" t="n">
        <f aca="false">INT(POWER((([2]Constants!$G$2+$BB343+$BC343+$BD343+$BF343)*$BE343)*$BH343, 1.05))+$BA343</f>
        <v>72</v>
      </c>
      <c r="BJ343" s="43" t="n">
        <f aca="false">INT(POWER(((([2]Constants!$G$1+$BB343+$BC343+$BD343+$BF343)*($BE343))*$BG343),IF($G343="wagon",1,1.2)))+$AZ343</f>
        <v>116</v>
      </c>
      <c r="BK343" s="45" t="n">
        <f aca="false">BI343*IF($G343="wagon",62.5,781.25)</f>
        <v>56250</v>
      </c>
      <c r="BL343" s="45" t="n">
        <f aca="false">BJ343*IF($G343="wagon",2.73,81.25)</f>
        <v>9425</v>
      </c>
      <c r="BV343" s="0" t="n">
        <v>3</v>
      </c>
      <c r="CA343" s="46" t="str">
        <f aca="false">VLOOKUP(J343,[2]Eras!$A$2:$C$10, 2, TRUE())</f>
        <v>edw</v>
      </c>
      <c r="CB343" s="0" t="s">
        <v>474</v>
      </c>
      <c r="CC343" s="46" t="str">
        <f aca="false">CONCATENATE(CA343,"_",CB343)</f>
        <v>edw_Express</v>
      </c>
      <c r="CD343" s="46" t="str">
        <f aca="false">_xlfn.CONCAT(H343, "_",I343)</f>
        <v>steam_RAIL</v>
      </c>
      <c r="CE343" s="6" t="str">
        <f aca="false" t="array" ref="CE343:CE343">IF(AN343&lt;&gt;"na", _xlfn.CONCAT("{BLACK}Length: {GOLD}", TEXT(ROUNDUP(IF(AQ343&lt;&gt;"",SUM(VALUE(_xlfn.TEXTSPLIT(AQ343, ","))), SUM(VALUE(_xlfn.TEXTSPLIT(AN343, ",")))*IF(M343, M343, 1))/16, 1),"#,##0.0"), " tiles{}"), "")</f>
        <v>{BLACK}Length: {GOLD}0.8 tiles{}</v>
      </c>
      <c r="CF343" s="46" t="str">
        <f aca="false">VLOOKUP($CD343, [2]Constants!$M$1:$N$1048576, 2, FALSE())</f>
        <v>{BLACK}Powered by: {GOLD}Steam</v>
      </c>
      <c r="CG343" s="46" t="str">
        <f aca="false">IF(AND(L343&gt;1,BN343&lt;&gt;1),_xlfn.CONCAT("{BLACK}Cars: {GOLD}", L343),"")</f>
        <v>{BLACK}Cars: {GOLD}1949</v>
      </c>
      <c r="CH343" s="0" t="s">
        <v>1242</v>
      </c>
      <c r="CI343" s="0" t="str">
        <f aca="false">IF($BU343="!param_no_gameplay_units","{GREEN}Included for gameplay purposes","")</f>
        <v/>
      </c>
      <c r="CJ343" s="0" t="str">
        <f aca="false">IF(BX343="buffet","{YELLOW}25% long distance bonus for consist{}",IF(BY343="DANDY","{YELLOW}Faster downhill speeds for horse-drawn trains (1 required per 2 horses){}",IF(BY343="BRAKE","{YELLOW}Speed bonus for slow wagons{}",IF(BY343="NGPassengers","{YELLOW}Preserved railway bonus: passengers pay more when hauled by old locomotives{}",IF(AND(BW343&gt;190,NOT(AND(I343="NARROW_GAUGE",BY343&lt;&gt;"PASS"))),CONCATENATE("{YELLOW}",INT((BW343-185)/1.85),"% bonus for long distance travel{}"),IF(AND(BW343&lt;180,BW343&lt;&gt;0),CONCATENATE("{YELLOW}",INT((185-BW343)/1.85),"% penalty for long distance travel{}"),""))))))</f>
        <v/>
      </c>
      <c r="CK343" s="0" t="str">
        <f aca="false">_xlfn.CONCAT(CF343,IF(CF343&lt;&gt;""," ",""),CG343,IF(OR(CG343&lt;&gt;"",CF343&lt;&gt;""),"{}",""),CE343,CJ343,"{SILVER}",CH343,IF(CI343&lt;&gt;"","{}{}",""),CI343)</f>
        <v>{BLACK}Powered by: {GOLD}Steam {BLACK}Cars: {GOLD}1949{}{BLACK}Length: {GOLD}0.8 tiles{}{SILVER}The Claughton Class, named after the LNWR's chairman at the time, was unfortunately compromised by the Crewe works being unable to build a large boiler.</v>
      </c>
    </row>
    <row r="344" customFormat="false" ht="14.25" hidden="false" customHeight="false" outlineLevel="0" collapsed="false">
      <c r="A344" s="0" t="s">
        <v>1243</v>
      </c>
      <c r="B344" s="42" t="s">
        <v>1244</v>
      </c>
      <c r="C344" s="0" t="n">
        <v>1036</v>
      </c>
      <c r="E344" s="0" t="n">
        <v>16</v>
      </c>
      <c r="F344" s="0" t="s">
        <v>143</v>
      </c>
      <c r="G344" s="0" t="s">
        <v>445</v>
      </c>
      <c r="H344" s="0" t="s">
        <v>446</v>
      </c>
      <c r="I344" s="0" t="s">
        <v>92</v>
      </c>
      <c r="J344" s="0" t="n">
        <v>1917</v>
      </c>
      <c r="L344" s="0" t="n">
        <v>1949</v>
      </c>
      <c r="N344" s="0" t="n">
        <v>1650</v>
      </c>
      <c r="P344" s="2" t="n">
        <v>16</v>
      </c>
      <c r="Q344" s="2" t="n">
        <v>26</v>
      </c>
      <c r="R344" s="2" t="n">
        <v>4</v>
      </c>
      <c r="S344" s="2" t="n">
        <v>180</v>
      </c>
      <c r="T344" s="18" t="n">
        <f aca="false">((($AB344/2)/60)*5280)/($U344*3.2*PI())</f>
        <v>191.217710753612</v>
      </c>
      <c r="U344" s="2" t="n">
        <v>2.06</v>
      </c>
      <c r="V344" s="2" t="n">
        <f aca="false">((($P344*$P344/4)*PI())*($Q344/12)*$R344*$S344*$T344)/(33000*1.1)</f>
        <v>1652.2506619594</v>
      </c>
      <c r="W344" s="0" t="n">
        <v>86</v>
      </c>
      <c r="X344" s="1" t="n">
        <v>35</v>
      </c>
      <c r="Y344" s="0" t="n">
        <v>5</v>
      </c>
      <c r="Z344" s="0" t="n">
        <v>112</v>
      </c>
      <c r="AA344" s="3" t="n">
        <f aca="false">IF(AND(W344&gt;0,Z344&gt;0),(Z344/((W344+X344)*10)),"")</f>
        <v>0.0925619834710744</v>
      </c>
      <c r="AB344" s="0" t="n">
        <v>90</v>
      </c>
      <c r="AC344" s="0" t="n">
        <f aca="false">ROUND(AB344*1.6, 0)</f>
        <v>144</v>
      </c>
      <c r="AF344" s="0" t="n">
        <v>12</v>
      </c>
      <c r="AG344" s="0" t="n">
        <v>12</v>
      </c>
      <c r="AK344" s="16" t="str">
        <f aca="false">CONCATENATE(VLOOKUP(AL344, '[2]Voxel Sizes'!$A$2:$B$18,2,FALSE()),"x",INT(AH344*15), "x", INT(AI344*15))</f>
        <v>120x0x0</v>
      </c>
      <c r="AL344" s="16" t="n">
        <f aca="false">ROUND(15*((AG344*10)/256),0)</f>
        <v>7</v>
      </c>
      <c r="AM344" s="0" t="s">
        <v>1161</v>
      </c>
      <c r="AN344" s="16" t="str">
        <f aca="false">CONCATENATE(VLOOKUP(AL344,[2]Constants!$A$2:$C$16,IF(AM344&lt;&gt;"", 3, 2), FALSE()),IF(AM344&lt;&gt;"",CONCATENATE(",",VLOOKUP(AM344,$B:$AN,39,FALSE())),""))</f>
        <v>2,3,2,2,1,2</v>
      </c>
      <c r="AV344" s="0" t="n">
        <v>1</v>
      </c>
      <c r="AX344" s="0" t="n">
        <v>27</v>
      </c>
      <c r="AY344" s="16" t="n">
        <f aca="false">IF(L344&lt;&gt;"",MAX(16,(L344-J344)+8),"")</f>
        <v>40</v>
      </c>
      <c r="AZ344" s="0" t="n">
        <v>7</v>
      </c>
      <c r="BA344" s="0" t="n">
        <v>4</v>
      </c>
      <c r="BB344" s="43" t="n">
        <f aca="false">MIN(AB344/150, 1)*30</f>
        <v>18</v>
      </c>
      <c r="BC344" s="43" t="n">
        <f aca="false">MIN(N344/4000, 1)*20</f>
        <v>8.25</v>
      </c>
      <c r="BD344" s="43" t="n">
        <f aca="false">MIN(Z344/400,1)*20</f>
        <v>5.6</v>
      </c>
      <c r="BE344" s="44" t="n">
        <f aca="false">1-(MAX(J344-1900, 0)/750)</f>
        <v>0.977333333333333</v>
      </c>
      <c r="BF344" s="43" t="n">
        <f aca="false">((MAX($M344,1)*MIN($AJ344/300,1)))*IF(G344="Wagon",50,10)</f>
        <v>0</v>
      </c>
      <c r="BG344" s="43" t="n">
        <f aca="false">VLOOKUP($H344,[2]Constants!$I$1:$K$1048576, 2, FALSE())</f>
        <v>1.15</v>
      </c>
      <c r="BH344" s="43" t="n">
        <f aca="false">VLOOKUP($H344,[2]Constants!$I$1:$K$1048576, 3, FALSE())*IF(AND(G344="multiple_unit",AB344&lt;110),0.75,1)</f>
        <v>1.7</v>
      </c>
      <c r="BI344" s="43" t="n">
        <f aca="false">INT(POWER((([2]Constants!$G$2+$BB344+$BC344+$BD344+$BF344)*$BE344)*$BH344, 1.05))+$BA344</f>
        <v>79</v>
      </c>
      <c r="BJ344" s="43" t="n">
        <f aca="false">INT(POWER(((([2]Constants!$G$1+$BB344+$BC344+$BD344+$BF344)*($BE344))*$BG344),IF($G344="wagon",1,1.2)))+$AZ344</f>
        <v>123</v>
      </c>
      <c r="BK344" s="45" t="n">
        <f aca="false">BI344*IF($G344="wagon",62.5,781.25)</f>
        <v>61718.75</v>
      </c>
      <c r="BL344" s="45" t="n">
        <f aca="false">BJ344*IF($G344="wagon",2.73,81.25)</f>
        <v>9993.75</v>
      </c>
      <c r="BV344" s="0" t="n">
        <v>3</v>
      </c>
      <c r="CA344" s="46" t="str">
        <f aca="false">VLOOKUP(J344,[2]Eras!$A$2:$C$10, 2, TRUE())</f>
        <v>edw</v>
      </c>
      <c r="CB344" s="0" t="s">
        <v>474</v>
      </c>
      <c r="CC344" s="46" t="str">
        <f aca="false">CONCATENATE(CA344,"_",CB344)</f>
        <v>edw_Express</v>
      </c>
      <c r="CD344" s="46" t="str">
        <f aca="false">_xlfn.CONCAT(H344, "_",I344)</f>
        <v>steam_RAIL</v>
      </c>
      <c r="CE344" s="6" t="str">
        <f aca="false" t="array" ref="CE344:CE344">IF(AN344&lt;&gt;"na", _xlfn.CONCAT("{BLACK}Length: {GOLD}", TEXT(ROUNDUP(IF(AQ344&lt;&gt;"",SUM(VALUE(_xlfn.TEXTSPLIT(AQ344, ","))), SUM(VALUE(_xlfn.TEXTSPLIT(AN344, ",")))*IF(M344, M344, 1))/16, 1),"#,##0.0"), " tiles{}"), "")</f>
        <v>{BLACK}Length: {GOLD}0.8 tiles{}</v>
      </c>
      <c r="CF344" s="46" t="str">
        <f aca="false">VLOOKUP($CD344, [2]Constants!$M$1:$N$1048576, 2, FALSE())</f>
        <v>{BLACK}Powered by: {GOLD}Steam</v>
      </c>
      <c r="CG344" s="46" t="str">
        <f aca="false">IF(AND(L344&gt;1,BN344&lt;&gt;1),_xlfn.CONCAT("{BLACK}Cars: {GOLD}", L344),"")</f>
        <v>{BLACK}Cars: {GOLD}1949</v>
      </c>
      <c r="CH344" s="0" t="s">
        <v>1245</v>
      </c>
      <c r="CI344" s="0" t="str">
        <f aca="false">IF($BU344="!param_no_gameplay_units","{GREEN}Included for gameplay purposes","")</f>
        <v/>
      </c>
      <c r="CJ344" s="0" t="str">
        <f aca="false">IF(BX344="buffet","{YELLOW}25% long distance bonus for consist{}",IF(BY344="DANDY","{YELLOW}Faster downhill speeds for horse-drawn trains (1 required per 2 horses){}",IF(BY344="BRAKE","{YELLOW}Speed bonus for slow wagons{}",IF(BY344="NGPassengers","{YELLOW}Preserved railway bonus: passengers pay more when hauled by old locomotives{}",IF(AND(BW344&gt;190,NOT(AND(I344="NARROW_GAUGE",BY344&lt;&gt;"PASS"))),CONCATENATE("{YELLOW}",INT((BW344-185)/1.85),"% bonus for long distance travel{}"),IF(AND(BW344&lt;180,BW344&lt;&gt;0),CONCATENATE("{YELLOW}",INT((185-BW344)/1.85),"% penalty for long distance travel{}"),""))))))</f>
        <v/>
      </c>
      <c r="CK344" s="0" t="str">
        <f aca="false">_xlfn.CONCAT(CF344,IF(CF344&lt;&gt;""," ",""),CG344,IF(OR(CG344&lt;&gt;"",CF344&lt;&gt;""),"{}",""),CE344,CJ344,"{SILVER}",CH344,IF(CI344&lt;&gt;"","{}{}",""),CI344)</f>
        <v>{BLACK}Powered by: {GOLD}Steam {BLACK}Cars: {GOLD}1949{}{BLACK}Length: {GOLD}0.8 tiles{}{SILVER}Robinson's 9P was a four-cylinder express locotive introduced toward the end of his time at the GCR. Early versions suffered from high coal consumption due to narrow steam passages.</v>
      </c>
    </row>
    <row r="345" customFormat="false" ht="14.25" hidden="false" customHeight="false" outlineLevel="0" collapsed="false">
      <c r="A345" s="0" t="s">
        <v>1246</v>
      </c>
      <c r="B345" s="42" t="s">
        <v>1247</v>
      </c>
      <c r="C345" s="0" t="n">
        <v>1037</v>
      </c>
      <c r="E345" s="0" t="n">
        <v>17</v>
      </c>
      <c r="F345" s="0" t="s">
        <v>143</v>
      </c>
      <c r="G345" s="0" t="s">
        <v>445</v>
      </c>
      <c r="H345" s="0" t="s">
        <v>446</v>
      </c>
      <c r="I345" s="0" t="s">
        <v>92</v>
      </c>
      <c r="J345" s="0" t="n">
        <v>1921</v>
      </c>
      <c r="L345" s="0" t="n">
        <v>1950</v>
      </c>
      <c r="N345" s="0" t="n">
        <v>1650</v>
      </c>
      <c r="P345" s="2" t="n">
        <v>16</v>
      </c>
      <c r="Q345" s="2" t="n">
        <v>26</v>
      </c>
      <c r="R345" s="2" t="n">
        <v>4</v>
      </c>
      <c r="S345" s="2" t="n">
        <v>180</v>
      </c>
      <c r="T345" s="18" t="n">
        <f aca="false">((($AB345/2)/60)*5280)/($U345*3.2*PI())</f>
        <v>165.400849288816</v>
      </c>
      <c r="U345" s="2" t="n">
        <v>1.72</v>
      </c>
      <c r="V345" s="2" t="n">
        <f aca="false">((($P345*$P345/4)*PI())*($Q345/12)*$R345*$S345*$T345)/(33000*1.1)</f>
        <v>1429.1754756871</v>
      </c>
      <c r="W345" s="0" t="n">
        <v>94</v>
      </c>
      <c r="X345" s="1" t="n">
        <v>35</v>
      </c>
      <c r="Y345" s="0" t="n">
        <v>5</v>
      </c>
      <c r="Z345" s="0" t="n">
        <v>133</v>
      </c>
      <c r="AA345" s="3" t="n">
        <f aca="false">IF(AND(W345&gt;0,Z345&gt;0),(Z345/((W345+X345)*10)),"")</f>
        <v>0.103100775193798</v>
      </c>
      <c r="AB345" s="0" t="n">
        <v>65</v>
      </c>
      <c r="AC345" s="0" t="n">
        <f aca="false">ROUND(AB345*1.6, 0)</f>
        <v>104</v>
      </c>
      <c r="AF345" s="0" t="n">
        <v>12</v>
      </c>
      <c r="AG345" s="0" t="n">
        <v>12</v>
      </c>
      <c r="AK345" s="16" t="str">
        <f aca="false">CONCATENATE(VLOOKUP(AL345, '[2]Voxel Sizes'!$A$2:$B$18,2,FALSE()),"x",INT(AH345*15), "x", INT(AI345*15))</f>
        <v>120x0x0</v>
      </c>
      <c r="AL345" s="16" t="n">
        <f aca="false">ROUND(15*((AG345*10)/256),0)</f>
        <v>7</v>
      </c>
      <c r="AM345" s="0" t="s">
        <v>1161</v>
      </c>
      <c r="AN345" s="16" t="str">
        <f aca="false">CONCATENATE(VLOOKUP(AL345,[2]Constants!$A$2:$C$16,IF(AM345&lt;&gt;"", 3, 2), FALSE()),IF(AM345&lt;&gt;"",CONCATENATE(",",VLOOKUP(AM345,$B:$AN,39,FALSE())),""))</f>
        <v>2,3,2,2,1,2</v>
      </c>
      <c r="AV345" s="0" t="n">
        <v>1</v>
      </c>
      <c r="AX345" s="0" t="n">
        <v>26</v>
      </c>
      <c r="AY345" s="16" t="n">
        <f aca="false">IF(L345&lt;&gt;"",MAX(16,(L345-J345)+8),"")</f>
        <v>37</v>
      </c>
      <c r="AZ345" s="0" t="n">
        <v>14</v>
      </c>
      <c r="BA345" s="0" t="n">
        <v>11</v>
      </c>
      <c r="BB345" s="43" t="n">
        <f aca="false">MIN(AB345/150, 1)*30</f>
        <v>13</v>
      </c>
      <c r="BC345" s="43" t="n">
        <f aca="false">MIN(N345/4000, 1)*20</f>
        <v>8.25</v>
      </c>
      <c r="BD345" s="43" t="n">
        <f aca="false">MIN(Z345/400,1)*20</f>
        <v>6.65</v>
      </c>
      <c r="BE345" s="44" t="n">
        <f aca="false">1-(MAX(J345-1900, 0)/750)</f>
        <v>0.972</v>
      </c>
      <c r="BF345" s="43" t="n">
        <f aca="false">((MAX($M345,1)*MIN($AJ345/300,1)))*IF(G345="Wagon",50,10)</f>
        <v>0</v>
      </c>
      <c r="BG345" s="43" t="n">
        <f aca="false">VLOOKUP($H345,[2]Constants!$I$1:$K$1048576, 2, FALSE())</f>
        <v>1.15</v>
      </c>
      <c r="BH345" s="43" t="n">
        <f aca="false">VLOOKUP($H345,[2]Constants!$I$1:$K$1048576, 3, FALSE())*IF(AND(G345="multiple_unit",AB345&lt;110),0.75,1)</f>
        <v>1.7</v>
      </c>
      <c r="BI345" s="43" t="n">
        <f aca="false">INT(POWER((([2]Constants!$G$2+$BB345+$BC345+$BD345+$BF345)*$BE345)*$BH345, 1.05))+$BA345</f>
        <v>77</v>
      </c>
      <c r="BJ345" s="43" t="n">
        <f aca="false">INT(POWER(((([2]Constants!$G$1+$BB345+$BC345+$BD345+$BF345)*($BE345))*$BG345),IF($G345="wagon",1,1.2)))+$AZ345</f>
        <v>117</v>
      </c>
      <c r="BK345" s="45" t="n">
        <f aca="false">BI345*IF($G345="wagon",62.5,781.25)</f>
        <v>60156.25</v>
      </c>
      <c r="BL345" s="45" t="n">
        <f aca="false">BJ345*IF($G345="wagon",2.73,81.25)</f>
        <v>9506.25</v>
      </c>
      <c r="BV345" s="0" t="n">
        <v>3</v>
      </c>
      <c r="CA345" s="46" t="str">
        <f aca="false">VLOOKUP(J345,[2]Eras!$A$2:$C$10, 2, TRUE())</f>
        <v>edw</v>
      </c>
      <c r="CB345" s="0" t="s">
        <v>474</v>
      </c>
      <c r="CC345" s="46" t="str">
        <f aca="false">CONCATENATE(CA345,"_",CB345)</f>
        <v>edw_Express</v>
      </c>
      <c r="CD345" s="46" t="str">
        <f aca="false">_xlfn.CONCAT(H345, "_",I345)</f>
        <v>steam_RAIL</v>
      </c>
      <c r="CE345" s="6" t="str">
        <f aca="false" t="array" ref="CE345:CE345">IF(AN345&lt;&gt;"na", _xlfn.CONCAT("{BLACK}Length: {GOLD}", TEXT(ROUNDUP(IF(AQ345&lt;&gt;"",SUM(VALUE(_xlfn.TEXTSPLIT(AQ345, ","))), SUM(VALUE(_xlfn.TEXTSPLIT(AN345, ",")))*IF(M345, M345, 1))/16, 1),"#,##0.0"), " tiles{}"), "")</f>
        <v>{BLACK}Length: {GOLD}0.8 tiles{}</v>
      </c>
      <c r="CF345" s="46" t="str">
        <f aca="false">VLOOKUP($CD345, [2]Constants!$M$1:$N$1048576, 2, FALSE())</f>
        <v>{BLACK}Powered by: {GOLD}Steam</v>
      </c>
      <c r="CG345" s="46" t="str">
        <f aca="false">IF(AND(L345&gt;1,BN345&lt;&gt;1),_xlfn.CONCAT("{BLACK}Cars: {GOLD}", L345),"")</f>
        <v>{BLACK}Cars: {GOLD}1950</v>
      </c>
      <c r="CH345" s="0" t="s">
        <v>1248</v>
      </c>
      <c r="CI345" s="0" t="str">
        <f aca="false">IF($BU345="!param_no_gameplay_units","{GREEN}Included for gameplay purposes","")</f>
        <v/>
      </c>
      <c r="CJ345" s="0" t="str">
        <f aca="false">IF(BX345="buffet","{YELLOW}25% long distance bonus for consist{}",IF(BY345="DANDY","{YELLOW}Faster downhill speeds for horse-drawn trains (1 required per 2 horses){}",IF(BY345="BRAKE","{YELLOW}Speed bonus for slow wagons{}",IF(BY345="NGPassengers","{YELLOW}Preserved railway bonus: passengers pay more when hauled by old locomotives{}",IF(AND(BW345&gt;190,NOT(AND(I345="NARROW_GAUGE",BY345&lt;&gt;"PASS"))),CONCATENATE("{YELLOW}",INT((BW345-185)/1.85),"% bonus for long distance travel{}"),IF(AND(BW345&lt;180,BW345&lt;&gt;0),CONCATENATE("{YELLOW}",INT((185-BW345)/1.85),"% penalty for long distance travel{}"),""))))))</f>
        <v/>
      </c>
      <c r="CK345" s="0" t="str">
        <f aca="false">_xlfn.CONCAT(CF345,IF(CF345&lt;&gt;""," ",""),CG345,IF(OR(CG345&lt;&gt;"",CF345&lt;&gt;""),"{}",""),CE345,CJ345,"{SILVER}",CH345,IF(CI345&lt;&gt;"","{}{}",""),CI345)</f>
        <v>{BLACK}Powered by: {GOLD}Steam {BLACK}Cars: {GOLD}1950{}{BLACK}Length: {GOLD}0.8 tiles{}{SILVER}The 9Q is a freight adaptation of the 9P, which had an exceptional turn of speed for a high tractive effort engine. It earnt the name "Black Pig" for its heavy coal consumption.</v>
      </c>
    </row>
    <row r="346" customFormat="false" ht="14.25" hidden="false" customHeight="false" outlineLevel="0" collapsed="false">
      <c r="A346" s="0" t="s">
        <v>1249</v>
      </c>
      <c r="B346" s="42" t="s">
        <v>1250</v>
      </c>
      <c r="C346" s="0" t="n">
        <v>1038</v>
      </c>
      <c r="E346" s="0" t="n">
        <v>18</v>
      </c>
      <c r="F346" s="0" t="s">
        <v>143</v>
      </c>
      <c r="G346" s="0" t="s">
        <v>827</v>
      </c>
      <c r="H346" s="0" t="s">
        <v>446</v>
      </c>
      <c r="I346" s="0" t="s">
        <v>92</v>
      </c>
      <c r="J346" s="0" t="n">
        <v>1925</v>
      </c>
      <c r="L346" s="0" t="n">
        <v>1955</v>
      </c>
      <c r="M346" s="0" t="n">
        <v>3</v>
      </c>
      <c r="N346" s="0" t="n">
        <v>2500</v>
      </c>
      <c r="P346" s="2" t="n">
        <v>18.5</v>
      </c>
      <c r="Q346" s="2" t="n">
        <v>26</v>
      </c>
      <c r="R346" s="2" t="n">
        <v>6</v>
      </c>
      <c r="S346" s="2" t="n">
        <v>190</v>
      </c>
      <c r="T346" s="18" t="n">
        <f aca="false">((($AB346/2)/60)*5280)/($U346*3.2*PI())</f>
        <v>138.505092880605</v>
      </c>
      <c r="U346" s="2" t="n">
        <v>1.422</v>
      </c>
      <c r="V346" s="2" t="n">
        <f aca="false">((($P346*$P346/4)*PI())*($Q346/12)*$R346*$S346*$T346)/(33000*1.1)</f>
        <v>2533.31625191791</v>
      </c>
      <c r="W346" s="0" t="n">
        <v>181</v>
      </c>
      <c r="Y346" s="0" t="n">
        <v>5</v>
      </c>
      <c r="Z346" s="0" t="n">
        <v>324</v>
      </c>
      <c r="AA346" s="3" t="n">
        <f aca="false">IF(AND(W346&gt;0,Z346&gt;0),(Z346/((W346+X346)*10)),"")</f>
        <v>0.179005524861878</v>
      </c>
      <c r="AB346" s="0" t="n">
        <v>45</v>
      </c>
      <c r="AC346" s="0" t="n">
        <f aca="false">ROUND(AB346*1.6, 0)</f>
        <v>72</v>
      </c>
      <c r="AF346" s="0" t="n">
        <v>12</v>
      </c>
      <c r="AG346" s="0" t="n">
        <v>12</v>
      </c>
      <c r="AK346" s="16" t="str">
        <f aca="false">CONCATENATE(VLOOKUP(AL346, '[2]Voxel Sizes'!$A$2:$B$18,2,FALSE()),"x",INT(AH346*15), "x", INT(AI346*15))</f>
        <v>120x0x0</v>
      </c>
      <c r="AL346" s="16" t="n">
        <f aca="false">ROUND(15*((AG346*10)/256),0)</f>
        <v>7</v>
      </c>
      <c r="AN346" s="16" t="str">
        <f aca="false">CONCATENATE(VLOOKUP(AL346,[2]Constants!$A$2:$C$16,IF(AM346&lt;&gt;"", 3, 2), FALSE()),IF(AM346&lt;&gt;"",CONCATENATE(",",VLOOKUP(AM346,$B:$AN,39,FALSE())),""))</f>
        <v>2,3,2</v>
      </c>
      <c r="AR346" s="0" t="s">
        <v>1251</v>
      </c>
      <c r="AT346" s="0" t="s">
        <v>864</v>
      </c>
      <c r="AV346" s="0" t="s">
        <v>843</v>
      </c>
      <c r="AX346" s="0" t="n">
        <v>24</v>
      </c>
      <c r="AY346" s="16" t="n">
        <f aca="false">IF(L346&lt;&gt;"",MAX(16,(L346-J346)+8),"")</f>
        <v>38</v>
      </c>
      <c r="BB346" s="43" t="n">
        <f aca="false">MIN(AB346/150, 1)*30</f>
        <v>9</v>
      </c>
      <c r="BC346" s="43" t="n">
        <f aca="false">MIN(N346/4000, 1)*20</f>
        <v>12.5</v>
      </c>
      <c r="BD346" s="43" t="n">
        <f aca="false">MIN(Z346/400,1)*20</f>
        <v>16.2</v>
      </c>
      <c r="BE346" s="44" t="n">
        <f aca="false">1-(MAX(J346-1900, 0)/750)</f>
        <v>0.966666666666667</v>
      </c>
      <c r="BF346" s="43" t="n">
        <f aca="false">((MAX($M346,1)*MIN($AJ346/300,1)))*IF(G346="Wagon",50,10)</f>
        <v>0</v>
      </c>
      <c r="BG346" s="43" t="n">
        <f aca="false">VLOOKUP($H346,[2]Constants!$I$1:$K$1048576, 2, FALSE())</f>
        <v>1.15</v>
      </c>
      <c r="BH346" s="43" t="n">
        <f aca="false">VLOOKUP($H346,[2]Constants!$I$1:$K$1048576, 3, FALSE())*IF(AND(G346="multiple_unit",AB346&lt;110),0.75,1)</f>
        <v>1.275</v>
      </c>
      <c r="BI346" s="43" t="n">
        <f aca="false">INT(POWER((([2]Constants!$G$2+$BB346+$BC346+$BD346+$BF346)*$BE346)*$BH346, 1.05))+$BA346</f>
        <v>64</v>
      </c>
      <c r="BJ346" s="43" t="n">
        <f aca="false">INT(POWER(((([2]Constants!$G$1+$BB346+$BC346+$BD346+$BF346)*($BE346))*$BG346),IF($G346="wagon",1,1.2)))+$AZ346</f>
        <v>132</v>
      </c>
      <c r="BK346" s="45" t="n">
        <f aca="false">BI346*IF($G346="wagon",62.5,781.25)</f>
        <v>50000</v>
      </c>
      <c r="BL346" s="45" t="n">
        <f aca="false">BJ346*IF($G346="wagon",2.73,81.25)</f>
        <v>10725</v>
      </c>
      <c r="BO346" s="0" t="n">
        <v>1</v>
      </c>
      <c r="BT346" s="0" t="s">
        <v>1252</v>
      </c>
      <c r="BV346" s="0" t="n">
        <v>5</v>
      </c>
      <c r="CA346" s="46" t="str">
        <f aca="false">VLOOKUP(J346,[2]Eras!$A$2:$C$10, 2, TRUE())</f>
        <v>big4</v>
      </c>
      <c r="CB346" s="0" t="s">
        <v>478</v>
      </c>
      <c r="CC346" s="46" t="str">
        <f aca="false">CONCATENATE(CA346,"_",CB346)</f>
        <v>big4_Freight</v>
      </c>
      <c r="CD346" s="46" t="str">
        <f aca="false">_xlfn.CONCAT(H346, "_",I346)</f>
        <v>steam_RAIL</v>
      </c>
      <c r="CE346" s="6" t="str">
        <f aca="false" t="array" ref="CE346:CE346">IF(AN346&lt;&gt;"na", _xlfn.CONCAT("{BLACK}Length: {GOLD}", TEXT(ROUNDUP(IF(AQ346&lt;&gt;"",SUM(VALUE(_xlfn.TEXTSPLIT(AQ346, ","))), SUM(VALUE(_xlfn.TEXTSPLIT(AN346, ",")))*IF(M346, M346, 1))/16, 1),"#,##0.0"), " tiles{}"), "")</f>
        <v>{BLACK}Length: {GOLD}1.4 tiles{}</v>
      </c>
      <c r="CF346" s="46" t="str">
        <f aca="false">VLOOKUP($CD346, [2]Constants!$M$1:$N$1048576, 2, FALSE())</f>
        <v>{BLACK}Powered by: {GOLD}Steam</v>
      </c>
      <c r="CG346" s="46" t="str">
        <f aca="false">IF(AND(L346&gt;1,BN346&lt;&gt;1),_xlfn.CONCAT("{BLACK}Cars: {GOLD}", L346),"")</f>
        <v>{BLACK}Cars: {GOLD}1955</v>
      </c>
      <c r="CH346" s="0" t="s">
        <v>1253</v>
      </c>
      <c r="CI346" s="0" t="str">
        <f aca="false">IF($BU346="!param_no_gameplay_units","{GREEN}Included for gameplay purposes","")</f>
        <v/>
      </c>
      <c r="CJ346" s="0" t="str">
        <f aca="false">IF(BX346="buffet","{YELLOW}25% long distance bonus for consist{}",IF(BY346="DANDY","{YELLOW}Faster downhill speeds for horse-drawn trains (1 required per 2 horses){}",IF(BY346="BRAKE","{YELLOW}Speed bonus for slow wagons{}",IF(BY346="NGPassengers","{YELLOW}Preserved railway bonus: passengers pay more when hauled by old locomotives{}",IF(AND(BW346&gt;190,NOT(AND(I346="NARROW_GAUGE",BY346&lt;&gt;"PASS"))),CONCATENATE("{YELLOW}",INT((BW346-185)/1.85),"% bonus for long distance travel{}"),IF(AND(BW346&lt;180,BW346&lt;&gt;0),CONCATENATE("{YELLOW}",INT((185-BW346)/1.85),"% penalty for long distance travel{}"),""))))))</f>
        <v/>
      </c>
      <c r="CK346" s="0" t="str">
        <f aca="false">_xlfn.CONCAT(CF346,IF(CF346&lt;&gt;""," ",""),CG346,IF(OR(CG346&lt;&gt;"",CF346&lt;&gt;""),"{}",""),CE346,CJ346,"{SILVER}",CH346,IF(CI346&lt;&gt;"","{}{}",""),CI346)</f>
        <v>{BLACK}Powered by: {GOLD}Steam {BLACK}Cars: {GOLD}1955{}{BLACK}Length: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347" customFormat="false" ht="14.25" hidden="false" customHeight="false" outlineLevel="0" collapsed="false">
      <c r="A347" s="0" t="s">
        <v>1254</v>
      </c>
      <c r="B347" s="42" t="s">
        <v>1255</v>
      </c>
      <c r="C347" s="0" t="n">
        <v>1039</v>
      </c>
      <c r="E347" s="0" t="n">
        <v>19</v>
      </c>
      <c r="F347" s="0" t="s">
        <v>143</v>
      </c>
      <c r="G347" s="0" t="s">
        <v>827</v>
      </c>
      <c r="H347" s="0" t="s">
        <v>446</v>
      </c>
      <c r="I347" s="0" t="s">
        <v>92</v>
      </c>
      <c r="J347" s="0" t="n">
        <v>1927</v>
      </c>
      <c r="L347" s="0" t="n">
        <v>1958</v>
      </c>
      <c r="M347" s="0" t="n">
        <v>3</v>
      </c>
      <c r="N347" s="0" t="n">
        <v>2000</v>
      </c>
      <c r="P347" s="2" t="n">
        <v>18.5</v>
      </c>
      <c r="Q347" s="2" t="n">
        <v>26</v>
      </c>
      <c r="R347" s="2" t="n">
        <v>4</v>
      </c>
      <c r="S347" s="2" t="n">
        <v>190</v>
      </c>
      <c r="T347" s="18" t="n">
        <f aca="false">((($AB347/2)/60)*5280)/($U347*3.2*PI())</f>
        <v>127.231422529858</v>
      </c>
      <c r="U347" s="2" t="n">
        <v>1.72</v>
      </c>
      <c r="V347" s="2" t="n">
        <f aca="false">((($P347*$P347/4)*PI())*($Q347/12)*$R347*$S347*$T347)/(33000*1.1)</f>
        <v>1551.41072791872</v>
      </c>
      <c r="W347" s="0" t="n">
        <v>148</v>
      </c>
      <c r="Y347" s="0" t="n">
        <v>5</v>
      </c>
      <c r="Z347" s="0" t="n">
        <v>203</v>
      </c>
      <c r="AA347" s="3" t="n">
        <f aca="false">IF(AND(W347&gt;0,Z347&gt;0),(Z347/((W347+X347)*10)),"")</f>
        <v>0.137162162162162</v>
      </c>
      <c r="AB347" s="0" t="n">
        <v>50</v>
      </c>
      <c r="AC347" s="0" t="n">
        <f aca="false">ROUND(AB347*1.6, 0)</f>
        <v>80</v>
      </c>
      <c r="AF347" s="0" t="n">
        <v>10</v>
      </c>
      <c r="AG347" s="0" t="n">
        <v>10</v>
      </c>
      <c r="AK347" s="16" t="str">
        <f aca="false">CONCATENATE(VLOOKUP(AL347, '[2]Voxel Sizes'!$A$2:$B$18,2,FALSE()),"x",INT(AH347*15), "x", INT(AI347*15))</f>
        <v>102x0x0</v>
      </c>
      <c r="AL347" s="16" t="n">
        <f aca="false">ROUND(15*((AG347*10)/256),0)</f>
        <v>6</v>
      </c>
      <c r="AN347" s="16" t="str">
        <f aca="false">CONCATENATE(VLOOKUP(AL347,[2]Constants!$A$2:$C$16,IF(AM347&lt;&gt;"", 3, 2), FALSE()),IF(AM347&lt;&gt;"",CONCATENATE(",",VLOOKUP(AM347,$B:$AN,39,FALSE())),""))</f>
        <v>2,2,2</v>
      </c>
      <c r="AR347" s="0" t="s">
        <v>1256</v>
      </c>
      <c r="AT347" s="0" t="s">
        <v>864</v>
      </c>
      <c r="AV347" s="0" t="s">
        <v>843</v>
      </c>
      <c r="AX347" s="0" t="n">
        <v>26</v>
      </c>
      <c r="AY347" s="16" t="n">
        <f aca="false">IF(L347&lt;&gt;"",MAX(16,(L347-J347)+8),"")</f>
        <v>39</v>
      </c>
      <c r="BB347" s="43" t="n">
        <f aca="false">MIN(AB347/150, 1)*30</f>
        <v>10</v>
      </c>
      <c r="BC347" s="43" t="n">
        <f aca="false">MIN(N347/4000, 1)*20</f>
        <v>10</v>
      </c>
      <c r="BD347" s="43" t="n">
        <f aca="false">MIN(Z347/400,1)*20</f>
        <v>10.15</v>
      </c>
      <c r="BE347" s="44" t="n">
        <f aca="false">1-(MAX(J347-1900, 0)/750)</f>
        <v>0.964</v>
      </c>
      <c r="BF347" s="43" t="n">
        <f aca="false">((MAX($M347,1)*MIN($AJ347/300,1)))*IF(G347="Wagon",50,10)</f>
        <v>0</v>
      </c>
      <c r="BG347" s="43" t="n">
        <f aca="false">VLOOKUP($H347,[2]Constants!$I$1:$K$1048576, 2, FALSE())</f>
        <v>1.15</v>
      </c>
      <c r="BH347" s="43" t="n">
        <f aca="false">VLOOKUP($H347,[2]Constants!$I$1:$K$1048576, 3, FALSE())*IF(AND(G347="multiple_unit",AB347&lt;110),0.75,1)</f>
        <v>1.275</v>
      </c>
      <c r="BI347" s="43" t="n">
        <f aca="false">INT(POWER((([2]Constants!$G$2+$BB347+$BC347+$BD347+$BF347)*$BE347)*$BH347, 1.05))+$BA347</f>
        <v>52</v>
      </c>
      <c r="BJ347" s="43" t="n">
        <f aca="false">INT(POWER(((([2]Constants!$G$1+$BB347+$BC347+$BD347+$BF347)*($BE347))*$BG347),IF($G347="wagon",1,1.2)))+$AZ347</f>
        <v>109</v>
      </c>
      <c r="BK347" s="45" t="n">
        <f aca="false">BI347*IF($G347="wagon",62.5,781.25)</f>
        <v>40625</v>
      </c>
      <c r="BL347" s="45" t="n">
        <f aca="false">BJ347*IF($G347="wagon",2.73,81.25)</f>
        <v>8856.25</v>
      </c>
      <c r="BO347" s="0" t="n">
        <v>1</v>
      </c>
      <c r="BT347" s="0" t="s">
        <v>1257</v>
      </c>
      <c r="BV347" s="0" t="n">
        <v>5</v>
      </c>
      <c r="CA347" s="46" t="str">
        <f aca="false">VLOOKUP(J347,[2]Eras!$A$2:$C$10, 2, TRUE())</f>
        <v>big4</v>
      </c>
      <c r="CB347" s="0" t="s">
        <v>478</v>
      </c>
      <c r="CC347" s="46" t="str">
        <f aca="false">CONCATENATE(CA347,"_",CB347)</f>
        <v>big4_Freight</v>
      </c>
      <c r="CD347" s="46" t="str">
        <f aca="false">_xlfn.CONCAT(H347, "_",I347)</f>
        <v>steam_RAIL</v>
      </c>
      <c r="CE347" s="6" t="str">
        <f aca="false" t="array" ref="CE347:CE347">IF(AN347&lt;&gt;"na", _xlfn.CONCAT("{BLACK}Length: {GOLD}", TEXT(ROUNDUP(IF(AQ347&lt;&gt;"",SUM(VALUE(_xlfn.TEXTSPLIT(AQ347, ","))), SUM(VALUE(_xlfn.TEXTSPLIT(AN347, ",")))*IF(M347, M347, 1))/16, 1),"#,##0.0"), " tiles{}"), "")</f>
        <v>{BLACK}Length: {GOLD}1.2 tiles{}</v>
      </c>
      <c r="CF347" s="46" t="str">
        <f aca="false">VLOOKUP($CD347, [2]Constants!$M$1:$N$1048576, 2, FALSE())</f>
        <v>{BLACK}Powered by: {GOLD}Steam</v>
      </c>
      <c r="CG347" s="46" t="str">
        <f aca="false">IF(AND(L347&gt;1,BN347&lt;&gt;1),_xlfn.CONCAT("{BLACK}Cars: {GOLD}", L347),"")</f>
        <v>{BLACK}Cars: {GOLD}1958</v>
      </c>
      <c r="CH347" s="0" t="s">
        <v>1258</v>
      </c>
      <c r="CI347" s="0" t="str">
        <f aca="false">IF($BU347="!param_no_gameplay_units","{GREEN}Included for gameplay purposes","")</f>
        <v/>
      </c>
      <c r="CJ347" s="0" t="str">
        <f aca="false">IF(BX347="buffet","{YELLOW}25% long distance bonus for consist{}",IF(BY347="DANDY","{YELLOW}Faster downhill speeds for horse-drawn trains (1 required per 2 horses){}",IF(BY347="BRAKE","{YELLOW}Speed bonus for slow wagons{}",IF(BY347="NGPassengers","{YELLOW}Preserved railway bonus: passengers pay more when hauled by old locomotives{}",IF(AND(BW347&gt;190,NOT(AND(I347="NARROW_GAUGE",BY347&lt;&gt;"PASS"))),CONCATENATE("{YELLOW}",INT((BW347-185)/1.85),"% bonus for long distance travel{}"),IF(AND(BW347&lt;180,BW347&lt;&gt;0),CONCATENATE("{YELLOW}",INT((185-BW347)/1.85),"% penalty for long distance travel{}"),""))))))</f>
        <v/>
      </c>
      <c r="CK347" s="0" t="str">
        <f aca="false">_xlfn.CONCAT(CF347,IF(CF347&lt;&gt;""," ",""),CG347,IF(OR(CG347&lt;&gt;"",CF347&lt;&gt;""),"{}",""),CE347,CJ347,"{SILVER}",CH347,IF(CI347&lt;&gt;"","{}{}",""),CI347)</f>
        <v>{BLACK}Powered by: {GOLD}Steam {BLACK}Cars: {GOLD}1958{}{BLACK}Length: {GOLD}1.2 tiles{}{SILVER}The LMS Beyer Garratt was the most-produced Garratt type locomotive, designed for hauling heavy freight. While they suffered from poor fuel efficiency and high maintenance requirements, they survived in service to the late 1950s.</v>
      </c>
    </row>
    <row r="348" customFormat="false" ht="14.25" hidden="false" customHeight="false" outlineLevel="0" collapsed="false">
      <c r="A348" s="48" t="s">
        <v>1259</v>
      </c>
      <c r="B348" s="42" t="s">
        <v>1260</v>
      </c>
      <c r="C348" s="0" t="n">
        <v>1040</v>
      </c>
      <c r="E348" s="0" t="n">
        <v>-1</v>
      </c>
      <c r="G348" s="0" t="s">
        <v>1222</v>
      </c>
      <c r="H348" s="0" t="s">
        <v>446</v>
      </c>
      <c r="I348" s="0" t="s">
        <v>92</v>
      </c>
      <c r="J348" s="0" t="n">
        <v>1922</v>
      </c>
      <c r="K348" s="0" t="n">
        <v>1924</v>
      </c>
      <c r="Z348" s="0" t="n">
        <v>119</v>
      </c>
      <c r="AA348" s="3" t="str">
        <f aca="false">IF(AND(W348&gt;0,Z348&gt;0),(Z348/((W348+X348)*10)),"")</f>
        <v/>
      </c>
      <c r="AC348" s="0" t="n">
        <f aca="false">ROUND(AB348*1.6, 0)</f>
        <v>0</v>
      </c>
      <c r="AK348" s="16" t="s">
        <v>1230</v>
      </c>
      <c r="AL348" s="16" t="n">
        <f aca="false">ROUND(15*((AG348*10)/256),0)</f>
        <v>0</v>
      </c>
      <c r="AN348" s="16" t="str">
        <f aca="false">CONCATENATE(VLOOKUP(AL348,[2]Constants!$A$2:$C$16,IF(AM348&lt;&gt;"", 3, 2), FALSE()),IF(AM348&lt;&gt;"",CONCATENATE(",",VLOOKUP(AM348,$B:$AN,39,FALSE())),""))</f>
        <v>na</v>
      </c>
      <c r="AV348" s="0" t="n">
        <v>1</v>
      </c>
      <c r="AX348" s="0" t="n">
        <v>30</v>
      </c>
      <c r="AY348" s="16" t="str">
        <f aca="false">IF(L348&lt;&gt;"",MAX(16,(L348-J348)+8),"")</f>
        <v/>
      </c>
      <c r="BB348" s="43" t="n">
        <f aca="false">MIN(AB348/150, 1)*30</f>
        <v>0</v>
      </c>
      <c r="BC348" s="43" t="n">
        <f aca="false">MIN(N348/4000, 1)*20</f>
        <v>0</v>
      </c>
      <c r="BD348" s="43" t="n">
        <f aca="false">MIN(Z348/400,1)*20</f>
        <v>5.95</v>
      </c>
      <c r="BE348" s="3" t="n">
        <f aca="false">1-(MAX(J348-1900, 0)/750)</f>
        <v>0.970666666666667</v>
      </c>
      <c r="BF348" s="43" t="n">
        <f aca="false">((MAX($M348,1)*MIN($AJ348/300,1)))*IF(G348="Wagon",50,10)</f>
        <v>0</v>
      </c>
      <c r="BG348" s="43" t="n">
        <v>1.15</v>
      </c>
      <c r="BH348" s="43" t="n">
        <v>1.7</v>
      </c>
      <c r="BI348" s="43" t="n">
        <f aca="false">INT(POWER((([2]Constants!$G$2+$BB348+$BC348+$BD348+$BF348)*$BE348)*$BH348, 1.05))+$BA348</f>
        <v>20</v>
      </c>
      <c r="BJ348" s="43" t="n">
        <f aca="false">INT(POWER(((([2]Constants!$G$1+$BB348+$BC348+$BD348+$BF348)*($BE348))*$BG348),IF($G348="wagon",1,1.2)))+$AZ348</f>
        <v>43</v>
      </c>
      <c r="BK348" s="45" t="n">
        <f aca="false">BI348*IF($G348="wagon",62.5,781.25)</f>
        <v>15625</v>
      </c>
      <c r="BL348" s="45" t="n">
        <f aca="false">BJ348*IF($G348="wagon",2.73,81.25)</f>
        <v>3493.75</v>
      </c>
      <c r="BV348" s="0" t="n">
        <v>8</v>
      </c>
      <c r="CA348" s="46" t="s">
        <v>1236</v>
      </c>
      <c r="CC348" s="46" t="str">
        <f aca="false">CONCATENATE(CA348,"_",CB348)</f>
        <v>edw_</v>
      </c>
      <c r="CD348" s="46" t="str">
        <f aca="false">_xlfn.CONCAT(H348, "_",I348)</f>
        <v>steam_RAIL</v>
      </c>
      <c r="CE348" s="6" t="str">
        <f aca="false" t="array" ref="CE348:CE348">IF(AN348&lt;&gt;"na", _xlfn.CONCAT("{BLACK}Length: {GOLD}", TEXT(ROUNDUP(IF(AQ348&lt;&gt;"",SUM(VALUE(_xlfn.TEXTSPLIT(AQ348, ","))), SUM(VALUE(_xlfn.TEXTSPLIT(AN348, ",")))*IF(M348, M348, 1))/16, 1),"#,##0.0"), " tiles{}"), "")</f>
        <v/>
      </c>
      <c r="CF348" s="46" t="str">
        <f aca="false">VLOOKUP($CD348, [2]Constants!$M$1:$N$1048576, 2, FALSE())</f>
        <v>{BLACK}Powered by: {GOLD}Steam</v>
      </c>
      <c r="CG348" s="46" t="str">
        <f aca="false">IF(AND(L348&gt;1,BN348&lt;&gt;1),_xlfn.CONCAT("{BLACK}Cars: {GOLD}", L348),"")</f>
        <v/>
      </c>
      <c r="CI348" s="0" t="str">
        <f aca="false">IF($BU348="!param_no_gameplay_units","{GREEN}Included for gameplay purposes","")</f>
        <v/>
      </c>
      <c r="CJ348" s="0" t="str">
        <f aca="false">IF(BX348="buffet","{YELLOW}25% long distance bonus for consist{}",IF(BY348="DANDY","{YELLOW}Faster downhill speeds for horse-drawn trains (1 required per 2 horses){}",IF(BY348="BRAKE","{YELLOW}Speed bonus for slow wagons{}",IF(BY348="NGPassengers","{YELLOW}Preserved railway bonus: passengers pay more when hauled by old locomotives{}",IF(AND(BW348&gt;190,NOT(AND(I348="NARROW_GAUGE",BY348&lt;&gt;"PASS"))),CONCATENATE("{YELLOW}",INT((BW348-185)/1.85),"% bonus for long distance travel{}"),IF(AND(BW348&lt;180,BW348&lt;&gt;0),CONCATENATE("{YELLOW}",INT((185-BW348)/1.85),"% penalty for long distance travel{}"),""))))))</f>
        <v/>
      </c>
      <c r="CK348" s="0" t="str">
        <f aca="false">_xlfn.CONCAT(CF348,IF(CF348&lt;&gt;""," ",""),CG348,IF(OR(CG348&lt;&gt;"",CF348&lt;&gt;""),"{}",""),CE348,CJ348,"{SILVER}",CH348,IF(CI348&lt;&gt;"","{}{}",""),CI348)</f>
        <v>{BLACK}Powered by: {GOLD}Steam {}{SILVER}</v>
      </c>
    </row>
    <row r="349" customFormat="false" ht="14.25" hidden="false" customHeight="false" outlineLevel="0" collapsed="false">
      <c r="A349" s="0" t="s">
        <v>1261</v>
      </c>
      <c r="B349" s="42" t="s">
        <v>1262</v>
      </c>
      <c r="C349" s="0" t="n">
        <v>1041</v>
      </c>
      <c r="E349" s="0" t="n">
        <v>20</v>
      </c>
      <c r="F349" s="0" t="s">
        <v>143</v>
      </c>
      <c r="G349" s="0" t="s">
        <v>445</v>
      </c>
      <c r="H349" s="0" t="s">
        <v>446</v>
      </c>
      <c r="I349" s="0" t="s">
        <v>92</v>
      </c>
      <c r="J349" s="0" t="n">
        <v>1942</v>
      </c>
      <c r="L349" s="0" t="n">
        <v>1967</v>
      </c>
      <c r="N349" s="0" t="n">
        <v>1700</v>
      </c>
      <c r="P349" s="2" t="n">
        <v>20</v>
      </c>
      <c r="Q349" s="2" t="n">
        <v>26</v>
      </c>
      <c r="R349" s="2" t="n">
        <v>2</v>
      </c>
      <c r="S349" s="2" t="n">
        <v>225</v>
      </c>
      <c r="T349" s="18" t="n">
        <f aca="false">((($AB349/2)/60)*5280)/($U349*3.2*PI())</f>
        <v>197.885467807077</v>
      </c>
      <c r="U349" s="2" t="n">
        <v>1.88</v>
      </c>
      <c r="V349" s="2" t="n">
        <f aca="false">((($P349*$P349/4)*PI())*($Q349/12)*$R349*$S349*$T349)/(33000*1.1)</f>
        <v>1669.78965183752</v>
      </c>
      <c r="W349" s="0" t="n">
        <v>72</v>
      </c>
      <c r="Z349" s="0" t="n">
        <v>119</v>
      </c>
      <c r="AA349" s="3" t="n">
        <f aca="false">IF(AND(W349&gt;0,Z349&gt;0),(Z349/((W349+X349)*10)),"")</f>
        <v>0.165277777777778</v>
      </c>
      <c r="AB349" s="0" t="n">
        <v>85</v>
      </c>
      <c r="AC349" s="0" t="n">
        <f aca="false">ROUND(AB349*1.6, 0)</f>
        <v>136</v>
      </c>
      <c r="AF349" s="0" t="n">
        <v>18.7</v>
      </c>
      <c r="AG349" s="0" t="n">
        <v>14</v>
      </c>
      <c r="AK349" s="16" t="str">
        <f aca="false">CONCATENATE(VLOOKUP(AL349, '[2]Voxel Sizes'!$A$2:$B$18,2,FALSE()),"x",INT(AH349*15), "x", INT(AI349*15))</f>
        <v>136x0x0</v>
      </c>
      <c r="AL349" s="16" t="n">
        <f aca="false">ROUND(15*((AG349*10)/256),0)</f>
        <v>8</v>
      </c>
      <c r="AM349" s="0" t="s">
        <v>1161</v>
      </c>
      <c r="AN349" s="16" t="str">
        <f aca="false">CONCATENATE(VLOOKUP(AL349,[2]Constants!$A$2:$C$16,IF(AM349&lt;&gt;"", 3, 2), FALSE()),IF(AM349&lt;&gt;"",CONCATENATE(",",VLOOKUP(AM349,$B:$AN,39,FALSE())),""))</f>
        <v>2,4,2,2,1,2</v>
      </c>
      <c r="AV349" s="0" t="n">
        <v>1</v>
      </c>
      <c r="AX349" s="0" t="n">
        <v>31</v>
      </c>
      <c r="AY349" s="16" t="n">
        <f aca="false">IF(L349&lt;&gt;"",MAX(16,(L349-J349)+8),"")</f>
        <v>33</v>
      </c>
      <c r="BB349" s="43" t="n">
        <f aca="false">MIN(AB349/150, 1)*30</f>
        <v>17</v>
      </c>
      <c r="BC349" s="43" t="n">
        <f aca="false">MIN(N349/4000, 1)*20</f>
        <v>8.5</v>
      </c>
      <c r="BD349" s="43" t="n">
        <f aca="false">MIN(Z349/400,1)*20</f>
        <v>5.95</v>
      </c>
      <c r="BE349" s="3" t="n">
        <f aca="false">1-(MAX(J349-1900, 0)/750)</f>
        <v>0.944</v>
      </c>
      <c r="BF349" s="43" t="n">
        <f aca="false">((MAX($M349,1)*MIN($AJ349/300,1)))*IF(G349="Wagon",50,10)</f>
        <v>0</v>
      </c>
      <c r="BG349" s="43" t="n">
        <v>1.15</v>
      </c>
      <c r="BH349" s="43" t="n">
        <v>1.7</v>
      </c>
      <c r="BI349" s="43" t="n">
        <f aca="false">INT(POWER((([2]Constants!$G$2+$BB349+$BC349+$BD349+$BF349)*$BE349)*$BH349, 1.05))+$BA349</f>
        <v>71</v>
      </c>
      <c r="BJ349" s="43" t="n">
        <f aca="false">INT(POWER(((([2]Constants!$G$1+$BB349+$BC349+$BD349+$BF349)*($BE349))*$BG349),IF($G349="wagon",1,1.2)))+$AZ349</f>
        <v>110</v>
      </c>
      <c r="BK349" s="45" t="n">
        <f aca="false">BI349*IF($G349="wagon",62.5,781.25)</f>
        <v>55468.75</v>
      </c>
      <c r="BL349" s="45" t="n">
        <f aca="false">BJ349*IF($G349="wagon",2.73,81.25)</f>
        <v>8937.5</v>
      </c>
      <c r="BV349" s="0" t="n">
        <v>7</v>
      </c>
      <c r="CA349" s="46" t="s">
        <v>1263</v>
      </c>
      <c r="CB349" s="0" t="s">
        <v>439</v>
      </c>
      <c r="CC349" s="46" t="str">
        <f aca="false">CONCATENATE(CA349,"_",CB349)</f>
        <v>big4_Mixed Traffic</v>
      </c>
      <c r="CD349" s="46" t="str">
        <f aca="false">_xlfn.CONCAT(H349, "_",I349)</f>
        <v>steam_RAIL</v>
      </c>
      <c r="CE349" s="6" t="str">
        <f aca="false" t="array" ref="CE349:CE349">IF(AN349&lt;&gt;"na", _xlfn.CONCAT("{BLACK}Length: {GOLD}", TEXT(ROUNDUP(IF(AQ349&lt;&gt;"",SUM(VALUE(_xlfn.TEXTSPLIT(AQ349, ","))), SUM(VALUE(_xlfn.TEXTSPLIT(AN349, ",")))*IF(M349, M349, 1))/16, 1),"#,##0.0"), " tiles{}"), "")</f>
        <v>{BLACK}Length: {GOLD}0.9 tiles{}</v>
      </c>
      <c r="CF349" s="46" t="str">
        <f aca="false">VLOOKUP($CD349, [2]Constants!$M$1:$N$1048576, 2, FALSE())</f>
        <v>{BLACK}Powered by: {GOLD}Steam</v>
      </c>
      <c r="CG349" s="46" t="str">
        <f aca="false">IF(AND(L349&gt;1,BN349&lt;&gt;1),_xlfn.CONCAT("{BLACK}Cars: {GOLD}", L349),"")</f>
        <v>{BLACK}Cars: {GOLD}1967</v>
      </c>
      <c r="CH349" s="0" t="s">
        <v>1264</v>
      </c>
      <c r="CI349" s="0" t="str">
        <f aca="false">IF($BU349="!param_no_gameplay_units","{GREEN}Included for gameplay purposes","")</f>
        <v/>
      </c>
      <c r="CJ349" s="0" t="str">
        <f aca="false">IF(BX349="buffet","{YELLOW}25% long distance bonus for consist{}",IF(BY349="DANDY","{YELLOW}Faster downhill speeds for horse-drawn trains (1 required per 2 horses){}",IF(BY349="BRAKE","{YELLOW}Speed bonus for slow wagons{}",IF(BY349="NGPassengers","{YELLOW}Preserved railway bonus: passengers pay more when hauled by old locomotives{}",IF(AND(BW349&gt;190,NOT(AND(I349="NARROW_GAUGE",BY349&lt;&gt;"PASS"))),CONCATENATE("{YELLOW}",INT((BW349-185)/1.85),"% bonus for long distance travel{}"),IF(AND(BW349&lt;180,BW349&lt;&gt;0),CONCATENATE("{YELLOW}",INT((185-BW349)/1.85),"% penalty for long distance travel{}"),""))))))</f>
        <v/>
      </c>
      <c r="CK349" s="0" t="str">
        <f aca="false">_xlfn.CONCAT(CF349,IF(CF349&lt;&gt;""," ",""),CG349,IF(OR(CG349&lt;&gt;"",CF349&lt;&gt;""),"{}",""),CE349,CJ349,"{SILVER}",CH349,IF(CI349&lt;&gt;"","{}{}",""),CI349)</f>
        <v>{BLACK}Powered by: {GOLD}Steam {BLACK}Cars: {GOLD}1967{}{BLACK}Length: {GOLD}0.9 tiles{}{SILVER}LNER's B2 was a mixed traffic locomotive, the early examples of which were named after breeds of antelope, with 61018 "Gnu" having the record for shortest name given to a British locomotive. </v>
      </c>
    </row>
    <row r="350" customFormat="false" ht="14.25" hidden="false" customHeight="false" outlineLevel="0" collapsed="false">
      <c r="A350" s="0" t="s">
        <v>1265</v>
      </c>
      <c r="B350" s="42" t="s">
        <v>1266</v>
      </c>
      <c r="C350" s="0" t="n">
        <v>1042</v>
      </c>
      <c r="E350" s="0" t="n">
        <v>21</v>
      </c>
      <c r="F350" s="0" t="s">
        <v>143</v>
      </c>
      <c r="G350" s="0" t="s">
        <v>445</v>
      </c>
      <c r="H350" s="0" t="s">
        <v>705</v>
      </c>
      <c r="I350" s="0" t="s">
        <v>92</v>
      </c>
      <c r="J350" s="0" t="n">
        <v>1949</v>
      </c>
      <c r="L350" s="0" t="n">
        <v>1964</v>
      </c>
      <c r="N350" s="0" t="n">
        <v>2500</v>
      </c>
      <c r="W350" s="0" t="n">
        <v>117</v>
      </c>
      <c r="Z350" s="0" t="n">
        <v>140</v>
      </c>
      <c r="AA350" s="3" t="n">
        <f aca="false">IF(AND(W350&gt;0,Z350&gt;0),(Z350/((W350+X350)*10)),"")</f>
        <v>0.11965811965812</v>
      </c>
      <c r="AB350" s="0" t="n">
        <v>90</v>
      </c>
      <c r="AC350" s="0" t="n">
        <f aca="false">ROUND(AB350*1.6, 0)</f>
        <v>144</v>
      </c>
      <c r="AG350" s="0" t="n">
        <v>18</v>
      </c>
      <c r="AK350" s="16" t="str">
        <f aca="false">CONCATENATE(VLOOKUP(AL350, '[2]Voxel Sizes'!$A$2:$B$18,2,FALSE()),"x",INT(AH350*15), "x", INT(AI350*15))</f>
        <v>186x0x0</v>
      </c>
      <c r="AL350" s="16" t="n">
        <f aca="false">ROUND(15*((AG350*10)/256),0)</f>
        <v>11</v>
      </c>
      <c r="AN350" s="16" t="str">
        <f aca="false">CONCATENATE(VLOOKUP(AL350,[2]Constants!$A$2:$C$16,IF(AM350&lt;&gt;"", 3, 2), FALSE()),IF(AM350&lt;&gt;"",CONCATENATE(",",VLOOKUP(AM350,$B:$AN,39,FALSE())),""))</f>
        <v>4,3,4</v>
      </c>
      <c r="AX350" s="0" t="n">
        <v>22</v>
      </c>
      <c r="AY350" s="16" t="n">
        <f aca="false">IF(L350&lt;&gt;"",MAX(16,(L350-J350)+8),"")</f>
        <v>23</v>
      </c>
      <c r="AZ350" s="0" t="n">
        <v>9</v>
      </c>
      <c r="BA350" s="0" t="n">
        <v>2</v>
      </c>
      <c r="BB350" s="43" t="n">
        <f aca="false">MIN(AB350/150, 1)*30</f>
        <v>18</v>
      </c>
      <c r="BC350" s="43" t="n">
        <f aca="false">MIN(N350/4000, 1)*20</f>
        <v>12.5</v>
      </c>
      <c r="BD350" s="43" t="n">
        <f aca="false">MIN(Z350/400,1)*20</f>
        <v>7</v>
      </c>
      <c r="BE350" s="44" t="n">
        <f aca="false">1-(MAX(J350-1900, 0)/750)</f>
        <v>0.934666666666667</v>
      </c>
      <c r="BF350" s="43" t="n">
        <f aca="false">((MAX($M350,1)*MIN($AJ350/300,1)))*IF(G350="Wagon",50,10)</f>
        <v>0</v>
      </c>
      <c r="BG350" s="43" t="n">
        <f aca="false">VLOOKUP($H350,[2]Constants!$I$1:$K$1048576, 2, FALSE())</f>
        <v>1</v>
      </c>
      <c r="BH350" s="43" t="n">
        <f aca="false">VLOOKUP($H350,[2]Constants!$I$1:$K$1048576, 3, FALSE())*IF(AND(G350="multiple_unit",AB350&lt;110),0.75,1)</f>
        <v>2</v>
      </c>
      <c r="BI350" s="43" t="n">
        <f aca="false">INT(POWER((([2]Constants!$G$2+$BB350+$BC350+$BD350+$BF350)*$BE350)*$BH350, 1.05))+$BA350</f>
        <v>100</v>
      </c>
      <c r="BJ350" s="43" t="n">
        <f aca="false">INT(POWER(((([2]Constants!$G$1+$BB350+$BC350+$BD350+$BF350)*($BE350))*$BG350),IF($G350="wagon",1,1.2)))+$AZ350</f>
        <v>115</v>
      </c>
      <c r="BK350" s="45" t="n">
        <f aca="false">BI350*IF($G350="wagon",62.5,781.25)</f>
        <v>78125</v>
      </c>
      <c r="BL350" s="45" t="n">
        <f aca="false">BJ350*IF($G350="wagon",2.73,81.25)</f>
        <v>9343.75</v>
      </c>
      <c r="BV350" s="0" t="n">
        <v>6</v>
      </c>
      <c r="CA350" s="46" t="str">
        <f aca="false">VLOOKUP(J350,[2]Eras!$A$2:$C$10, 2, TRUE())</f>
        <v>ebr</v>
      </c>
      <c r="CB350" s="0" t="s">
        <v>478</v>
      </c>
      <c r="CC350" s="46" t="str">
        <f aca="false">CONCATENATE(CA350,"_",CB350)</f>
        <v>ebr_Freight</v>
      </c>
      <c r="CD350" s="46" t="str">
        <f aca="false">_xlfn.CONCAT(H350, "_",I350)</f>
        <v>gas_turbine_RAIL</v>
      </c>
      <c r="CE350" s="6" t="str">
        <f aca="false" t="array" ref="CE350:CE350">IF(AN350&lt;&gt;"na", _xlfn.CONCAT("{BLACK}Length: {GOLD}", TEXT(ROUNDUP(IF(AQ350&lt;&gt;"",SUM(VALUE(_xlfn.TEXTSPLIT(AQ350, ","))), SUM(VALUE(_xlfn.TEXTSPLIT(AN350, ",")))*IF(M350, M350, 1))/16, 1),"#,##0.0"), " tiles{}"), "")</f>
        <v>{BLACK}Length: {GOLD}0.7 tiles{}</v>
      </c>
      <c r="CF350" s="46" t="str">
        <f aca="false">VLOOKUP($CD350, [2]Constants!$M$1:$N$1048576, 2, FALSE())</f>
        <v>{BLACK}Powered by: {GOLD}Gas Turbine</v>
      </c>
      <c r="CG350" s="46" t="str">
        <f aca="false">IF(AND(L350&gt;1,BN350&lt;&gt;1),_xlfn.CONCAT("{BLACK}Cars: {GOLD}", L350),"")</f>
        <v>{BLACK}Cars: {GOLD}1964</v>
      </c>
      <c r="CH350" s="0" t="s">
        <v>1267</v>
      </c>
      <c r="CI350" s="0" t="str">
        <f aca="false">IF($BU350="!param_no_gameplay_units","{GREEN}Included for gameplay purposes","")</f>
        <v/>
      </c>
      <c r="CJ350" s="0" t="str">
        <f aca="false">IF(BX350="buffet","{YELLOW}25% long distance bonus for consist{}",IF(BY350="DANDY","{YELLOW}Faster downhill speeds for horse-drawn trains (1 required per 2 horses){}",IF(BY350="BRAKE","{YELLOW}Speed bonus for slow wagons{}",IF(BY350="NGPassengers","{YELLOW}Preserved railway bonus: passengers pay more when hauled by old locomotives{}",IF(AND(BW350&gt;190,NOT(AND(I350="NARROW_GAUGE",BY350&lt;&gt;"PASS"))),CONCATENATE("{YELLOW}",INT((BW350-185)/1.85),"% bonus for long distance travel{}"),IF(AND(BW350&lt;180,BW350&lt;&gt;0),CONCATENATE("{YELLOW}",INT((185-BW350)/1.85),"% penalty for long distance travel{}"),""))))))</f>
        <v/>
      </c>
      <c r="CK350" s="0" t="str">
        <f aca="false">_xlfn.CONCAT(CF350,IF(CF350&lt;&gt;""," ",""),CG350,IF(OR(CG350&lt;&gt;"",CF350&lt;&gt;""),"{}",""),CE350,CJ350,"{SILVER}",CH350,IF(CI350&lt;&gt;"","{}{}",""),CI350)</f>
        <v>{BLACK}Powered by: {GOLD}Gas Turbine {BLACK}Cars: {GOLD}1964{}{BLACK}Length: {GOLD}0.7 tiles{}{SILVER}Originally ordered by the GWR, the 18000 used a gas turbine to match the power output of the King Class. This resulted in it being unreliable and expensive to run.</v>
      </c>
    </row>
    <row r="351" customFormat="false" ht="14.25" hidden="false" customHeight="false" outlineLevel="0" collapsed="false">
      <c r="A351" s="0" t="s">
        <v>1268</v>
      </c>
      <c r="B351" s="42" t="s">
        <v>1269</v>
      </c>
      <c r="C351" s="0" t="n">
        <v>1043</v>
      </c>
      <c r="E351" s="0" t="n">
        <v>22</v>
      </c>
      <c r="F351" s="0" t="s">
        <v>143</v>
      </c>
      <c r="G351" s="0" t="s">
        <v>445</v>
      </c>
      <c r="H351" s="0" t="s">
        <v>670</v>
      </c>
      <c r="I351" s="0" t="s">
        <v>92</v>
      </c>
      <c r="J351" s="0" t="n">
        <v>1957</v>
      </c>
      <c r="K351" s="0" t="n">
        <v>1961</v>
      </c>
      <c r="L351" s="0" t="n">
        <v>1993</v>
      </c>
      <c r="N351" s="0" t="n">
        <v>200</v>
      </c>
      <c r="W351" s="0" t="n">
        <v>30</v>
      </c>
      <c r="Z351" s="0" t="n">
        <v>70</v>
      </c>
      <c r="AA351" s="3" t="n">
        <f aca="false">IF(AND(W351&gt;0,Z351&gt;0),(Z351/((W351+X351)*10)),"")</f>
        <v>0.233333333333333</v>
      </c>
      <c r="AB351" s="0" t="n">
        <v>28</v>
      </c>
      <c r="AC351" s="0" t="n">
        <f aca="false">ROUND(AB351*1.6, 0)</f>
        <v>45</v>
      </c>
      <c r="AF351" s="0" t="n">
        <v>8</v>
      </c>
      <c r="AG351" s="0" t="n">
        <v>9.5</v>
      </c>
      <c r="AK351" s="16" t="str">
        <f aca="false">CONCATENATE(VLOOKUP(AL351, '[2]Voxel Sizes'!$A$2:$B$18,2,FALSE()),"x",INT(AH351*15), "x", INT(AI351*15))</f>
        <v>102x0x0</v>
      </c>
      <c r="AL351" s="16" t="n">
        <f aca="false">ROUND(15*((AG351*10)/256),0)</f>
        <v>6</v>
      </c>
      <c r="AN351" s="16" t="str">
        <f aca="false">CONCATENATE(VLOOKUP(AL351,[2]Constants!$A$2:$C$16,IF(AM351&lt;&gt;"", 3, 2), FALSE()),IF(AM351&lt;&gt;"",CONCATENATE(",",VLOOKUP(AM351,$B:$AN,39,FALSE())),""))</f>
        <v>2,2,2</v>
      </c>
      <c r="AV351" s="0" t="n">
        <v>1</v>
      </c>
      <c r="AX351" s="0" t="n">
        <v>40</v>
      </c>
      <c r="AY351" s="16" t="n">
        <f aca="false">IF(L351&lt;&gt;"",MAX(16,(L351-J351)+8),"")</f>
        <v>44</v>
      </c>
      <c r="BB351" s="43" t="n">
        <f aca="false">MIN(AB351/150, 1)*30</f>
        <v>5.6</v>
      </c>
      <c r="BC351" s="43" t="n">
        <f aca="false">MIN(N351/4000, 1)*20</f>
        <v>1</v>
      </c>
      <c r="BD351" s="43" t="n">
        <f aca="false">MIN(Z351/400,1)*20</f>
        <v>3.5</v>
      </c>
      <c r="BE351" s="44" t="n">
        <f aca="false">1-(MAX(J351-1900, 0)/750)</f>
        <v>0.924</v>
      </c>
      <c r="BF351" s="43" t="n">
        <f aca="false">((MAX($M351,1)*MIN($AJ351/300,1)))*IF(G351="Wagon",50,10)</f>
        <v>0</v>
      </c>
      <c r="BG351" s="43" t="n">
        <f aca="false">VLOOKUP($H351,[2]Constants!$I$1:$K$1048576, 2, FALSE())</f>
        <v>1</v>
      </c>
      <c r="BH351" s="43" t="n">
        <f aca="false">VLOOKUP($H351,[2]Constants!$I$1:$K$1048576, 3, FALSE())*IF(AND(G351="multiple_unit",AB351&lt;110),0.75,1)</f>
        <v>2</v>
      </c>
      <c r="BI351" s="43" t="n">
        <f aca="false">INT(POWER((([2]Constants!$G$2+$BB351+$BC351+$BD351+$BF351)*$BE351)*$BH351, 1.05))+$BA351</f>
        <v>32</v>
      </c>
      <c r="BJ351" s="43" t="n">
        <f aca="false">INT(POWER(((([2]Constants!$G$1+$BB351+$BC351+$BD351+$BF351)*($BE351))*$BG351),IF($G351="wagon",1,1.2)))+$AZ351</f>
        <v>43</v>
      </c>
      <c r="BK351" s="45" t="n">
        <f aca="false">BI351*IF($G351="wagon",62.5,781.25)</f>
        <v>25000</v>
      </c>
      <c r="BL351" s="45" t="n">
        <f aca="false">BJ351*IF($G351="wagon",2.73,81.25)</f>
        <v>3493.75</v>
      </c>
      <c r="BV351" s="0" t="n">
        <v>8</v>
      </c>
      <c r="CA351" s="46" t="s">
        <v>1270</v>
      </c>
      <c r="CB351" s="0" t="s">
        <v>513</v>
      </c>
      <c r="CC351" s="46" t="str">
        <f aca="false">CONCATENATE(CA351,"_",CB351)</f>
        <v>dsl_Cheap</v>
      </c>
      <c r="CD351" s="46" t="str">
        <f aca="false">_xlfn.CONCAT(H351, "_",I351)</f>
        <v>diesel_RAIL</v>
      </c>
      <c r="CE351" s="6" t="str">
        <f aca="false" t="array" ref="CE351:CE351">IF(AN351&lt;&gt;"na", _xlfn.CONCAT("{BLACK}Length: {GOLD}", TEXT(ROUNDUP(IF(AQ351&lt;&gt;"",SUM(VALUE(_xlfn.TEXTSPLIT(AQ351, ","))), SUM(VALUE(_xlfn.TEXTSPLIT(AN351, ",")))*IF(M351, M351, 1))/16, 1),"#,##0.0"), " tiles{}"), "")</f>
        <v>{BLACK}Length: {GOLD}0.4 tiles{}</v>
      </c>
      <c r="CF351" s="46" t="str">
        <f aca="false">VLOOKUP($CD351, [2]Constants!$M$1:$N$1048576, 2, FALSE())</f>
        <v>{BLACK}Powered by: {GOLD}Diesel</v>
      </c>
      <c r="CG351" s="46" t="str">
        <f aca="false">IF(AND(L351&gt;1,BN351&lt;&gt;1),_xlfn.CONCAT("{BLACK}Cars: {GOLD}", L351),"")</f>
        <v>{BLACK}Cars: {GOLD}1993</v>
      </c>
      <c r="CH351" s="0" t="s">
        <v>1271</v>
      </c>
      <c r="CI351" s="0" t="str">
        <f aca="false">IF($BU351="!param_no_gameplay_units","{GREEN}Included for gameplay purposes","")</f>
        <v/>
      </c>
      <c r="CJ351" s="0" t="str">
        <f aca="false">IF(BX351="buffet","{YELLOW}25% long distance bonus for consist{}",IF(BY351="DANDY","{YELLOW}Faster downhill speeds for horse-drawn trains (1 required per 2 horses){}",IF(BY351="BRAKE","{YELLOW}Speed bonus for slow wagons{}",IF(BY351="NGPassengers","{YELLOW}Preserved railway bonus: passengers pay more when hauled by old locomotives{}",IF(AND(BW351&gt;190,NOT(AND(I351="NARROW_GAUGE",BY351&lt;&gt;"PASS"))),CONCATENATE("{YELLOW}",INT((BW351-185)/1.85),"% bonus for long distance travel{}"),IF(AND(BW351&lt;180,BW351&lt;&gt;0),CONCATENATE("{YELLOW}",INT((185-BW351)/1.85),"% penalty for long distance travel{}"),""))))))</f>
        <v/>
      </c>
      <c r="CK351" s="0" t="str">
        <f aca="false">_xlfn.CONCAT(CF351,IF(CF351&lt;&gt;""," ",""),CG351,IF(OR(CG351&lt;&gt;"",CF351&lt;&gt;""),"{}",""),CE351,CJ351,"{SILVER}",CH351,IF(CI351&lt;&gt;"","{}{}",""),CI351)</f>
        <v>{BLACK}Powered by: {GOLD}Diesel {BLACK}Cars: {GOLD}1993{}{BLACK}Length: {GOLD}0.4 tiles{}{SILVER}The Class 03 is a diesel-mechanical shunter, with a five speed manual gearbox driven through a fluid coupling. They were most useful in areas where the Class 08 was too large and heavy to operate.</v>
      </c>
    </row>
    <row r="352" customFormat="false" ht="14.25" hidden="false" customHeight="false" outlineLevel="0" collapsed="false">
      <c r="A352" s="0" t="s">
        <v>1272</v>
      </c>
      <c r="B352" s="42" t="s">
        <v>1273</v>
      </c>
      <c r="C352" s="0" t="n">
        <v>1044</v>
      </c>
      <c r="E352" s="0" t="n">
        <v>23</v>
      </c>
      <c r="F352" s="0" t="s">
        <v>143</v>
      </c>
      <c r="G352" s="0" t="s">
        <v>445</v>
      </c>
      <c r="H352" s="0" t="s">
        <v>670</v>
      </c>
      <c r="I352" s="0" t="s">
        <v>92</v>
      </c>
      <c r="J352" s="0" t="n">
        <v>1961</v>
      </c>
      <c r="L352" s="0" t="n">
        <v>1978</v>
      </c>
      <c r="N352" s="0" t="n">
        <v>2880</v>
      </c>
      <c r="W352" s="0" t="n">
        <v>117</v>
      </c>
      <c r="Z352" s="0" t="n">
        <v>266</v>
      </c>
      <c r="AA352" s="3" t="n">
        <f aca="false">IF(AND(W352&gt;0,Z352&gt;0),(Z352/((W352+X352)*10)),"")</f>
        <v>0.227350427350427</v>
      </c>
      <c r="AB352" s="0" t="n">
        <v>100</v>
      </c>
      <c r="AC352" s="0" t="n">
        <f aca="false">ROUND(AB352*1.6, 0)</f>
        <v>160</v>
      </c>
      <c r="AF352" s="0" t="n">
        <v>20.98</v>
      </c>
      <c r="AG352" s="0" t="n">
        <v>20.98</v>
      </c>
      <c r="AH352" s="0" t="n">
        <v>2.69</v>
      </c>
      <c r="AI352" s="0" t="n">
        <v>3.91</v>
      </c>
      <c r="AK352" s="16" t="str">
        <f aca="false">CONCATENATE(VLOOKUP(AL352, '[2]Voxel Sizes'!$A$2:$B$18,2,FALSE()),"x",INT(AH352*15), "x", INT(AI352*15))</f>
        <v>198x40x58</v>
      </c>
      <c r="AL352" s="16" t="n">
        <f aca="false">ROUND(15*((AG352*10)/256),0)</f>
        <v>12</v>
      </c>
      <c r="AN352" s="16" t="str">
        <f aca="false">CONCATENATE(VLOOKUP(AL352,[2]Constants!$A$2:$C$16,IF(AM352&lt;&gt;"", 3, 2), FALSE()),IF(AM352&lt;&gt;"",CONCATENATE(",",VLOOKUP(AM352,$B:$AN,39,FALSE())),""))</f>
        <v>4,4,4</v>
      </c>
      <c r="AX352" s="0" t="n">
        <v>22</v>
      </c>
      <c r="AY352" s="16" t="n">
        <f aca="false">IF(L352&lt;&gt;"",MAX(16,(L352-J352)+8),"")</f>
        <v>25</v>
      </c>
      <c r="AZ352" s="0" t="n">
        <v>2</v>
      </c>
      <c r="BA352" s="0" t="n">
        <v>3</v>
      </c>
      <c r="BB352" s="43" t="n">
        <f aca="false">MIN(AB352/150, 1)*30</f>
        <v>20</v>
      </c>
      <c r="BC352" s="43" t="n">
        <f aca="false">MIN(N352/4000, 1)*20</f>
        <v>14.4</v>
      </c>
      <c r="BD352" s="43" t="n">
        <f aca="false">MIN(Z352/400,1)*20</f>
        <v>13.3</v>
      </c>
      <c r="BE352" s="44" t="n">
        <f aca="false">1-(MAX(J352-1900, 0)/750)</f>
        <v>0.918666666666667</v>
      </c>
      <c r="BF352" s="43" t="n">
        <f aca="false">((MAX($M352,1)*MIN($AJ352/300,1)))*IF(G352="Wagon",50,10)</f>
        <v>0</v>
      </c>
      <c r="BG352" s="43" t="n">
        <f aca="false">VLOOKUP($H352,[2]Constants!$I$1:$K$1048576, 2, FALSE())</f>
        <v>1</v>
      </c>
      <c r="BH352" s="43" t="n">
        <f aca="false">VLOOKUP($H352,[2]Constants!$I$1:$K$1048576, 3, FALSE())*IF(AND(G352="multiple_unit",AB352&lt;110),0.75,1)</f>
        <v>2</v>
      </c>
      <c r="BI352" s="43" t="n">
        <f aca="false">INT(POWER((([2]Constants!$G$2+$BB352+$BC352+$BD352+$BF352)*$BE352)*$BH352, 1.05))+$BA352</f>
        <v>124</v>
      </c>
      <c r="BJ352" s="43" t="n">
        <f aca="false">INT(POWER(((([2]Constants!$G$1+$BB352+$BC352+$BD352+$BF352)*($BE352))*$BG352),IF($G352="wagon",1,1.2)))+$AZ352</f>
        <v>131</v>
      </c>
      <c r="BK352" s="45" t="n">
        <f aca="false">BI352*IF($G352="wagon",62.5,781.25)</f>
        <v>96875</v>
      </c>
      <c r="BL352" s="45" t="n">
        <f aca="false">BJ352*IF($G352="wagon",2.73,81.25)</f>
        <v>10643.75</v>
      </c>
      <c r="BV352" s="0" t="n">
        <v>6</v>
      </c>
      <c r="CA352" s="46" t="str">
        <f aca="false">VLOOKUP(J352,[2]Eras!$A$2:$C$10, 2, TRUE())</f>
        <v>dsl</v>
      </c>
      <c r="CB352" s="0" t="s">
        <v>478</v>
      </c>
      <c r="CC352" s="46" t="str">
        <f aca="false">CONCATENATE(CA352,"_",CB352)</f>
        <v>dsl_Freight</v>
      </c>
      <c r="CD352" s="46" t="str">
        <f aca="false">_xlfn.CONCAT(H352, "_",I352)</f>
        <v>diesel_RAIL</v>
      </c>
      <c r="CE352" s="6" t="str">
        <f aca="false" t="array" ref="CE352:CE352">IF(AN352&lt;&gt;"na", _xlfn.CONCAT("{BLACK}Length: {GOLD}", TEXT(ROUNDUP(IF(AQ352&lt;&gt;"",SUM(VALUE(_xlfn.TEXTSPLIT(AQ352, ","))), SUM(VALUE(_xlfn.TEXTSPLIT(AN352, ",")))*IF(M352, M352, 1))/16, 1),"#,##0.0"), " tiles{}"), "")</f>
        <v>{BLACK}Length: {GOLD}0.8 tiles{}</v>
      </c>
      <c r="CF352" s="46" t="str">
        <f aca="false">VLOOKUP($CD352, [2]Constants!$M$1:$N$1048576, 2, FALSE())</f>
        <v>{BLACK}Powered by: {GOLD}Diesel</v>
      </c>
      <c r="CG352" s="46" t="str">
        <f aca="false">IF(AND(L352&gt;1,BN352&lt;&gt;1),_xlfn.CONCAT("{BLACK}Cars: {GOLD}", L352),"")</f>
        <v>{BLACK}Cars: {GOLD}1978</v>
      </c>
      <c r="CH352" s="0" t="s">
        <v>1274</v>
      </c>
      <c r="CI352" s="0" t="str">
        <f aca="false">IF($BU352="!param_no_gameplay_units","{GREEN}Included for gameplay purposes","")</f>
        <v/>
      </c>
      <c r="CJ352" s="0" t="str">
        <f aca="false">IF(BX352="buffet","{YELLOW}25% long distance bonus for consist{}",IF(BY352="DANDY","{YELLOW}Faster downhill speeds for horse-drawn trains (1 required per 2 horses){}",IF(BY352="BRAKE","{YELLOW}Speed bonus for slow wagons{}",IF(BY352="NGPassengers","{YELLOW}Preserved railway bonus: passengers pay more when hauled by old locomotives{}",IF(AND(BW352&gt;190,NOT(AND(I352="NARROW_GAUGE",BY352&lt;&gt;"PASS"))),CONCATENATE("{YELLOW}",INT((BW352-185)/1.85),"% bonus for long distance travel{}"),IF(AND(BW352&lt;180,BW352&lt;&gt;0),CONCATENATE("{YELLOW}",INT((185-BW352)/1.85),"% penalty for long distance travel{}"),""))))))</f>
        <v/>
      </c>
      <c r="CK352" s="0" t="str">
        <f aca="false">_xlfn.CONCAT(CF352,IF(CF352&lt;&gt;""," ",""),CG352,IF(OR(CG352&lt;&gt;"",CF352&lt;&gt;""),"{}",""),CE352,CJ352,"{SILVER}",CH352,IF(CI352&lt;&gt;"","{}{}",""),CI352)</f>
        <v>{BLACK}Powered by: {GOLD}Diesel {BLACK}Cars: {GOLD}1978{}{BLACK}Length: {GOLD}0.8 tiles{}{SILVER}Brush's "Falcon" was a prototype for a new generation of Type 4 locomotives, but advances in single-engined diesel made the Falcon with its two Maybach diesels obsolete at the point of introduction.</v>
      </c>
    </row>
    <row r="353" customFormat="false" ht="14.25" hidden="false" customHeight="false" outlineLevel="0" collapsed="false">
      <c r="A353" s="0" t="s">
        <v>1275</v>
      </c>
      <c r="B353" s="42" t="s">
        <v>1276</v>
      </c>
      <c r="C353" s="0" t="n">
        <v>1045</v>
      </c>
      <c r="E353" s="0" t="n">
        <v>24</v>
      </c>
      <c r="F353" s="0" t="s">
        <v>143</v>
      </c>
      <c r="G353" s="0" t="s">
        <v>445</v>
      </c>
      <c r="H353" s="0" t="s">
        <v>670</v>
      </c>
      <c r="I353" s="0" t="s">
        <v>92</v>
      </c>
      <c r="J353" s="0" t="n">
        <v>1967</v>
      </c>
      <c r="L353" s="0" t="n">
        <v>1982</v>
      </c>
      <c r="N353" s="0" t="n">
        <v>4000</v>
      </c>
      <c r="W353" s="0" t="n">
        <v>126</v>
      </c>
      <c r="Z353" s="0" t="n">
        <v>270</v>
      </c>
      <c r="AA353" s="3" t="n">
        <f aca="false">IF(AND(W353&gt;0,Z353&gt;0),(Z353/((W353+X353)*10)),"")</f>
        <v>0.214285714285714</v>
      </c>
      <c r="AB353" s="0" t="n">
        <v>110</v>
      </c>
      <c r="AC353" s="0" t="n">
        <f aca="false">ROUND(AB353*1.6, 0)</f>
        <v>176</v>
      </c>
      <c r="AF353" s="0" t="n">
        <v>20.27</v>
      </c>
      <c r="AG353" s="0" t="n">
        <v>20.27</v>
      </c>
      <c r="AH353" s="0" t="n">
        <v>2.69</v>
      </c>
      <c r="AI353" s="0" t="n">
        <v>3.91</v>
      </c>
      <c r="AK353" s="16" t="str">
        <f aca="false">CONCATENATE(VLOOKUP(AL353, '[2]Voxel Sizes'!$A$2:$B$18,2,FALSE()),"x",INT(AH353*15), "x", INT(AI353*15))</f>
        <v>198x40x58</v>
      </c>
      <c r="AL353" s="16" t="n">
        <f aca="false">ROUND(15*((AG353*10)/256),0)</f>
        <v>12</v>
      </c>
      <c r="AN353" s="16" t="str">
        <f aca="false">CONCATENATE(VLOOKUP(AL353,[2]Constants!$A$2:$C$16,IF(AM353&lt;&gt;"", 3, 2), FALSE()),IF(AM353&lt;&gt;"",CONCATENATE(",",VLOOKUP(AM353,$B:$AN,39,FALSE())),""))</f>
        <v>4,4,4</v>
      </c>
      <c r="AX353" s="0" t="n">
        <v>21</v>
      </c>
      <c r="AY353" s="16" t="n">
        <f aca="false">IF(L353&lt;&gt;"",MAX(16,(L353-J353)+8),"")</f>
        <v>23</v>
      </c>
      <c r="BA353" s="0" t="n">
        <v>2</v>
      </c>
      <c r="BB353" s="43" t="n">
        <f aca="false">MIN(AB353/150, 1)*30</f>
        <v>22</v>
      </c>
      <c r="BC353" s="43" t="n">
        <f aca="false">MIN(N353/4000, 1)*20</f>
        <v>20</v>
      </c>
      <c r="BD353" s="43" t="n">
        <f aca="false">MIN(Z353/400,1)*20</f>
        <v>13.5</v>
      </c>
      <c r="BE353" s="44" t="n">
        <f aca="false">1-(MAX(J353-1900, 0)/750)</f>
        <v>0.910666666666667</v>
      </c>
      <c r="BF353" s="43" t="n">
        <f aca="false">((MAX($M353,1)*MIN($AJ353/300,1)))*IF(G353="Wagon",50,10)</f>
        <v>0</v>
      </c>
      <c r="BG353" s="43" t="n">
        <f aca="false">VLOOKUP($H353,[2]Constants!$I$1:$K$1048576, 2, FALSE())</f>
        <v>1</v>
      </c>
      <c r="BH353" s="43" t="n">
        <f aca="false">VLOOKUP($H353,[2]Constants!$I$1:$K$1048576, 3, FALSE())*IF(AND(G353="multiple_unit",AB353&lt;110),0.75,1)</f>
        <v>2</v>
      </c>
      <c r="BI353" s="43" t="n">
        <f aca="false">INT(POWER((([2]Constants!$G$2+$BB353+$BC353+$BD353+$BF353)*$BE353)*$BH353, 1.05))+$BA353</f>
        <v>141</v>
      </c>
      <c r="BJ353" s="43" t="n">
        <f aca="false">INT(POWER(((([2]Constants!$G$1+$BB353+$BC353+$BD353+$BF353)*($BE353))*$BG353),IF($G353="wagon",1,1.2)))+$AZ353</f>
        <v>147</v>
      </c>
      <c r="BK353" s="45" t="n">
        <f aca="false">BI353*IF($G353="wagon",62.5,781.25)</f>
        <v>110156.25</v>
      </c>
      <c r="BL353" s="45" t="n">
        <f aca="false">BJ353*IF($G353="wagon",2.73,81.25)</f>
        <v>11943.75</v>
      </c>
      <c r="BV353" s="0" t="n">
        <v>6</v>
      </c>
      <c r="CA353" s="46" t="str">
        <f aca="false">VLOOKUP(J353,[2]Eras!$A$2:$C$10, 2, TRUE())</f>
        <v>dsl</v>
      </c>
      <c r="CB353" s="0" t="s">
        <v>478</v>
      </c>
      <c r="CC353" s="46" t="str">
        <f aca="false">CONCATENATE(CA353,"_",CB353)</f>
        <v>dsl_Freight</v>
      </c>
      <c r="CD353" s="46" t="str">
        <f aca="false">_xlfn.CONCAT(H353, "_",I353)</f>
        <v>diesel_RAIL</v>
      </c>
      <c r="CE353" s="6" t="str">
        <f aca="false" t="array" ref="CE353:CE353">IF(AN353&lt;&gt;"na", _xlfn.CONCAT("{BLACK}Length: {GOLD}", TEXT(ROUNDUP(IF(AQ353&lt;&gt;"",SUM(VALUE(_xlfn.TEXTSPLIT(AQ353, ","))), SUM(VALUE(_xlfn.TEXTSPLIT(AN353, ",")))*IF(M353, M353, 1))/16, 1),"#,##0.0"), " tiles{}"), "")</f>
        <v>{BLACK}Length: {GOLD}0.8 tiles{}</v>
      </c>
      <c r="CF353" s="46" t="str">
        <f aca="false">VLOOKUP($CD353, [2]Constants!$M$1:$N$1048576, 2, FALSE())</f>
        <v>{BLACK}Powered by: {GOLD}Diesel</v>
      </c>
      <c r="CG353" s="46" t="str">
        <f aca="false">IF(AND(L353&gt;1,BN353&lt;&gt;1),_xlfn.CONCAT("{BLACK}Cars: {GOLD}", L353),"")</f>
        <v>{BLACK}Cars: {GOLD}1982</v>
      </c>
      <c r="CH353" s="0" t="s">
        <v>1277</v>
      </c>
      <c r="CI353" s="0" t="str">
        <f aca="false">IF($BU353="!param_no_gameplay_units","{GREEN}Included for gameplay purposes","")</f>
        <v/>
      </c>
      <c r="CJ353" s="0" t="str">
        <f aca="false">IF(BX353="buffet","{YELLOW}25% long distance bonus for consist{}",IF(BY353="DANDY","{YELLOW}Faster downhill speeds for horse-drawn trains (1 required per 2 horses){}",IF(BY353="BRAKE","{YELLOW}Speed bonus for slow wagons{}",IF(BY353="NGPassengers","{YELLOW}Preserved railway bonus: passengers pay more when hauled by old locomotives{}",IF(AND(BW353&gt;190,NOT(AND(I353="NARROW_GAUGE",BY353&lt;&gt;"PASS"))),CONCATENATE("{YELLOW}",INT((BW353-185)/1.85),"% bonus for long distance travel{}"),IF(AND(BW353&lt;180,BW353&lt;&gt;0),CONCATENATE("{YELLOW}",INT((185-BW353)/1.85),"% penalty for long distance travel{}"),""))))))</f>
        <v/>
      </c>
      <c r="CK353" s="0" t="str">
        <f aca="false">_xlfn.CONCAT(CF353,IF(CF353&lt;&gt;""," ",""),CG353,IF(OR(CG353&lt;&gt;"",CF353&lt;&gt;""),"{}",""),CE353,CJ353,"{SILVER}",CH353,IF(CI353&lt;&gt;"","{}{}",""),CI353)</f>
        <v>{BLACK}Powered by: {GOLD}Diesel {BLACK}Cars: {GOLD}1982{}{BLACK}Length: {GOLD}0.8 tiles{}{SILVER}The Brush "Kestrel" was a prototype high speed diesel locomotive. After a brief period of service in the UK it was sold to the Soviet Union, where it was re-gauged and used for testing.</v>
      </c>
    </row>
    <row r="354" customFormat="false" ht="14.25" hidden="false" customHeight="false" outlineLevel="0" collapsed="false">
      <c r="A354" s="0" t="s">
        <v>1278</v>
      </c>
      <c r="B354" s="42" t="s">
        <v>1279</v>
      </c>
      <c r="C354" s="0" t="n">
        <v>1046</v>
      </c>
      <c r="E354" s="0" t="n">
        <v>500</v>
      </c>
      <c r="F354" s="0" t="s">
        <v>143</v>
      </c>
      <c r="G354" s="0" t="s">
        <v>445</v>
      </c>
      <c r="H354" s="0" t="s">
        <v>791</v>
      </c>
      <c r="I354" s="0" t="s">
        <v>92</v>
      </c>
      <c r="J354" s="0" t="n">
        <v>1979</v>
      </c>
      <c r="N354" s="0" t="n">
        <v>50</v>
      </c>
      <c r="W354" s="0" t="n">
        <v>33</v>
      </c>
      <c r="Y354" s="0" t="n">
        <v>5</v>
      </c>
      <c r="Z354" s="0" t="n">
        <v>5</v>
      </c>
      <c r="AA354" s="3" t="n">
        <f aca="false">IF(AND(W354&gt;0,Z354&gt;0),(Z354/((W354+X354)*10)),"")</f>
        <v>0.0151515151515152</v>
      </c>
      <c r="AB354" s="0" t="n">
        <v>100</v>
      </c>
      <c r="AC354" s="0" t="n">
        <f aca="false">ROUND(AB354*1.6, 0)</f>
        <v>160</v>
      </c>
      <c r="AF354" s="0" t="n">
        <v>20.12</v>
      </c>
      <c r="AG354" s="0" t="n">
        <v>20.12</v>
      </c>
      <c r="AJ354" s="4" t="n">
        <v>36</v>
      </c>
      <c r="AK354" s="16" t="str">
        <f aca="false">CONCATENATE(VLOOKUP(AL354, '[2]Voxel Sizes'!$A$2:$B$18,2,FALSE()),"x",INT(AH354*15), "x", INT(AI354*15))</f>
        <v>198x0x0</v>
      </c>
      <c r="AL354" s="16" t="n">
        <f aca="false">ROUND(15*((AG354*10)/256),0)</f>
        <v>12</v>
      </c>
      <c r="AN354" s="16" t="str">
        <f aca="false">CONCATENATE(VLOOKUP(AL354,[2]Constants!$A$2:$C$16,IF(AM354&lt;&gt;"", 3, 2), FALSE()),IF(AM354&lt;&gt;"",CONCATENATE(",",VLOOKUP(AM354,$B:$AN,39,FALSE())),""))</f>
        <v>4,4,4</v>
      </c>
      <c r="AX354" s="0" t="n">
        <v>33</v>
      </c>
      <c r="AY354" s="16" t="str">
        <f aca="false">IF(L354&lt;&gt;"",MAX(16,(L354-J354)+8),"")</f>
        <v/>
      </c>
      <c r="AZ354" s="0" t="n">
        <v>-35</v>
      </c>
      <c r="BA354" s="0" t="n">
        <v>-52</v>
      </c>
      <c r="BB354" s="43" t="n">
        <f aca="false">MIN(AB354/150, 1)*30</f>
        <v>20</v>
      </c>
      <c r="BC354" s="43" t="n">
        <f aca="false">MIN(N354/4000, 1)*20</f>
        <v>0.25</v>
      </c>
      <c r="BD354" s="43" t="n">
        <f aca="false">MIN(Z354/400,1)*20</f>
        <v>0.25</v>
      </c>
      <c r="BE354" s="44" t="n">
        <f aca="false">1-(MAX(J354-1900, 0)/750)</f>
        <v>0.894666666666667</v>
      </c>
      <c r="BF354" s="43" t="n">
        <f aca="false">((MAX($M354,1)*MIN($AJ354/300,1)))*IF(G354="Wagon",50,10)</f>
        <v>1.2</v>
      </c>
      <c r="BG354" s="43" t="n">
        <f aca="false">VLOOKUP($H354,[2]Constants!$I$1:$K$1048576, 2, FALSE())</f>
        <v>0.85</v>
      </c>
      <c r="BH354" s="43" t="n">
        <f aca="false">VLOOKUP($H354,[2]Constants!$I$1:$K$1048576, 3, FALSE())*IF(AND(G354="multiple_unit",AB354&lt;110),0.75,1)</f>
        <v>2.3</v>
      </c>
      <c r="BI354" s="43" t="n">
        <f aca="false">INT(POWER((([2]Constants!$G$2+$BB354+$BC354+$BD354+$BF354)*$BE354)*$BH354, 1.05))+$BA354</f>
        <v>15</v>
      </c>
      <c r="BJ354" s="43" t="n">
        <f aca="false">INT(POWER(((([2]Constants!$G$1+$BB354+$BC354+$BD354+$BF354)*($BE354))*$BG354),IF($G354="wagon",1,1.2)))+$AZ354</f>
        <v>19</v>
      </c>
      <c r="BK354" s="45" t="n">
        <f aca="false">BI354*IF($G354="wagon",62.5,781.25)</f>
        <v>11718.75</v>
      </c>
      <c r="BL354" s="45" t="n">
        <f aca="false">BJ354*IF($G354="wagon",2.73,81.25)</f>
        <v>1543.75</v>
      </c>
      <c r="BM354" s="0" t="n">
        <v>1</v>
      </c>
      <c r="BN354" s="0" t="n">
        <v>1</v>
      </c>
      <c r="BV354" s="0" t="n">
        <v>7</v>
      </c>
      <c r="BY354" s="0" t="s">
        <v>147</v>
      </c>
      <c r="BZ354" s="0" t="s">
        <v>148</v>
      </c>
      <c r="CA354" s="46" t="str">
        <f aca="false">VLOOKUP(J354,[2]Eras!$A$2:$C$10, 2, TRUE())</f>
        <v>lbr</v>
      </c>
      <c r="CB354" s="0" t="s">
        <v>689</v>
      </c>
      <c r="CC354" s="46" t="str">
        <f aca="false">CONCATENATE(CA354,"_",CB354)</f>
        <v>lbr_Express (Electric)</v>
      </c>
      <c r="CD354" s="46" t="str">
        <f aca="false">_xlfn.CONCAT(H354, "_",I354)</f>
        <v>none_RAIL</v>
      </c>
      <c r="CE354" s="6" t="str">
        <f aca="false" t="array" ref="CE354:CE354">IF(AN354&lt;&gt;"na", _xlfn.CONCAT("{BLACK}Length: {GOLD}", TEXT(ROUNDUP(IF(AQ354&lt;&gt;"",SUM(VALUE(_xlfn.TEXTSPLIT(AQ354, ","))), SUM(VALUE(_xlfn.TEXTSPLIT(AN354, ",")))*IF(M354, M354, 1))/16, 1),"#,##0.0"), " tiles{}"), "")</f>
        <v>{BLACK}Length: {GOLD}0.8 tiles{}</v>
      </c>
      <c r="CF354" s="46" t="str">
        <f aca="false">VLOOKUP($CD354, [2]Constants!$M$1:$N$1048576, 2, FALSE())</f>
        <v/>
      </c>
      <c r="CG354" s="46" t="str">
        <f aca="false">IF(AND(L354&gt;1,BN354&lt;&gt;1),_xlfn.CONCAT("{BLACK}Cars: {GOLD}", L354),"")</f>
        <v/>
      </c>
      <c r="CH354" s="0" t="s">
        <v>1280</v>
      </c>
      <c r="CI354" s="0" t="str">
        <f aca="false">IF($BU354="!param_no_gameplay_units","{GREEN}Included for gameplay purposes","")</f>
        <v/>
      </c>
      <c r="CJ354" s="0" t="str">
        <f aca="false">IF(BX354="buffet","{YELLOW}25% long distance bonus for consist{}",IF(BY354="DANDY","{YELLOW}Faster downhill speeds for horse-drawn trains (1 required per 2 horses){}",IF(BY354="BRAKE","{YELLOW}Speed bonus for slow wagons{}",IF(BY354="NGPassengers","{YELLOW}Preserved railway bonus: passengers pay more when hauled by old locomotives{}",IF(AND(BW354&gt;190,NOT(AND(I354="NARROW_GAUGE",BY354&lt;&gt;"PASS"))),CONCATENATE("{YELLOW}",INT((BW354-185)/1.85),"% bonus for long distance travel{}"),IF(AND(BW354&lt;180,BW354&lt;&gt;0),CONCATENATE("{YELLOW}",INT((185-BW354)/1.85),"% penalty for long distance travel{}"),""))))))</f>
        <v/>
      </c>
      <c r="CK354" s="0" t="str">
        <f aca="false">_xlfn.CONCAT(CF354,IF(CF354&lt;&gt;""," ",""),CG354,IF(OR(CG354&lt;&gt;"",CF354&lt;&gt;""),"{}",""),CE354,CJ354,"{SILVER}",CH354,IF(CI354&lt;&gt;"","{}{}",""),CI354)</f>
        <v>{BLACK}Length: {GOLD}0.8 tiles{}{SILVER}The DBSO is a driving trailer built from a converted Mk2F carriage. They were first used with Class 47 locomotives for a push-pull service that could be driven from either end.</v>
      </c>
    </row>
    <row r="355" customFormat="false" ht="14.25" hidden="false" customHeight="false" outlineLevel="0" collapsed="false">
      <c r="A355" s="0" t="s">
        <v>1281</v>
      </c>
      <c r="B355" s="42" t="s">
        <v>1282</v>
      </c>
      <c r="C355" s="0" t="n">
        <v>1047</v>
      </c>
      <c r="E355" s="0" t="n">
        <v>501</v>
      </c>
      <c r="F355" s="0" t="s">
        <v>143</v>
      </c>
      <c r="G355" s="0" t="s">
        <v>445</v>
      </c>
      <c r="H355" s="0" t="s">
        <v>791</v>
      </c>
      <c r="I355" s="0" t="s">
        <v>92</v>
      </c>
      <c r="J355" s="0" t="n">
        <v>2017</v>
      </c>
      <c r="N355" s="0" t="n">
        <v>50</v>
      </c>
      <c r="W355" s="0" t="n">
        <v>40</v>
      </c>
      <c r="Y355" s="0" t="n">
        <v>5</v>
      </c>
      <c r="Z355" s="0" t="n">
        <v>5</v>
      </c>
      <c r="AA355" s="3" t="n">
        <f aca="false">IF(AND(W355&gt;0,Z355&gt;0),(Z355/((W355+X355)*10)),"")</f>
        <v>0.0125</v>
      </c>
      <c r="AB355" s="0" t="n">
        <v>125</v>
      </c>
      <c r="AC355" s="0" t="n">
        <f aca="false">ROUND(AB355*1.6, 0)</f>
        <v>200</v>
      </c>
      <c r="AF355" s="0" t="n">
        <v>23</v>
      </c>
      <c r="AG355" s="0" t="n">
        <v>23</v>
      </c>
      <c r="AJ355" s="4" t="n">
        <v>57</v>
      </c>
      <c r="AK355" s="16" t="str">
        <f aca="false">CONCATENATE(VLOOKUP(AL355, '[2]Voxel Sizes'!$A$2:$B$18,2,FALSE()),"x",INT(AH355*15), "x", INT(AI355*15))</f>
        <v>214x0x0</v>
      </c>
      <c r="AL355" s="16" t="n">
        <f aca="false">ROUND(15*((AG355*10)/256),0)</f>
        <v>13</v>
      </c>
      <c r="AN355" s="16" t="str">
        <f aca="false">CONCATENATE(VLOOKUP(AL355,[2]Constants!$A$2:$C$16,IF(AM355&lt;&gt;"", 3, 2), FALSE()),IF(AM355&lt;&gt;"",CONCATENATE(",",VLOOKUP(AM355,$B:$AN,39,FALSE())),""))</f>
        <v>4,5,4</v>
      </c>
      <c r="AX355" s="0" t="n">
        <v>30</v>
      </c>
      <c r="AY355" s="16" t="str">
        <f aca="false">IF(L355&lt;&gt;"",MAX(16,(L355-J355)+8),"")</f>
        <v/>
      </c>
      <c r="AZ355" s="0" t="n">
        <v>-35</v>
      </c>
      <c r="BA355" s="0" t="n">
        <v>-57</v>
      </c>
      <c r="BB355" s="43" t="n">
        <f aca="false">MIN(AB355/150, 1)*30</f>
        <v>25</v>
      </c>
      <c r="BC355" s="43" t="n">
        <f aca="false">MIN(N355/4000, 1)*20</f>
        <v>0.25</v>
      </c>
      <c r="BD355" s="43" t="n">
        <f aca="false">MIN(Z355/400,1)*20</f>
        <v>0.25</v>
      </c>
      <c r="BE355" s="44" t="n">
        <f aca="false">1-(MAX(J355-1900, 0)/750)</f>
        <v>0.844</v>
      </c>
      <c r="BF355" s="43" t="n">
        <f aca="false">((MAX($M355,1)*MIN($AJ355/300,1)))*IF(G355="Wagon",50,10)</f>
        <v>1.9</v>
      </c>
      <c r="BG355" s="43" t="n">
        <f aca="false">VLOOKUP($H355,[2]Constants!$I$1:$K$1048576, 2, FALSE())</f>
        <v>0.85</v>
      </c>
      <c r="BH355" s="43" t="n">
        <f aca="false">VLOOKUP($H355,[2]Constants!$I$1:$K$1048576, 3, FALSE())*IF(AND(G355="multiple_unit",AB355&lt;110),0.75,1)</f>
        <v>2.3</v>
      </c>
      <c r="BI355" s="43" t="n">
        <f aca="false">INT(POWER((([2]Constants!$G$2+$BB355+$BC355+$BD355+$BF355)*$BE355)*$BH355, 1.05))+$BA355</f>
        <v>20</v>
      </c>
      <c r="BJ355" s="43" t="n">
        <f aca="false">INT(POWER(((([2]Constants!$G$1+$BB355+$BC355+$BD355+$BF355)*($BE355))*$BG355),IF($G355="wagon",1,1.2)))+$AZ355</f>
        <v>25</v>
      </c>
      <c r="BK355" s="45" t="n">
        <f aca="false">BI355*IF($G355="wagon",62.5,781.25)</f>
        <v>15625</v>
      </c>
      <c r="BL355" s="45" t="n">
        <f aca="false">BJ355*IF($G355="wagon",2.73,81.25)</f>
        <v>2031.25</v>
      </c>
      <c r="BM355" s="0" t="n">
        <v>1</v>
      </c>
      <c r="BN355" s="0" t="n">
        <v>1</v>
      </c>
      <c r="BV355" s="0" t="n">
        <v>1</v>
      </c>
      <c r="BW355" s="0" t="n">
        <v>222</v>
      </c>
      <c r="BY355" s="0" t="s">
        <v>147</v>
      </c>
      <c r="BZ355" s="0" t="s">
        <v>148</v>
      </c>
      <c r="CA355" s="46" t="str">
        <f aca="false">VLOOKUP(J355,[2]Eras!$A$2:$C$10, 2, TRUE())</f>
        <v>mod</v>
      </c>
      <c r="CB355" s="47" t="s">
        <v>689</v>
      </c>
      <c r="CC355" s="46" t="str">
        <f aca="false">CONCATENATE(CA355,"_",CB355)</f>
        <v>mod_Express (Electric)</v>
      </c>
      <c r="CD355" s="46" t="str">
        <f aca="false">_xlfn.CONCAT(H355, "_",I355)</f>
        <v>none_RAIL</v>
      </c>
      <c r="CE355" s="6" t="str">
        <f aca="false" t="array" ref="CE355:CE355">IF(AN355&lt;&gt;"na", _xlfn.CONCAT("{BLACK}Length: {GOLD}", TEXT(ROUNDUP(IF(AQ355&lt;&gt;"",SUM(VALUE(_xlfn.TEXTSPLIT(AQ355, ","))), SUM(VALUE(_xlfn.TEXTSPLIT(AN355, ",")))*IF(M355, M355, 1))/16, 1),"#,##0.0"), " tiles{}"), "")</f>
        <v>{BLACK}Length: {GOLD}0.9 tiles{}</v>
      </c>
      <c r="CF355" s="46" t="str">
        <f aca="false">VLOOKUP($CD355, [2]Constants!$M$1:$N$1048576, 2, FALSE())</f>
        <v/>
      </c>
      <c r="CG355" s="46" t="str">
        <f aca="false">IF(AND(L355&gt;1,BN355&lt;&gt;1),_xlfn.CONCAT("{BLACK}Cars: {GOLD}", L355),"")</f>
        <v/>
      </c>
      <c r="CH355" s="0" t="s">
        <v>1283</v>
      </c>
      <c r="CI355" s="0" t="str">
        <f aca="false">IF($BU355="!param_no_gameplay_units","{GREEN}Included for gameplay purposes","")</f>
        <v/>
      </c>
      <c r="CJ355" s="0" t="str">
        <f aca="false">IF(BX355="buffet","{YELLOW}25% long distance bonus for consist{}",IF(BY355="DANDY","{YELLOW}Faster downhill speeds for horse-drawn trains (1 required per 2 horses){}",IF(BY355="BRAKE","{YELLOW}Speed bonus for slow wagons{}",IF(BY355="NGPassengers","{YELLOW}Preserved railway bonus: passengers pay more when hauled by old locomotives{}",IF(AND(BW355&gt;190,NOT(AND(I355="NARROW_GAUGE",BY355&lt;&gt;"PASS"))),CONCATENATE("{YELLOW}",INT((BW355-185)/1.85),"% bonus for long distance travel{}"),IF(AND(BW355&lt;180,BW355&lt;&gt;0),CONCATENATE("{YELLOW}",INT((185-BW355)/1.85),"% penalty for long distance travel{}"),""))))))</f>
        <v>{YELLOW}20% bonus for long distance travel{}</v>
      </c>
      <c r="CK355" s="0" t="str">
        <f aca="false">_xlfn.CONCAT(CF355,IF(CF355&lt;&gt;""," ",""),CG355,IF(OR(CG355&lt;&gt;"",CF355&lt;&gt;""),"{}",""),CE355,CJ355,"{SILVER}",CH355,IF(CI355&lt;&gt;"","{}{}",""),CI355)</f>
        <v>{BLACK}Length: {GOLD}0.9 tiles{}{YELLOW}20% bonus for long distance travel{}{SILVER}Mark 5A carriage sets include a driving van trailer, enabling loco-hauled trains to be driven from both ends.</v>
      </c>
    </row>
    <row r="356" customFormat="false" ht="14.25" hidden="false" customHeight="false" outlineLevel="0" collapsed="false">
      <c r="A356" s="48" t="s">
        <v>1284</v>
      </c>
      <c r="B356" s="42" t="s">
        <v>1285</v>
      </c>
      <c r="C356" s="0" t="n">
        <v>1048</v>
      </c>
      <c r="E356" s="0" t="n">
        <v>-1</v>
      </c>
      <c r="G356" s="0" t="s">
        <v>1222</v>
      </c>
      <c r="H356" s="0" t="s">
        <v>144</v>
      </c>
      <c r="I356" s="0" t="s">
        <v>92</v>
      </c>
      <c r="AA356" s="3" t="str">
        <f aca="false">IF(AND(W356&gt;0,Z356&gt;0),(Z356/((W356+X356)*10)),"")</f>
        <v/>
      </c>
      <c r="AC356" s="0" t="n">
        <f aca="false">ROUND(AB356*1.6, 0)</f>
        <v>0</v>
      </c>
      <c r="AK356" s="16" t="str">
        <f aca="false">CONCATENATE(VLOOKUP(AL356, '[2]Voxel Sizes'!$A$2:$B$18,2,FALSE()),"x",INT(AH356*15), "x", INT(AI356*15))</f>
        <v>0x0x0</v>
      </c>
      <c r="AL356" s="16" t="n">
        <f aca="false">ROUND(15*((AG356*10)/256),0)</f>
        <v>0</v>
      </c>
      <c r="AN356" s="16" t="str">
        <f aca="false">CONCATENATE(VLOOKUP(AL356,[2]Constants!$A$2:$C$16,IF(AM356&lt;&gt;"", 3, 2), FALSE()),IF(AM356&lt;&gt;"",CONCATENATE(",",VLOOKUP(AM356,$B:$AN,39,FALSE())),""))</f>
        <v>na</v>
      </c>
      <c r="AY356" s="16" t="str">
        <f aca="false">IF(L356&lt;&gt;"",MAX(16,(L356-J356)+8),"")</f>
        <v/>
      </c>
      <c r="BB356" s="43" t="n">
        <f aca="false">MIN(AB356/150, 1)*30</f>
        <v>0</v>
      </c>
      <c r="BC356" s="43" t="n">
        <f aca="false">MIN(N356/4000, 1)*20</f>
        <v>0</v>
      </c>
      <c r="BD356" s="43" t="n">
        <f aca="false">MIN(Z356/400,1)*20</f>
        <v>0</v>
      </c>
      <c r="BE356" s="44" t="n">
        <f aca="false">1-(MAX(J356-1900, 0)/750)</f>
        <v>1</v>
      </c>
      <c r="BF356" s="43" t="n">
        <f aca="false">((MAX($M356,1)*MIN($AJ356/300,1)))*IF(G356="Wagon",50,10)</f>
        <v>0</v>
      </c>
      <c r="BG356" s="43" t="n">
        <f aca="false">VLOOKUP($H356,[2]Constants!$I$1:$K$1048576, 2, FALSE())</f>
        <v>1</v>
      </c>
      <c r="BH356" s="43" t="n">
        <f aca="false">VLOOKUP($H356,[2]Constants!$I$1:$K$1048576, 3, FALSE())*IF(AND(G356="multiple_unit",AB356&lt;110),0.75,1)</f>
        <v>0.45</v>
      </c>
      <c r="BI356" s="43" t="n">
        <f aca="false">INT(POWER((([2]Constants!$G$2+$BB356+$BC356+$BD356+$BF356)*$BE356)*$BH356, 1.05))+$BA356</f>
        <v>2</v>
      </c>
      <c r="BJ356" s="43" t="n">
        <f aca="false">INT(POWER(((([2]Constants!$G$1+$BB356+$BC356+$BD356+$BF356)*($BE356))*$BG356),IF($G356="wagon",1,1.2)))+$AZ356</f>
        <v>25</v>
      </c>
      <c r="BK356" s="45" t="n">
        <f aca="false">BI356*IF($G356="wagon",62.5,781.25)</f>
        <v>1562.5</v>
      </c>
      <c r="BL356" s="45" t="n">
        <f aca="false">BJ356*IF($G356="wagon",2.73,81.25)</f>
        <v>2031.25</v>
      </c>
      <c r="BV356" s="0" t="n">
        <v>7</v>
      </c>
      <c r="CA356" s="46" t="s">
        <v>1270</v>
      </c>
      <c r="CB356" s="0" t="s">
        <v>834</v>
      </c>
      <c r="CC356" s="46" t="str">
        <f aca="false">CONCATENATE(CA356,"_",CB356)</f>
        <v>dsl_DMU</v>
      </c>
      <c r="CD356" s="46" t="str">
        <f aca="false">_xlfn.CONCAT(H356, "_",I356)</f>
        <v>wagon_RAIL</v>
      </c>
      <c r="CE356" s="6" t="str">
        <f aca="false" t="array" ref="CE356:CE356">IF(AN356&lt;&gt;"na", _xlfn.CONCAT("{BLACK}Length: {GOLD}", TEXT(ROUNDUP(IF(AQ356&lt;&gt;"",SUM(VALUE(_xlfn.TEXTSPLIT(AQ356, ","))), SUM(VALUE(_xlfn.TEXTSPLIT(AN356, ",")))*IF(M356, M356, 1))/16, 1),"#,##0.0"), " tiles{}"), "")</f>
        <v/>
      </c>
      <c r="CF356" s="46" t="str">
        <f aca="false">VLOOKUP($CD356, [2]Constants!$M$1:$N$1048576, 2, FALSE())</f>
        <v/>
      </c>
      <c r="CG356" s="46" t="str">
        <f aca="false">IF(AND(L356&gt;1,BN356&lt;&gt;1),_xlfn.CONCAT("{BLACK}Cars: {GOLD}", L356),"")</f>
        <v/>
      </c>
      <c r="CI356" s="0" t="str">
        <f aca="false">IF($BU356="!param_no_gameplay_units","{GREEN}Included for gameplay purposes","")</f>
        <v/>
      </c>
      <c r="CJ356" s="0" t="str">
        <f aca="false">IF(BX356="buffet","{YELLOW}25% long distance bonus for consist{}",IF(BY356="DANDY","{YELLOW}Faster downhill speeds for horse-drawn trains (1 required per 2 horses){}",IF(BY356="BRAKE","{YELLOW}Speed bonus for slow wagons{}",IF(BY356="NGPassengers","{YELLOW}Preserved railway bonus: passengers pay more when hauled by old locomotives{}",IF(AND(BW356&gt;190,NOT(AND(I356="NARROW_GAUGE",BY356&lt;&gt;"PASS"))),CONCATENATE("{YELLOW}",INT((BW356-185)/1.85),"% bonus for long distance travel{}"),IF(AND(BW356&lt;180,BW356&lt;&gt;0),CONCATENATE("{YELLOW}",INT((185-BW356)/1.85),"% penalty for long distance travel{}"),""))))))</f>
        <v/>
      </c>
      <c r="CK356" s="0" t="str">
        <f aca="false">_xlfn.CONCAT(CF356,IF(CF356&lt;&gt;""," ",""),CG356,IF(OR(CG356&lt;&gt;"",CF356&lt;&gt;""),"{}",""),CE356,CJ356,"{SILVER}",CH356,IF(CI356&lt;&gt;"","{}{}",""),CI356)</f>
        <v>{SILVER}</v>
      </c>
    </row>
    <row r="357" customFormat="false" ht="14.25" hidden="false" customHeight="false" outlineLevel="0" collapsed="false">
      <c r="A357" s="0" t="s">
        <v>1286</v>
      </c>
      <c r="B357" s="42" t="s">
        <v>1287</v>
      </c>
      <c r="C357" s="0" t="n">
        <v>1049</v>
      </c>
      <c r="E357" s="0" t="n">
        <v>25</v>
      </c>
      <c r="F357" s="0" t="s">
        <v>143</v>
      </c>
      <c r="G357" s="0" t="s">
        <v>827</v>
      </c>
      <c r="H357" s="0" t="s">
        <v>670</v>
      </c>
      <c r="I357" s="0" t="s">
        <v>92</v>
      </c>
      <c r="J357" s="0" t="n">
        <v>1956</v>
      </c>
      <c r="K357" s="0" t="n">
        <v>1959</v>
      </c>
      <c r="L357" s="0" t="n">
        <v>1988</v>
      </c>
      <c r="M357" s="0" t="n">
        <v>2</v>
      </c>
      <c r="N357" s="0" t="n">
        <v>300</v>
      </c>
      <c r="W357" s="0" t="n">
        <f aca="false">30.5*2</f>
        <v>61</v>
      </c>
      <c r="Y357" s="0" t="n">
        <v>5</v>
      </c>
      <c r="Z357" s="0" t="n">
        <v>65</v>
      </c>
      <c r="AA357" s="3" t="n">
        <f aca="false">IF(AND(W357&gt;0,Z357&gt;0),(Z357/((W357+X357)*10)),"")</f>
        <v>0.10655737704918</v>
      </c>
      <c r="AB357" s="0" t="n">
        <v>70</v>
      </c>
      <c r="AC357" s="0" t="n">
        <f aca="false">ROUND(AB357*1.6, 0)</f>
        <v>112</v>
      </c>
      <c r="AF357" s="0" t="n">
        <v>17.53</v>
      </c>
      <c r="AG357" s="0" t="n">
        <v>17.53</v>
      </c>
      <c r="AI357" s="0" t="n">
        <v>3.84</v>
      </c>
      <c r="AJ357" s="4" t="n">
        <v>54</v>
      </c>
      <c r="AK357" s="16" t="str">
        <f aca="false">CONCATENATE(VLOOKUP(AL357, '[2]Voxel Sizes'!$A$2:$B$18,2,FALSE()),"x",INT(AH357*15), "x", INT(AI357*15))</f>
        <v>164x0x57</v>
      </c>
      <c r="AL357" s="16" t="n">
        <f aca="false">ROUND(15*((AG357*10)/256),0)</f>
        <v>10</v>
      </c>
      <c r="AN357" s="16" t="str">
        <f aca="false">CONCATENATE(VLOOKUP(AL357,[2]Constants!$A$2:$C$16,IF(AM357&lt;&gt;"", 3, 2), FALSE()),IF(AM357&lt;&gt;"",CONCATENATE(",",VLOOKUP(AM357,$B:$AN,39,FALSE())),""))</f>
        <v>4,2,4</v>
      </c>
      <c r="AR357" s="0" t="s">
        <v>1288</v>
      </c>
      <c r="AT357" s="0" t="s">
        <v>833</v>
      </c>
      <c r="AX357" s="0" t="n">
        <v>45</v>
      </c>
      <c r="AY357" s="16" t="n">
        <v>45</v>
      </c>
      <c r="AZ357" s="0" t="n">
        <v>-13</v>
      </c>
      <c r="BA357" s="0" t="n">
        <v>-22</v>
      </c>
      <c r="BB357" s="43" t="n">
        <f aca="false">MIN(AB357/150, 1)*30</f>
        <v>14</v>
      </c>
      <c r="BC357" s="43" t="n">
        <f aca="false">MIN(N357/4000, 1)*20</f>
        <v>1.5</v>
      </c>
      <c r="BD357" s="43" t="n">
        <f aca="false">MIN(Z357/400,1)*20</f>
        <v>3.25</v>
      </c>
      <c r="BE357" s="44" t="n">
        <f aca="false">1-(MAX(J357-1900, 0)/750)</f>
        <v>0.925333333333333</v>
      </c>
      <c r="BF357" s="43" t="n">
        <f aca="false">((MAX($M357,1)*MIN($AJ357/300,1)))*IF(G357="Wagon",50,10)</f>
        <v>3.6</v>
      </c>
      <c r="BG357" s="43" t="n">
        <f aca="false">VLOOKUP($H357,[2]Constants!$I$1:$K$1048576, 2, FALSE())</f>
        <v>1</v>
      </c>
      <c r="BH357" s="43" t="n">
        <f aca="false">VLOOKUP($H357,[2]Constants!$I$1:$K$1048576, 3, FALSE())*IF(AND(G357="multiple_unit",AB357&lt;110),0.75,1)</f>
        <v>1.5</v>
      </c>
      <c r="BI357" s="43" t="n">
        <f aca="false">INT(POWER((([2]Constants!$G$2+$BB357+$BC357+$BD357+$BF357)*$BE357)*$BH357, 1.05))+$BA357</f>
        <v>23</v>
      </c>
      <c r="BJ357" s="43" t="n">
        <f aca="false">INT(POWER(((([2]Constants!$G$1+$BB357+$BC357+$BD357+$BF357)*($BE357))*$BG357),IF($G357="wagon",1,1.2)))+$AZ357</f>
        <v>57</v>
      </c>
      <c r="BK357" s="45" t="n">
        <f aca="false">BI357*IF($G357="wagon",62.5,781.25)</f>
        <v>17968.75</v>
      </c>
      <c r="BL357" s="45" t="n">
        <f aca="false">BJ357*IF($G357="wagon",2.73,81.25)</f>
        <v>4631.25</v>
      </c>
      <c r="BV357" s="0" t="n">
        <v>11</v>
      </c>
      <c r="BW357" s="0" t="n">
        <v>185</v>
      </c>
      <c r="BY357" s="0" t="s">
        <v>147</v>
      </c>
      <c r="BZ357" s="0" t="s">
        <v>148</v>
      </c>
      <c r="CA357" s="46" t="s">
        <v>1270</v>
      </c>
      <c r="CB357" s="0" t="s">
        <v>834</v>
      </c>
      <c r="CC357" s="46" t="str">
        <f aca="false">CONCATENATE(CA357,"_",CB357)</f>
        <v>dsl_DMU</v>
      </c>
      <c r="CD357" s="46" t="str">
        <f aca="false">_xlfn.CONCAT(H357, "_",I357)</f>
        <v>diesel_RAIL</v>
      </c>
      <c r="CE357" s="6" t="str">
        <f aca="false" t="array" ref="CE357:CE357">IF(AN357&lt;&gt;"na", _xlfn.CONCAT("{BLACK}Length: {GOLD}", TEXT(ROUNDUP(IF(AQ357&lt;&gt;"",SUM(VALUE(_xlfn.TEXTSPLIT(AQ357, ","))), SUM(VALUE(_xlfn.TEXTSPLIT(AN357, ",")))*IF(M357, M357, 1))/16, 1),"#,##0.0"), " tiles{}"), "")</f>
        <v>{BLACK}Length: {GOLD}1.3 tiles{}</v>
      </c>
      <c r="CF357" s="46" t="str">
        <f aca="false">VLOOKUP($CD357, [2]Constants!$M$1:$N$1048576, 2, FALSE())</f>
        <v>{BLACK}Powered by: {GOLD}Diesel</v>
      </c>
      <c r="CG357" s="46" t="str">
        <f aca="false">IF(AND(L357&gt;1,BN357&lt;&gt;1),_xlfn.CONCAT("{BLACK}Cars: {GOLD}", L357),"")</f>
        <v>{BLACK}Cars: {GOLD}1988</v>
      </c>
      <c r="CH357" s="0" t="s">
        <v>1289</v>
      </c>
      <c r="CI357" s="0" t="str">
        <f aca="false">IF($BU357="!param_no_gameplay_units","{GREEN}Included for gameplay purposes","")</f>
        <v/>
      </c>
      <c r="CJ357" s="0" t="str">
        <f aca="false">IF(BX357="buffet","{YELLOW}25% long distance bonus for consist{}",IF(BY357="DANDY","{YELLOW}Faster downhill speeds for horse-drawn trains (1 required per 2 horses){}",IF(BY357="BRAKE","{YELLOW}Speed bonus for slow wagons{}",IF(BY357="NGPassengers","{YELLOW}Preserved railway bonus: passengers pay more when hauled by old locomotives{}",IF(AND(BW357&gt;190,NOT(AND(I357="NARROW_GAUGE",BY357&lt;&gt;"PASS"))),CONCATENATE("{YELLOW}",INT((BW357-185)/1.85),"% bonus for long distance travel{}"),IF(AND(BW357&lt;180,BW357&lt;&gt;0),CONCATENATE("{YELLOW}",INT((185-BW357)/1.85),"% penalty for long distance travel{}"),""))))))</f>
        <v/>
      </c>
      <c r="CK357" s="0" t="str">
        <f aca="false">_xlfn.CONCAT(CF357,IF(CF357&lt;&gt;""," ",""),CG357,IF(OR(CG357&lt;&gt;"",CF357&lt;&gt;""),"{}",""),CE357,CJ357,"{SILVER}",CH357,IF(CI357&lt;&gt;"","{}{}",""),CI357)</f>
        <v>{BLACK}Powered by: {GOLD}Diesel {BLACK}Cars: {GOLD}1988{}{BLACK}Length: {GOLD}1.3 tiles{}{SILVER}The Class 105 had a long and hard life on British Railways, mostly around the Eastern Region. Sadly this meant few survived in a viable condition for preservation.</v>
      </c>
    </row>
    <row r="358" customFormat="false" ht="14.25" hidden="false" customHeight="false" outlineLevel="0" collapsed="false">
      <c r="A358" s="0" t="s">
        <v>1290</v>
      </c>
      <c r="B358" s="42" t="s">
        <v>1291</v>
      </c>
      <c r="C358" s="0" t="n">
        <v>1050</v>
      </c>
      <c r="E358" s="0" t="n">
        <v>26</v>
      </c>
      <c r="F358" s="0" t="s">
        <v>143</v>
      </c>
      <c r="G358" s="0" t="s">
        <v>827</v>
      </c>
      <c r="H358" s="0" t="s">
        <v>670</v>
      </c>
      <c r="I358" s="0" t="s">
        <v>92</v>
      </c>
      <c r="J358" s="0" t="n">
        <v>1959</v>
      </c>
      <c r="K358" s="0" t="n">
        <v>1961</v>
      </c>
      <c r="L358" s="0" t="n">
        <v>1999</v>
      </c>
      <c r="M358" s="0" t="n">
        <v>3</v>
      </c>
      <c r="N358" s="0" t="n">
        <v>600</v>
      </c>
      <c r="W358" s="0" t="n">
        <f aca="false">36.6+36.6+30.5</f>
        <v>103.7</v>
      </c>
      <c r="Y358" s="0" t="n">
        <v>6</v>
      </c>
      <c r="Z358" s="0" t="n">
        <v>83</v>
      </c>
      <c r="AA358" s="3" t="n">
        <f aca="false">IF(AND(W358&gt;0,Z358&gt;0),(Z358/((W358+X358)*10)),"")</f>
        <v>0.0800385728061717</v>
      </c>
      <c r="AB358" s="0" t="n">
        <v>70</v>
      </c>
      <c r="AC358" s="0" t="n">
        <f aca="false">ROUND(AB358*1.6, 0)</f>
        <v>112</v>
      </c>
      <c r="AF358" s="0" t="n">
        <v>19.5</v>
      </c>
      <c r="AG358" s="0" t="n">
        <v>19.5</v>
      </c>
      <c r="AI358" s="0" t="n">
        <v>3.77</v>
      </c>
      <c r="AJ358" s="4" t="n">
        <v>60</v>
      </c>
      <c r="AK358" s="16" t="str">
        <f aca="false">CONCATENATE(VLOOKUP(AL358, '[2]Voxel Sizes'!$A$2:$B$18,2,FALSE()),"x",INT(AH358*15), "x", INT(AI358*15))</f>
        <v>186x0x56</v>
      </c>
      <c r="AL358" s="16" t="n">
        <f aca="false">ROUND(15*((AG358*10)/256),0)</f>
        <v>11</v>
      </c>
      <c r="AN358" s="16" t="str">
        <f aca="false">CONCATENATE(VLOOKUP(AL358,[2]Constants!$A$2:$C$16,IF(AM358&lt;&gt;"", 3, 2), FALSE()),IF(AM358&lt;&gt;"",CONCATENATE(",",VLOOKUP(AM358,$B:$AN,39,FALSE())),""))</f>
        <v>4,3,4</v>
      </c>
      <c r="AR358" s="0" t="s">
        <v>1292</v>
      </c>
      <c r="AT358" s="0" t="s">
        <v>864</v>
      </c>
      <c r="AX358" s="0" t="n">
        <v>42</v>
      </c>
      <c r="AY358" s="16" t="n">
        <f aca="false">IF(L358&lt;&gt;"",MAX(16,(L358-J358)+8),"")</f>
        <v>48</v>
      </c>
      <c r="AZ358" s="0" t="n">
        <v>-10</v>
      </c>
      <c r="BA358" s="0" t="n">
        <v>-15</v>
      </c>
      <c r="BB358" s="43" t="n">
        <f aca="false">MIN(AB358/150, 1)*30</f>
        <v>14</v>
      </c>
      <c r="BC358" s="43" t="n">
        <f aca="false">MIN(N358/4000, 1)*20</f>
        <v>3</v>
      </c>
      <c r="BD358" s="43" t="n">
        <f aca="false">MIN(Z358/400,1)*20</f>
        <v>4.15</v>
      </c>
      <c r="BE358" s="44" t="n">
        <f aca="false">1-(MAX(J358-1900, 0)/750)</f>
        <v>0.921333333333333</v>
      </c>
      <c r="BF358" s="43" t="n">
        <f aca="false">((MAX($M358,1)*MIN($AJ358/300,1)))*IF(G358="Wagon",50,10)</f>
        <v>6</v>
      </c>
      <c r="BG358" s="43" t="n">
        <f aca="false">VLOOKUP($H358,[2]Constants!$I$1:$K$1048576, 2, FALSE())</f>
        <v>1</v>
      </c>
      <c r="BH358" s="43" t="n">
        <f aca="false">VLOOKUP($H358,[2]Constants!$I$1:$K$1048576, 3, FALSE())*IF(AND(G358="multiple_unit",AB358&lt;110),0.75,1)</f>
        <v>1.5</v>
      </c>
      <c r="BI358" s="43" t="n">
        <f aca="false">INT(POWER((([2]Constants!$G$2+$BB358+$BC358+$BD358+$BF358)*$BE358)*$BH358, 1.05))+$BA358</f>
        <v>38</v>
      </c>
      <c r="BJ358" s="43" t="n">
        <f aca="false">INT(POWER(((([2]Constants!$G$1+$BB358+$BC358+$BD358+$BF358)*($BE358))*$BG358),IF($G358="wagon",1,1.2)))+$AZ358</f>
        <v>70</v>
      </c>
      <c r="BK358" s="45" t="n">
        <f aca="false">BI358*IF($G358="wagon",62.5,781.25)</f>
        <v>29687.5</v>
      </c>
      <c r="BL358" s="45" t="n">
        <f aca="false">BJ358*IF($G358="wagon",2.73,81.25)</f>
        <v>5687.5</v>
      </c>
      <c r="BV358" s="0" t="n">
        <v>5</v>
      </c>
      <c r="BY358" s="0" t="s">
        <v>147</v>
      </c>
      <c r="BZ358" s="0" t="s">
        <v>148</v>
      </c>
      <c r="CA358" s="46" t="str">
        <f aca="false">VLOOKUP(J358,[2]Eras!$A$2:$C$10, 2, TRUE())</f>
        <v>dsl</v>
      </c>
      <c r="CB358" s="0" t="s">
        <v>834</v>
      </c>
      <c r="CC358" s="46" t="str">
        <f aca="false">CONCATENATE(CA358,"_",CB358)</f>
        <v>dsl_DMU</v>
      </c>
      <c r="CD358" s="46" t="str">
        <f aca="false">_xlfn.CONCAT(H358, "_",I358)</f>
        <v>diesel_RAIL</v>
      </c>
      <c r="CE358" s="6" t="str">
        <f aca="false" t="array" ref="CE358:CE358">IF(AN358&lt;&gt;"na", _xlfn.CONCAT("{BLACK}Length: {GOLD}", TEXT(ROUNDUP(IF(AQ358&lt;&gt;"",SUM(VALUE(_xlfn.TEXTSPLIT(AQ358, ","))), SUM(VALUE(_xlfn.TEXTSPLIT(AN358, ",")))*IF(M358, M358, 1))/16, 1),"#,##0.0"), " tiles{}"), "")</f>
        <v>{BLACK}Length: {GOLD}2.1 tiles{}</v>
      </c>
      <c r="CF358" s="46" t="str">
        <f aca="false">VLOOKUP($CD358, [2]Constants!$M$1:$N$1048576, 2, FALSE())</f>
        <v>{BLACK}Powered by: {GOLD}Diesel</v>
      </c>
      <c r="CG358" s="46" t="str">
        <f aca="false">IF(AND(L358&gt;1,BN358&lt;&gt;1),_xlfn.CONCAT("{BLACK}Cars: {GOLD}", L358),"")</f>
        <v>{BLACK}Cars: {GOLD}1999</v>
      </c>
      <c r="CH358" s="0" t="s">
        <v>1293</v>
      </c>
      <c r="CI358" s="0" t="str">
        <f aca="false">IF($BU358="!param_no_gameplay_units","{GREEN}Included for gameplay purposes","")</f>
        <v/>
      </c>
      <c r="CJ358" s="0" t="str">
        <f aca="false">IF(BX358="buffet","{YELLOW}25% long distance bonus for consist{}",IF(BY358="DANDY","{YELLOW}Faster downhill speeds for horse-drawn trains (1 required per 2 horses){}",IF(BY358="BRAKE","{YELLOW}Speed bonus for slow wagons{}",IF(BY358="NGPassengers","{YELLOW}Preserved railway bonus: passengers pay more when hauled by old locomotives{}",IF(AND(BW358&gt;190,NOT(AND(I358="NARROW_GAUGE",BY358&lt;&gt;"PASS"))),CONCATENATE("{YELLOW}",INT((BW358-185)/1.85),"% bonus for long distance travel{}"),IF(AND(BW358&lt;180,BW358&lt;&gt;0),CONCATENATE("{YELLOW}",INT((185-BW358)/1.85),"% penalty for long distance travel{}"),""))))))</f>
        <v/>
      </c>
      <c r="CK358" s="0" t="str">
        <f aca="false">_xlfn.CONCAT(CF358,IF(CF358&lt;&gt;""," ",""),CG358,IF(OR(CG358&lt;&gt;"",CF358&lt;&gt;""),"{}",""),CE358,CJ358,"{SILVER}",CH358,IF(CI358&lt;&gt;"","{}{}",""),CI358)</f>
        <v>{BLACK}Powered by: {GOLD}Diesel {BLACK}Cars: {GOLD}1999{}{BLACK}Length: {GOLD}2.1 tiles{}{SILVER}The Class 117 was built under licence by Pressed Steel, being a variant of the Class 116 built by BRCW Derby.</v>
      </c>
    </row>
    <row r="359" customFormat="false" ht="12.75" hidden="false" customHeight="true" outlineLevel="0" collapsed="false">
      <c r="A359" s="0" t="s">
        <v>1294</v>
      </c>
      <c r="B359" s="42" t="s">
        <v>1295</v>
      </c>
      <c r="C359" s="0" t="n">
        <v>1051</v>
      </c>
      <c r="E359" s="0" t="n">
        <v>27</v>
      </c>
      <c r="F359" s="0" t="s">
        <v>143</v>
      </c>
      <c r="G359" s="0" t="s">
        <v>827</v>
      </c>
      <c r="H359" s="0" t="s">
        <v>529</v>
      </c>
      <c r="I359" s="0" t="s">
        <v>641</v>
      </c>
      <c r="J359" s="0" t="n">
        <v>1949</v>
      </c>
      <c r="L359" s="0" t="n">
        <v>1971</v>
      </c>
      <c r="M359" s="0" t="n">
        <v>4</v>
      </c>
      <c r="N359" s="0" t="n">
        <v>900</v>
      </c>
      <c r="W359" s="0" t="n">
        <v>135</v>
      </c>
      <c r="Y359" s="0" t="n">
        <v>3</v>
      </c>
      <c r="Z359" s="0" t="n">
        <v>120</v>
      </c>
      <c r="AA359" s="3" t="n">
        <f aca="false">IF(AND(W359&gt;0,Z359&gt;0),(Z359/((W359+X359)*10)),"")</f>
        <v>0.0888888888888889</v>
      </c>
      <c r="AB359" s="0" t="n">
        <v>75</v>
      </c>
      <c r="AC359" s="0" t="n">
        <f aca="false">ROUND(AB359*1.6, 0)</f>
        <v>120</v>
      </c>
      <c r="AF359" s="0" t="n">
        <v>19.6</v>
      </c>
      <c r="AG359" s="0" t="n">
        <v>19.6</v>
      </c>
      <c r="AH359" s="0" t="n">
        <v>2.82</v>
      </c>
      <c r="AJ359" s="4" t="n">
        <v>69</v>
      </c>
      <c r="AK359" s="16" t="str">
        <f aca="false">CONCATENATE(VLOOKUP(AL359, '[2]Voxel Sizes'!$A$2:$B$18,2,FALSE()),"x",INT(AH359*15), "x", INT(AI359*15))</f>
        <v>186x42x0</v>
      </c>
      <c r="AL359" s="16" t="n">
        <f aca="false">ROUND(15*((AG359*10)/256),0)</f>
        <v>11</v>
      </c>
      <c r="AN359" s="16" t="str">
        <f aca="false">CONCATENATE(VLOOKUP(AL359,[2]Constants!$A$2:$C$16,IF(AM359&lt;&gt;"", 3, 2), FALSE()),IF(AM359&lt;&gt;"",CONCATENATE(",",VLOOKUP(AM359,$B:$AN,39,FALSE())),""))</f>
        <v>4,3,4</v>
      </c>
      <c r="AR359" s="0" t="s">
        <v>1296</v>
      </c>
      <c r="AT359" s="0" t="s">
        <v>855</v>
      </c>
      <c r="AX359" s="0" t="n">
        <v>23</v>
      </c>
      <c r="AY359" s="16" t="n">
        <f aca="false">IF(L359&lt;&gt;"",MAX(16,(L359-J359)+8),"")</f>
        <v>30</v>
      </c>
      <c r="AZ359" s="0" t="n">
        <v>-10</v>
      </c>
      <c r="BA359" s="0" t="n">
        <v>-15</v>
      </c>
      <c r="BB359" s="43" t="n">
        <f aca="false">MIN(AB359/150, 1)*30</f>
        <v>15</v>
      </c>
      <c r="BC359" s="43" t="n">
        <f aca="false">MIN(N359/4000, 1)*20</f>
        <v>4.5</v>
      </c>
      <c r="BD359" s="43" t="n">
        <f aca="false">MIN(Z359/400,1)*20</f>
        <v>6</v>
      </c>
      <c r="BE359" s="44" t="n">
        <f aca="false">1-(MAX(J359-1900, 0)/750)</f>
        <v>0.934666666666667</v>
      </c>
      <c r="BF359" s="43" t="n">
        <f aca="false">((MAX($M359,1)*MIN($AJ359/300,1)))*IF(G359="Wagon",50,10)</f>
        <v>9.2</v>
      </c>
      <c r="BG359" s="43" t="n">
        <f aca="false">VLOOKUP($H359,[2]Constants!$I$1:$K$1048576, 2, FALSE())</f>
        <v>0.85</v>
      </c>
      <c r="BH359" s="43" t="n">
        <f aca="false">VLOOKUP($H359,[2]Constants!$I$1:$K$1048576, 3, FALSE())*IF(AND(G359="multiple_unit",AB359&lt;110),0.75,1)</f>
        <v>1.725</v>
      </c>
      <c r="BI359" s="43" t="n">
        <f aca="false">INT(POWER((([2]Constants!$G$2+$BB359+$BC359+$BD359+$BF359)*$BE359)*$BH359, 1.05))+$BA359</f>
        <v>63</v>
      </c>
      <c r="BJ359" s="43" t="n">
        <f aca="false">INT(POWER(((([2]Constants!$G$1+$BB359+$BC359+$BD359+$BF359)*($BE359))*$BG359),IF($G359="wagon",1,1.2)))+$AZ359</f>
        <v>72</v>
      </c>
      <c r="BK359" s="45" t="n">
        <f aca="false">BI359*IF($G359="wagon",62.5,781.25)</f>
        <v>49218.75</v>
      </c>
      <c r="BL359" s="45" t="n">
        <f aca="false">BJ359*IF($G359="wagon",2.73,81.25)</f>
        <v>5850</v>
      </c>
      <c r="BV359" s="0" t="n">
        <v>8</v>
      </c>
      <c r="BW359" s="0" t="n">
        <v>165</v>
      </c>
      <c r="BY359" s="0" t="s">
        <v>147</v>
      </c>
      <c r="BZ359" s="0" t="s">
        <v>148</v>
      </c>
      <c r="CA359" s="46" t="str">
        <f aca="false">VLOOKUP(J359,[2]Eras!$A$2:$C$10, 2, TRUE())</f>
        <v>ebr</v>
      </c>
      <c r="CB359" s="0" t="s">
        <v>834</v>
      </c>
      <c r="CC359" s="46" t="str">
        <f aca="false">CONCATENATE(CA359,"_",CB359)</f>
        <v>ebr_DMU</v>
      </c>
      <c r="CD359" s="46" t="str">
        <f aca="false">_xlfn.CONCAT(H359, "_",I359)</f>
        <v>electric_THIRD_RAIL</v>
      </c>
      <c r="CE359" s="6" t="str">
        <f aca="false" t="array" ref="CE359:CE359">IF(AN359&lt;&gt;"na", _xlfn.CONCAT("{BLACK}Length: {GOLD}", TEXT(ROUNDUP(IF(AQ359&lt;&gt;"",SUM(VALUE(_xlfn.TEXTSPLIT(AQ359, ","))), SUM(VALUE(_xlfn.TEXTSPLIT(AN359, ",")))*IF(M359, M359, 1))/16, 1),"#,##0.0"), " tiles{}"), "")</f>
        <v>{BLACK}Length: {GOLD}2.8 tiles{}</v>
      </c>
      <c r="CF359" s="46" t="str">
        <f aca="false">VLOOKUP($CD359, [2]Constants!$M$1:$N$1048576, 2, FALSE())</f>
        <v>{BLACK}Powered by: {GOLD}750V DC</v>
      </c>
      <c r="CG359" s="46" t="str">
        <f aca="false">IF(AND(L359&gt;1,BN359&lt;&gt;1),_xlfn.CONCAT("{BLACK}Cars: {GOLD}", L359),"")</f>
        <v>{BLACK}Cars: {GOLD}1971</v>
      </c>
      <c r="CH359" s="0" t="s">
        <v>1297</v>
      </c>
      <c r="CI359" s="0" t="str">
        <f aca="false">IF($BU359="!param_no_gameplay_units","{GREEN}Included for gameplay purposes","")</f>
        <v/>
      </c>
      <c r="CJ359" s="0" t="str">
        <f aca="false">IF(BX359="buffet","{YELLOW}25% long distance bonus for consist{}",IF(BY359="DANDY","{YELLOW}Faster downhill speeds for horse-drawn trains (1 required per 2 horses){}",IF(BY359="BRAKE","{YELLOW}Speed bonus for slow wagons{}",IF(BY359="NGPassengers","{YELLOW}Preserved railway bonus: passengers pay more when hauled by old locomotives{}",IF(AND(BW359&gt;190,NOT(AND(I359="NARROW_GAUGE",BY359&lt;&gt;"PASS"))),CONCATENATE("{YELLOW}",INT((BW359-185)/1.85),"% bonus for long distance travel{}"),IF(AND(BW359&lt;180,BW359&lt;&gt;0),CONCATENATE("{YELLOW}",INT((185-BW359)/1.85),"% penalty for long distance travel{}"),""))))))</f>
        <v>{YELLOW}10% penalty for long distance travel{}</v>
      </c>
      <c r="CK359" s="0" t="str">
        <f aca="false">_xlfn.CONCAT(CF359,IF(CF359&lt;&gt;""," ",""),CG359,IF(OR(CG359&lt;&gt;"",CF359&lt;&gt;""),"{}",""),CE359,CJ359,"{SILVER}",CH359,IF(CI359&lt;&gt;"","{}{}",""),CI359)</f>
        <v>{BLACK}Powered by: {GOLD}750V DC {BLACK}Cars: {GOLD}1971{}{BLACK}Length: {GOLD}2.8 tiles{}{YELLOW}10% penalty for long distance travel{}{SILVER}SR's 4DD was an experiment to see if double deck multiple units could increase capacity. The internal layout was compromised by the British loading gauge, and it was slow to load at stations.</v>
      </c>
    </row>
    <row r="360" customFormat="false" ht="14.25" hidden="false" customHeight="false" outlineLevel="0" collapsed="false">
      <c r="A360" s="0" t="s">
        <v>1298</v>
      </c>
      <c r="B360" s="42" t="s">
        <v>1299</v>
      </c>
      <c r="C360" s="0" t="n">
        <v>1052</v>
      </c>
      <c r="E360" s="0" t="n">
        <v>28</v>
      </c>
      <c r="F360" s="0" t="s">
        <v>143</v>
      </c>
      <c r="G360" s="0" t="s">
        <v>827</v>
      </c>
      <c r="H360" s="0" t="s">
        <v>670</v>
      </c>
      <c r="I360" s="0" t="s">
        <v>92</v>
      </c>
      <c r="J360" s="0" t="n">
        <v>1959</v>
      </c>
      <c r="L360" s="0" t="n">
        <v>1991</v>
      </c>
      <c r="M360" s="0" t="n">
        <v>1</v>
      </c>
      <c r="N360" s="0" t="n">
        <v>460</v>
      </c>
      <c r="W360" s="0" t="n">
        <v>41</v>
      </c>
      <c r="Y360" s="0" t="n">
        <v>6</v>
      </c>
      <c r="Z360" s="0" t="n">
        <v>65</v>
      </c>
      <c r="AA360" s="3" t="n">
        <f aca="false">IF(AND(W360&gt;0,Z360&gt;0),(Z360/((W360+X360)*10)),"")</f>
        <v>0.158536585365854</v>
      </c>
      <c r="AB360" s="0" t="n">
        <v>70</v>
      </c>
      <c r="AC360" s="0" t="n">
        <f aca="false">ROUND(AB360*1.6, 0)</f>
        <v>112</v>
      </c>
      <c r="AE360" s="0" t="n">
        <v>1</v>
      </c>
      <c r="AF360" s="0" t="n">
        <v>19.66</v>
      </c>
      <c r="AG360" s="0" t="n">
        <v>19.66</v>
      </c>
      <c r="AI360" s="0" t="n">
        <v>3.77</v>
      </c>
      <c r="AJ360" s="4" t="n">
        <v>72</v>
      </c>
      <c r="AK360" s="16" t="str">
        <f aca="false">CONCATENATE(VLOOKUP(AL360, '[2]Voxel Sizes'!$A$2:$B$18,2,FALSE()),"x",INT(AH360*15), "x", INT(AI360*15))</f>
        <v>198x0x56</v>
      </c>
      <c r="AL360" s="16" t="n">
        <f aca="false">ROUND(15*((AG360*10)/256),0)</f>
        <v>12</v>
      </c>
      <c r="AN360" s="16" t="str">
        <f aca="false">CONCATENATE(VLOOKUP(AL360,[2]Constants!$A$2:$C$16,IF(AM360&lt;&gt;"", 3, 2), FALSE()),IF(AM360&lt;&gt;"",CONCATENATE(",",VLOOKUP(AM360,$B:$AN,39,FALSE())),""))</f>
        <v>4,4,4</v>
      </c>
      <c r="AR360" s="0" t="s">
        <v>1299</v>
      </c>
      <c r="AT360" s="0" t="n">
        <v>1</v>
      </c>
      <c r="AX360" s="0" t="n">
        <v>45</v>
      </c>
      <c r="AY360" s="16" t="n">
        <f aca="false">IF(L360&lt;&gt;"",MAX(16,(L360-J360)+8),"")</f>
        <v>40</v>
      </c>
      <c r="AZ360" s="0" t="n">
        <v>-10</v>
      </c>
      <c r="BA360" s="0" t="n">
        <v>-15</v>
      </c>
      <c r="BB360" s="43" t="n">
        <f aca="false">MIN(AB360/150, 1)*30</f>
        <v>14</v>
      </c>
      <c r="BC360" s="43" t="n">
        <f aca="false">MIN(N360/4000, 1)*20</f>
        <v>2.3</v>
      </c>
      <c r="BD360" s="43" t="n">
        <f aca="false">MIN(Z360/400,1)*20</f>
        <v>3.25</v>
      </c>
      <c r="BE360" s="44" t="n">
        <f aca="false">1-(MAX(J360-1900, 0)/750)</f>
        <v>0.921333333333333</v>
      </c>
      <c r="BF360" s="43" t="n">
        <f aca="false">((MAX($M360,1)*MIN($AJ360/300,1)))*IF(G360="Wagon",50,10)</f>
        <v>2.4</v>
      </c>
      <c r="BG360" s="43" t="n">
        <f aca="false">VLOOKUP($H360,[2]Constants!$I$1:$K$1048576, 2, FALSE())</f>
        <v>1</v>
      </c>
      <c r="BH360" s="43" t="n">
        <f aca="false">VLOOKUP($H360,[2]Constants!$I$1:$K$1048576, 3, FALSE())*IF(AND(G360="multiple_unit",AB360&lt;110),0.75,1)</f>
        <v>1.5</v>
      </c>
      <c r="BI360" s="43" t="n">
        <f aca="false">INT(POWER((([2]Constants!$G$2+$BB360+$BC360+$BD360+$BF360)*$BE360)*$BH360, 1.05))+$BA360</f>
        <v>29</v>
      </c>
      <c r="BJ360" s="43" t="n">
        <f aca="false">INT(POWER(((([2]Constants!$G$1+$BB360+$BC360+$BD360+$BF360)*($BE360))*$BG360),IF($G360="wagon",1,1.2)))+$AZ360</f>
        <v>58</v>
      </c>
      <c r="BK360" s="45" t="n">
        <f aca="false">BI360*IF($G360="wagon",62.5,781.25)</f>
        <v>22656.25</v>
      </c>
      <c r="BL360" s="45" t="n">
        <f aca="false">BJ360*IF($G360="wagon",2.73,81.25)</f>
        <v>4712.5</v>
      </c>
      <c r="BV360" s="0" t="n">
        <v>4</v>
      </c>
      <c r="BW360" s="0" t="n">
        <v>185</v>
      </c>
      <c r="BZ360" s="0" t="s">
        <v>220</v>
      </c>
      <c r="CA360" s="46" t="str">
        <f aca="false">VLOOKUP(J360,[2]Eras!$A$2:$C$10, 2, TRUE())</f>
        <v>dsl</v>
      </c>
      <c r="CB360" s="0" t="s">
        <v>834</v>
      </c>
      <c r="CC360" s="46" t="str">
        <f aca="false">CONCATENATE(CA360,"_",CB360)</f>
        <v>dsl_DMU</v>
      </c>
      <c r="CD360" s="46" t="str">
        <f aca="false">_xlfn.CONCAT(H360, "_",I360)</f>
        <v>diesel_RAIL</v>
      </c>
      <c r="CE360" s="6" t="str">
        <f aca="false" t="array" ref="CE360:CE360">IF(AN360&lt;&gt;"na", _xlfn.CONCAT("{BLACK}Length: {GOLD}", TEXT(ROUNDUP(IF(AQ360&lt;&gt;"",SUM(VALUE(_xlfn.TEXTSPLIT(AQ360, ","))), SUM(VALUE(_xlfn.TEXTSPLIT(AN360, ",")))*IF(M360, M360, 1))/16, 1),"#,##0.0"), " tiles{}"), "")</f>
        <v>{BLACK}Length: {GOLD}0.8 tiles{}</v>
      </c>
      <c r="CF360" s="46" t="str">
        <f aca="false">VLOOKUP($CD360, [2]Constants!$M$1:$N$1048576, 2, FALSE())</f>
        <v>{BLACK}Powered by: {GOLD}Diesel</v>
      </c>
      <c r="CG360" s="46" t="str">
        <f aca="false">IF(AND(L360&gt;1,BN360&lt;&gt;1),_xlfn.CONCAT("{BLACK}Cars: {GOLD}", L360),"")</f>
        <v>{BLACK}Cars: {GOLD}1991</v>
      </c>
      <c r="CH360" s="0" t="s">
        <v>1300</v>
      </c>
      <c r="CI360" s="0" t="str">
        <f aca="false">IF($BU360="!param_no_gameplay_units","{GREEN}Included for gameplay purposes","")</f>
        <v/>
      </c>
      <c r="CJ360" s="0" t="str">
        <f aca="false">IF(BX360="buffet","{YELLOW}25% long distance bonus for consist{}",IF(BY360="DANDY","{YELLOW}Faster downhill speeds for horse-drawn trains (1 required per 2 horses){}",IF(BY360="BRAKE","{YELLOW}Speed bonus for slow wagons{}",IF(BY360="NGPassengers","{YELLOW}Preserved railway bonus: passengers pay more when hauled by old locomotives{}",IF(AND(BW360&gt;190,NOT(AND(I360="NARROW_GAUGE",BY360&lt;&gt;"PASS"))),CONCATENATE("{YELLOW}",INT((BW360-185)/1.85),"% bonus for long distance travel{}"),IF(AND(BW360&lt;180,BW360&lt;&gt;0),CONCATENATE("{YELLOW}",INT((185-BW360)/1.85),"% penalty for long distance travel{}"),""))))))</f>
        <v/>
      </c>
      <c r="CK360" s="0" t="str">
        <f aca="false">_xlfn.CONCAT(CF360,IF(CF360&lt;&gt;""," ",""),CG360,IF(OR(CG360&lt;&gt;"",CF360&lt;&gt;""),"{}",""),CE360,CJ360,"{SILVER}",CH360,IF(CI360&lt;&gt;"","{}{}",""),CI360)</f>
        <v>{BLACK}Powered by: {GOLD}Diesel {BLACK}Cars: {GOLD}1991{}{BLACK}Length: {GOLD}0.8 tiles{}{SILVER}The Class 128 was built specifically for carrying parcels by the Gloucester Railway Carriage and Wagon Company.</v>
      </c>
    </row>
    <row r="361" customFormat="false" ht="14.25" hidden="false" customHeight="false" outlineLevel="0" collapsed="false">
      <c r="A361" s="0" t="s">
        <v>1301</v>
      </c>
      <c r="B361" s="42" t="s">
        <v>1302</v>
      </c>
      <c r="C361" s="0" t="n">
        <v>1053</v>
      </c>
      <c r="E361" s="0" t="n">
        <v>29</v>
      </c>
      <c r="F361" s="0" t="s">
        <v>143</v>
      </c>
      <c r="G361" s="0" t="s">
        <v>827</v>
      </c>
      <c r="H361" s="0" t="s">
        <v>670</v>
      </c>
      <c r="I361" s="0" t="s">
        <v>92</v>
      </c>
      <c r="J361" s="0" t="n">
        <v>2005</v>
      </c>
      <c r="K361" s="0" t="n">
        <v>2006</v>
      </c>
      <c r="M361" s="0" t="n">
        <v>3</v>
      </c>
      <c r="N361" s="0" t="n">
        <f aca="false">750*3</f>
        <v>2250</v>
      </c>
      <c r="W361" s="0" t="n">
        <v>169</v>
      </c>
      <c r="Y361" s="0" t="n">
        <v>5</v>
      </c>
      <c r="Z361" s="0" t="n">
        <v>185</v>
      </c>
      <c r="AA361" s="3" t="n">
        <f aca="false">IF(AND(W361&gt;0,Z361&gt;0),(Z361/((W361+X361)*10)),"")</f>
        <v>0.109467455621302</v>
      </c>
      <c r="AB361" s="0" t="n">
        <v>100</v>
      </c>
      <c r="AC361" s="0" t="n">
        <f aca="false">ROUND(AB361*1.6, 0)</f>
        <v>160</v>
      </c>
      <c r="AF361" s="0" t="n">
        <v>20.4</v>
      </c>
      <c r="AG361" s="0" t="n">
        <v>20.4</v>
      </c>
      <c r="AH361" s="0" t="n">
        <v>2.8</v>
      </c>
      <c r="AJ361" s="4" t="n">
        <v>60</v>
      </c>
      <c r="AK361" s="16" t="str">
        <f aca="false">CONCATENATE(VLOOKUP(AL361, '[2]Voxel Sizes'!$A$2:$B$18,2,FALSE()),"x",INT(AH361*15), "x", INT(AI361*15))</f>
        <v>198x42x0</v>
      </c>
      <c r="AL361" s="16" t="n">
        <f aca="false">ROUND(15*((AG361*10)/256),0)</f>
        <v>12</v>
      </c>
      <c r="AN361" s="16" t="str">
        <f aca="false">CONCATENATE(VLOOKUP(AL361,[2]Constants!$A$2:$C$16,IF(AM361&lt;&gt;"", 3, 2), FALSE()),IF(AM361&lt;&gt;"",CONCATENATE(",",VLOOKUP(AM361,$B:$AN,39,FALSE())),""))</f>
        <v>4,4,4</v>
      </c>
      <c r="AO361" s="0" t="n">
        <v>4</v>
      </c>
      <c r="AR361" s="0" t="s">
        <v>1303</v>
      </c>
      <c r="AT361" s="0" t="s">
        <v>864</v>
      </c>
      <c r="AX361" s="0" t="n">
        <v>28</v>
      </c>
      <c r="AY361" s="16" t="str">
        <f aca="false">IF(L361&lt;&gt;"",MAX(16,(L361-J361)+8),"")</f>
        <v/>
      </c>
      <c r="AZ361" s="0" t="n">
        <v>-12</v>
      </c>
      <c r="BA361" s="0" t="n">
        <v>-30</v>
      </c>
      <c r="BB361" s="43" t="n">
        <f aca="false">MIN(AB361/150, 1)*30</f>
        <v>20</v>
      </c>
      <c r="BC361" s="43" t="n">
        <f aca="false">MIN(N361/4000, 1)*20</f>
        <v>11.25</v>
      </c>
      <c r="BD361" s="43" t="n">
        <f aca="false">MIN(Z361/400,1)*20</f>
        <v>9.25</v>
      </c>
      <c r="BE361" s="44" t="n">
        <f aca="false">1-(MAX(J361-1900, 0)/750)</f>
        <v>0.86</v>
      </c>
      <c r="BF361" s="43" t="n">
        <f aca="false">((MAX($M361,1)*MIN($AJ361/300,1)))*IF(G361="Wagon",50,10)</f>
        <v>6</v>
      </c>
      <c r="BG361" s="43" t="n">
        <f aca="false">VLOOKUP($H361,[2]Constants!$I$1:$K$1048576, 2, FALSE())</f>
        <v>1</v>
      </c>
      <c r="BH361" s="43" t="n">
        <f aca="false">VLOOKUP($H361,[2]Constants!$I$1:$K$1048576, 3, FALSE())*IF(AND(G361="multiple_unit",AB361&lt;110),0.75,1)</f>
        <v>1.5</v>
      </c>
      <c r="BI361" s="43" t="n">
        <f aca="false">INT(POWER((([2]Constants!$G$2+$BB361+$BC361+$BD361+$BF361)*$BE361)*$BH361, 1.05))+$BA361</f>
        <v>51</v>
      </c>
      <c r="BJ361" s="43" t="n">
        <f aca="false">INT(POWER(((([2]Constants!$G$1+$BB361+$BC361+$BD361+$BF361)*($BE361))*$BG361),IF($G361="wagon",1,1.2)))+$AZ361</f>
        <v>104</v>
      </c>
      <c r="BK361" s="45" t="n">
        <f aca="false">BI361*IF($G361="wagon",62.5,781.25)</f>
        <v>39843.75</v>
      </c>
      <c r="BL361" s="45" t="n">
        <f aca="false">BJ361*IF($G361="wagon",2.73,81.25)</f>
        <v>8450</v>
      </c>
      <c r="BV361" s="0" t="n">
        <v>3</v>
      </c>
      <c r="BW361" s="0" t="n">
        <v>185</v>
      </c>
      <c r="BY361" s="0" t="s">
        <v>147</v>
      </c>
      <c r="BZ361" s="0" t="s">
        <v>148</v>
      </c>
      <c r="CA361" s="46" t="str">
        <f aca="false">VLOOKUP(J361,[2]Eras!$A$2:$C$10, 2, TRUE())</f>
        <v>mod</v>
      </c>
      <c r="CB361" s="0" t="s">
        <v>844</v>
      </c>
      <c r="CC361" s="46" t="str">
        <f aca="false">CONCATENATE(CA361,"_",CB361)</f>
        <v>mod_EMU</v>
      </c>
      <c r="CD361" s="46" t="str">
        <f aca="false">_xlfn.CONCAT(H361, "_",I361)</f>
        <v>diesel_RAIL</v>
      </c>
      <c r="CE361" s="6" t="str">
        <f aca="false" t="array" ref="CE361:CE361">IF(AN361&lt;&gt;"na", _xlfn.CONCAT("{BLACK}Length: {GOLD}", TEXT(ROUNDUP(IF(AQ361&lt;&gt;"",SUM(VALUE(_xlfn.TEXTSPLIT(AQ361, ","))), SUM(VALUE(_xlfn.TEXTSPLIT(AN361, ",")))*IF(M361, M361, 1))/16, 1),"#,##0.0"), " tiles{}"), "")</f>
        <v>{BLACK}Length: {GOLD}2.3 tiles{}</v>
      </c>
      <c r="CF361" s="46" t="str">
        <f aca="false">VLOOKUP($CD361, [2]Constants!$M$1:$N$1048576, 2, FALSE())</f>
        <v>{BLACK}Powered by: {GOLD}Diesel</v>
      </c>
      <c r="CG361" s="46" t="str">
        <f aca="false">IF(AND(L361&gt;1,BN361&lt;&gt;1),_xlfn.CONCAT("{BLACK}Cars: {GOLD}", L361),"")</f>
        <v/>
      </c>
      <c r="CH361" s="0" t="s">
        <v>1304</v>
      </c>
      <c r="CI361" s="0" t="str">
        <f aca="false">IF($BU361="!param_no_gameplay_units","{GREEN}Included for gameplay purposes","")</f>
        <v/>
      </c>
      <c r="CJ361" s="0" t="str">
        <f aca="false">IF(BX361="buffet","{YELLOW}25% long distance bonus for consist{}",IF(BY361="DANDY","{YELLOW}Faster downhill speeds for horse-drawn trains (1 required per 2 horses){}",IF(BY361="BRAKE","{YELLOW}Speed bonus for slow wagons{}",IF(BY361="NGPassengers","{YELLOW}Preserved railway bonus: passengers pay more when hauled by old locomotives{}",IF(AND(BW361&gt;190,NOT(AND(I361="NARROW_GAUGE",BY361&lt;&gt;"PASS"))),CONCATENATE("{YELLOW}",INT((BW361-185)/1.85),"% bonus for long distance travel{}"),IF(AND(BW361&lt;180,BW361&lt;&gt;0),CONCATENATE("{YELLOW}",INT((185-BW361)/1.85),"% penalty for long distance travel{}"),""))))))</f>
        <v/>
      </c>
      <c r="CK361" s="0" t="str">
        <f aca="false">_xlfn.CONCAT(CF361,IF(CF361&lt;&gt;""," ",""),CG361,IF(OR(CG361&lt;&gt;"",CF361&lt;&gt;""),"{}",""),CE361,CJ361,"{SILVER}",CH361,IF(CI361&lt;&gt;"","{}{}",""),CI361)</f>
        <v>{BLACK}Powered by: {GOLD}Diesel {}{BLACK}Length: {GOLD}2.3 tiles{}{SILVER}The Class 185 is a diesel version of the Siemens Desiro family. Each car has its own 6 cylinder engine, giving the unit high acceleration.</v>
      </c>
    </row>
    <row r="362" customFormat="false" ht="14.25" hidden="false" customHeight="false" outlineLevel="0" collapsed="false">
      <c r="A362" s="0" t="s">
        <v>1305</v>
      </c>
      <c r="B362" s="42" t="s">
        <v>1306</v>
      </c>
      <c r="C362" s="0" t="n">
        <v>1054</v>
      </c>
      <c r="E362" s="0" t="n">
        <v>30</v>
      </c>
      <c r="F362" s="0" t="s">
        <v>143</v>
      </c>
      <c r="G362" s="0" t="s">
        <v>827</v>
      </c>
      <c r="H362" s="0" t="s">
        <v>529</v>
      </c>
      <c r="I362" s="0" t="s">
        <v>530</v>
      </c>
      <c r="J362" s="0" t="n">
        <v>2023</v>
      </c>
      <c r="M362" s="0" t="n">
        <v>5</v>
      </c>
      <c r="N362" s="0" t="n">
        <v>1800</v>
      </c>
      <c r="W362" s="0" t="n">
        <v>250</v>
      </c>
      <c r="Y362" s="0" t="n">
        <v>5</v>
      </c>
      <c r="Z362" s="0" t="n">
        <v>190</v>
      </c>
      <c r="AA362" s="3" t="n">
        <f aca="false">IF(AND(W362&gt;0,Z362&gt;0),(Z362/((W362+X362)*10)),"")</f>
        <v>0.076</v>
      </c>
      <c r="AB362" s="0" t="n">
        <v>110</v>
      </c>
      <c r="AC362" s="0" t="n">
        <f aca="false">ROUND(AB362*1.6, 0)</f>
        <v>176</v>
      </c>
      <c r="AF362" s="0" t="n">
        <v>22.7</v>
      </c>
      <c r="AG362" s="0" t="n">
        <v>22.7</v>
      </c>
      <c r="AJ362" s="4" t="n">
        <v>81</v>
      </c>
      <c r="AK362" s="16" t="str">
        <f aca="false">CONCATENATE(VLOOKUP(AL362, '[2]Voxel Sizes'!$A$2:$B$18,2,FALSE()),"x",INT(AH362*15), "x", INT(AI362*15))</f>
        <v>214x0x0</v>
      </c>
      <c r="AL362" s="16" t="n">
        <f aca="false">ROUND(15*((AG362*10)/256),0)</f>
        <v>13</v>
      </c>
      <c r="AN362" s="16" t="str">
        <f aca="false">CONCATENATE(VLOOKUP(AL362,[2]Constants!$A$2:$C$16,IF(AM362&lt;&gt;"", 3, 2), FALSE()),IF(AM362&lt;&gt;"",CONCATENATE(",",VLOOKUP(AM362,$B:$AN,39,FALSE())),""))</f>
        <v>4,5,4</v>
      </c>
      <c r="AO362" s="0" t="n">
        <v>4</v>
      </c>
      <c r="AR362" s="0" t="s">
        <v>1307</v>
      </c>
      <c r="AT362" s="0" t="s">
        <v>1015</v>
      </c>
      <c r="AX362" s="0" t="n">
        <v>31</v>
      </c>
      <c r="AY362" s="16" t="str">
        <f aca="false">IF(L362&lt;&gt;"",MAX(16,(L362-J362)+8),"")</f>
        <v/>
      </c>
      <c r="AZ362" s="0" t="n">
        <v>-12</v>
      </c>
      <c r="BA362" s="0" t="n">
        <v>-30</v>
      </c>
      <c r="BB362" s="43" t="n">
        <f aca="false">MIN(AB362/150, 1)*30</f>
        <v>22</v>
      </c>
      <c r="BC362" s="43" t="n">
        <f aca="false">MIN(N362/4000, 1)*20</f>
        <v>9</v>
      </c>
      <c r="BD362" s="43" t="n">
        <f aca="false">MIN(Z362/400,1)*20</f>
        <v>9.5</v>
      </c>
      <c r="BE362" s="44" t="n">
        <f aca="false">1-(MAX(J362-1900, 0)/750)</f>
        <v>0.836</v>
      </c>
      <c r="BF362" s="43" t="n">
        <f aca="false">((MAX($M362,1)*MIN($AJ362/300,1)))*IF(G362="Wagon",50,10)</f>
        <v>13.5</v>
      </c>
      <c r="BG362" s="43" t="n">
        <f aca="false">VLOOKUP($H362,[2]Constants!$I$1:$K$1048576, 2, FALSE())</f>
        <v>0.85</v>
      </c>
      <c r="BH362" s="43" t="n">
        <f aca="false">VLOOKUP($H362,[2]Constants!$I$1:$K$1048576, 3, FALSE())*IF(AND(G362="multiple_unit",AB362&lt;110),0.75,1)</f>
        <v>2.3</v>
      </c>
      <c r="BI362" s="43" t="n">
        <f aca="false">INT(POWER((([2]Constants!$G$2+$BB362+$BC362+$BD362+$BF362)*$BE362)*$BH362, 1.05))+$BA362</f>
        <v>113</v>
      </c>
      <c r="BJ362" s="43" t="n">
        <f aca="false">INT(POWER(((([2]Constants!$G$1+$BB362+$BC362+$BD362+$BF362)*($BE362))*$BG362),IF($G362="wagon",1,1.2)))+$AZ362</f>
        <v>94</v>
      </c>
      <c r="BK362" s="45" t="n">
        <f aca="false">BI362*IF($G362="wagon",62.5,781.25)</f>
        <v>88281.25</v>
      </c>
      <c r="BL362" s="45" t="n">
        <f aca="false">BJ362*IF($G362="wagon",2.73,81.25)</f>
        <v>7637.5</v>
      </c>
      <c r="BV362" s="0" t="n">
        <v>11</v>
      </c>
      <c r="BW362" s="0" t="n">
        <v>185</v>
      </c>
      <c r="BY362" s="0" t="s">
        <v>147</v>
      </c>
      <c r="BZ362" s="0" t="s">
        <v>148</v>
      </c>
      <c r="CA362" s="46" t="str">
        <f aca="false">VLOOKUP(J362,[2]Eras!$A$2:$C$10, 2, TRUE())</f>
        <v>mod</v>
      </c>
      <c r="CB362" s="0" t="s">
        <v>844</v>
      </c>
      <c r="CC362" s="46" t="str">
        <f aca="false">CONCATENATE(CA362,"_",CB362)</f>
        <v>mod_EMU</v>
      </c>
      <c r="CD362" s="46" t="str">
        <f aca="false">_xlfn.CONCAT(H362, "_",I362)</f>
        <v>electric_ELRL</v>
      </c>
      <c r="CE362" s="6" t="str">
        <f aca="false" t="array" ref="CE362:CE362">IF(AN362&lt;&gt;"na", _xlfn.CONCAT("{BLACK}Length: {GOLD}", TEXT(ROUNDUP(IF(AQ362&lt;&gt;"",SUM(VALUE(_xlfn.TEXTSPLIT(AQ362, ","))), SUM(VALUE(_xlfn.TEXTSPLIT(AN362, ",")))*IF(M362, M362, 1))/16, 1),"#,##0.0"), " tiles{}"), "")</f>
        <v>{BLACK}Length: {GOLD}4.1 tiles{}</v>
      </c>
      <c r="CF362" s="46" t="str">
        <f aca="false">VLOOKUP($CD362, [2]Constants!$M$1:$N$1048576, 2, FALSE())</f>
        <v>{BLACK}Powered by: {GOLD}25kV AC</v>
      </c>
      <c r="CG362" s="46" t="str">
        <f aca="false">IF(AND(L362&gt;1,BN362&lt;&gt;1),_xlfn.CONCAT("{BLACK}Cars: {GOLD}", L362),"")</f>
        <v/>
      </c>
      <c r="CH362" s="0" t="s">
        <v>1308</v>
      </c>
      <c r="CI362" s="0" t="str">
        <f aca="false">IF($BU362="!param_no_gameplay_units","{GREEN}Included for gameplay purposes","")</f>
        <v/>
      </c>
      <c r="CJ362" s="0" t="str">
        <f aca="false">IF(BX362="buffet","{YELLOW}25% long distance bonus for consist{}",IF(BY362="DANDY","{YELLOW}Faster downhill speeds for horse-drawn trains (1 required per 2 horses){}",IF(BY362="BRAKE","{YELLOW}Speed bonus for slow wagons{}",IF(BY362="NGPassengers","{YELLOW}Preserved railway bonus: passengers pay more when hauled by old locomotives{}",IF(AND(BW362&gt;190,NOT(AND(I362="NARROW_GAUGE",BY362&lt;&gt;"PASS"))),CONCATENATE("{YELLOW}",INT((BW362-185)/1.85),"% bonus for long distance travel{}"),IF(AND(BW362&lt;180,BW362&lt;&gt;0),CONCATENATE("{YELLOW}",INT((185-BW362)/1.85),"% penalty for long distance travel{}"),""))))))</f>
        <v/>
      </c>
      <c r="CK362" s="0" t="str">
        <f aca="false">_xlfn.CONCAT(CF362,IF(CF362&lt;&gt;""," ",""),CG362,IF(OR(CG362&lt;&gt;"",CF362&lt;&gt;""),"{}",""),CE362,CJ362,"{SILVER}",CH362,IF(CI362&lt;&gt;"","{}{}",""),CI362)</f>
        <v>{BLACK}Powered by: {GOLD}25kV AC {}{BLACK}Length: {GOLD}4.1 tiles{}{SILVER}The 730/2 is the longer and faster variant of the Class 730 units built for West Midlands Trains, serving on their London Northwestern Railway routes over the West Coast Main Line.</v>
      </c>
    </row>
    <row r="363" customFormat="false" ht="14.25" hidden="false" customHeight="false" outlineLevel="0" collapsed="false">
      <c r="A363" s="48" t="s">
        <v>1309</v>
      </c>
      <c r="B363" s="42" t="s">
        <v>1310</v>
      </c>
      <c r="C363" s="0" t="n">
        <v>1055</v>
      </c>
      <c r="E363" s="0" t="n">
        <v>-1</v>
      </c>
      <c r="G363" s="0" t="s">
        <v>1222</v>
      </c>
      <c r="H363" s="0" t="s">
        <v>1060</v>
      </c>
      <c r="I363" s="0" t="s">
        <v>92</v>
      </c>
      <c r="AA363" s="3" t="str">
        <f aca="false">IF(AND(W363&gt;0,Z363&gt;0),(Z363/((W363+X363)*10)),"")</f>
        <v/>
      </c>
      <c r="AC363" s="0" t="n">
        <f aca="false">ROUND(AB363*1.6, 0)</f>
        <v>0</v>
      </c>
      <c r="AK363" s="16" t="s">
        <v>1230</v>
      </c>
      <c r="AL363" s="16" t="n">
        <f aca="false">ROUND(15*((AG363*10)/256),0)</f>
        <v>0</v>
      </c>
      <c r="AN363" s="16" t="str">
        <f aca="false">CONCATENATE(VLOOKUP(AL363,[2]Constants!$A$2:$C$16,IF(AM363&lt;&gt;"", 3, 2), FALSE()),IF(AM363&lt;&gt;"",CONCATENATE(",",VLOOKUP(AM363,$B:$AN,39,FALSE())),""))</f>
        <v>na</v>
      </c>
      <c r="AX363" s="0" t="n">
        <v>30</v>
      </c>
      <c r="AY363" s="16" t="str">
        <f aca="false">IF(L363&lt;&gt;"",MAX(16,(L363-J363)+8),"")</f>
        <v/>
      </c>
      <c r="BB363" s="43" t="n">
        <f aca="false">MIN(AB363/150, 1)*30</f>
        <v>0</v>
      </c>
      <c r="BC363" s="43" t="n">
        <f aca="false">MIN(N363/4000, 1)*20</f>
        <v>0</v>
      </c>
      <c r="BD363" s="43" t="n">
        <f aca="false">MIN(Z363/400,1)*20</f>
        <v>0</v>
      </c>
      <c r="BE363" s="3" t="n">
        <f aca="false">1-(MAX(J363-1900, 0)/750)</f>
        <v>1</v>
      </c>
      <c r="BF363" s="43" t="n">
        <f aca="false">((MAX($M363,1)*MIN($AJ363/300,1)))*IF(G363="Wagon",50,10)</f>
        <v>0</v>
      </c>
      <c r="BG363" s="43" t="n">
        <v>0.9</v>
      </c>
      <c r="BH363" s="43" t="n">
        <v>1.6</v>
      </c>
      <c r="BI363" s="43" t="n">
        <v>8</v>
      </c>
      <c r="BJ363" s="43" t="n">
        <v>22</v>
      </c>
      <c r="BK363" s="17" t="n">
        <f aca="false">BI363*IF($G363="wagon",62.5,781.25)</f>
        <v>6250</v>
      </c>
      <c r="BL363" s="17" t="n">
        <f aca="false">BJ363*IF($G363="wagon",2.73,81.25)</f>
        <v>1787.5</v>
      </c>
      <c r="BV363" s="0" t="n">
        <v>4</v>
      </c>
      <c r="CA363" s="46" t="s">
        <v>1270</v>
      </c>
      <c r="CC363" s="46" t="str">
        <f aca="false">CONCATENATE(CA363,"_",CB363)</f>
        <v>dsl_</v>
      </c>
      <c r="CD363" s="46" t="str">
        <f aca="false">_xlfn.CONCAT(H363, "_",I363)</f>
        <v>tube_RAIL</v>
      </c>
      <c r="CE363" s="6" t="str">
        <f aca="false" t="array" ref="CE363:CE363">IF(AN363&lt;&gt;"na", _xlfn.CONCAT("{BLACK}Length: {GOLD}", TEXT(ROUNDUP(IF(AQ363&lt;&gt;"",SUM(VALUE(_xlfn.TEXTSPLIT(AQ363, ","))), SUM(VALUE(_xlfn.TEXTSPLIT(AN363, ",")))*IF(M363, M363, 1))/16, 1),"#,##0.0"), " tiles{}"), "")</f>
        <v/>
      </c>
      <c r="CF363" s="46" t="str">
        <f aca="false">VLOOKUP($CD363, [2]Constants!$M$1:$N$1048576, 2, FALSE())</f>
        <v/>
      </c>
      <c r="CG363" s="46" t="str">
        <f aca="false">IF(AND(L363&gt;1,BN363&lt;&gt;1),_xlfn.CONCAT("{BLACK}Cars: {GOLD}", L363),"")</f>
        <v/>
      </c>
      <c r="CI363" s="0" t="str">
        <f aca="false">IF($BU363="!param_no_gameplay_units","{GREEN}Included for gameplay purposes","")</f>
        <v/>
      </c>
      <c r="CJ363" s="0" t="str">
        <f aca="false">IF(BX363="buffet","{YELLOW}25% long distance bonus for consist{}",IF(BY363="DANDY","{YELLOW}Faster downhill speeds for horse-drawn trains (1 required per 2 horses){}",IF(BY363="BRAKE","{YELLOW}Speed bonus for slow wagons{}",IF(BY363="NGPassengers","{YELLOW}Preserved railway bonus: passengers pay more when hauled by old locomotives{}",IF(AND(BW363&gt;190,NOT(AND(I363="NARROW_GAUGE",BY363&lt;&gt;"PASS"))),CONCATENATE("{YELLOW}",INT((BW363-185)/1.85),"% bonus for long distance travel{}"),IF(AND(BW363&lt;180,BW363&lt;&gt;0),CONCATENATE("{YELLOW}",INT((185-BW363)/1.85),"% penalty for long distance travel{}"),""))))))</f>
        <v/>
      </c>
      <c r="CK363" s="0" t="str">
        <f aca="false">_xlfn.CONCAT(CF363,IF(CF363&lt;&gt;""," ",""),CG363,IF(OR(CG363&lt;&gt;"",CF363&lt;&gt;""),"{}",""),CE363,CJ363,"{SILVER}",CH363,IF(CI363&lt;&gt;"","{}{}",""),CI363)</f>
        <v>{SILVER}</v>
      </c>
    </row>
    <row r="364" customFormat="false" ht="14.25" hidden="false" customHeight="false" outlineLevel="0" collapsed="false">
      <c r="A364" s="48" t="s">
        <v>1311</v>
      </c>
      <c r="B364" s="42" t="s">
        <v>1312</v>
      </c>
      <c r="C364" s="0" t="n">
        <v>1056</v>
      </c>
      <c r="E364" s="0" t="n">
        <v>-1</v>
      </c>
      <c r="G364" s="0" t="s">
        <v>1222</v>
      </c>
      <c r="H364" s="0" t="s">
        <v>1060</v>
      </c>
      <c r="I364" s="0" t="s">
        <v>92</v>
      </c>
      <c r="AA364" s="3" t="str">
        <f aca="false">IF(AND(W364&gt;0,Z364&gt;0),(Z364/((W364+X364)*10)),"")</f>
        <v/>
      </c>
      <c r="AC364" s="0" t="n">
        <f aca="false">ROUND(AB364*1.6, 0)</f>
        <v>0</v>
      </c>
      <c r="AK364" s="16" t="s">
        <v>1230</v>
      </c>
      <c r="AL364" s="16" t="n">
        <f aca="false">ROUND(15*((AG364*10)/256),0)</f>
        <v>0</v>
      </c>
      <c r="AN364" s="16" t="str">
        <f aca="false">CONCATENATE(VLOOKUP(AL364,[2]Constants!$A$2:$C$16,IF(AM364&lt;&gt;"", 3, 2), FALSE()),IF(AM364&lt;&gt;"",CONCATENATE(",",VLOOKUP(AM364,$B:$AN,39,FALSE())),""))</f>
        <v>na</v>
      </c>
      <c r="AX364" s="0" t="n">
        <v>30</v>
      </c>
      <c r="AY364" s="16" t="str">
        <f aca="false">IF(L364&lt;&gt;"",MAX(16,(L364-J364)+8),"")</f>
        <v/>
      </c>
      <c r="BB364" s="43" t="n">
        <f aca="false">MIN(AB364/150, 1)*30</f>
        <v>0</v>
      </c>
      <c r="BC364" s="43" t="n">
        <f aca="false">MIN(N364/4000, 1)*20</f>
        <v>0</v>
      </c>
      <c r="BD364" s="43" t="n">
        <f aca="false">MIN(Z364/400,1)*20</f>
        <v>0</v>
      </c>
      <c r="BE364" s="3" t="n">
        <f aca="false">1-(MAX(J364-1900, 0)/750)</f>
        <v>1</v>
      </c>
      <c r="BF364" s="43" t="n">
        <f aca="false">((MAX($M364,1)*MIN($AJ364/300,1)))*IF(G364="Wagon",50,10)</f>
        <v>0</v>
      </c>
      <c r="BG364" s="43" t="n">
        <v>0.9</v>
      </c>
      <c r="BH364" s="43" t="n">
        <v>1.6</v>
      </c>
      <c r="BI364" s="43" t="n">
        <v>8</v>
      </c>
      <c r="BJ364" s="43" t="n">
        <v>22</v>
      </c>
      <c r="BK364" s="17" t="n">
        <f aca="false">BI364*IF($G364="wagon",62.5,781.25)</f>
        <v>6250</v>
      </c>
      <c r="BL364" s="17" t="n">
        <f aca="false">BJ364*IF($G364="wagon",2.73,81.25)</f>
        <v>1787.5</v>
      </c>
      <c r="BV364" s="0" t="n">
        <v>6</v>
      </c>
      <c r="BW364" s="0" t="n">
        <v>120</v>
      </c>
      <c r="CA364" s="46" t="s">
        <v>491</v>
      </c>
      <c r="CB364" s="0" t="s">
        <v>1061</v>
      </c>
      <c r="CC364" s="46" t="str">
        <f aca="false">CONCATENATE(CA364,"_",CB364)</f>
        <v>vct_LU</v>
      </c>
      <c r="CD364" s="46" t="str">
        <f aca="false">_xlfn.CONCAT(H364, "_",I364)</f>
        <v>tube_RAIL</v>
      </c>
      <c r="CE364" s="6" t="str">
        <f aca="false" t="array" ref="CE364:CE364">IF(AN364&lt;&gt;"na", _xlfn.CONCAT("{BLACK}Length: {GOLD}", TEXT(ROUNDUP(IF(AQ364&lt;&gt;"",SUM(VALUE(_xlfn.TEXTSPLIT(AQ364, ","))), SUM(VALUE(_xlfn.TEXTSPLIT(AN364, ",")))*IF(M364, M364, 1))/16, 1),"#,##0.0"), " tiles{}"), "")</f>
        <v/>
      </c>
      <c r="CF364" s="46" t="str">
        <f aca="false">VLOOKUP($CD364, [2]Constants!$M$1:$N$1048576, 2, FALSE())</f>
        <v/>
      </c>
      <c r="CG364" s="46" t="str">
        <f aca="false">IF(AND(L364&gt;1,BN364&lt;&gt;1),_xlfn.CONCAT("{BLACK}Cars: {GOLD}", L364),"")</f>
        <v/>
      </c>
      <c r="CI364" s="0" t="str">
        <f aca="false">IF($BU364="!param_no_gameplay_units","{GREEN}Included for gameplay purposes","")</f>
        <v/>
      </c>
      <c r="CJ364" s="0" t="str">
        <f aca="false">IF(BX364="buffet","{YELLOW}25% long distance bonus for consist{}",IF(BY364="DANDY","{YELLOW}Faster downhill speeds for horse-drawn trains (1 required per 2 horses){}",IF(BY364="BRAKE","{YELLOW}Speed bonus for slow wagons{}",IF(BY364="NGPassengers","{YELLOW}Preserved railway bonus: passengers pay more when hauled by old locomotives{}",IF(AND(BW364&gt;190,NOT(AND(I364="NARROW_GAUGE",BY364&lt;&gt;"PASS"))),CONCATENATE("{YELLOW}",INT((BW364-185)/1.85),"% bonus for long distance travel{}"),IF(AND(BW364&lt;180,BW364&lt;&gt;0),CONCATENATE("{YELLOW}",INT((185-BW364)/1.85),"% penalty for long distance travel{}"),""))))))</f>
        <v>{YELLOW}35% penalty for long distance travel{}</v>
      </c>
      <c r="CK364" s="0" t="str">
        <f aca="false">_xlfn.CONCAT(CF364,IF(CF364&lt;&gt;""," ",""),CG364,IF(OR(CG364&lt;&gt;"",CF364&lt;&gt;""),"{}",""),CE364,CJ364,"{SILVER}",CH364,IF(CI364&lt;&gt;"","{}{}",""),CI364)</f>
        <v>{YELLOW}35% penalty for long distance travel{}{SILVER}</v>
      </c>
    </row>
    <row r="365" customFormat="false" ht="14.25" hidden="false" customHeight="false" outlineLevel="0" collapsed="false">
      <c r="A365" s="48" t="s">
        <v>1313</v>
      </c>
      <c r="B365" s="42" t="s">
        <v>1314</v>
      </c>
      <c r="C365" s="0" t="n">
        <v>1057</v>
      </c>
      <c r="E365" s="0" t="n">
        <v>-1</v>
      </c>
      <c r="G365" s="0" t="s">
        <v>1222</v>
      </c>
      <c r="H365" s="0" t="s">
        <v>1222</v>
      </c>
      <c r="I365" s="0" t="s">
        <v>641</v>
      </c>
      <c r="J365" s="0" t="n">
        <v>1893</v>
      </c>
      <c r="K365" s="0" t="n">
        <v>1896</v>
      </c>
      <c r="L365" s="0" t="n">
        <v>1956</v>
      </c>
      <c r="M365" s="0" t="n">
        <v>2</v>
      </c>
      <c r="N365" s="0" t="n">
        <v>120</v>
      </c>
      <c r="W365" s="0" t="n">
        <v>10</v>
      </c>
      <c r="Y365" s="0" t="n">
        <v>7</v>
      </c>
      <c r="Z365" s="0" t="n">
        <v>30</v>
      </c>
      <c r="AA365" s="3" t="n">
        <f aca="false">IF(AND(W365&gt;0,Z365&gt;0),(Z365/((W365+X365)*10)),"")</f>
        <v>0.3</v>
      </c>
      <c r="AB365" s="0" t="n">
        <v>35</v>
      </c>
      <c r="AC365" s="0" t="n">
        <f aca="false">ROUND(AB365*1.6, 0)</f>
        <v>56</v>
      </c>
      <c r="AF365" s="0" t="n">
        <v>14</v>
      </c>
      <c r="AG365" s="0" t="n">
        <v>14</v>
      </c>
      <c r="AH365" s="0" t="n">
        <v>2.59</v>
      </c>
      <c r="AJ365" s="4" t="n">
        <f aca="false">41+16</f>
        <v>57</v>
      </c>
      <c r="AK365" s="16" t="s">
        <v>1315</v>
      </c>
      <c r="AL365" s="16" t="n">
        <f aca="false">ROUND(15*((AG365*10)/256),0)</f>
        <v>8</v>
      </c>
      <c r="AN365" s="16" t="str">
        <f aca="false">CONCATENATE(VLOOKUP(AL365,[2]Constants!$A$2:$C$16,IF(AM365&lt;&gt;"", 3, 2), FALSE()),IF(AM365&lt;&gt;"",CONCATENATE(",",VLOOKUP(AM365,$B:$AN,39,FALSE())),""))</f>
        <v>2,4,2</v>
      </c>
      <c r="AR365" s="0" t="s">
        <v>1316</v>
      </c>
      <c r="AT365" s="0" t="s">
        <v>833</v>
      </c>
      <c r="AX365" s="0" t="n">
        <v>25</v>
      </c>
      <c r="AY365" s="16" t="n">
        <f aca="false">IF(L365&lt;&gt;"",MAX(16,(L365-J365)+8),"")</f>
        <v>71</v>
      </c>
      <c r="BB365" s="43" t="n">
        <f aca="false">MIN(AB365/150, 1)*30</f>
        <v>7</v>
      </c>
      <c r="BC365" s="43" t="n">
        <f aca="false">MIN(N365/4000, 1)*20</f>
        <v>0.6</v>
      </c>
      <c r="BD365" s="43" t="n">
        <f aca="false">MIN(Z365/400,1)*20</f>
        <v>1.5</v>
      </c>
      <c r="BE365" s="3" t="n">
        <f aca="false">1-(MAX(J365-1900, 0)/750)</f>
        <v>1</v>
      </c>
      <c r="BF365" s="43" t="n">
        <f aca="false">((MAX($M365,1)*MIN($AJ365/300,1)))*IF(G365="Wagon",50,10)</f>
        <v>3.8</v>
      </c>
      <c r="BG365" s="43" t="e">
        <f aca="false">#N/A</f>
        <v>#N/A</v>
      </c>
      <c r="BH365" s="43" t="e">
        <f aca="false">#N/A</f>
        <v>#N/A</v>
      </c>
      <c r="BI365" s="43" t="e">
        <f aca="false">#N/A</f>
        <v>#N/A</v>
      </c>
      <c r="BJ365" s="43" t="e">
        <f aca="false">#N/A</f>
        <v>#N/A</v>
      </c>
      <c r="BK365" s="17" t="e">
        <f aca="false">BI365*IF($G365="wagon",62.5,781.25)</f>
        <v>#N/A</v>
      </c>
      <c r="BL365" s="17" t="e">
        <f aca="false">BJ365*IF($G365="wagon",2.73,81.25)</f>
        <v>#N/A</v>
      </c>
      <c r="BV365" s="0" t="n">
        <v>2</v>
      </c>
      <c r="BZ365" s="0" t="s">
        <v>148</v>
      </c>
      <c r="CA365" s="46" t="s">
        <v>491</v>
      </c>
      <c r="CB365" s="0" t="s">
        <v>844</v>
      </c>
      <c r="CC365" s="46" t="str">
        <f aca="false">CONCATENATE(CA365,"_",CB365)</f>
        <v>vct_EMU</v>
      </c>
      <c r="CD365" s="46" t="str">
        <f aca="false">_xlfn.CONCAT(H365, "_",I365)</f>
        <v>na_THIRD_RAIL</v>
      </c>
      <c r="CE365" s="6" t="str">
        <f aca="false" t="array" ref="CE365:CE365">IF(AN365&lt;&gt;"na", _xlfn.CONCAT("{BLACK}Length: {GOLD}", TEXT(ROUNDUP(IF(AQ365&lt;&gt;"",SUM(VALUE(_xlfn.TEXTSPLIT(AQ365, ","))), SUM(VALUE(_xlfn.TEXTSPLIT(AN365, ",")))*IF(M365, M365, 1))/16, 1),"#,##0.0"), " tiles{}"), "")</f>
        <v>{BLACK}Length: {GOLD}1.0 tiles{}</v>
      </c>
      <c r="CF365" s="46" t="e">
        <f aca="false">VLOOKUP($CD365, [2]Constants!$M$1:$N$1048576, 2, FALSE())</f>
        <v>#N/A</v>
      </c>
      <c r="CG365" s="46" t="str">
        <f aca="false">IF(AND(L365&gt;1,BN365&lt;&gt;1),_xlfn.CONCAT("{BLACK}Cars: {GOLD}", L365),"")</f>
        <v>{BLACK}Cars: {GOLD}1956</v>
      </c>
      <c r="CH365" s="0" t="s">
        <v>1317</v>
      </c>
      <c r="CI365" s="0" t="str">
        <f aca="false">IF($BU365="!param_no_gameplay_units","{GREEN}Included for gameplay purposes","")</f>
        <v/>
      </c>
      <c r="CJ365" s="0" t="str">
        <f aca="false">IF(BX365="buffet","{YELLOW}25% long distance bonus for consist{}",IF(BY365="DANDY","{YELLOW}Faster downhill speeds for horse-drawn trains (1 required per 2 horses){}",IF(BY365="BRAKE","{YELLOW}Speed bonus for slow wagons{}",IF(BY365="NGPassengers","{YELLOW}Preserved railway bonus: passengers pay more when hauled by old locomotives{}",IF(AND(BW365&gt;190,NOT(AND(I365="NARROW_GAUGE",BY365&lt;&gt;"PASS"))),CONCATENATE("{YELLOW}",INT((BW365-185)/1.85),"% bonus for long distance travel{}"),IF(AND(BW365&lt;180,BW365&lt;&gt;0),CONCATENATE("{YELLOW}",INT((185-BW365)/1.85),"% penalty for long distance travel{}"),""))))))</f>
        <v/>
      </c>
      <c r="CK365" s="0" t="e">
        <f aca="false">_xlfn.CONCAT(CF365,IF(CF365&lt;&gt;""," ",""),CG365,IF(OR(CG365&lt;&gt;"",CF365&lt;&gt;""),"{}",""),CE365,CJ365,"{SILVER}",CH365,IF(CI365&lt;&gt;"","{}{}",""),CI365)</f>
        <v>#N/A</v>
      </c>
    </row>
    <row r="366" customFormat="false" ht="14.25" hidden="false" customHeight="false" outlineLevel="0" collapsed="false">
      <c r="A366" s="48" t="s">
        <v>1318</v>
      </c>
      <c r="B366" s="42" t="s">
        <v>1319</v>
      </c>
      <c r="C366" s="0" t="n">
        <v>1058</v>
      </c>
      <c r="E366" s="0" t="n">
        <v>-1</v>
      </c>
      <c r="G366" s="0" t="s">
        <v>1222</v>
      </c>
      <c r="H366" s="0" t="s">
        <v>1060</v>
      </c>
      <c r="I366" s="0" t="s">
        <v>92</v>
      </c>
      <c r="J366" s="0" t="n">
        <v>1983</v>
      </c>
      <c r="AA366" s="3" t="str">
        <f aca="false">IF(AND(W366&gt;0,Z366&gt;0),(Z366/((W366+X366)*10)),"")</f>
        <v/>
      </c>
      <c r="AC366" s="0" t="n">
        <f aca="false">ROUND(AB366*1.6, 0)</f>
        <v>0</v>
      </c>
      <c r="AK366" s="16" t="s">
        <v>1230</v>
      </c>
      <c r="AL366" s="16" t="n">
        <f aca="false">ROUND(15*((AG366*10)/256),0)</f>
        <v>0</v>
      </c>
      <c r="AN366" s="16" t="str">
        <f aca="false">CONCATENATE(VLOOKUP(AL366,[2]Constants!$A$2:$C$16,IF(AM366&lt;&gt;"", 3, 2), FALSE()),IF(AM366&lt;&gt;"",CONCATENATE(",",VLOOKUP(AM366,$B:$AN,39,FALSE())),""))</f>
        <v>na</v>
      </c>
      <c r="AX366" s="0" t="n">
        <v>30</v>
      </c>
      <c r="AY366" s="16" t="str">
        <f aca="false">IF(L366&lt;&gt;"",MAX(16,(L366-J366)+8),"")</f>
        <v/>
      </c>
      <c r="BB366" s="43" t="n">
        <f aca="false">MIN(AB366/150, 1)*30</f>
        <v>0</v>
      </c>
      <c r="BC366" s="43" t="n">
        <f aca="false">MIN(N366/4000, 1)*20</f>
        <v>0</v>
      </c>
      <c r="BD366" s="43" t="n">
        <f aca="false">MIN(Z366/400,1)*20</f>
        <v>0</v>
      </c>
      <c r="BE366" s="3" t="n">
        <f aca="false">1-(MAX(J366-1900, 0)/750)</f>
        <v>0.889333333333333</v>
      </c>
      <c r="BF366" s="43" t="n">
        <f aca="false">((MAX($M366,1)*MIN($AJ366/300,1)))*IF(G366="Wagon",50,10)</f>
        <v>0</v>
      </c>
      <c r="BG366" s="43" t="n">
        <v>0.9</v>
      </c>
      <c r="BH366" s="43" t="n">
        <v>1.6</v>
      </c>
      <c r="BI366" s="43" t="n">
        <v>7</v>
      </c>
      <c r="BJ366" s="43" t="n">
        <v>19</v>
      </c>
      <c r="BK366" s="17" t="n">
        <f aca="false">BI366*IF($G366="wagon",62.5,781.25)</f>
        <v>5468.75</v>
      </c>
      <c r="BL366" s="17" t="n">
        <f aca="false">BJ366*IF($G366="wagon",2.73,81.25)</f>
        <v>1543.75</v>
      </c>
      <c r="BV366" s="0" t="n">
        <v>10</v>
      </c>
      <c r="BW366" s="0" t="n">
        <v>120</v>
      </c>
      <c r="BZ366" s="0" t="s">
        <v>148</v>
      </c>
      <c r="CA366" s="46" t="s">
        <v>1320</v>
      </c>
      <c r="CB366" s="0" t="s">
        <v>1061</v>
      </c>
      <c r="CC366" s="46" t="str">
        <f aca="false">CONCATENATE(CA366,"_",CB366)</f>
        <v>lbr_LU</v>
      </c>
      <c r="CD366" s="46" t="str">
        <f aca="false">_xlfn.CONCAT(H366, "_",I366)</f>
        <v>tube_RAIL</v>
      </c>
      <c r="CE366" s="6" t="str">
        <f aca="false" t="array" ref="CE366:CE366">IF(AN366&lt;&gt;"na", _xlfn.CONCAT("{BLACK}Length: {GOLD}", TEXT(ROUNDUP(IF(AQ366&lt;&gt;"",SUM(VALUE(_xlfn.TEXTSPLIT(AQ366, ","))), SUM(VALUE(_xlfn.TEXTSPLIT(AN366, ",")))*IF(M366, M366, 1))/16, 1),"#,##0.0"), " tiles{}"), "")</f>
        <v/>
      </c>
      <c r="CF366" s="46" t="str">
        <f aca="false">VLOOKUP($CD366, [2]Constants!$M$1:$N$1048576, 2, FALSE())</f>
        <v/>
      </c>
      <c r="CG366" s="46" t="str">
        <f aca="false">IF(AND(L366&gt;1,BN366&lt;&gt;1),_xlfn.CONCAT("{BLACK}Cars: {GOLD}", L366),"")</f>
        <v/>
      </c>
      <c r="CI366" s="0" t="str">
        <f aca="false">IF($BU366="!param_no_gameplay_units","{GREEN}Included for gameplay purposes","")</f>
        <v/>
      </c>
      <c r="CJ366" s="0" t="str">
        <f aca="false">IF(BX366="buffet","{YELLOW}25% long distance bonus for consist{}",IF(BY366="DANDY","{YELLOW}Faster downhill speeds for horse-drawn trains (1 required per 2 horses){}",IF(BY366="BRAKE","{YELLOW}Speed bonus for slow wagons{}",IF(BY366="NGPassengers","{YELLOW}Preserved railway bonus: passengers pay more when hauled by old locomotives{}",IF(AND(BW366&gt;190,NOT(AND(I366="NARROW_GAUGE",BY366&lt;&gt;"PASS"))),CONCATENATE("{YELLOW}",INT((BW366-185)/1.85),"% bonus for long distance travel{}"),IF(AND(BW366&lt;180,BW366&lt;&gt;0),CONCATENATE("{YELLOW}",INT((185-BW366)/1.85),"% penalty for long distance travel{}"),""))))))</f>
        <v>{YELLOW}35% penalty for long distance travel{}</v>
      </c>
      <c r="CK366" s="0" t="str">
        <f aca="false">_xlfn.CONCAT(CF366,IF(CF366&lt;&gt;""," ",""),CG366,IF(OR(CG366&lt;&gt;"",CF366&lt;&gt;""),"{}",""),CE366,CJ366,"{SILVER}",CH366,IF(CI366&lt;&gt;"","{}{}",""),CI366)</f>
        <v>{YELLOW}35% penalty for long distance travel{}{SILVER}</v>
      </c>
    </row>
    <row r="367" customFormat="false" ht="14.25" hidden="false" customHeight="false" outlineLevel="0" collapsed="false">
      <c r="A367" s="48" t="s">
        <v>1321</v>
      </c>
      <c r="B367" s="42" t="s">
        <v>1322</v>
      </c>
      <c r="C367" s="0" t="n">
        <v>1059</v>
      </c>
      <c r="E367" s="0" t="n">
        <v>-1</v>
      </c>
      <c r="G367" s="0" t="s">
        <v>1222</v>
      </c>
      <c r="H367" s="0" t="s">
        <v>529</v>
      </c>
      <c r="I367" s="0" t="s">
        <v>530</v>
      </c>
      <c r="AA367" s="3" t="str">
        <f aca="false">IF(AND(W367&gt;0,Z367&gt;0),(Z367/((W367+X367)*10)),"")</f>
        <v/>
      </c>
      <c r="AC367" s="0" t="n">
        <f aca="false">ROUND(AB367*1.6, 0)</f>
        <v>0</v>
      </c>
      <c r="AK367" s="16" t="s">
        <v>1230</v>
      </c>
      <c r="AL367" s="16" t="n">
        <f aca="false">ROUND(15*((AG367*10)/256),0)</f>
        <v>0</v>
      </c>
      <c r="AN367" s="16" t="str">
        <f aca="false">CONCATENATE(VLOOKUP(AL367,[2]Constants!$A$2:$C$16,IF(AM367&lt;&gt;"", 3, 2), FALSE()),IF(AM367&lt;&gt;"",CONCATENATE(",",VLOOKUP(AM367,$B:$AN,39,FALSE())),""))</f>
        <v>na</v>
      </c>
      <c r="AX367" s="0" t="n">
        <v>30</v>
      </c>
      <c r="AY367" s="16" t="str">
        <f aca="false">IF(L367&lt;&gt;"",MAX(16,(L367-J367)+8),"")</f>
        <v/>
      </c>
      <c r="BB367" s="43" t="n">
        <f aca="false">MIN(AB367/150, 1)*30</f>
        <v>0</v>
      </c>
      <c r="BC367" s="43" t="n">
        <f aca="false">MIN(N367/4000, 1)*20</f>
        <v>0</v>
      </c>
      <c r="BD367" s="43" t="n">
        <f aca="false">MIN(Z367/400,1)*20</f>
        <v>0</v>
      </c>
      <c r="BE367" s="3" t="n">
        <f aca="false">1-(MAX(J367-1900, 0)/750)</f>
        <v>1</v>
      </c>
      <c r="BF367" s="43" t="n">
        <f aca="false">((MAX($M367,1)*MIN($AJ367/300,1)))*IF(G367="Wagon",50,10)</f>
        <v>0</v>
      </c>
      <c r="BG367" s="43" t="n">
        <v>0.85</v>
      </c>
      <c r="BH367" s="43" t="n">
        <v>2.3</v>
      </c>
      <c r="BI367" s="43" t="n">
        <v>12</v>
      </c>
      <c r="BJ367" s="43" t="n">
        <v>21</v>
      </c>
      <c r="BK367" s="17" t="n">
        <f aca="false">BI367*IF($G367="wagon",62.5,781.25)</f>
        <v>9375</v>
      </c>
      <c r="BL367" s="17" t="n">
        <f aca="false">BJ367*IF($G367="wagon",2.73,81.25)</f>
        <v>1706.25</v>
      </c>
      <c r="BV367" s="0" t="n">
        <v>8</v>
      </c>
      <c r="CA367" s="46" t="e">
        <f aca="false">#N/A</f>
        <v>#N/A</v>
      </c>
      <c r="CC367" s="46" t="e">
        <f aca="false">CONCATENATE(CA367,"_",CB367)</f>
        <v>#N/A</v>
      </c>
      <c r="CD367" s="46" t="str">
        <f aca="false">_xlfn.CONCAT(H367, "_",I367)</f>
        <v>electric_ELRL</v>
      </c>
      <c r="CE367" s="6" t="str">
        <f aca="false" t="array" ref="CE367:CE367">IF(AN367&lt;&gt;"na", _xlfn.CONCAT("{BLACK}Length: {GOLD}", TEXT(ROUNDUP(IF(AQ367&lt;&gt;"",SUM(VALUE(_xlfn.TEXTSPLIT(AQ367, ","))), SUM(VALUE(_xlfn.TEXTSPLIT(AN367, ",")))*IF(M367, M367, 1))/16, 1),"#,##0.0"), " tiles{}"), "")</f>
        <v/>
      </c>
      <c r="CF367" s="46" t="str">
        <f aca="false">VLOOKUP($CD367, [2]Constants!$M$1:$N$1048576, 2, FALSE())</f>
        <v>{BLACK}Powered by: {GOLD}25kV AC</v>
      </c>
      <c r="CG367" s="46" t="str">
        <f aca="false">IF(AND(L367&gt;1,BN367&lt;&gt;1),_xlfn.CONCAT("{BLACK}Cars: {GOLD}", L367),"")</f>
        <v/>
      </c>
      <c r="CI367" s="0" t="str">
        <f aca="false">IF($BU367="!param_no_gameplay_units","{GREEN}Included for gameplay purposes","")</f>
        <v/>
      </c>
      <c r="CJ367" s="0" t="str">
        <f aca="false">IF(BX367="buffet","{YELLOW}25% long distance bonus for consist{}",IF(BY367="DANDY","{YELLOW}Faster downhill speeds for horse-drawn trains (1 required per 2 horses){}",IF(BY367="BRAKE","{YELLOW}Speed bonus for slow wagons{}",IF(BY367="NGPassengers","{YELLOW}Preserved railway bonus: passengers pay more when hauled by old locomotives{}",IF(AND(BW367&gt;190,NOT(AND(I367="NARROW_GAUGE",BY367&lt;&gt;"PASS"))),CONCATENATE("{YELLOW}",INT((BW367-185)/1.85),"% bonus for long distance travel{}"),IF(AND(BW367&lt;180,BW367&lt;&gt;0),CONCATENATE("{YELLOW}",INT((185-BW367)/1.85),"% penalty for long distance travel{}"),""))))))</f>
        <v/>
      </c>
      <c r="CK367" s="0" t="str">
        <f aca="false">_xlfn.CONCAT(CF367,IF(CF367&lt;&gt;""," ",""),CG367,IF(OR(CG367&lt;&gt;"",CF367&lt;&gt;""),"{}",""),CE367,CJ367,"{SILVER}",CH367,IF(CI367&lt;&gt;"","{}{}",""),CI367)</f>
        <v>{BLACK}Powered by: {GOLD}25kV AC {}{SILVER}</v>
      </c>
    </row>
    <row r="368" customFormat="false" ht="14.25" hidden="false" customHeight="false" outlineLevel="0" collapsed="false">
      <c r="A368" s="0" t="s">
        <v>1323</v>
      </c>
      <c r="B368" s="42" t="s">
        <v>1324</v>
      </c>
      <c r="C368" s="0" t="n">
        <v>2010</v>
      </c>
      <c r="E368" s="0" t="n">
        <v>2000</v>
      </c>
      <c r="F368" s="0" t="s">
        <v>143</v>
      </c>
      <c r="G368" s="0" t="s">
        <v>438</v>
      </c>
      <c r="H368" s="0" t="s">
        <v>438</v>
      </c>
      <c r="I368" s="0" t="s">
        <v>1325</v>
      </c>
      <c r="J368" s="0" t="n">
        <v>1800</v>
      </c>
      <c r="L368" s="0" t="n">
        <v>1880</v>
      </c>
      <c r="N368" s="0" t="n">
        <v>5</v>
      </c>
      <c r="T368" s="18"/>
      <c r="W368" s="0" t="n">
        <v>1</v>
      </c>
      <c r="Z368" s="0" t="n">
        <v>4</v>
      </c>
      <c r="AA368" s="3" t="n">
        <f aca="false">IF(AND(W368&gt;0,Z368&gt;0),(Z368/((W368+X368)*10)),"")</f>
        <v>0.4</v>
      </c>
      <c r="AB368" s="0" t="n">
        <v>15</v>
      </c>
      <c r="AC368" s="0" t="n">
        <f aca="false">ROUND(AB368*1.6, 0)</f>
        <v>24</v>
      </c>
      <c r="AG368" s="0" t="n">
        <v>6</v>
      </c>
      <c r="AJ368" s="4" t="n">
        <v>0</v>
      </c>
      <c r="AK368" s="16" t="str">
        <f aca="false">CONCATENATE(VLOOKUP(AL368, '[2]Voxel Sizes'!$A$2:$B$18,2,FALSE()),"x",INT(AH368*15), "x", INT(AI368*15))</f>
        <v>66x0x0</v>
      </c>
      <c r="AL368" s="16" t="n">
        <f aca="false">ROUND(15*((AG368*10)/256),0)</f>
        <v>4</v>
      </c>
      <c r="AN368" s="16" t="str">
        <f aca="false">CONCATENATE(VLOOKUP(AL368,[2]Constants!$A$2:$C$16,IF(AM368&lt;&gt;"", 3, 2), FALSE()),IF(AM368&lt;&gt;"",CONCATENATE(",",VLOOKUP(AM368,$B:$AN,39,FALSE())),""))</f>
        <v>1,2,1</v>
      </c>
      <c r="AV368" s="0" t="n">
        <v>1</v>
      </c>
      <c r="AX368" s="0" t="n">
        <v>14</v>
      </c>
      <c r="AY368" s="16" t="n">
        <f aca="false">IF(L368&lt;&gt;"",MAX(16,(L368-J368)+8),"")</f>
        <v>88</v>
      </c>
      <c r="AZ368" s="0" t="n">
        <v>-13</v>
      </c>
      <c r="BA368" s="0" t="n">
        <v>-3</v>
      </c>
      <c r="BB368" s="43" t="n">
        <f aca="false">MIN(AB368/150, 1)*30</f>
        <v>3</v>
      </c>
      <c r="BC368" s="43" t="n">
        <f aca="false">MIN(N368/4000, 1)*20</f>
        <v>0.025</v>
      </c>
      <c r="BD368" s="43" t="n">
        <f aca="false">MIN(Z368/400,1)*20</f>
        <v>0.2</v>
      </c>
      <c r="BE368" s="44" t="n">
        <f aca="false">1-(MAX(J368-1900, 0)/750)</f>
        <v>1</v>
      </c>
      <c r="BF368" s="43" t="n">
        <f aca="false">((MAX($M368,1)*MIN($AJ368/300,1)))*IF(G368="Wagon",50,10)</f>
        <v>0</v>
      </c>
      <c r="BG368" s="43" t="n">
        <f aca="false">VLOOKUP($H368,[2]Constants!$I$1:$K$1048576, 2, FALSE())</f>
        <v>0.5</v>
      </c>
      <c r="BH368" s="43" t="n">
        <f aca="false">VLOOKUP($H368,[2]Constants!$I$1:$K$1048576, 3, FALSE())*IF(AND(G368="multiple_unit",AB368&lt;110),0.75,1)</f>
        <v>0.5</v>
      </c>
      <c r="BI368" s="43" t="n">
        <f aca="false">INT(POWER((([2]Constants!$G$2+$BB368+$BC368+$BD368+$BF368)*$BE368)*$BH368, 1.05))+$BA368</f>
        <v>1</v>
      </c>
      <c r="BJ368" s="43" t="n">
        <f aca="false">INT(POWER(((([2]Constants!$G$1+$BB368+$BC368+$BD368+$BF368)*($BE368))*$BG368),IF($G368="wagon",1,1.2)))+$AZ368</f>
        <v>1</v>
      </c>
      <c r="BK368" s="45" t="n">
        <f aca="false">BI368*IF($G368="wagon",62.5,781.25)</f>
        <v>781.25</v>
      </c>
      <c r="BL368" s="45" t="n">
        <f aca="false">BJ368*IF($G368="wagon",2.73,81.25)</f>
        <v>81.25</v>
      </c>
      <c r="BV368" s="0" t="n">
        <v>1</v>
      </c>
      <c r="CA368" s="46" t="str">
        <f aca="false">VLOOKUP(J368,[2]Eras!$A$2:$C$10, 2, TRUE())</f>
        <v>early</v>
      </c>
      <c r="CB368" s="0" t="s">
        <v>439</v>
      </c>
      <c r="CC368" s="46" t="str">
        <f aca="false">CONCATENATE(CA368,"_",CB368)</f>
        <v>early_Mixed Traffic</v>
      </c>
      <c r="CD368" s="46" t="str">
        <f aca="false">_xlfn.CONCAT(H368, "_",I368)</f>
        <v>horses_NARROW_GAUGE</v>
      </c>
      <c r="CE368" s="6" t="str">
        <f aca="false" t="array" ref="CE368:CE368">IF(AN368&lt;&gt;"na", _xlfn.CONCAT("{BLACK}Length: {GOLD}", TEXT(ROUNDUP(IF(AQ368&lt;&gt;"",SUM(VALUE(_xlfn.TEXTSPLIT(AQ368, ","))), SUM(VALUE(_xlfn.TEXTSPLIT(AN368, ",")))*IF(M368, M368, 1))/16, 1),"#,##0.0"), " tiles{}"), "")</f>
        <v>{BLACK}Length: {GOLD}0.3 tiles{}</v>
      </c>
      <c r="CF368" s="46" t="str">
        <f aca="false">VLOOKUP($CD368, [2]Constants!$M$1:$N$1048576, 2, FALSE())</f>
        <v>{BLACK}Powered by: {GOLD}Grass and hay</v>
      </c>
      <c r="CG368" s="46" t="str">
        <f aca="false">IF(AND(L368&gt;1,BN368&lt;&gt;1),_xlfn.CONCAT("{BLACK}Cars: {GOLD}", L368),"")</f>
        <v>{BLACK}Cars: {GOLD}1880</v>
      </c>
      <c r="CH368" s="0" t="s">
        <v>1326</v>
      </c>
      <c r="CI368" s="0" t="str">
        <f aca="false">IF($BU368="!param_no_gameplay_units","{GREEN}Included for gameplay purposes","")</f>
        <v/>
      </c>
      <c r="CJ368" s="0" t="str">
        <f aca="false">IF(BX368="buffet","{YELLOW}25% long distance bonus for consist{}",IF(BY368="DANDY","{YELLOW}Faster downhill speeds for horse-drawn trains (1 required per 2 horses){}",IF(BY368="BRAKE","{YELLOW}Speed bonus for slow wagons{}",IF(BY368="NGPassengers","{YELLOW}Preserved railway bonus: passengers pay more when hauled by old locomotives{}",IF(AND(BW368&gt;190,NOT(AND(I368="NARROW_GAUGE",BY368&lt;&gt;"PASS"))),CONCATENATE("{YELLOW}",INT((BW368-185)/1.85),"% bonus for long distance travel{}"),IF(AND(BW368&lt;180,BW368&lt;&gt;0),CONCATENATE("{YELLOW}",INT((185-BW368)/1.85),"% penalty for long distance travel{}"),""))))))</f>
        <v/>
      </c>
      <c r="CK368" s="0" t="str">
        <f aca="false">_xlfn.CONCAT(CF368,IF(CF368&lt;&gt;""," ",""),CG368,IF(OR(CG368&lt;&gt;"",CF368&lt;&gt;""),"{}",""),CE368,CJ368,"{SILVER}",CH368,IF(CI368&lt;&gt;"","{}{}",""),CI368)</f>
        <v>{BLACK}Powered by: {GOLD}Grass and hay {BLACK}Cars: {GOLD}1880{}{BLACK}Length: {GOLD}0.3 tiles{}{SILVER}A smaller horse for a smaller railway.</v>
      </c>
    </row>
    <row r="369" customFormat="false" ht="14.25" hidden="false" customHeight="false" outlineLevel="0" collapsed="false">
      <c r="A369" s="0" t="s">
        <v>1327</v>
      </c>
      <c r="B369" s="42" t="s">
        <v>1328</v>
      </c>
      <c r="C369" s="0" t="n">
        <v>2011</v>
      </c>
      <c r="E369" s="0" t="n">
        <v>2001</v>
      </c>
      <c r="F369" s="0" t="s">
        <v>143</v>
      </c>
      <c r="G369" s="0" t="s">
        <v>445</v>
      </c>
      <c r="H369" s="0" t="s">
        <v>446</v>
      </c>
      <c r="I369" s="0" t="s">
        <v>1325</v>
      </c>
      <c r="J369" s="0" t="n">
        <v>1804</v>
      </c>
      <c r="L369" s="0" t="n">
        <v>1840</v>
      </c>
      <c r="N369" s="0" t="n">
        <v>10</v>
      </c>
      <c r="P369" s="2" t="n">
        <v>8.6</v>
      </c>
      <c r="Q369" s="2" t="n">
        <v>16</v>
      </c>
      <c r="R369" s="2" t="n">
        <v>1</v>
      </c>
      <c r="S369" s="2" t="n">
        <v>160</v>
      </c>
      <c r="T369" s="18" t="n">
        <f aca="false">((($AB369/2)/60)*5280)/($U369*3.2*PI())</f>
        <v>87.5352187005424</v>
      </c>
      <c r="U369" s="2" t="n">
        <v>0.7</v>
      </c>
      <c r="V369" s="2" t="n">
        <f aca="false">((($P369*$P369/4)*PI())*($Q369/12)*$R369*$S369*$T369)/(33000*1.1)</f>
        <v>29.8828282828283</v>
      </c>
      <c r="W369" s="0" t="n">
        <v>5</v>
      </c>
      <c r="Y369" s="0" t="n">
        <v>5</v>
      </c>
      <c r="Z369" s="0" t="n">
        <v>12</v>
      </c>
      <c r="AA369" s="3" t="n">
        <f aca="false">IF(AND(W369&gt;0,Z369&gt;0),(Z369/((W369+X369)*10)),"")</f>
        <v>0.24</v>
      </c>
      <c r="AB369" s="0" t="n">
        <v>14</v>
      </c>
      <c r="AC369" s="0" t="n">
        <f aca="false">ROUND(AB369*1.6, 0)</f>
        <v>22</v>
      </c>
      <c r="AF369" s="0" t="n">
        <v>5.5</v>
      </c>
      <c r="AG369" s="0" t="n">
        <v>8</v>
      </c>
      <c r="AJ369" s="4" t="n">
        <v>0</v>
      </c>
      <c r="AK369" s="16" t="str">
        <f aca="false">CONCATENATE(VLOOKUP(AL369, '[2]Voxel Sizes'!$A$2:$B$18,2,FALSE()),"x",INT(AH369*15), "x", INT(AI369*15))</f>
        <v>82x0x0</v>
      </c>
      <c r="AL369" s="16" t="n">
        <f aca="false">ROUND(15*((AG369*10)/256),0)</f>
        <v>5</v>
      </c>
      <c r="AM369" s="0" t="s">
        <v>1144</v>
      </c>
      <c r="AN369" s="16" t="str">
        <f aca="false">CONCATENATE(VLOOKUP(AL369,[2]Constants!$A$2:$C$16,IF(AM369&lt;&gt;"", 3, 2), FALSE()),IF(AM369&lt;&gt;"",CONCATENATE(",",VLOOKUP(AM369,$B:$AN,39,FALSE())),""))</f>
        <v>2,1,2,1,1,1</v>
      </c>
      <c r="AV369" s="0" t="n">
        <v>1</v>
      </c>
      <c r="AX369" s="0" t="n">
        <v>28</v>
      </c>
      <c r="AY369" s="16" t="n">
        <f aca="false">IF(L369&lt;&gt;"",MAX(16,(L369-J369)+8),"")</f>
        <v>44</v>
      </c>
      <c r="AZ369" s="0" t="n">
        <v>-34</v>
      </c>
      <c r="BA369" s="0" t="n">
        <v>-13</v>
      </c>
      <c r="BB369" s="43" t="n">
        <f aca="false">MIN(AB369/150, 1)*30</f>
        <v>2.8</v>
      </c>
      <c r="BC369" s="43" t="n">
        <f aca="false">MIN(N369/4000, 1)*20</f>
        <v>0.05</v>
      </c>
      <c r="BD369" s="43" t="n">
        <f aca="false">MIN(Z369/400,1)*20</f>
        <v>0.6</v>
      </c>
      <c r="BE369" s="44" t="n">
        <f aca="false">1-(MAX(J369-1900, 0)/750)</f>
        <v>1</v>
      </c>
      <c r="BF369" s="43" t="n">
        <f aca="false">((MAX($M369,1)*MIN($AJ369/300,1)))*IF(G369="Wagon",50,10)</f>
        <v>0</v>
      </c>
      <c r="BG369" s="43" t="n">
        <f aca="false">VLOOKUP($H369,[2]Constants!$I$1:$K$1048576, 2, FALSE())</f>
        <v>1.15</v>
      </c>
      <c r="BH369" s="43" t="n">
        <f aca="false">VLOOKUP($H369,[2]Constants!$I$1:$K$1048576, 3, FALSE())*IF(AND(G369="multiple_unit",AB369&lt;110),0.75,1)</f>
        <v>1.7</v>
      </c>
      <c r="BI369" s="43" t="n">
        <f aca="false">INT(POWER((([2]Constants!$G$2+$BB369+$BC369+$BD369+$BF369)*$BE369)*$BH369, 1.05))+$BA369</f>
        <v>3</v>
      </c>
      <c r="BJ369" s="43" t="n">
        <f aca="false">INT(POWER(((([2]Constants!$G$1+$BB369+$BC369+$BD369+$BF369)*($BE369))*$BG369),IF($G369="wagon",1,1.2)))+$AZ369</f>
        <v>5</v>
      </c>
      <c r="BK369" s="45" t="n">
        <f aca="false">BI369*IF($G369="wagon",62.5,781.25)</f>
        <v>2343.75</v>
      </c>
      <c r="BL369" s="45" t="n">
        <f aca="false">BJ369*IF($G369="wagon",2.73,81.25)</f>
        <v>406.25</v>
      </c>
      <c r="BV369" s="0" t="n">
        <v>2</v>
      </c>
      <c r="CA369" s="46" t="str">
        <f aca="false">VLOOKUP(J369,[2]Eras!$A$2:$C$10, 2, TRUE())</f>
        <v>early</v>
      </c>
      <c r="CB369" s="0" t="s">
        <v>513</v>
      </c>
      <c r="CC369" s="46" t="str">
        <f aca="false">CONCATENATE(CA369,"_",CB369)</f>
        <v>early_Cheap</v>
      </c>
      <c r="CD369" s="46" t="str">
        <f aca="false">_xlfn.CONCAT(H369, "_",I369)</f>
        <v>steam_NARROW_GAUGE</v>
      </c>
      <c r="CE369" s="6" t="str">
        <f aca="false" t="array" ref="CE369:CE369">IF(AN369&lt;&gt;"na", _xlfn.CONCAT("{BLACK}Length: {GOLD}", TEXT(ROUNDUP(IF(AQ369&lt;&gt;"",SUM(VALUE(_xlfn.TEXTSPLIT(AQ369, ","))), SUM(VALUE(_xlfn.TEXTSPLIT(AN369, ",")))*IF(M369, M369, 1))/16, 1),"#,##0.0"), " tiles{}"), "")</f>
        <v>{BLACK}Length: {GOLD}0.5 tiles{}</v>
      </c>
      <c r="CF369" s="46" t="str">
        <f aca="false">VLOOKUP($CD369, [2]Constants!$M$1:$N$1048576, 2, FALSE())</f>
        <v>{BLACK}Powered by: {GOLD}Steam</v>
      </c>
      <c r="CG369" s="46" t="str">
        <f aca="false">IF(AND(L369&gt;1,BN369&lt;&gt;1),_xlfn.CONCAT("{BLACK}Cars: {GOLD}", L369),"")</f>
        <v>{BLACK}Cars: {GOLD}1840</v>
      </c>
      <c r="CH369" s="0" t="s">
        <v>1329</v>
      </c>
      <c r="CI369" s="0" t="str">
        <f aca="false">IF($BU369="!param_no_gameplay_units","{GREEN}Included for gameplay purposes","")</f>
        <v/>
      </c>
      <c r="CJ369" s="0" t="str">
        <f aca="false">IF(BX369="buffet","{YELLOW}25% long distance bonus for consist{}",IF(BY369="DANDY","{YELLOW}Faster downhill speeds for horse-drawn trains (1 required per 2 horses){}",IF(BY369="BRAKE","{YELLOW}Speed bonus for slow wagons{}",IF(BY369="NGPassengers","{YELLOW}Preserved railway bonus: passengers pay more when hauled by old locomotives{}",IF(AND(BW369&gt;190,NOT(AND(I369="NARROW_GAUGE",BY369&lt;&gt;"PASS"))),CONCATENATE("{YELLOW}",INT((BW369-185)/1.85),"% bonus for long distance travel{}"),IF(AND(BW369&lt;180,BW369&lt;&gt;0),CONCATENATE("{YELLOW}",INT((185-BW369)/1.85),"% penalty for long distance travel{}"),""))))))</f>
        <v/>
      </c>
      <c r="CK369" s="0" t="str">
        <f aca="false">_xlfn.CONCAT(CF369,IF(CF369&lt;&gt;""," ",""),CG369,IF(OR(CG369&lt;&gt;"",CF369&lt;&gt;""),"{}",""),CE369,CJ369,"{SILVER}",CH369,IF(CI369&lt;&gt;"","{}{}",""),CI369)</f>
        <v>{BLACK}Powered by: {GOLD}Steam {BLACK}Cars: {GOLD}1840{}{BLACK}Length: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370" customFormat="false" ht="14.25" hidden="false" customHeight="false" outlineLevel="0" collapsed="false">
      <c r="A370" s="0" t="s">
        <v>1330</v>
      </c>
      <c r="B370" s="42" t="s">
        <v>1331</v>
      </c>
      <c r="C370" s="0" t="n">
        <v>2012</v>
      </c>
      <c r="E370" s="0" t="n">
        <v>2002</v>
      </c>
      <c r="F370" s="0" t="s">
        <v>143</v>
      </c>
      <c r="G370" s="0" t="s">
        <v>445</v>
      </c>
      <c r="H370" s="0" t="s">
        <v>446</v>
      </c>
      <c r="I370" s="0" t="s">
        <v>1325</v>
      </c>
      <c r="J370" s="0" t="n">
        <v>1863</v>
      </c>
      <c r="L370" s="0" t="n">
        <v>1946</v>
      </c>
      <c r="N370" s="0" t="n">
        <v>90</v>
      </c>
      <c r="P370" s="2" t="n">
        <v>8.25</v>
      </c>
      <c r="Q370" s="2" t="n">
        <v>12</v>
      </c>
      <c r="R370" s="2" t="n">
        <v>2</v>
      </c>
      <c r="S370" s="2" t="n">
        <v>160</v>
      </c>
      <c r="T370" s="18" t="n">
        <f aca="false">((($AB370/2)/60)*5280)/($U370*3.2*PI())</f>
        <v>165.025412304301</v>
      </c>
      <c r="U370" s="2" t="n">
        <v>0.61</v>
      </c>
      <c r="V370" s="2" t="n">
        <f aca="false">((($P370*$P370/4)*PI())*($Q370/12)*$R370*$S370*$T370)/(33000*1.1)</f>
        <v>77.766393442623</v>
      </c>
      <c r="W370" s="0" t="n">
        <v>15</v>
      </c>
      <c r="Y370" s="0" t="n">
        <v>5</v>
      </c>
      <c r="Z370" s="0" t="n">
        <v>29</v>
      </c>
      <c r="AA370" s="3" t="n">
        <f aca="false">IF(AND(W370&gt;0,Z370&gt;0),(Z370/((W370+X370)*10)),"")</f>
        <v>0.193333333333333</v>
      </c>
      <c r="AB370" s="0" t="n">
        <v>23</v>
      </c>
      <c r="AC370" s="0" t="n">
        <f aca="false">ROUND(AB370*1.6, 0)</f>
        <v>37</v>
      </c>
      <c r="AF370" s="0" t="n">
        <v>5.5</v>
      </c>
      <c r="AG370" s="0" t="n">
        <v>6</v>
      </c>
      <c r="AJ370" s="4" t="n">
        <v>0</v>
      </c>
      <c r="AK370" s="16" t="str">
        <f aca="false">CONCATENATE(VLOOKUP(AL370, '[2]Voxel Sizes'!$A$2:$B$18,2,FALSE()),"x",INT(AH370*15), "x", INT(AI370*15))</f>
        <v>66x0x0</v>
      </c>
      <c r="AL370" s="16" t="n">
        <f aca="false">ROUND(15*((AG370*10)/256),0)</f>
        <v>4</v>
      </c>
      <c r="AM370" s="0" t="s">
        <v>1150</v>
      </c>
      <c r="AN370" s="16" t="str">
        <f aca="false">CONCATENATE(VLOOKUP(AL370,[2]Constants!$A$2:$C$16,IF(AM370&lt;&gt;"", 3, 2), FALSE()),IF(AM370&lt;&gt;"",CONCATENATE(",",VLOOKUP(AM370,$B:$AN,39,FALSE())),""))</f>
        <v>1,2,1,1,1,1</v>
      </c>
      <c r="AV370" s="0" t="n">
        <v>1</v>
      </c>
      <c r="AX370" s="0" t="n">
        <v>250</v>
      </c>
      <c r="AY370" s="16" t="n">
        <f aca="false">IF(L370&lt;&gt;"",MAX(16,(L370-J370)+8),"")</f>
        <v>91</v>
      </c>
      <c r="AZ370" s="0" t="n">
        <v>-5</v>
      </c>
      <c r="BA370" s="0" t="n">
        <v>-3</v>
      </c>
      <c r="BB370" s="43" t="n">
        <f aca="false">MIN(AB370/150, 1)*30</f>
        <v>4.6</v>
      </c>
      <c r="BC370" s="43" t="n">
        <f aca="false">MIN(N370/4000, 1)*20</f>
        <v>0.45</v>
      </c>
      <c r="BD370" s="43" t="n">
        <f aca="false">MIN(Z370/400,1)*20</f>
        <v>1.45</v>
      </c>
      <c r="BE370" s="44" t="n">
        <f aca="false">1-(MAX(J370-1900, 0)/750)</f>
        <v>1</v>
      </c>
      <c r="BF370" s="43" t="n">
        <f aca="false">((MAX($M370,1)*MIN($AJ370/300,1)))*IF(G370="Wagon",50,10)</f>
        <v>0</v>
      </c>
      <c r="BG370" s="43" t="n">
        <f aca="false">VLOOKUP($H370,[2]Constants!$I$1:$K$1048576, 2, FALSE())</f>
        <v>1.15</v>
      </c>
      <c r="BH370" s="43" t="n">
        <f aca="false">VLOOKUP($H370,[2]Constants!$I$1:$K$1048576, 3, FALSE())*IF(AND(G370="multiple_unit",AB370&lt;110),0.75,1)</f>
        <v>1.7</v>
      </c>
      <c r="BI370" s="43" t="n">
        <f aca="false">INT(POWER((([2]Constants!$G$2+$BB370+$BC370+$BD370+$BF370)*$BE370)*$BH370, 1.05))+$BA370</f>
        <v>19</v>
      </c>
      <c r="BJ370" s="43" t="n">
        <f aca="false">INT(POWER(((([2]Constants!$G$1+$BB370+$BC370+$BD370+$BF370)*($BE370))*$BG370),IF($G370="wagon",1,1.2)))+$AZ370</f>
        <v>41</v>
      </c>
      <c r="BK370" s="45" t="n">
        <f aca="false">BI370*IF($G370="wagon",62.5,781.25)</f>
        <v>14843.75</v>
      </c>
      <c r="BL370" s="45" t="n">
        <f aca="false">BJ370*IF($G370="wagon",2.73,81.25)</f>
        <v>3331.25</v>
      </c>
      <c r="BV370" s="0" t="n">
        <v>9</v>
      </c>
      <c r="CA370" s="46" t="str">
        <f aca="false">VLOOKUP(J370,[2]Eras!$A$2:$C$10, 2, TRUE())</f>
        <v>vct</v>
      </c>
      <c r="CB370" s="0" t="s">
        <v>513</v>
      </c>
      <c r="CC370" s="46" t="str">
        <f aca="false">CONCATENATE(CA370,"_",CB370)</f>
        <v>vct_Cheap</v>
      </c>
      <c r="CD370" s="46" t="str">
        <f aca="false">_xlfn.CONCAT(H370, "_",I370)</f>
        <v>steam_NARROW_GAUGE</v>
      </c>
      <c r="CE370" s="6" t="str">
        <f aca="false" t="array" ref="CE370:CE370">IF(AN370&lt;&gt;"na", _xlfn.CONCAT("{BLACK}Length: {GOLD}", TEXT(ROUNDUP(IF(AQ370&lt;&gt;"",SUM(VALUE(_xlfn.TEXTSPLIT(AQ370, ","))), SUM(VALUE(_xlfn.TEXTSPLIT(AN370, ",")))*IF(M370, M370, 1))/16, 1),"#,##0.0"), " tiles{}"), "")</f>
        <v>{BLACK}Length: {GOLD}0.5 tiles{}</v>
      </c>
      <c r="CF370" s="46" t="str">
        <f aca="false">VLOOKUP($CD370, [2]Constants!$M$1:$N$1048576, 2, FALSE())</f>
        <v>{BLACK}Powered by: {GOLD}Steam</v>
      </c>
      <c r="CG370" s="46" t="str">
        <f aca="false">IF(AND(L370&gt;1,BN370&lt;&gt;1),_xlfn.CONCAT("{BLACK}Cars: {GOLD}", L370),"")</f>
        <v>{BLACK}Cars: {GOLD}1946</v>
      </c>
      <c r="CH370" s="0" t="s">
        <v>1332</v>
      </c>
      <c r="CI370" s="0" t="str">
        <f aca="false">IF($BU370="!param_no_gameplay_units","{GREEN}Included for gameplay purposes","")</f>
        <v/>
      </c>
      <c r="CJ370" s="0" t="str">
        <f aca="false">IF(BX370="buffet","{YELLOW}25% long distance bonus for consist{}",IF(BY370="DANDY","{YELLOW}Faster downhill speeds for horse-drawn trains (1 required per 2 horses){}",IF(BY370="BRAKE","{YELLOW}Speed bonus for slow wagons{}",IF(BY370="NGPassengers","{YELLOW}Preserved railway bonus: passengers pay more when hauled by old locomotives{}",IF(AND(BW370&gt;190,NOT(AND(I370="NARROW_GAUGE",BY370&lt;&gt;"PASS"))),CONCATENATE("{YELLOW}",INT((BW370-185)/1.85),"% bonus for long distance travel{}"),IF(AND(BW370&lt;180,BW370&lt;&gt;0),CONCATENATE("{YELLOW}",INT((185-BW370)/1.85),"% penalty for long distance travel{}"),""))))))</f>
        <v/>
      </c>
      <c r="CK370" s="0" t="str">
        <f aca="false">_xlfn.CONCAT(CF370,IF(CF370&lt;&gt;""," ",""),CG370,IF(OR(CG370&lt;&gt;"",CF370&lt;&gt;""),"{}",""),CE370,CJ370,"{SILVER}",CH370,IF(CI370&lt;&gt;"","{}{}",""),CI370)</f>
        <v>{BLACK}Powered by: {GOLD}Steam {BLACK}Cars: {GOLD}1946{}{BLACK}Length: {GOLD}0.5 tiles{}{SILVER}"Princess" was the first locomotive on the Ffestiniog Railway, going through multiple rebuilds and serving on the railway until its eventual closure in 1946.</v>
      </c>
    </row>
    <row r="371" customFormat="false" ht="14.25" hidden="false" customHeight="false" outlineLevel="0" collapsed="false">
      <c r="A371" s="0" t="s">
        <v>1333</v>
      </c>
      <c r="B371" s="42" t="s">
        <v>1334</v>
      </c>
      <c r="C371" s="0" t="n">
        <v>2013</v>
      </c>
      <c r="E371" s="0" t="n">
        <v>2003</v>
      </c>
      <c r="F371" s="0" t="s">
        <v>143</v>
      </c>
      <c r="G371" s="0" t="s">
        <v>445</v>
      </c>
      <c r="H371" s="0" t="s">
        <v>446</v>
      </c>
      <c r="I371" s="0" t="s">
        <v>1325</v>
      </c>
      <c r="J371" s="0" t="n">
        <v>1864</v>
      </c>
      <c r="L371" s="0" t="n">
        <v>1945</v>
      </c>
      <c r="N371" s="0" t="n">
        <v>110</v>
      </c>
      <c r="P371" s="2" t="n">
        <v>8.6</v>
      </c>
      <c r="Q371" s="2" t="n">
        <v>16</v>
      </c>
      <c r="R371" s="2" t="n">
        <v>2</v>
      </c>
      <c r="S371" s="2" t="n">
        <v>160</v>
      </c>
      <c r="T371" s="18" t="n">
        <f aca="false">((($AB371/2)/60)*5280)/($U371*3.2*PI())</f>
        <v>156.312890536683</v>
      </c>
      <c r="U371" s="2" t="n">
        <v>0.7</v>
      </c>
      <c r="V371" s="2" t="n">
        <f aca="false">((($P371*$P371/4)*PI())*($Q371/12)*$R371*$S371*$T371)/(33000*1.1)</f>
        <v>106.724386724387</v>
      </c>
      <c r="W371" s="0" t="n">
        <v>13</v>
      </c>
      <c r="Y371" s="0" t="n">
        <v>5</v>
      </c>
      <c r="Z371" s="0" t="n">
        <v>26</v>
      </c>
      <c r="AA371" s="3" t="n">
        <f aca="false">IF(AND(W371&gt;0,Z371&gt;0),(Z371/((W371+X371)*10)),"")</f>
        <v>0.2</v>
      </c>
      <c r="AB371" s="0" t="n">
        <v>25</v>
      </c>
      <c r="AC371" s="0" t="n">
        <f aca="false">ROUND(AB371*1.6, 0)</f>
        <v>40</v>
      </c>
      <c r="AF371" s="0" t="n">
        <v>5.5</v>
      </c>
      <c r="AG371" s="0" t="n">
        <v>6</v>
      </c>
      <c r="AJ371" s="4" t="n">
        <v>0</v>
      </c>
      <c r="AK371" s="16" t="str">
        <f aca="false">CONCATENATE(VLOOKUP(AL371, '[2]Voxel Sizes'!$A$2:$B$18,2,FALSE()),"x",INT(AH371*15), "x", INT(AI371*15))</f>
        <v>66x0x0</v>
      </c>
      <c r="AL371" s="16" t="n">
        <f aca="false">ROUND(15*((AG371*10)/256),0)</f>
        <v>4</v>
      </c>
      <c r="AN371" s="16" t="str">
        <f aca="false">CONCATENATE(VLOOKUP(AL371,[2]Constants!$A$2:$C$16,IF(AM371&lt;&gt;"", 3, 2), FALSE()),IF(AM371&lt;&gt;"",CONCATENATE(",",VLOOKUP(AM371,$B:$AN,39,FALSE())),""))</f>
        <v>1,2,1</v>
      </c>
      <c r="AV371" s="0" t="n">
        <v>1</v>
      </c>
      <c r="AX371" s="0" t="n">
        <v>250</v>
      </c>
      <c r="AY371" s="16" t="n">
        <f aca="false">IF(L371&lt;&gt;"",MAX(16,(L371-J371)+8),"")</f>
        <v>89</v>
      </c>
      <c r="AZ371" s="0" t="n">
        <v>-5</v>
      </c>
      <c r="BA371" s="0" t="n">
        <v>-3</v>
      </c>
      <c r="BB371" s="43" t="n">
        <f aca="false">MIN(AB371/150, 1)*30</f>
        <v>5</v>
      </c>
      <c r="BC371" s="43" t="n">
        <f aca="false">MIN(N371/4000, 1)*20</f>
        <v>0.55</v>
      </c>
      <c r="BD371" s="43" t="n">
        <f aca="false">MIN(Z371/400,1)*20</f>
        <v>1.3</v>
      </c>
      <c r="BE371" s="44" t="n">
        <f aca="false">1-(MAX(J371-1900, 0)/750)</f>
        <v>1</v>
      </c>
      <c r="BF371" s="43" t="n">
        <f aca="false">((MAX($M371,1)*MIN($AJ371/300,1)))*IF(G371="Wagon",50,10)</f>
        <v>0</v>
      </c>
      <c r="BG371" s="43" t="n">
        <f aca="false">VLOOKUP($H371,[2]Constants!$I$1:$K$1048576, 2, FALSE())</f>
        <v>1.15</v>
      </c>
      <c r="BH371" s="43" t="n">
        <f aca="false">VLOOKUP($H371,[2]Constants!$I$1:$K$1048576, 3, FALSE())*IF(AND(G371="multiple_unit",AB371&lt;110),0.75,1)</f>
        <v>1.7</v>
      </c>
      <c r="BI371" s="43" t="n">
        <f aca="false">INT(POWER((([2]Constants!$G$2+$BB371+$BC371+$BD371+$BF371)*$BE371)*$BH371, 1.05))+$BA371</f>
        <v>20</v>
      </c>
      <c r="BJ371" s="43" t="n">
        <f aca="false">INT(POWER(((([2]Constants!$G$1+$BB371+$BC371+$BD371+$BF371)*($BE371))*$BG371),IF($G371="wagon",1,1.2)))+$AZ371</f>
        <v>42</v>
      </c>
      <c r="BK371" s="45" t="n">
        <f aca="false">BI371*IF($G371="wagon",62.5,781.25)</f>
        <v>15625</v>
      </c>
      <c r="BL371" s="45" t="n">
        <f aca="false">BJ371*IF($G371="wagon",2.73,81.25)</f>
        <v>3412.5</v>
      </c>
      <c r="BV371" s="0" t="n">
        <v>12</v>
      </c>
      <c r="CA371" s="46" t="str">
        <f aca="false">VLOOKUP(J371,[2]Eras!$A$2:$C$10, 2, TRUE())</f>
        <v>vct</v>
      </c>
      <c r="CB371" s="0" t="s">
        <v>513</v>
      </c>
      <c r="CC371" s="46" t="str">
        <f aca="false">CONCATENATE(CA371,"_",CB371)</f>
        <v>vct_Cheap</v>
      </c>
      <c r="CD371" s="46" t="str">
        <f aca="false">_xlfn.CONCAT(H371, "_",I371)</f>
        <v>steam_NARROW_GAUGE</v>
      </c>
      <c r="CE371" s="6" t="str">
        <f aca="false" t="array" ref="CE371:CE371">IF(AN371&lt;&gt;"na", _xlfn.CONCAT("{BLACK}Length: {GOLD}", TEXT(ROUNDUP(IF(AQ371&lt;&gt;"",SUM(VALUE(_xlfn.TEXTSPLIT(AQ371, ","))), SUM(VALUE(_xlfn.TEXTSPLIT(AN371, ",")))*IF(M371, M371, 1))/16, 1),"#,##0.0"), " tiles{}"), "")</f>
        <v>{BLACK}Length: {GOLD}0.3 tiles{}</v>
      </c>
      <c r="CF371" s="46" t="str">
        <f aca="false">VLOOKUP($CD371, [2]Constants!$M$1:$N$1048576, 2, FALSE())</f>
        <v>{BLACK}Powered by: {GOLD}Steam</v>
      </c>
      <c r="CG371" s="46" t="str">
        <f aca="false">IF(AND(L371&gt;1,BN371&lt;&gt;1),_xlfn.CONCAT("{BLACK}Cars: {GOLD}", L371),"")</f>
        <v>{BLACK}Cars: {GOLD}1945</v>
      </c>
      <c r="CH371" s="0" t="s">
        <v>1335</v>
      </c>
      <c r="CI371" s="0" t="str">
        <f aca="false">IF($BU371="!param_no_gameplay_units","{GREEN}Included for gameplay purposes","")</f>
        <v/>
      </c>
      <c r="CJ371" s="0" t="str">
        <f aca="false">IF(BX371="buffet","{YELLOW}25% long distance bonus for consist{}",IF(BY371="DANDY","{YELLOW}Faster downhill speeds for horse-drawn trains (1 required per 2 horses){}",IF(BY371="BRAKE","{YELLOW}Speed bonus for slow wagons{}",IF(BY371="NGPassengers","{YELLOW}Preserved railway bonus: passengers pay more when hauled by old locomotives{}",IF(AND(BW371&gt;190,NOT(AND(I371="NARROW_GAUGE",BY371&lt;&gt;"PASS"))),CONCATENATE("{YELLOW}",INT((BW371-185)/1.85),"% bonus for long distance travel{}"),IF(AND(BW371&lt;180,BW371&lt;&gt;0),CONCATENATE("{YELLOW}",INT((185-BW371)/1.85),"% penalty for long distance travel{}"),""))))))</f>
        <v/>
      </c>
      <c r="CK371" s="0" t="str">
        <f aca="false">_xlfn.CONCAT(CF371,IF(CF371&lt;&gt;""," ",""),CG371,IF(OR(CG371&lt;&gt;"",CF371&lt;&gt;""),"{}",""),CE371,CJ371,"{SILVER}",CH371,IF(CI371&lt;&gt;"","{}{}",""),CI371)</f>
        <v>{BLACK}Powered by: {GOLD}Steam {BLACK}Cars: {GOLD}1945{}{BLACK}Length: {GOLD}0.3 tiles{}{SILVER}"Talyllyn" was delivered to the Talyllyn railway as an 0-4-0, but converted to 0-4-2 after a few years to improve riding quality. It was retired in 1945, but refurbished in the late 1950s and returned to preservation service.</v>
      </c>
    </row>
    <row r="372" customFormat="false" ht="14.25" hidden="false" customHeight="false" outlineLevel="0" collapsed="false">
      <c r="A372" s="0" t="s">
        <v>1336</v>
      </c>
      <c r="B372" s="42" t="s">
        <v>1337</v>
      </c>
      <c r="C372" s="0" t="n">
        <v>2014</v>
      </c>
      <c r="E372" s="0" t="n">
        <v>2004</v>
      </c>
      <c r="F372" s="0" t="s">
        <v>143</v>
      </c>
      <c r="G372" s="0" t="s">
        <v>445</v>
      </c>
      <c r="H372" s="0" t="s">
        <v>446</v>
      </c>
      <c r="I372" s="0" t="s">
        <v>1325</v>
      </c>
      <c r="J372" s="0" t="n">
        <v>1866</v>
      </c>
      <c r="L372" s="0" t="n">
        <v>1945</v>
      </c>
      <c r="N372" s="0" t="n">
        <v>85</v>
      </c>
      <c r="P372" s="2" t="n">
        <v>7.6</v>
      </c>
      <c r="Q372" s="2" t="n">
        <v>16</v>
      </c>
      <c r="R372" s="2" t="n">
        <v>2</v>
      </c>
      <c r="S372" s="2" t="n">
        <v>150</v>
      </c>
      <c r="T372" s="18" t="n">
        <f aca="false">((($AB372/2)/60)*5280)/($U372*3.2*PI())</f>
        <v>156.312890536683</v>
      </c>
      <c r="U372" s="2" t="n">
        <v>0.7</v>
      </c>
      <c r="V372" s="2" t="n">
        <f aca="false">((($P372*$P372/4)*PI())*($Q372/12)*$R372*$S372*$T372)/(33000*1.1)</f>
        <v>78.1385281385281</v>
      </c>
      <c r="W372" s="0" t="n">
        <v>10</v>
      </c>
      <c r="Y372" s="0" t="n">
        <v>5</v>
      </c>
      <c r="Z372" s="0" t="n">
        <v>18</v>
      </c>
      <c r="AA372" s="3" t="n">
        <f aca="false">IF(AND(W372&gt;0,Z372&gt;0),(Z372/((W372+X372)*10)),"")</f>
        <v>0.18</v>
      </c>
      <c r="AB372" s="0" t="n">
        <v>25</v>
      </c>
      <c r="AC372" s="0" t="n">
        <f aca="false">ROUND(AB372*1.6, 0)</f>
        <v>40</v>
      </c>
      <c r="AF372" s="0" t="n">
        <v>5.5</v>
      </c>
      <c r="AG372" s="0" t="n">
        <v>6</v>
      </c>
      <c r="AJ372" s="4" t="n">
        <v>0</v>
      </c>
      <c r="AK372" s="16" t="str">
        <f aca="false">CONCATENATE(VLOOKUP(AL372, '[2]Voxel Sizes'!$A$2:$B$18,2,FALSE()),"x",INT(AH372*15), "x", INT(AI372*15))</f>
        <v>66x0x0</v>
      </c>
      <c r="AL372" s="16" t="n">
        <f aca="false">ROUND(15*((AG372*10)/256),0)</f>
        <v>4</v>
      </c>
      <c r="AN372" s="16" t="str">
        <f aca="false">CONCATENATE(VLOOKUP(AL372,[2]Constants!$A$2:$C$16,IF(AM372&lt;&gt;"", 3, 2), FALSE()),IF(AM372&lt;&gt;"",CONCATENATE(",",VLOOKUP(AM372,$B:$AN,39,FALSE())),""))</f>
        <v>1,2,1</v>
      </c>
      <c r="AV372" s="0" t="n">
        <v>1</v>
      </c>
      <c r="AX372" s="0" t="n">
        <v>250</v>
      </c>
      <c r="AY372" s="16" t="n">
        <f aca="false">IF(L372&lt;&gt;"",MAX(16,(L372-J372)+8),"")</f>
        <v>87</v>
      </c>
      <c r="AZ372" s="0" t="n">
        <v>-5</v>
      </c>
      <c r="BA372" s="0" t="n">
        <v>-6</v>
      </c>
      <c r="BB372" s="43" t="n">
        <f aca="false">MIN(AB372/150, 1)*30</f>
        <v>5</v>
      </c>
      <c r="BC372" s="43" t="n">
        <f aca="false">MIN(N372/4000, 1)*20</f>
        <v>0.425</v>
      </c>
      <c r="BD372" s="43" t="n">
        <f aca="false">MIN(Z372/400,1)*20</f>
        <v>0.9</v>
      </c>
      <c r="BE372" s="44" t="n">
        <f aca="false">1-(MAX(J372-1900, 0)/750)</f>
        <v>1</v>
      </c>
      <c r="BF372" s="43" t="n">
        <f aca="false">((MAX($M372,1)*MIN($AJ372/300,1)))*IF(G372="Wagon",50,10)</f>
        <v>0</v>
      </c>
      <c r="BG372" s="43" t="n">
        <f aca="false">VLOOKUP($H372,[2]Constants!$I$1:$K$1048576, 2, FALSE())</f>
        <v>1.15</v>
      </c>
      <c r="BH372" s="43" t="n">
        <f aca="false">VLOOKUP($H372,[2]Constants!$I$1:$K$1048576, 3, FALSE())*IF(AND(G372="multiple_unit",AB372&lt;110),0.75,1)</f>
        <v>1.7</v>
      </c>
      <c r="BI372" s="43" t="n">
        <f aca="false">INT(POWER((([2]Constants!$G$2+$BB372+$BC372+$BD372+$BF372)*$BE372)*$BH372, 1.05))+$BA372</f>
        <v>16</v>
      </c>
      <c r="BJ372" s="43" t="n">
        <f aca="false">INT(POWER(((([2]Constants!$G$1+$BB372+$BC372+$BD372+$BF372)*($BE372))*$BG372),IF($G372="wagon",1,1.2)))+$AZ372</f>
        <v>41</v>
      </c>
      <c r="BK372" s="45" t="n">
        <f aca="false">BI372*IF($G372="wagon",62.5,781.25)</f>
        <v>12500</v>
      </c>
      <c r="BL372" s="45" t="n">
        <f aca="false">BJ372*IF($G372="wagon",2.73,81.25)</f>
        <v>3331.25</v>
      </c>
      <c r="BV372" s="0" t="n">
        <v>11</v>
      </c>
      <c r="CA372" s="46" t="str">
        <f aca="false">VLOOKUP(J372,[2]Eras!$A$2:$C$10, 2, TRUE())</f>
        <v>vct</v>
      </c>
      <c r="CB372" s="0" t="s">
        <v>513</v>
      </c>
      <c r="CC372" s="46" t="str">
        <f aca="false">CONCATENATE(CA372,"_",CB372)</f>
        <v>vct_Cheap</v>
      </c>
      <c r="CD372" s="46" t="str">
        <f aca="false">_xlfn.CONCAT(H372, "_",I372)</f>
        <v>steam_NARROW_GAUGE</v>
      </c>
      <c r="CE372" s="6" t="str">
        <f aca="false" t="array" ref="CE372:CE372">IF(AN372&lt;&gt;"na", _xlfn.CONCAT("{BLACK}Length: {GOLD}", TEXT(ROUNDUP(IF(AQ372&lt;&gt;"",SUM(VALUE(_xlfn.TEXTSPLIT(AQ372, ","))), SUM(VALUE(_xlfn.TEXTSPLIT(AN372, ",")))*IF(M372, M372, 1))/16, 1),"#,##0.0"), " tiles{}"), "")</f>
        <v>{BLACK}Length: {GOLD}0.3 tiles{}</v>
      </c>
      <c r="CF372" s="46" t="str">
        <f aca="false">VLOOKUP($CD372, [2]Constants!$M$1:$N$1048576, 2, FALSE())</f>
        <v>{BLACK}Powered by: {GOLD}Steam</v>
      </c>
      <c r="CG372" s="46" t="str">
        <f aca="false">IF(AND(L372&gt;1,BN372&lt;&gt;1),_xlfn.CONCAT("{BLACK}Cars: {GOLD}", L372),"")</f>
        <v>{BLACK}Cars: {GOLD}1945</v>
      </c>
      <c r="CH372" s="0" t="s">
        <v>1338</v>
      </c>
      <c r="CI372" s="0" t="str">
        <f aca="false">IF($BU372="!param_no_gameplay_units","{GREEN}Included for gameplay purposes","")</f>
        <v/>
      </c>
      <c r="CJ372" s="0" t="str">
        <f aca="false">IF(BX372="buffet","{YELLOW}25% long distance bonus for consist{}",IF(BY372="DANDY","{YELLOW}Faster downhill speeds for horse-drawn trains (1 required per 2 horses){}",IF(BY372="BRAKE","{YELLOW}Speed bonus for slow wagons{}",IF(BY372="NGPassengers","{YELLOW}Preserved railway bonus: passengers pay more when hauled by old locomotives{}",IF(AND(BW372&gt;190,NOT(AND(I372="NARROW_GAUGE",BY372&lt;&gt;"PASS"))),CONCATENATE("{YELLOW}",INT((BW372-185)/1.85),"% bonus for long distance travel{}"),IF(AND(BW372&lt;180,BW372&lt;&gt;0),CONCATENATE("{YELLOW}",INT((185-BW372)/1.85),"% penalty for long distance travel{}"),""))))))</f>
        <v/>
      </c>
      <c r="CK372" s="0" t="str">
        <f aca="false">_xlfn.CONCAT(CF372,IF(CF372&lt;&gt;""," ",""),CG372,IF(OR(CG372&lt;&gt;"",CF372&lt;&gt;""),"{}",""),CE372,CJ372,"{SILVER}",CH372,IF(CI372&lt;&gt;"","{}{}",""),CI372)</f>
        <v>{BLACK}Powered by: {GOLD}Steam {BLACK}Cars: {GOLD}1945{}{BLACK}Length: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373" customFormat="false" ht="14.25" hidden="false" customHeight="false" outlineLevel="0" collapsed="false">
      <c r="A373" s="0" t="s">
        <v>1339</v>
      </c>
      <c r="B373" s="42" t="s">
        <v>1340</v>
      </c>
      <c r="C373" s="0" t="n">
        <v>2015</v>
      </c>
      <c r="E373" s="0" t="n">
        <v>2005</v>
      </c>
      <c r="F373" s="0" t="s">
        <v>143</v>
      </c>
      <c r="G373" s="0" t="s">
        <v>445</v>
      </c>
      <c r="H373" s="0" t="s">
        <v>446</v>
      </c>
      <c r="I373" s="0" t="s">
        <v>1325</v>
      </c>
      <c r="J373" s="0" t="n">
        <v>1869</v>
      </c>
      <c r="N373" s="0" t="n">
        <v>275</v>
      </c>
      <c r="P373" s="2" t="n">
        <v>8.25</v>
      </c>
      <c r="Q373" s="2" t="n">
        <v>13</v>
      </c>
      <c r="R373" s="2" t="n">
        <v>4</v>
      </c>
      <c r="S373" s="2" t="n">
        <v>160</v>
      </c>
      <c r="T373" s="18" t="n">
        <f aca="false">((($AB373/2)/60)*5280)/($U373*3.2*PI())</f>
        <v>218.838046751356</v>
      </c>
      <c r="U373" s="2" t="n">
        <v>0.7</v>
      </c>
      <c r="V373" s="2" t="n">
        <f aca="false">((($P373*$P373/4)*PI())*($Q373/12)*$R373*$S373*$T373)/(33000*1.1)</f>
        <v>223.4375</v>
      </c>
      <c r="W373" s="0" t="n">
        <v>10</v>
      </c>
      <c r="Y373" s="0" t="n">
        <v>5</v>
      </c>
      <c r="Z373" s="0" t="n">
        <v>38</v>
      </c>
      <c r="AA373" s="3" t="n">
        <f aca="false">IF(AND(W373&gt;0,Z373&gt;0),(Z373/((W373+X373)*10)),"")</f>
        <v>0.38</v>
      </c>
      <c r="AB373" s="0" t="n">
        <v>35</v>
      </c>
      <c r="AC373" s="0" t="n">
        <f aca="false">ROUND(AB373*1.6, 0)</f>
        <v>56</v>
      </c>
      <c r="AG373" s="0" t="n">
        <v>12</v>
      </c>
      <c r="AJ373" s="4" t="n">
        <v>0</v>
      </c>
      <c r="AK373" s="16" t="str">
        <f aca="false">CONCATENATE(VLOOKUP(AL373, '[2]Voxel Sizes'!$A$2:$B$18,2,FALSE()),"x",INT(AH373*15), "x", INT(AI373*15))</f>
        <v>120x0x0</v>
      </c>
      <c r="AL373" s="16" t="n">
        <f aca="false">ROUND(15*((AG373*10)/256),0)</f>
        <v>7</v>
      </c>
      <c r="AN373" s="16" t="str">
        <f aca="false">CONCATENATE(VLOOKUP(AL373,[2]Constants!$A$2:$C$16,IF(AM373&lt;&gt;"", 3, 2), FALSE()),IF(AM373&lt;&gt;"",CONCATENATE(",",VLOOKUP(AM373,$B:$AN,39,FALSE())),""))</f>
        <v>2,3,2</v>
      </c>
      <c r="AV373" s="0" t="n">
        <v>1</v>
      </c>
      <c r="AX373" s="0" t="n">
        <v>250</v>
      </c>
      <c r="AY373" s="16" t="str">
        <f aca="false">IF(L373&lt;&gt;"",MAX(16,(L373-J373)+8),"")</f>
        <v/>
      </c>
      <c r="AZ373" s="0" t="n">
        <v>-5</v>
      </c>
      <c r="BA373" s="0" t="n">
        <v>-6</v>
      </c>
      <c r="BB373" s="43" t="n">
        <f aca="false">MIN(AB373/150, 1)*30</f>
        <v>7</v>
      </c>
      <c r="BC373" s="43" t="n">
        <f aca="false">MIN(N373/4000, 1)*20</f>
        <v>1.375</v>
      </c>
      <c r="BD373" s="43" t="n">
        <f aca="false">MIN(Z373/400,1)*20</f>
        <v>1.9</v>
      </c>
      <c r="BE373" s="44" t="n">
        <f aca="false">1-(MAX(J373-1900, 0)/750)</f>
        <v>1</v>
      </c>
      <c r="BF373" s="43" t="n">
        <f aca="false">((MAX($M373,1)*MIN($AJ373/300,1)))*IF(G373="Wagon",50,10)</f>
        <v>0</v>
      </c>
      <c r="BG373" s="43" t="n">
        <f aca="false">VLOOKUP($H373,[2]Constants!$I$1:$K$1048576, 2, FALSE())</f>
        <v>1.15</v>
      </c>
      <c r="BH373" s="43" t="n">
        <f aca="false">VLOOKUP($H373,[2]Constants!$I$1:$K$1048576, 3, FALSE())*IF(AND(G373="multiple_unit",AB373&lt;110),0.75,1)</f>
        <v>1.7</v>
      </c>
      <c r="BI373" s="43" t="n">
        <f aca="false">INT(POWER((([2]Constants!$G$2+$BB373+$BC373+$BD373+$BF373)*$BE373)*$BH373, 1.05))+$BA373</f>
        <v>24</v>
      </c>
      <c r="BJ373" s="43" t="n">
        <f aca="false">INT(POWER(((([2]Constants!$G$1+$BB373+$BC373+$BD373+$BF373)*($BE373))*$BG373),IF($G373="wagon",1,1.2)))+$AZ373</f>
        <v>52</v>
      </c>
      <c r="BK373" s="45" t="n">
        <f aca="false">BI373*IF($G373="wagon",62.5,781.25)</f>
        <v>18750</v>
      </c>
      <c r="BL373" s="45" t="n">
        <f aca="false">BJ373*IF($G373="wagon",2.73,81.25)</f>
        <v>4225</v>
      </c>
      <c r="BV373" s="0" t="n">
        <v>11</v>
      </c>
      <c r="CA373" s="46" t="str">
        <f aca="false">VLOOKUP(J373,[2]Eras!$A$2:$C$10, 2, TRUE())</f>
        <v>vct</v>
      </c>
      <c r="CB373" s="0" t="s">
        <v>513</v>
      </c>
      <c r="CC373" s="46" t="str">
        <f aca="false">CONCATENATE(CA373,"_",CB373)</f>
        <v>vct_Cheap</v>
      </c>
      <c r="CD373" s="46" t="str">
        <f aca="false">_xlfn.CONCAT(H373, "_",I373)</f>
        <v>steam_NARROW_GAUGE</v>
      </c>
      <c r="CE373" s="6" t="str">
        <f aca="false" t="array" ref="CE373:CE373">IF(AN373&lt;&gt;"na", _xlfn.CONCAT("{BLACK}Length: {GOLD}", TEXT(ROUNDUP(IF(AQ373&lt;&gt;"",SUM(VALUE(_xlfn.TEXTSPLIT(AQ373, ","))), SUM(VALUE(_xlfn.TEXTSPLIT(AN373, ",")))*IF(M373, M373, 1))/16, 1),"#,##0.0"), " tiles{}"), "")</f>
        <v>{BLACK}Length: {GOLD}0.5 tiles{}</v>
      </c>
      <c r="CF373" s="46" t="str">
        <f aca="false">VLOOKUP($CD373, [2]Constants!$M$1:$N$1048576, 2, FALSE())</f>
        <v>{BLACK}Powered by: {GOLD}Steam</v>
      </c>
      <c r="CG373" s="46" t="str">
        <f aca="false">IF(AND(L373&gt;1,BN373&lt;&gt;1),_xlfn.CONCAT("{BLACK}Cars: {GOLD}", L373),"")</f>
        <v/>
      </c>
      <c r="CH373" s="0" t="s">
        <v>1341</v>
      </c>
      <c r="CI373" s="0" t="str">
        <f aca="false">IF($BU373="!param_no_gameplay_units","{GREEN}Included for gameplay purposes","")</f>
        <v/>
      </c>
      <c r="CJ373" s="0" t="str">
        <f aca="false">IF(BX373="buffet","{YELLOW}25% long distance bonus for consist{}",IF(BY373="DANDY","{YELLOW}Faster downhill speeds for horse-drawn trains (1 required per 2 horses){}",IF(BY373="BRAKE","{YELLOW}Speed bonus for slow wagons{}",IF(BY373="NGPassengers","{YELLOW}Preserved railway bonus: passengers pay more when hauled by old locomotives{}",IF(AND(BW373&gt;190,NOT(AND(I373="NARROW_GAUGE",BY373&lt;&gt;"PASS"))),CONCATENATE("{YELLOW}",INT((BW373-185)/1.85),"% bonus for long distance travel{}"),IF(AND(BW373&lt;180,BW373&lt;&gt;0),CONCATENATE("{YELLOW}",INT((185-BW373)/1.85),"% penalty for long distance travel{}"),""))))))</f>
        <v/>
      </c>
      <c r="CK373" s="0" t="str">
        <f aca="false">_xlfn.CONCAT(CF373,IF(CF373&lt;&gt;""," ",""),CG373,IF(OR(CG373&lt;&gt;"",CF373&lt;&gt;""),"{}",""),CE373,CJ373,"{SILVER}",CH373,IF(CI373&lt;&gt;"","{}{}",""),CI373)</f>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374" customFormat="false" ht="14.25" hidden="false" customHeight="false" outlineLevel="0" collapsed="false">
      <c r="A374" s="0" t="s">
        <v>1342</v>
      </c>
      <c r="B374" s="42" t="s">
        <v>1343</v>
      </c>
      <c r="C374" s="0" t="n">
        <v>2016</v>
      </c>
      <c r="E374" s="0" t="n">
        <v>2006</v>
      </c>
      <c r="F374" s="0" t="s">
        <v>143</v>
      </c>
      <c r="G374" s="0" t="s">
        <v>445</v>
      </c>
      <c r="H374" s="0" t="s">
        <v>446</v>
      </c>
      <c r="I374" s="0" t="s">
        <v>1325</v>
      </c>
      <c r="J374" s="0" t="n">
        <v>1903</v>
      </c>
      <c r="L374" s="0" t="n">
        <v>1960</v>
      </c>
      <c r="N374" s="0" t="n">
        <v>55</v>
      </c>
      <c r="P374" s="2" t="n">
        <v>7</v>
      </c>
      <c r="Q374" s="2" t="n">
        <v>10</v>
      </c>
      <c r="R374" s="2" t="n">
        <v>2</v>
      </c>
      <c r="S374" s="2" t="n">
        <v>160</v>
      </c>
      <c r="T374" s="18" t="n">
        <f aca="false">((($AB374/2)/60)*5280)/($U374*3.2*PI())</f>
        <v>187.57546864402</v>
      </c>
      <c r="U374" s="2" t="n">
        <v>0.7</v>
      </c>
      <c r="V374" s="2" t="n">
        <f aca="false">((($P374*$P374/4)*PI())*($Q374/12)*$R374*$S374*$T374)/(33000*1.1)</f>
        <v>53.030303030303</v>
      </c>
      <c r="W374" s="0" t="n">
        <v>7</v>
      </c>
      <c r="Y374" s="0" t="n">
        <v>5</v>
      </c>
      <c r="Z374" s="0" t="n">
        <v>12</v>
      </c>
      <c r="AA374" s="3" t="n">
        <f aca="false">IF(AND(W374&gt;0,Z374&gt;0),(Z374/((W374+X374)*10)),"")</f>
        <v>0.171428571428571</v>
      </c>
      <c r="AB374" s="0" t="n">
        <v>30</v>
      </c>
      <c r="AC374" s="0" t="n">
        <f aca="false">ROUND(AB374*1.6, 0)</f>
        <v>48</v>
      </c>
      <c r="AF374" s="0" t="n">
        <v>4</v>
      </c>
      <c r="AG374" s="0" t="n">
        <v>6</v>
      </c>
      <c r="AJ374" s="4" t="n">
        <v>0</v>
      </c>
      <c r="AK374" s="16" t="str">
        <f aca="false">CONCATENATE(VLOOKUP(AL374, '[2]Voxel Sizes'!$A$2:$B$18,2,FALSE()),"x",INT(AH374*15), "x", INT(AI374*15))</f>
        <v>66x0x0</v>
      </c>
      <c r="AL374" s="16" t="n">
        <f aca="false">ROUND(15*((AG374*10)/256),0)</f>
        <v>4</v>
      </c>
      <c r="AN374" s="16" t="str">
        <f aca="false">CONCATENATE(VLOOKUP(AL374,[2]Constants!$A$2:$C$16,IF(AM374&lt;&gt;"", 3, 2), FALSE()),IF(AM374&lt;&gt;"",CONCATENATE(",",VLOOKUP(AM374,$B:$AN,39,FALSE())),""))</f>
        <v>1,2,1</v>
      </c>
      <c r="AV374" s="0" t="n">
        <v>1</v>
      </c>
      <c r="AX374" s="0" t="n">
        <v>250</v>
      </c>
      <c r="AY374" s="16" t="n">
        <f aca="false">IF(L374&lt;&gt;"",MAX(16,(L374-J374)+8),"")</f>
        <v>65</v>
      </c>
      <c r="AZ374" s="0" t="n">
        <v>-5</v>
      </c>
      <c r="BA374" s="0" t="n">
        <v>-5</v>
      </c>
      <c r="BB374" s="43" t="n">
        <f aca="false">MIN(AB374/150, 1)*30</f>
        <v>6</v>
      </c>
      <c r="BC374" s="43" t="n">
        <f aca="false">MIN(N374/4000, 1)*20</f>
        <v>0.275</v>
      </c>
      <c r="BD374" s="43" t="n">
        <f aca="false">MIN(Z374/400,1)*20</f>
        <v>0.6</v>
      </c>
      <c r="BE374" s="44" t="n">
        <f aca="false">1-(MAX(J374-1900, 0)/750)</f>
        <v>0.996</v>
      </c>
      <c r="BF374" s="43" t="n">
        <f aca="false">((MAX($M374,1)*MIN($AJ374/300,1)))*IF(G374="Wagon",50,10)</f>
        <v>0</v>
      </c>
      <c r="BG374" s="43" t="n">
        <f aca="false">VLOOKUP($H374,[2]Constants!$I$1:$K$1048576, 2, FALSE())</f>
        <v>1.15</v>
      </c>
      <c r="BH374" s="43" t="n">
        <f aca="false">VLOOKUP($H374,[2]Constants!$I$1:$K$1048576, 3, FALSE())*IF(AND(G374="multiple_unit",AB374&lt;110),0.75,1)</f>
        <v>1.7</v>
      </c>
      <c r="BI374" s="43" t="n">
        <f aca="false">INT(POWER((([2]Constants!$G$2+$BB374+$BC374+$BD374+$BF374)*$BE374)*$BH374, 1.05))+$BA374</f>
        <v>18</v>
      </c>
      <c r="BJ374" s="43" t="n">
        <f aca="false">INT(POWER(((([2]Constants!$G$1+$BB374+$BC374+$BD374+$BF374)*($BE374))*$BG374),IF($G374="wagon",1,1.2)))+$AZ374</f>
        <v>42</v>
      </c>
      <c r="BK374" s="45" t="n">
        <f aca="false">BI374*IF($G374="wagon",62.5,781.25)</f>
        <v>14062.5</v>
      </c>
      <c r="BL374" s="45" t="n">
        <f aca="false">BJ374*IF($G374="wagon",2.73,81.25)</f>
        <v>3412.5</v>
      </c>
      <c r="BV374" s="0" t="n">
        <v>10</v>
      </c>
      <c r="CA374" s="46" t="str">
        <f aca="false">VLOOKUP(J374,[2]Eras!$A$2:$C$10, 2, TRUE())</f>
        <v>edw</v>
      </c>
      <c r="CB374" s="0" t="s">
        <v>513</v>
      </c>
      <c r="CC374" s="46" t="str">
        <f aca="false">CONCATENATE(CA374,"_",CB374)</f>
        <v>edw_Cheap</v>
      </c>
      <c r="CD374" s="46" t="str">
        <f aca="false">_xlfn.CONCAT(H374, "_",I374)</f>
        <v>steam_NARROW_GAUGE</v>
      </c>
      <c r="CE374" s="6" t="str">
        <f aca="false" t="array" ref="CE374:CE374">IF(AN374&lt;&gt;"na", _xlfn.CONCAT("{BLACK}Length: {GOLD}", TEXT(ROUNDUP(IF(AQ374&lt;&gt;"",SUM(VALUE(_xlfn.TEXTSPLIT(AQ374, ","))), SUM(VALUE(_xlfn.TEXTSPLIT(AN374, ",")))*IF(M374, M374, 1))/16, 1),"#,##0.0"), " tiles{}"), "")</f>
        <v>{BLACK}Length: {GOLD}0.3 tiles{}</v>
      </c>
      <c r="CF374" s="46" t="str">
        <f aca="false">VLOOKUP($CD374, [2]Constants!$M$1:$N$1048576, 2, FALSE())</f>
        <v>{BLACK}Powered by: {GOLD}Steam</v>
      </c>
      <c r="CG374" s="46" t="str">
        <f aca="false">IF(AND(L374&gt;1,BN374&lt;&gt;1),_xlfn.CONCAT("{BLACK}Cars: {GOLD}", L374),"")</f>
        <v>{BLACK}Cars: {GOLD}1960</v>
      </c>
      <c r="CH374" s="0" t="s">
        <v>1344</v>
      </c>
      <c r="CI374" s="0" t="str">
        <f aca="false">IF($BU374="!param_no_gameplay_units","{GREEN}Included for gameplay purposes","")</f>
        <v/>
      </c>
      <c r="CJ374" s="0" t="str">
        <f aca="false">IF(BX374="buffet","{YELLOW}25% long distance bonus for consist{}",IF(BY374="DANDY","{YELLOW}Faster downhill speeds for horse-drawn trains (1 required per 2 horses){}",IF(BY374="BRAKE","{YELLOW}Speed bonus for slow wagons{}",IF(BY374="NGPassengers","{YELLOW}Preserved railway bonus: passengers pay more when hauled by old locomotives{}",IF(AND(BW374&gt;190,NOT(AND(I374="NARROW_GAUGE",BY374&lt;&gt;"PASS"))),CONCATENATE("{YELLOW}",INT((BW374-185)/1.85),"% bonus for long distance travel{}"),IF(AND(BW374&lt;180,BW374&lt;&gt;0),CONCATENATE("{YELLOW}",INT((185-BW374)/1.85),"% penalty for long distance travel{}"),""))))))</f>
        <v/>
      </c>
      <c r="CK374" s="0" t="str">
        <f aca="false">_xlfn.CONCAT(CF374,IF(CF374&lt;&gt;""," ",""),CG374,IF(OR(CG374&lt;&gt;"",CF374&lt;&gt;""),"{}",""),CE374,CJ374,"{SILVER}",CH374,IF(CI374&lt;&gt;"","{}{}",""),CI374)</f>
        <v>{BLACK}Powered by: {GOLD}Steam {BLACK}Cars: {GOLD}1960{}{BLACK}Length: {GOLD}0.3 tiles{}{SILVER}These small Hunslet tank engines were used as quarry locomotives. "Alice" worked at Dinorwic, being used as a source of spare parts afterward, before being restored in the late '80s and early '90s and now running on the Bala Lake Railway.</v>
      </c>
    </row>
    <row r="375" customFormat="false" ht="14.25" hidden="false" customHeight="false" outlineLevel="0" collapsed="false">
      <c r="A375" s="48" t="s">
        <v>1345</v>
      </c>
      <c r="B375" s="42" t="s">
        <v>1346</v>
      </c>
      <c r="C375" s="0" t="n">
        <v>2017</v>
      </c>
      <c r="E375" s="0" t="n">
        <v>-1</v>
      </c>
      <c r="G375" s="0" t="s">
        <v>1222</v>
      </c>
      <c r="H375" s="0" t="s">
        <v>446</v>
      </c>
      <c r="I375" s="0" t="s">
        <v>1325</v>
      </c>
      <c r="J375" s="0" t="n">
        <v>1903</v>
      </c>
      <c r="L375" s="0" t="n">
        <v>1951</v>
      </c>
      <c r="T375" s="18" t="n">
        <f aca="false">((($AB375/2)/60)*5280)/($U375*3.2*PI())</f>
        <v>0</v>
      </c>
      <c r="U375" s="2" t="n">
        <v>0.7</v>
      </c>
      <c r="V375" s="2" t="n">
        <f aca="false">((($P375*$P375/4)*PI())*($Q375/12)*$R375*$S375*$T375)/(33000*1.1)</f>
        <v>0</v>
      </c>
      <c r="Y375" s="0" t="n">
        <v>5</v>
      </c>
      <c r="AA375" s="3" t="str">
        <f aca="false">IF(AND(W375&gt;0,Z375&gt;0),(Z375/((W375+X375)*10)),"")</f>
        <v/>
      </c>
      <c r="AC375" s="0" t="n">
        <f aca="false">ROUND(AB375*1.6, 0)</f>
        <v>0</v>
      </c>
      <c r="AJ375" s="4" t="n">
        <v>0</v>
      </c>
      <c r="AK375" s="16" t="str">
        <f aca="false">CONCATENATE(VLOOKUP(AL375, '[2]Voxel Sizes'!$A$2:$B$18,2,FALSE()),"x",INT(AH375*15), "x", INT(AI375*15))</f>
        <v>0x0x0</v>
      </c>
      <c r="AL375" s="16" t="n">
        <f aca="false">ROUND(15*((AG375*10)/256),0)</f>
        <v>0</v>
      </c>
      <c r="AN375" s="16" t="str">
        <f aca="false">CONCATENATE(VLOOKUP(AL375,[2]Constants!$A$2:$C$16,IF(AM375&lt;&gt;"", 3, 2), FALSE()),IF(AM375&lt;&gt;"",CONCATENATE(",",VLOOKUP(AM375,$B:$AN,39,FALSE())),""))</f>
        <v>na</v>
      </c>
      <c r="AV375" s="0" t="n">
        <v>1</v>
      </c>
      <c r="AX375" s="0" t="n">
        <v>250</v>
      </c>
      <c r="AY375" s="16" t="n">
        <f aca="false">IF(L375&lt;&gt;"",MAX(16,(L375-J375)+8),"")</f>
        <v>56</v>
      </c>
      <c r="AZ375" s="0" t="n">
        <v>-5</v>
      </c>
      <c r="BA375" s="0" t="n">
        <v>-5</v>
      </c>
      <c r="BB375" s="43" t="n">
        <f aca="false">MIN(AB375/150, 1)*30</f>
        <v>0</v>
      </c>
      <c r="BC375" s="43" t="n">
        <f aca="false">MIN(N375/4000, 1)*20</f>
        <v>0</v>
      </c>
      <c r="BD375" s="43" t="n">
        <f aca="false">MIN(Z375/400,1)*20</f>
        <v>0</v>
      </c>
      <c r="BE375" s="44" t="n">
        <f aca="false">1-(MAX(J375-1900, 0)/750)</f>
        <v>0.996</v>
      </c>
      <c r="BF375" s="43" t="n">
        <f aca="false">((MAX($M375,1)*MIN($AJ375/300,1)))*IF(G375="Wagon",50,10)</f>
        <v>0</v>
      </c>
      <c r="BG375" s="43" t="n">
        <f aca="false">VLOOKUP($H375,[2]Constants!$I$1:$K$1048576, 2, FALSE())</f>
        <v>1.15</v>
      </c>
      <c r="BH375" s="43" t="n">
        <f aca="false">VLOOKUP($H375,[2]Constants!$I$1:$K$1048576, 3, FALSE())*IF(AND(G375="multiple_unit",AB375&lt;110),0.75,1)</f>
        <v>1.7</v>
      </c>
      <c r="BI375" s="43" t="n">
        <f aca="false">INT(POWER((([2]Constants!$G$2+$BB375+$BC375+$BD375+$BF375)*$BE375)*$BH375, 1.05))+$BA375</f>
        <v>4</v>
      </c>
      <c r="BJ375" s="43" t="n">
        <f aca="false">INT(POWER(((([2]Constants!$G$1+$BB375+$BC375+$BD375+$BF375)*($BE375))*$BG375),IF($G375="wagon",1,1.2)))+$AZ375</f>
        <v>25</v>
      </c>
      <c r="BK375" s="45" t="n">
        <f aca="false">BI375*IF($G375="wagon",62.5,781.25)</f>
        <v>3125</v>
      </c>
      <c r="BL375" s="45" t="n">
        <f aca="false">BJ375*IF($G375="wagon",2.73,81.25)</f>
        <v>2031.25</v>
      </c>
      <c r="BV375" s="0" t="n">
        <v>9</v>
      </c>
      <c r="CA375" s="46" t="str">
        <f aca="false">VLOOKUP(J375,[2]Eras!$A$2:$C$10, 2, TRUE())</f>
        <v>edw</v>
      </c>
      <c r="CB375" s="0" t="s">
        <v>513</v>
      </c>
      <c r="CC375" s="46" t="str">
        <f aca="false">CONCATENATE(CA375,"_",CB375)</f>
        <v>edw_Cheap</v>
      </c>
      <c r="CD375" s="46" t="str">
        <f aca="false">_xlfn.CONCAT(H375, "_",I375)</f>
        <v>steam_NARROW_GAUGE</v>
      </c>
      <c r="CE375" s="6" t="str">
        <f aca="false" t="array" ref="CE375:CE375">IF(AN375&lt;&gt;"na", _xlfn.CONCAT("{BLACK}Length: {GOLD}", TEXT(ROUNDUP(IF(AQ375&lt;&gt;"",SUM(VALUE(_xlfn.TEXTSPLIT(AQ375, ","))), SUM(VALUE(_xlfn.TEXTSPLIT(AN375, ",")))*IF(M375, M375, 1))/16, 1),"#,##0.0"), " tiles{}"), "")</f>
        <v/>
      </c>
      <c r="CF375" s="46" t="str">
        <f aca="false">VLOOKUP($CD375, [2]Constants!$M$1:$N$1048576, 2, FALSE())</f>
        <v>{BLACK}Powered by: {GOLD}Steam</v>
      </c>
      <c r="CG375" s="46" t="str">
        <f aca="false">IF(AND(L375&gt;1,BN375&lt;&gt;1),_xlfn.CONCAT("{BLACK}Cars: {GOLD}", L375),"")</f>
        <v>{BLACK}Cars: {GOLD}1951</v>
      </c>
      <c r="CI375" s="0" t="str">
        <f aca="false">IF($BU375="!param_no_gameplay_units","{GREEN}Included for gameplay purposes","")</f>
        <v/>
      </c>
      <c r="CJ375" s="0" t="str">
        <f aca="false">IF(BX375="buffet","{YELLOW}25% long distance bonus for consist{}",IF(BY375="DANDY","{YELLOW}Faster downhill speeds for horse-drawn trains (1 required per 2 horses){}",IF(BY375="BRAKE","{YELLOW}Speed bonus for slow wagons{}",IF(BY375="NGPassengers","{YELLOW}Preserved railway bonus: passengers pay more when hauled by old locomotives{}",IF(AND(BW375&gt;190,NOT(AND(I375="NARROW_GAUGE",BY375&lt;&gt;"PASS"))),CONCATENATE("{YELLOW}",INT((BW375-185)/1.85),"% bonus for long distance travel{}"),IF(AND(BW375&lt;180,BW375&lt;&gt;0),CONCATENATE("{YELLOW}",INT((185-BW375)/1.85),"% penalty for long distance travel{}"),""))))))</f>
        <v/>
      </c>
      <c r="CK375" s="0" t="str">
        <f aca="false">_xlfn.CONCAT(CF375,IF(CF375&lt;&gt;""," ",""),CG375,IF(OR(CG375&lt;&gt;"",CF375&lt;&gt;""),"{}",""),CE375,CJ375,"{SILVER}",CH375,IF(CI375&lt;&gt;"","{}{}",""),CI375)</f>
        <v>{BLACK}Powered by: {GOLD}Steam {BLACK}Cars: {GOLD}1951{}{SILVER}</v>
      </c>
    </row>
    <row r="376" customFormat="false" ht="14.25" hidden="false" customHeight="false" outlineLevel="0" collapsed="false">
      <c r="A376" s="0" t="s">
        <v>1347</v>
      </c>
      <c r="B376" s="42" t="s">
        <v>1348</v>
      </c>
      <c r="C376" s="0" t="n">
        <v>2018</v>
      </c>
      <c r="E376" s="0" t="n">
        <v>2007</v>
      </c>
      <c r="F376" s="0" t="s">
        <v>143</v>
      </c>
      <c r="G376" s="0" t="s">
        <v>445</v>
      </c>
      <c r="H376" s="0" t="s">
        <v>446</v>
      </c>
      <c r="I376" s="0" t="s">
        <v>1325</v>
      </c>
      <c r="J376" s="0" t="n">
        <v>1918</v>
      </c>
      <c r="L376" s="0" t="n">
        <v>1955</v>
      </c>
      <c r="N376" s="0" t="n">
        <v>65</v>
      </c>
      <c r="P376" s="2" t="n">
        <v>6.8</v>
      </c>
      <c r="Q376" s="2" t="n">
        <v>10.75</v>
      </c>
      <c r="R376" s="2" t="n">
        <v>2</v>
      </c>
      <c r="S376" s="2" t="n">
        <v>160</v>
      </c>
      <c r="T376" s="18" t="n">
        <f aca="false">((($AB376/2)/60)*5280)/($U376*3.2*PI())</f>
        <v>218.838046751356</v>
      </c>
      <c r="U376" s="2" t="n">
        <v>0.6</v>
      </c>
      <c r="V376" s="2" t="n">
        <f aca="false">((($P376*$P376/4)*PI())*($Q376/12)*$R376*$S376*$T376)/(33000*1.1)</f>
        <v>62.7626262626263</v>
      </c>
      <c r="W376" s="0" t="n">
        <v>8</v>
      </c>
      <c r="Y376" s="0" t="n">
        <v>5</v>
      </c>
      <c r="Z376" s="0" t="n">
        <v>15</v>
      </c>
      <c r="AA376" s="3" t="n">
        <f aca="false">IF(AND(W376&gt;0,Z376&gt;0),(Z376/((W376+X376)*10)),"")</f>
        <v>0.1875</v>
      </c>
      <c r="AB376" s="0" t="n">
        <v>30</v>
      </c>
      <c r="AC376" s="0" t="n">
        <f aca="false">ROUND(AB376*1.6, 0)</f>
        <v>48</v>
      </c>
      <c r="AF376" s="0" t="n">
        <v>4.7</v>
      </c>
      <c r="AG376" s="0" t="n">
        <v>6</v>
      </c>
      <c r="AJ376" s="4" t="n">
        <v>0</v>
      </c>
      <c r="AK376" s="16" t="str">
        <f aca="false">CONCATENATE(VLOOKUP(AL376, '[2]Voxel Sizes'!$A$2:$B$18,2,FALSE()),"x",INT(AH376*15), "x", INT(AI376*15))</f>
        <v>66x0x0</v>
      </c>
      <c r="AL376" s="16" t="n">
        <f aca="false">ROUND(15*((AG376*10)/256),0)</f>
        <v>4</v>
      </c>
      <c r="AN376" s="16" t="str">
        <f aca="false">CONCATENATE(VLOOKUP(AL376,[2]Constants!$A$2:$C$16,IF(AM376&lt;&gt;"", 3, 2), FALSE()),IF(AM376&lt;&gt;"",CONCATENATE(",",VLOOKUP(AM376,$B:$AN,39,FALSE())),""))</f>
        <v>1,2,1</v>
      </c>
      <c r="AV376" s="0" t="n">
        <v>1</v>
      </c>
      <c r="AX376" s="0" t="n">
        <v>250</v>
      </c>
      <c r="AY376" s="16" t="n">
        <f aca="false">IF(L376&lt;&gt;"",MAX(16,(L376-J376)+8),"")</f>
        <v>45</v>
      </c>
      <c r="AZ376" s="0" t="n">
        <v>-5</v>
      </c>
      <c r="BA376" s="0" t="n">
        <v>-7</v>
      </c>
      <c r="BB376" s="43" t="n">
        <f aca="false">MIN(AB376/150, 1)*30</f>
        <v>6</v>
      </c>
      <c r="BC376" s="43" t="n">
        <f aca="false">MIN(N376/4000, 1)*20</f>
        <v>0.325</v>
      </c>
      <c r="BD376" s="43" t="n">
        <f aca="false">MIN(Z376/400,1)*20</f>
        <v>0.75</v>
      </c>
      <c r="BE376" s="44" t="n">
        <f aca="false">1-(MAX(J376-1900, 0)/750)</f>
        <v>0.976</v>
      </c>
      <c r="BF376" s="43" t="n">
        <f aca="false">((MAX($M376,1)*MIN($AJ376/300,1)))*IF(G376="Wagon",50,10)</f>
        <v>0</v>
      </c>
      <c r="BG376" s="43" t="n">
        <f aca="false">VLOOKUP($H376,[2]Constants!$I$1:$K$1048576, 2, FALSE())</f>
        <v>1.15</v>
      </c>
      <c r="BH376" s="43" t="n">
        <f aca="false">VLOOKUP($H376,[2]Constants!$I$1:$K$1048576, 3, FALSE())*IF(AND(G376="multiple_unit",AB376&lt;110),0.75,1)</f>
        <v>1.7</v>
      </c>
      <c r="BI376" s="43" t="n">
        <f aca="false">INT(POWER((([2]Constants!$G$2+$BB376+$BC376+$BD376+$BF376)*$BE376)*$BH376, 1.05))+$BA376</f>
        <v>16</v>
      </c>
      <c r="BJ376" s="43" t="n">
        <f aca="false">INT(POWER(((([2]Constants!$G$1+$BB376+$BC376+$BD376+$BF376)*($BE376))*$BG376),IF($G376="wagon",1,1.2)))+$AZ376</f>
        <v>42</v>
      </c>
      <c r="BK376" s="45" t="n">
        <f aca="false">BI376*IF($G376="wagon",62.5,781.25)</f>
        <v>12500</v>
      </c>
      <c r="BL376" s="45" t="n">
        <f aca="false">BJ376*IF($G376="wagon",2.73,81.25)</f>
        <v>3412.5</v>
      </c>
      <c r="BV376" s="0" t="n">
        <v>8</v>
      </c>
      <c r="CA376" s="46" t="str">
        <f aca="false">VLOOKUP(J376,[2]Eras!$A$2:$C$10, 2, TRUE())</f>
        <v>edw</v>
      </c>
      <c r="CB376" s="0" t="s">
        <v>513</v>
      </c>
      <c r="CC376" s="46" t="str">
        <f aca="false">CONCATENATE(CA376,"_",CB376)</f>
        <v>edw_Cheap</v>
      </c>
      <c r="CD376" s="46" t="str">
        <f aca="false">_xlfn.CONCAT(H376, "_",I376)</f>
        <v>steam_NARROW_GAUGE</v>
      </c>
      <c r="CE376" s="6" t="str">
        <f aca="false" t="array" ref="CE376:CE376">IF(AN376&lt;&gt;"na", _xlfn.CONCAT("{BLACK}Length: {GOLD}", TEXT(ROUNDUP(IF(AQ376&lt;&gt;"",SUM(VALUE(_xlfn.TEXTSPLIT(AQ376, ","))), SUM(VALUE(_xlfn.TEXTSPLIT(AN376, ",")))*IF(M376, M376, 1))/16, 1),"#,##0.0"), " tiles{}"), "")</f>
        <v>{BLACK}Length: {GOLD}0.3 tiles{}</v>
      </c>
      <c r="CF376" s="46" t="str">
        <f aca="false">VLOOKUP($CD376, [2]Constants!$M$1:$N$1048576, 2, FALSE())</f>
        <v>{BLACK}Powered by: {GOLD}Steam</v>
      </c>
      <c r="CG376" s="46" t="str">
        <f aca="false">IF(AND(L376&gt;1,BN376&lt;&gt;1),_xlfn.CONCAT("{BLACK}Cars: {GOLD}", L376),"")</f>
        <v>{BLACK}Cars: {GOLD}1955</v>
      </c>
      <c r="CH376" s="0" t="s">
        <v>1349</v>
      </c>
      <c r="CI376" s="0" t="str">
        <f aca="false">IF($BU376="!param_no_gameplay_units","{GREEN}Included for gameplay purposes","")</f>
        <v/>
      </c>
      <c r="CJ376" s="0" t="str">
        <f aca="false">IF(BX376="buffet","{YELLOW}25% long distance bonus for consist{}",IF(BY376="DANDY","{YELLOW}Faster downhill speeds for horse-drawn trains (1 required per 2 horses){}",IF(BY376="BRAKE","{YELLOW}Speed bonus for slow wagons{}",IF(BY376="NGPassengers","{YELLOW}Preserved railway bonus: passengers pay more when hauled by old locomotives{}",IF(AND(BW376&gt;190,NOT(AND(I376="NARROW_GAUGE",BY376&lt;&gt;"PASS"))),CONCATENATE("{YELLOW}",INT((BW376-185)/1.85),"% bonus for long distance travel{}"),IF(AND(BW376&lt;180,BW376&lt;&gt;0),CONCATENATE("{YELLOW}",INT((185-BW376)/1.85),"% penalty for long distance travel{}"),""))))))</f>
        <v/>
      </c>
      <c r="CK376" s="0" t="str">
        <f aca="false">_xlfn.CONCAT(CF376,IF(CF376&lt;&gt;""," ",""),CG376,IF(OR(CG376&lt;&gt;"",CF376&lt;&gt;""),"{}",""),CE376,CJ376,"{SILVER}",CH376,IF(CI376&lt;&gt;"","{}{}",""),CI376)</f>
        <v>{BLACK}Powered by: {GOLD}Steam {BLACK}Cars: {GOLD}1955{}{BLACK}Length: {GOLD}0.3 tiles{}{SILVER}The E Class is a small 0-4-0 well tank. One used by the RAF is preserved on the Talyllyn railway as "Douglas", named after second owner Douglas Abelson who donated it from his engineering firm.</v>
      </c>
    </row>
    <row r="377" customFormat="false" ht="14.25" hidden="false" customHeight="false" outlineLevel="0" collapsed="false">
      <c r="A377" s="0" t="s">
        <v>1350</v>
      </c>
      <c r="B377" s="42" t="s">
        <v>1351</v>
      </c>
      <c r="C377" s="0" t="n">
        <v>2019</v>
      </c>
      <c r="E377" s="0" t="n">
        <v>2008</v>
      </c>
      <c r="F377" s="0" t="s">
        <v>143</v>
      </c>
      <c r="G377" s="0" t="s">
        <v>445</v>
      </c>
      <c r="H377" s="0" t="s">
        <v>446</v>
      </c>
      <c r="I377" s="0" t="s">
        <v>1325</v>
      </c>
      <c r="J377" s="0" t="n">
        <v>1923</v>
      </c>
      <c r="L377" s="0" t="n">
        <v>1968</v>
      </c>
      <c r="N377" s="0" t="n">
        <v>250</v>
      </c>
      <c r="P377" s="2" t="n">
        <v>11.5</v>
      </c>
      <c r="Q377" s="2" t="n">
        <v>17</v>
      </c>
      <c r="R377" s="2" t="n">
        <v>2</v>
      </c>
      <c r="S377" s="2" t="n">
        <v>165</v>
      </c>
      <c r="T377" s="18" t="n">
        <f aca="false">((($AB377/2)/60)*5280)/($U377*3.2*PI())</f>
        <v>153.186632725949</v>
      </c>
      <c r="U377" s="2" t="n">
        <v>1</v>
      </c>
      <c r="V377" s="2" t="n">
        <f aca="false">((($P377*$P377/4)*PI())*($Q377/12)*$R377*$S377*$T377)/(33000*1.1)</f>
        <v>204.918619791667</v>
      </c>
      <c r="W377" s="0" t="n">
        <v>25</v>
      </c>
      <c r="Y377" s="0" t="n">
        <v>5</v>
      </c>
      <c r="Z377" s="0" t="n">
        <v>44</v>
      </c>
      <c r="AA377" s="3" t="n">
        <f aca="false">IF(AND(W377&gt;0,Z377&gt;0),(Z377/((W377+X377)*10)),"")</f>
        <v>0.176</v>
      </c>
      <c r="AB377" s="0" t="n">
        <v>35</v>
      </c>
      <c r="AC377" s="0" t="n">
        <f aca="false">ROUND(AB377*1.6, 0)</f>
        <v>56</v>
      </c>
      <c r="AG377" s="0" t="n">
        <v>8</v>
      </c>
      <c r="AJ377" s="4" t="n">
        <v>0</v>
      </c>
      <c r="AK377" s="16" t="str">
        <f aca="false">CONCATENATE(VLOOKUP(AL377, '[2]Voxel Sizes'!$A$2:$B$18,2,FALSE()),"x",INT(AH377*15), "x", INT(AI377*15))</f>
        <v>82x0x0</v>
      </c>
      <c r="AL377" s="16" t="n">
        <f aca="false">ROUND(15*((AG377*10)/256),0)</f>
        <v>5</v>
      </c>
      <c r="AN377" s="16" t="str">
        <f aca="false">CONCATENATE(VLOOKUP(AL377,[2]Constants!$A$2:$C$16,IF(AM377&lt;&gt;"", 3, 2), FALSE()),IF(AM377&lt;&gt;"",CONCATENATE(",",VLOOKUP(AM377,$B:$AN,39,FALSE())),""))</f>
        <v>2,1,2</v>
      </c>
      <c r="AV377" s="0" t="n">
        <v>1</v>
      </c>
      <c r="AX377" s="0" t="n">
        <v>250</v>
      </c>
      <c r="AY377" s="16" t="n">
        <f aca="false">IF(L377&lt;&gt;"",MAX(16,(L377-J377)+8),"")</f>
        <v>53</v>
      </c>
      <c r="AZ377" s="0" t="n">
        <v>-10</v>
      </c>
      <c r="BA377" s="0" t="n">
        <v>-5</v>
      </c>
      <c r="BB377" s="43" t="n">
        <f aca="false">MIN(AB377/150, 1)*30</f>
        <v>7</v>
      </c>
      <c r="BC377" s="43" t="n">
        <f aca="false">MIN(N377/4000, 1)*20</f>
        <v>1.25</v>
      </c>
      <c r="BD377" s="43" t="n">
        <f aca="false">MIN(Z377/400,1)*20</f>
        <v>2.2</v>
      </c>
      <c r="BE377" s="44" t="n">
        <f aca="false">1-(MAX(J377-1900, 0)/750)</f>
        <v>0.969333333333333</v>
      </c>
      <c r="BF377" s="43" t="n">
        <f aca="false">((MAX($M377,1)*MIN($AJ377/300,1)))*IF(G377="Wagon",50,10)</f>
        <v>0</v>
      </c>
      <c r="BG377" s="43" t="n">
        <f aca="false">VLOOKUP($H377,[2]Constants!$I$1:$K$1048576, 2, FALSE())</f>
        <v>1.15</v>
      </c>
      <c r="BH377" s="43" t="n">
        <f aca="false">VLOOKUP($H377,[2]Constants!$I$1:$K$1048576, 3, FALSE())*IF(AND(G377="multiple_unit",AB377&lt;110),0.75,1)</f>
        <v>1.7</v>
      </c>
      <c r="BI377" s="43" t="n">
        <f aca="false">INT(POWER((([2]Constants!$G$2+$BB377+$BC377+$BD377+$BF377)*$BE377)*$BH377, 1.05))+$BA377</f>
        <v>24</v>
      </c>
      <c r="BJ377" s="43" t="n">
        <f aca="false">INT(POWER(((([2]Constants!$G$1+$BB377+$BC377+$BD377+$BF377)*($BE377))*$BG377),IF($G377="wagon",1,1.2)))+$AZ377</f>
        <v>45</v>
      </c>
      <c r="BK377" s="45" t="n">
        <f aca="false">BI377*IF($G377="wagon",62.5,781.25)</f>
        <v>18750</v>
      </c>
      <c r="BL377" s="45" t="n">
        <f aca="false">BJ377*IF($G377="wagon",2.73,81.25)</f>
        <v>3656.25</v>
      </c>
      <c r="BV377" s="0" t="n">
        <v>7</v>
      </c>
      <c r="CA377" s="46" t="str">
        <f aca="false">VLOOKUP(J377,[2]Eras!$A$2:$C$10, 2, TRUE())</f>
        <v>big4</v>
      </c>
      <c r="CB377" s="0" t="s">
        <v>513</v>
      </c>
      <c r="CC377" s="46" t="str">
        <f aca="false">CONCATENATE(CA377,"_",CB377)</f>
        <v>big4_Cheap</v>
      </c>
      <c r="CD377" s="46" t="str">
        <f aca="false">_xlfn.CONCAT(H377, "_",I377)</f>
        <v>steam_NARROW_GAUGE</v>
      </c>
      <c r="CE377" s="6" t="str">
        <f aca="false" t="array" ref="CE377:CE377">IF(AN377&lt;&gt;"na", _xlfn.CONCAT("{BLACK}Length: {GOLD}", TEXT(ROUNDUP(IF(AQ377&lt;&gt;"",SUM(VALUE(_xlfn.TEXTSPLIT(AQ377, ","))), SUM(VALUE(_xlfn.TEXTSPLIT(AN377, ",")))*IF(M377, M377, 1))/16, 1),"#,##0.0"), " tiles{}"), "")</f>
        <v>{BLACK}Length: {GOLD}0.4 tiles{}</v>
      </c>
      <c r="CF377" s="46" t="str">
        <f aca="false">VLOOKUP($CD377, [2]Constants!$M$1:$N$1048576, 2, FALSE())</f>
        <v>{BLACK}Powered by: {GOLD}Steam</v>
      </c>
      <c r="CG377" s="46" t="str">
        <f aca="false">IF(AND(L377&gt;1,BN377&lt;&gt;1),_xlfn.CONCAT("{BLACK}Cars: {GOLD}", L377),"")</f>
        <v>{BLACK}Cars: {GOLD}1968</v>
      </c>
      <c r="CH377" s="0" t="s">
        <v>1352</v>
      </c>
      <c r="CI377" s="0" t="str">
        <f aca="false">IF($BU377="!param_no_gameplay_units","{GREEN}Included for gameplay purposes","")</f>
        <v/>
      </c>
      <c r="CJ377" s="0" t="str">
        <f aca="false">IF(BX377="buffet","{YELLOW}25% long distance bonus for consist{}",IF(BY377="DANDY","{YELLOW}Faster downhill speeds for horse-drawn trains (1 required per 2 horses){}",IF(BY377="BRAKE","{YELLOW}Speed bonus for slow wagons{}",IF(BY377="NGPassengers","{YELLOW}Preserved railway bonus: passengers pay more when hauled by old locomotives{}",IF(AND(BW377&gt;190,NOT(AND(I377="NARROW_GAUGE",BY377&lt;&gt;"PASS"))),CONCATENATE("{YELLOW}",INT((BW377-185)/1.85),"% bonus for long distance travel{}"),IF(AND(BW377&lt;180,BW377&lt;&gt;0),CONCATENATE("{YELLOW}",INT((185-BW377)/1.85),"% penalty for long distance travel{}"),""))))))</f>
        <v/>
      </c>
      <c r="CK377" s="0" t="str">
        <f aca="false">_xlfn.CONCAT(CF377,IF(CF377&lt;&gt;""," ",""),CG377,IF(OR(CG377&lt;&gt;"",CF377&lt;&gt;""),"{}",""),CE377,CJ377,"{SILVER}",CH377,IF(CI377&lt;&gt;"","{}{}",""),CI377)</f>
        <v>{BLACK}Powered by: {GOLD}Steam {BLACK}Cars: {GOLD}1968{}{BLACK}Length: {GOLD}0.4 tiles{}{SILVER}Charles Collett designed these tank locomotives to replace worn-out engines on the Vale of Rheidol line. They became the last steam locomotives running on British Railways, up until the line became a heritage railway in 1989.</v>
      </c>
    </row>
    <row r="378" customFormat="false" ht="14.25" hidden="false" customHeight="false" outlineLevel="0" collapsed="false">
      <c r="A378" s="48" t="s">
        <v>1353</v>
      </c>
      <c r="B378" s="42" t="s">
        <v>1354</v>
      </c>
      <c r="C378" s="0" t="n">
        <v>2020</v>
      </c>
      <c r="E378" s="0" t="n">
        <v>-1</v>
      </c>
      <c r="G378" s="0" t="s">
        <v>1222</v>
      </c>
      <c r="H378" s="0" t="s">
        <v>670</v>
      </c>
      <c r="I378" s="0" t="s">
        <v>1325</v>
      </c>
      <c r="J378" s="0" t="n">
        <v>1940</v>
      </c>
      <c r="L378" s="0" t="n">
        <v>1980</v>
      </c>
      <c r="N378" s="0" t="n">
        <v>40</v>
      </c>
      <c r="T378" s="18" t="n">
        <f aca="false">((($AB378/2)/60)*5280)/($U378*3.2*PI())</f>
        <v>0</v>
      </c>
      <c r="U378" s="2" t="n">
        <v>0.7</v>
      </c>
      <c r="V378" s="2" t="n">
        <f aca="false">((($P378*$P378/4)*PI())*($Q378/12)*$R378*$S378*$T378)/(33000*1.1)</f>
        <v>0</v>
      </c>
      <c r="Y378" s="0" t="n">
        <v>5</v>
      </c>
      <c r="AA378" s="3" t="str">
        <f aca="false">IF(AND(W378&gt;0,Z378&gt;0),(Z378/((W378+X378)*10)),"")</f>
        <v/>
      </c>
      <c r="AC378" s="0" t="n">
        <f aca="false">ROUND(AB378*1.6, 0)</f>
        <v>0</v>
      </c>
      <c r="AJ378" s="4" t="n">
        <v>0</v>
      </c>
      <c r="AK378" s="16" t="str">
        <f aca="false">CONCATENATE(VLOOKUP(AL378, '[2]Voxel Sizes'!$A$2:$B$18,2,FALSE()),"x",INT(AH378*15), "x", INT(AI378*15))</f>
        <v>0x0x0</v>
      </c>
      <c r="AL378" s="16" t="n">
        <f aca="false">ROUND(15*((AG378*10)/256),0)</f>
        <v>0</v>
      </c>
      <c r="AN378" s="16" t="str">
        <f aca="false">CONCATENATE(VLOOKUP(AL378,[2]Constants!$A$2:$C$16,IF(AM378&lt;&gt;"", 3, 2), FALSE()),IF(AM378&lt;&gt;"",CONCATENATE(",",VLOOKUP(AM378,$B:$AN,39,FALSE())),""))</f>
        <v>na</v>
      </c>
      <c r="AV378" s="0" t="n">
        <v>1</v>
      </c>
      <c r="AX378" s="0" t="n">
        <v>250</v>
      </c>
      <c r="AY378" s="16" t="n">
        <f aca="false">IF(L378&lt;&gt;"",MAX(16,(L378-J378)+8),"")</f>
        <v>48</v>
      </c>
      <c r="AZ378" s="0" t="n">
        <v>-5</v>
      </c>
      <c r="BA378" s="0" t="n">
        <v>-2</v>
      </c>
      <c r="BB378" s="43" t="n">
        <f aca="false">MIN(AB378/150, 1)*30</f>
        <v>0</v>
      </c>
      <c r="BC378" s="43" t="n">
        <f aca="false">MIN(N378/4000, 1)*20</f>
        <v>0.2</v>
      </c>
      <c r="BD378" s="43" t="n">
        <f aca="false">MIN(Z378/400,1)*20</f>
        <v>0</v>
      </c>
      <c r="BE378" s="44" t="n">
        <f aca="false">1-(MAX(J378-1900, 0)/750)</f>
        <v>0.946666666666667</v>
      </c>
      <c r="BF378" s="43" t="n">
        <f aca="false">((MAX($M378,1)*MIN($AJ378/300,1)))*IF(G378="Wagon",50,10)</f>
        <v>0</v>
      </c>
      <c r="BG378" s="43" t="n">
        <f aca="false">VLOOKUP($H378,[2]Constants!$I$1:$K$1048576, 2, FALSE())</f>
        <v>1</v>
      </c>
      <c r="BH378" s="43" t="n">
        <f aca="false">VLOOKUP($H378,[2]Constants!$I$1:$K$1048576, 3, FALSE())*IF(AND(G378="multiple_unit",AB378&lt;110),0.75,1)</f>
        <v>2</v>
      </c>
      <c r="BI378" s="43" t="n">
        <f aca="false">INT(POWER((([2]Constants!$G$2+$BB378+$BC378+$BD378+$BF378)*$BE378)*$BH378, 1.05))+$BA378</f>
        <v>9</v>
      </c>
      <c r="BJ378" s="43" t="n">
        <f aca="false">INT(POWER(((([2]Constants!$G$1+$BB378+$BC378+$BD378+$BF378)*($BE378))*$BG378),IF($G378="wagon",1,1.2)))+$AZ378</f>
        <v>19</v>
      </c>
      <c r="BK378" s="45" t="n">
        <f aca="false">BI378*IF($G378="wagon",62.5,781.25)</f>
        <v>7031.25</v>
      </c>
      <c r="BL378" s="45" t="n">
        <f aca="false">BJ378*IF($G378="wagon",2.73,81.25)</f>
        <v>1543.75</v>
      </c>
      <c r="BV378" s="0" t="n">
        <v>6</v>
      </c>
      <c r="CA378" s="46" t="str">
        <f aca="false">VLOOKUP(J378,[2]Eras!$A$2:$C$10, 2, TRUE())</f>
        <v>big4</v>
      </c>
      <c r="CB378" s="0" t="s">
        <v>513</v>
      </c>
      <c r="CC378" s="46" t="str">
        <f aca="false">CONCATENATE(CA378,"_",CB378)</f>
        <v>big4_Cheap</v>
      </c>
      <c r="CD378" s="46" t="str">
        <f aca="false">_xlfn.CONCAT(H378, "_",I378)</f>
        <v>diesel_NARROW_GAUGE</v>
      </c>
      <c r="CE378" s="6" t="str">
        <f aca="false" t="array" ref="CE378:CE378">IF(AN378&lt;&gt;"na", _xlfn.CONCAT("{BLACK}Length: {GOLD}", TEXT(ROUNDUP(IF(AQ378&lt;&gt;"",SUM(VALUE(_xlfn.TEXTSPLIT(AQ378, ","))), SUM(VALUE(_xlfn.TEXTSPLIT(AN378, ",")))*IF(M378, M378, 1))/16, 1),"#,##0.0"), " tiles{}"), "")</f>
        <v/>
      </c>
      <c r="CF378" s="46" t="str">
        <f aca="false">VLOOKUP($CD378, [2]Constants!$M$1:$N$1048576, 2, FALSE())</f>
        <v>{BLACK}Powered by: {GOLD}Diesel</v>
      </c>
      <c r="CG378" s="46" t="str">
        <f aca="false">IF(AND(L378&gt;1,BN378&lt;&gt;1),_xlfn.CONCAT("{BLACK}Cars: {GOLD}", L378),"")</f>
        <v>{BLACK}Cars: {GOLD}1980</v>
      </c>
      <c r="CI378" s="0" t="str">
        <f aca="false">IF($BU378="!param_no_gameplay_units","{GREEN}Included for gameplay purposes","")</f>
        <v/>
      </c>
      <c r="CJ378" s="0" t="str">
        <f aca="false">IF(BX378="buffet","{YELLOW}25% long distance bonus for consist{}",IF(BY378="DANDY","{YELLOW}Faster downhill speeds for horse-drawn trains (1 required per 2 horses){}",IF(BY378="BRAKE","{YELLOW}Speed bonus for slow wagons{}",IF(BY378="NGPassengers","{YELLOW}Preserved railway bonus: passengers pay more when hauled by old locomotives{}",IF(AND(BW378&gt;190,NOT(AND(I378="NARROW_GAUGE",BY378&lt;&gt;"PASS"))),CONCATENATE("{YELLOW}",INT((BW378-185)/1.85),"% bonus for long distance travel{}"),IF(AND(BW378&lt;180,BW378&lt;&gt;0),CONCATENATE("{YELLOW}",INT((185-BW378)/1.85),"% penalty for long distance travel{}"),""))))))</f>
        <v/>
      </c>
      <c r="CK378" s="0" t="str">
        <f aca="false">_xlfn.CONCAT(CF378,IF(CF378&lt;&gt;""," ",""),CG378,IF(OR(CG378&lt;&gt;"",CF378&lt;&gt;""),"{}",""),CE378,CJ378,"{SILVER}",CH378,IF(CI378&lt;&gt;"","{}{}",""),CI378)</f>
        <v>{BLACK}Powered by: {GOLD}Diesel {BLACK}Cars: {GOLD}1980{}{SILVER}</v>
      </c>
    </row>
    <row r="379" customFormat="false" ht="14.25" hidden="false" customHeight="false" outlineLevel="0" collapsed="false">
      <c r="A379" s="0" t="s">
        <v>1355</v>
      </c>
      <c r="B379" s="42" t="s">
        <v>1356</v>
      </c>
      <c r="C379" s="0" t="n">
        <v>2021</v>
      </c>
      <c r="E379" s="0" t="n">
        <v>2009</v>
      </c>
      <c r="F379" s="0" t="s">
        <v>143</v>
      </c>
      <c r="G379" s="0" t="s">
        <v>445</v>
      </c>
      <c r="H379" s="0" t="s">
        <v>670</v>
      </c>
      <c r="I379" s="0" t="s">
        <v>1325</v>
      </c>
      <c r="J379" s="0" t="n">
        <v>1941</v>
      </c>
      <c r="L379" s="0" t="n">
        <v>1985</v>
      </c>
      <c r="N379" s="0" t="n">
        <v>50</v>
      </c>
      <c r="T379" s="18" t="n">
        <f aca="false">((($AB379/2)/60)*5280)/($U379*3.2*PI())</f>
        <v>187.57546864402</v>
      </c>
      <c r="U379" s="2" t="n">
        <v>0.7</v>
      </c>
      <c r="V379" s="2" t="n">
        <f aca="false">((($P379*$P379/4)*PI())*($Q379/12)*$R379*$S379*$T379)/(33000*1.1)</f>
        <v>0</v>
      </c>
      <c r="W379" s="0" t="n">
        <v>7</v>
      </c>
      <c r="Y379" s="0" t="n">
        <v>5</v>
      </c>
      <c r="Z379" s="0" t="n">
        <v>22</v>
      </c>
      <c r="AA379" s="3" t="n">
        <f aca="false">IF(AND(W379&gt;0,Z379&gt;0),(Z379/((W379+X379)*10)),"")</f>
        <v>0.314285714285714</v>
      </c>
      <c r="AB379" s="0" t="n">
        <v>30</v>
      </c>
      <c r="AC379" s="0" t="n">
        <f aca="false">ROUND(AB379*1.6, 0)</f>
        <v>48</v>
      </c>
      <c r="AG379" s="0" t="n">
        <v>6</v>
      </c>
      <c r="AJ379" s="4" t="n">
        <v>0</v>
      </c>
      <c r="AK379" s="16" t="str">
        <f aca="false">CONCATENATE(VLOOKUP(AL379, '[2]Voxel Sizes'!$A$2:$B$18,2,FALSE()),"x",INT(AH379*15), "x", INT(AI379*15))</f>
        <v>66x0x0</v>
      </c>
      <c r="AL379" s="16" t="n">
        <f aca="false">ROUND(15*((AG379*10)/256),0)</f>
        <v>4</v>
      </c>
      <c r="AN379" s="16" t="str">
        <f aca="false">CONCATENATE(VLOOKUP(AL379,[2]Constants!$A$2:$C$16,IF(AM379&lt;&gt;"", 3, 2), FALSE()),IF(AM379&lt;&gt;"",CONCATENATE(",",VLOOKUP(AM379,$B:$AN,39,FALSE())),""))</f>
        <v>1,2,1</v>
      </c>
      <c r="AX379" s="0" t="n">
        <v>125</v>
      </c>
      <c r="AY379" s="16" t="n">
        <f aca="false">IF(L379&lt;&gt;"",MAX(16,(L379-J379)+8),"")</f>
        <v>52</v>
      </c>
      <c r="AZ379" s="0" t="n">
        <v>-9</v>
      </c>
      <c r="BA379" s="0" t="n">
        <v>-12</v>
      </c>
      <c r="BB379" s="43" t="n">
        <f aca="false">MIN(AB379/150, 1)*30</f>
        <v>6</v>
      </c>
      <c r="BC379" s="43" t="n">
        <f aca="false">MIN(N379/4000, 1)*20</f>
        <v>0.25</v>
      </c>
      <c r="BD379" s="43" t="n">
        <f aca="false">MIN(Z379/400,1)*20</f>
        <v>1.1</v>
      </c>
      <c r="BE379" s="44" t="n">
        <f aca="false">1-(MAX(J379-1900, 0)/750)</f>
        <v>0.945333333333333</v>
      </c>
      <c r="BF379" s="43" t="n">
        <f aca="false">((MAX($M379,1)*MIN($AJ379/300,1)))*IF(G379="Wagon",50,10)</f>
        <v>0</v>
      </c>
      <c r="BG379" s="43" t="n">
        <f aca="false">VLOOKUP($H379,[2]Constants!$I$1:$K$1048576, 2, FALSE())</f>
        <v>1</v>
      </c>
      <c r="BH379" s="43" t="n">
        <f aca="false">VLOOKUP($H379,[2]Constants!$I$1:$K$1048576, 3, FALSE())*IF(AND(G379="multiple_unit",AB379&lt;110),0.75,1)</f>
        <v>2</v>
      </c>
      <c r="BI379" s="43" t="n">
        <f aca="false">INT(POWER((([2]Constants!$G$2+$BB379+$BC379+$BD379+$BF379)*$BE379)*$BH379, 1.05))+$BA379</f>
        <v>15</v>
      </c>
      <c r="BJ379" s="43" t="n">
        <f aca="false">INT(POWER(((([2]Constants!$G$1+$BB379+$BC379+$BD379+$BF379)*($BE379))*$BG379),IF($G379="wagon",1,1.2)))+$AZ379</f>
        <v>29</v>
      </c>
      <c r="BK379" s="45" t="n">
        <f aca="false">BI379*IF($G379="wagon",62.5,781.25)</f>
        <v>11718.75</v>
      </c>
      <c r="BL379" s="45" t="n">
        <f aca="false">BJ379*IF($G379="wagon",2.73,81.25)</f>
        <v>2356.25</v>
      </c>
      <c r="BV379" s="0" t="n">
        <v>5</v>
      </c>
      <c r="CA379" s="46" t="str">
        <f aca="false">VLOOKUP(J379,[2]Eras!$A$2:$C$10, 2, TRUE())</f>
        <v>big4</v>
      </c>
      <c r="CB379" s="0" t="s">
        <v>513</v>
      </c>
      <c r="CC379" s="46" t="str">
        <f aca="false">CONCATENATE(CA379,"_",CB379)</f>
        <v>big4_Cheap</v>
      </c>
      <c r="CD379" s="46" t="str">
        <f aca="false">_xlfn.CONCAT(H379, "_",I379)</f>
        <v>diesel_NARROW_GAUGE</v>
      </c>
      <c r="CE379" s="6" t="str">
        <f aca="false" t="array" ref="CE379:CE379">IF(AN379&lt;&gt;"na", _xlfn.CONCAT("{BLACK}Length: {GOLD}", TEXT(ROUNDUP(IF(AQ379&lt;&gt;"",SUM(VALUE(_xlfn.TEXTSPLIT(AQ379, ","))), SUM(VALUE(_xlfn.TEXTSPLIT(AN379, ",")))*IF(M379, M379, 1))/16, 1),"#,##0.0"), " tiles{}"), "")</f>
        <v>{BLACK}Length: {GOLD}0.3 tiles{}</v>
      </c>
      <c r="CF379" s="46" t="str">
        <f aca="false">VLOOKUP($CD379, [2]Constants!$M$1:$N$1048576, 2, FALSE())</f>
        <v>{BLACK}Powered by: {GOLD}Diesel</v>
      </c>
      <c r="CG379" s="46" t="str">
        <f aca="false">IF(AND(L379&gt;1,BN379&lt;&gt;1),_xlfn.CONCAT("{BLACK}Cars: {GOLD}", L379),"")</f>
        <v>{BLACK}Cars: {GOLD}1985</v>
      </c>
      <c r="CH379" s="0" t="s">
        <v>1357</v>
      </c>
      <c r="CI379" s="0" t="str">
        <f aca="false">IF($BU379="!param_no_gameplay_units","{GREEN}Included for gameplay purposes","")</f>
        <v/>
      </c>
      <c r="CJ379" s="0" t="str">
        <f aca="false">IF(BX379="buffet","{YELLOW}25% long distance bonus for consist{}",IF(BY379="DANDY","{YELLOW}Faster downhill speeds for horse-drawn trains (1 required per 2 horses){}",IF(BY379="BRAKE","{YELLOW}Speed bonus for slow wagons{}",IF(BY379="NGPassengers","{YELLOW}Preserved railway bonus: passengers pay more when hauled by old locomotives{}",IF(AND(BW379&gt;190,NOT(AND(I379="NARROW_GAUGE",BY379&lt;&gt;"PASS"))),CONCATENATE("{YELLOW}",INT((BW379-185)/1.85),"% bonus for long distance travel{}"),IF(AND(BW379&lt;180,BW379&lt;&gt;0),CONCATENATE("{YELLOW}",INT((185-BW379)/1.85),"% penalty for long distance travel{}"),""))))))</f>
        <v/>
      </c>
      <c r="CK379" s="0" t="str">
        <f aca="false">_xlfn.CONCAT(CF379,IF(CF379&lt;&gt;""," ",""),CG379,IF(OR(CG379&lt;&gt;"",CF379&lt;&gt;""),"{}",""),CE379,CJ379,"{SILVER}",CH379,IF(CI379&lt;&gt;"","{}{}",""),CI379)</f>
        <v>{BLACK}Powered by: {GOLD}Diesel {BLACK}Cars: {GOLD}1985{}{BLACK}Length: {GOLD}0.3 tiles{}{SILVER}Ruston and Hornsby built diesel locomotives for small industrial lines, which would often only need a small locomotive for hauling goods short distances.</v>
      </c>
    </row>
    <row r="380" customFormat="false" ht="14.25" hidden="false" customHeight="false" outlineLevel="0" collapsed="false">
      <c r="A380" s="0" t="s">
        <v>1358</v>
      </c>
      <c r="B380" s="42" t="s">
        <v>1359</v>
      </c>
      <c r="C380" s="0" t="n">
        <v>2022</v>
      </c>
      <c r="E380" s="0" t="n">
        <v>2010</v>
      </c>
      <c r="F380" s="0" t="s">
        <v>143</v>
      </c>
      <c r="G380" s="0" t="s">
        <v>445</v>
      </c>
      <c r="H380" s="0" t="s">
        <v>670</v>
      </c>
      <c r="I380" s="0" t="s">
        <v>1325</v>
      </c>
      <c r="J380" s="0" t="n">
        <v>1950</v>
      </c>
      <c r="N380" s="0" t="n">
        <v>75</v>
      </c>
      <c r="T380" s="18" t="n">
        <f aca="false">((($AB380/2)/60)*5280)/($U380*3.2*PI())</f>
        <v>200.080499886954</v>
      </c>
      <c r="U380" s="2" t="n">
        <v>0.7</v>
      </c>
      <c r="V380" s="2" t="n">
        <f aca="false">((($P380*$P380/4)*PI())*($Q380/12)*$R380*$S380*$T380)/(33000*1.1)</f>
        <v>0</v>
      </c>
      <c r="W380" s="0" t="n">
        <v>10</v>
      </c>
      <c r="Y380" s="0" t="n">
        <v>5</v>
      </c>
      <c r="Z380" s="0" t="n">
        <v>28</v>
      </c>
      <c r="AA380" s="3" t="n">
        <f aca="false">IF(AND(W380&gt;0,Z380&gt;0),(Z380/((W380+X380)*10)),"")</f>
        <v>0.28</v>
      </c>
      <c r="AB380" s="0" t="n">
        <v>32</v>
      </c>
      <c r="AC380" s="0" t="n">
        <f aca="false">ROUND(AB380*1.6, 0)</f>
        <v>51</v>
      </c>
      <c r="AG380" s="0" t="n">
        <v>6</v>
      </c>
      <c r="AJ380" s="4" t="n">
        <v>0</v>
      </c>
      <c r="AK380" s="16" t="str">
        <f aca="false">CONCATENATE(VLOOKUP(AL380, '[2]Voxel Sizes'!$A$2:$B$18,2,FALSE()),"x",INT(AH380*15), "x", INT(AI380*15))</f>
        <v>66x0x0</v>
      </c>
      <c r="AL380" s="16" t="n">
        <f aca="false">ROUND(15*((AG380*10)/256),0)</f>
        <v>4</v>
      </c>
      <c r="AN380" s="16" t="str">
        <f aca="false">CONCATENATE(VLOOKUP(AL380,[2]Constants!$A$2:$C$16,IF(AM380&lt;&gt;"", 3, 2), FALSE()),IF(AM380&lt;&gt;"",CONCATENATE(",",VLOOKUP(AM380,$B:$AN,39,FALSE())),""))</f>
        <v>1,2,1</v>
      </c>
      <c r="AV380" s="0" t="n">
        <v>1</v>
      </c>
      <c r="AX380" s="0" t="n">
        <v>125</v>
      </c>
      <c r="AY380" s="16" t="str">
        <f aca="false">IF(L380&lt;&gt;"",MAX(16,(L380-J380)+8),"")</f>
        <v/>
      </c>
      <c r="AZ380" s="0" t="n">
        <v>-9</v>
      </c>
      <c r="BA380" s="0" t="n">
        <v>-12</v>
      </c>
      <c r="BB380" s="43" t="n">
        <f aca="false">MIN(AB380/150, 1)*30</f>
        <v>6.4</v>
      </c>
      <c r="BC380" s="43" t="n">
        <f aca="false">MIN(N380/4000, 1)*20</f>
        <v>0.375</v>
      </c>
      <c r="BD380" s="43" t="n">
        <f aca="false">MIN(Z380/400,1)*20</f>
        <v>1.4</v>
      </c>
      <c r="BE380" s="44" t="n">
        <f aca="false">1-(MAX(J380-1900, 0)/750)</f>
        <v>0.933333333333333</v>
      </c>
      <c r="BF380" s="43" t="n">
        <f aca="false">((MAX($M380,1)*MIN($AJ380/300,1)))*IF(G380="Wagon",50,10)</f>
        <v>0</v>
      </c>
      <c r="BG380" s="43" t="n">
        <f aca="false">VLOOKUP($H380,[2]Constants!$I$1:$K$1048576, 2, FALSE())</f>
        <v>1</v>
      </c>
      <c r="BH380" s="43" t="n">
        <f aca="false">VLOOKUP($H380,[2]Constants!$I$1:$K$1048576, 3, FALSE())*IF(AND(G380="multiple_unit",AB380&lt;110),0.75,1)</f>
        <v>2</v>
      </c>
      <c r="BI380" s="43" t="n">
        <f aca="false">INT(POWER((([2]Constants!$G$2+$BB380+$BC380+$BD380+$BF380)*$BE380)*$BH380, 1.05))+$BA380</f>
        <v>16</v>
      </c>
      <c r="BJ380" s="43" t="n">
        <f aca="false">INT(POWER(((([2]Constants!$G$1+$BB380+$BC380+$BD380+$BF380)*($BE380))*$BG380),IF($G380="wagon",1,1.2)))+$AZ380</f>
        <v>31</v>
      </c>
      <c r="BK380" s="45" t="n">
        <f aca="false">BI380*IF($G380="wagon",62.5,781.25)</f>
        <v>12500</v>
      </c>
      <c r="BL380" s="45" t="n">
        <f aca="false">BJ380*IF($G380="wagon",2.73,81.25)</f>
        <v>2518.75</v>
      </c>
      <c r="BV380" s="0" t="n">
        <v>3</v>
      </c>
      <c r="CA380" s="46" t="str">
        <f aca="false">VLOOKUP(J380,[2]Eras!$A$2:$C$10, 2, TRUE())</f>
        <v>ebr</v>
      </c>
      <c r="CB380" s="0" t="s">
        <v>513</v>
      </c>
      <c r="CC380" s="46" t="str">
        <f aca="false">CONCATENATE(CA380,"_",CB380)</f>
        <v>ebr_Cheap</v>
      </c>
      <c r="CD380" s="46" t="str">
        <f aca="false">_xlfn.CONCAT(H380, "_",I380)</f>
        <v>diesel_NARROW_GAUGE</v>
      </c>
      <c r="CE380" s="6" t="str">
        <f aca="false" t="array" ref="CE380:CE380">IF(AN380&lt;&gt;"na", _xlfn.CONCAT("{BLACK}Length: {GOLD}", TEXT(ROUNDUP(IF(AQ380&lt;&gt;"",SUM(VALUE(_xlfn.TEXTSPLIT(AQ380, ","))), SUM(VALUE(_xlfn.TEXTSPLIT(AN380, ",")))*IF(M380, M380, 1))/16, 1),"#,##0.0"), " tiles{}"), "")</f>
        <v>{BLACK}Length: {GOLD}0.3 tiles{}</v>
      </c>
      <c r="CF380" s="46" t="str">
        <f aca="false">VLOOKUP($CD380, [2]Constants!$M$1:$N$1048576, 2, FALSE())</f>
        <v>{BLACK}Powered by: {GOLD}Diesel</v>
      </c>
      <c r="CG380" s="46" t="str">
        <f aca="false">IF(AND(L380&gt;1,BN380&lt;&gt;1),_xlfn.CONCAT("{BLACK}Cars: {GOLD}", L380),"")</f>
        <v/>
      </c>
      <c r="CH380" s="0" t="s">
        <v>1360</v>
      </c>
      <c r="CI380" s="0" t="str">
        <f aca="false">IF($BU380="!param_no_gameplay_units","{GREEN}Included for gameplay purposes","")</f>
        <v/>
      </c>
      <c r="CJ380" s="0" t="str">
        <f aca="false">IF(BX380="buffet","{YELLOW}25% long distance bonus for consist{}",IF(BY380="DANDY","{YELLOW}Faster downhill speeds for horse-drawn trains (1 required per 2 horses){}",IF(BY380="BRAKE","{YELLOW}Speed bonus for slow wagons{}",IF(BY380="NGPassengers","{YELLOW}Preserved railway bonus: passengers pay more when hauled by old locomotives{}",IF(AND(BW380&gt;190,NOT(AND(I380="NARROW_GAUGE",BY380&lt;&gt;"PASS"))),CONCATENATE("{YELLOW}",INT((BW380-185)/1.85),"% bonus for long distance travel{}"),IF(AND(BW380&lt;180,BW380&lt;&gt;0),CONCATENATE("{YELLOW}",INT((185-BW380)/1.85),"% penalty for long distance travel{}"),""))))))</f>
        <v/>
      </c>
      <c r="CK380" s="0" t="str">
        <f aca="false">_xlfn.CONCAT(CF380,IF(CF380&lt;&gt;""," ",""),CG380,IF(OR(CG380&lt;&gt;"",CF380&lt;&gt;""),"{}",""),CE380,CJ380,"{SILVER}",CH380,IF(CI380&lt;&gt;"","{}{}",""),CI380)</f>
        <v>{BLACK}Powered by: {GOLD}Diesel {}{BLACK}Length: {GOLD}0.3 tiles{}{SILVER}The Hunslet 0-4-0DM is powered by a Gardner 4LW engine and is typical of a narrow gauge locomotive used for engineering duties.</v>
      </c>
    </row>
    <row r="381" customFormat="false" ht="14.25" hidden="false" customHeight="false" outlineLevel="0" collapsed="false">
      <c r="A381" s="0" t="s">
        <v>1361</v>
      </c>
      <c r="B381" s="42" t="s">
        <v>1362</v>
      </c>
      <c r="C381" s="0" t="n">
        <v>2023</v>
      </c>
      <c r="E381" s="0" t="n">
        <v>2011</v>
      </c>
      <c r="F381" s="0" t="s">
        <v>143</v>
      </c>
      <c r="G381" s="0" t="s">
        <v>445</v>
      </c>
      <c r="H381" s="0" t="s">
        <v>838</v>
      </c>
      <c r="I381" s="0" t="s">
        <v>1325</v>
      </c>
      <c r="J381" s="0" t="n">
        <v>1954</v>
      </c>
      <c r="N381" s="0" t="n">
        <v>30</v>
      </c>
      <c r="T381" s="18" t="n">
        <f aca="false">((($AB381/2)/60)*5280)/($U381*3.2*PI())</f>
        <v>150.060374915216</v>
      </c>
      <c r="U381" s="2" t="n">
        <v>0.7</v>
      </c>
      <c r="V381" s="2" t="n">
        <f aca="false">((($P381*$P381/4)*PI())*($Q381/12)*$R381*$S381*$T381)/(33000*1.1)</f>
        <v>0</v>
      </c>
      <c r="W381" s="0" t="n">
        <v>5</v>
      </c>
      <c r="Y381" s="0" t="n">
        <v>5</v>
      </c>
      <c r="Z381" s="0" t="n">
        <v>16</v>
      </c>
      <c r="AA381" s="3" t="n">
        <f aca="false">IF(AND(W381&gt;0,Z381&gt;0),(Z381/((W381+X381)*10)),"")</f>
        <v>0.32</v>
      </c>
      <c r="AB381" s="0" t="n">
        <v>24</v>
      </c>
      <c r="AC381" s="0" t="n">
        <f aca="false">ROUND(AB381*1.6, 0)</f>
        <v>38</v>
      </c>
      <c r="AG381" s="0" t="n">
        <v>6</v>
      </c>
      <c r="AJ381" s="4" t="n">
        <v>0</v>
      </c>
      <c r="AK381" s="16" t="str">
        <f aca="false">CONCATENATE(VLOOKUP(AL381, '[2]Voxel Sizes'!$A$2:$B$18,2,FALSE()),"x",INT(AH381*15), "x", INT(AI381*15))</f>
        <v>66x0x0</v>
      </c>
      <c r="AL381" s="16" t="n">
        <f aca="false">ROUND(15*((AG381*10)/256),0)</f>
        <v>4</v>
      </c>
      <c r="AN381" s="16" t="str">
        <f aca="false">CONCATENATE(VLOOKUP(AL381,[2]Constants!$A$2:$C$16,IF(AM381&lt;&gt;"", 3, 2), FALSE()),IF(AM381&lt;&gt;"",CONCATENATE(",",VLOOKUP(AM381,$B:$AN,39,FALSE())),""))</f>
        <v>1,2,1</v>
      </c>
      <c r="AX381" s="0" t="n">
        <v>125</v>
      </c>
      <c r="AY381" s="16" t="str">
        <f aca="false">IF(L381&lt;&gt;"",MAX(16,(L381-J381)+8),"")</f>
        <v/>
      </c>
      <c r="AZ381" s="0" t="n">
        <v>-9</v>
      </c>
      <c r="BA381" s="0" t="n">
        <v>-12</v>
      </c>
      <c r="BB381" s="43" t="n">
        <f aca="false">MIN(AB381/150, 1)*30</f>
        <v>4.8</v>
      </c>
      <c r="BC381" s="43" t="n">
        <f aca="false">MIN(N381/4000, 1)*20</f>
        <v>0.15</v>
      </c>
      <c r="BD381" s="43" t="n">
        <f aca="false">MIN(Z381/400,1)*20</f>
        <v>0.8</v>
      </c>
      <c r="BE381" s="44" t="n">
        <f aca="false">1-(MAX(J381-1900, 0)/750)</f>
        <v>0.928</v>
      </c>
      <c r="BF381" s="43" t="n">
        <f aca="false">((MAX($M381,1)*MIN($AJ381/300,1)))*IF(G381="Wagon",50,10)</f>
        <v>0</v>
      </c>
      <c r="BG381" s="43" t="n">
        <f aca="false">VLOOKUP($H381,[2]Constants!$I$1:$K$1048576, 2, FALSE())</f>
        <v>1.05</v>
      </c>
      <c r="BH381" s="43" t="n">
        <f aca="false">VLOOKUP($H381,[2]Constants!$I$1:$K$1048576, 3, FALSE())*IF(AND(G381="multiple_unit",AB381&lt;110),0.75,1)</f>
        <v>1.9</v>
      </c>
      <c r="BI381" s="43" t="n">
        <f aca="false">INT(POWER((([2]Constants!$G$2+$BB381+$BC381+$BD381+$BF381)*$BE381)*$BH381, 1.05))+$BA381</f>
        <v>9</v>
      </c>
      <c r="BJ381" s="43" t="n">
        <f aca="false">INT(POWER(((([2]Constants!$G$1+$BB381+$BC381+$BD381+$BF381)*($BE381))*$BG381),IF($G381="wagon",1,1.2)))+$AZ381</f>
        <v>27</v>
      </c>
      <c r="BK381" s="45" t="n">
        <f aca="false">BI381*IF($G381="wagon",62.5,781.25)</f>
        <v>7031.25</v>
      </c>
      <c r="BL381" s="45" t="n">
        <f aca="false">BJ381*IF($G381="wagon",2.73,81.25)</f>
        <v>2193.75</v>
      </c>
      <c r="BV381" s="0" t="n">
        <v>7</v>
      </c>
      <c r="CA381" s="46" t="str">
        <f aca="false">VLOOKUP(J381,[2]Eras!$A$2:$C$10, 2, TRUE())</f>
        <v>ebr</v>
      </c>
      <c r="CB381" s="0" t="s">
        <v>513</v>
      </c>
      <c r="CC381" s="46" t="str">
        <f aca="false">CONCATENATE(CA381,"_",CB381)</f>
        <v>ebr_Cheap</v>
      </c>
      <c r="CD381" s="46" t="str">
        <f aca="false">_xlfn.CONCAT(H381, "_",I381)</f>
        <v>petrol_NARROW_GAUGE</v>
      </c>
      <c r="CE381" s="6" t="str">
        <f aca="false" t="array" ref="CE381:CE381">IF(AN381&lt;&gt;"na", _xlfn.CONCAT("{BLACK}Length: {GOLD}", TEXT(ROUNDUP(IF(AQ381&lt;&gt;"",SUM(VALUE(_xlfn.TEXTSPLIT(AQ381, ","))), SUM(VALUE(_xlfn.TEXTSPLIT(AN381, ",")))*IF(M381, M381, 1))/16, 1),"#,##0.0"), " tiles{}"), "")</f>
        <v>{BLACK}Length: {GOLD}0.3 tiles{}</v>
      </c>
      <c r="CF381" s="46" t="str">
        <f aca="false">VLOOKUP($CD381, [2]Constants!$M$1:$N$1048576, 2, FALSE())</f>
        <v>{BLACK}Powered by: {GOLD}Petrol</v>
      </c>
      <c r="CG381" s="46" t="str">
        <f aca="false">IF(AND(L381&gt;1,BN381&lt;&gt;1),_xlfn.CONCAT("{BLACK}Cars: {GOLD}", L381),"")</f>
        <v/>
      </c>
      <c r="CH381" s="0" t="s">
        <v>1363</v>
      </c>
      <c r="CI381" s="0" t="str">
        <f aca="false">IF($BU381="!param_no_gameplay_units","{GREEN}Included for gameplay purposes","")</f>
        <v/>
      </c>
      <c r="CJ381" s="0" t="str">
        <f aca="false">IF(BX381="buffet","{YELLOW}25% long distance bonus for consist{}",IF(BY381="DANDY","{YELLOW}Faster downhill speeds for horse-drawn trains (1 required per 2 horses){}",IF(BY381="BRAKE","{YELLOW}Speed bonus for slow wagons{}",IF(BY381="NGPassengers","{YELLOW}Preserved railway bonus: passengers pay more when hauled by old locomotives{}",IF(AND(BW381&gt;190,NOT(AND(I381="NARROW_GAUGE",BY381&lt;&gt;"PASS"))),CONCATENATE("{YELLOW}",INT((BW381-185)/1.85),"% bonus for long distance travel{}"),IF(AND(BW381&lt;180,BW381&lt;&gt;0),CONCATENATE("{YELLOW}",INT((185-BW381)/1.85),"% penalty for long distance travel{}"),""))))))</f>
        <v/>
      </c>
      <c r="CK381" s="0" t="str">
        <f aca="false">_xlfn.CONCAT(CF381,IF(CF381&lt;&gt;""," ",""),CG381,IF(OR(CG381&lt;&gt;"",CF381&lt;&gt;""),"{}",""),CE381,CJ381,"{SILVER}",CH381,IF(CI381&lt;&gt;"","{}{}",""),CI381)</f>
        <v>{BLACK}Powered by: {GOLD}Petrol {}{BLACK}Length: {GOLD}0.3 tiles{}{SILVER}Talyllyn Railway volunteer John Bate built this small locomotive using the engine from a Austin Seven. The canopy was added later.</v>
      </c>
    </row>
    <row r="382" customFormat="false" ht="14.25" hidden="false" customHeight="false" outlineLevel="0" collapsed="false">
      <c r="A382" s="0" t="s">
        <v>1364</v>
      </c>
      <c r="B382" s="42" t="s">
        <v>1365</v>
      </c>
      <c r="C382" s="0" t="n">
        <v>2024</v>
      </c>
      <c r="E382" s="0" t="n">
        <v>2012</v>
      </c>
      <c r="F382" s="0" t="s">
        <v>143</v>
      </c>
      <c r="G382" s="0" t="s">
        <v>445</v>
      </c>
      <c r="H382" s="0" t="s">
        <v>670</v>
      </c>
      <c r="I382" s="0" t="s">
        <v>1325</v>
      </c>
      <c r="J382" s="0" t="n">
        <v>1982</v>
      </c>
      <c r="N382" s="0" t="n">
        <v>100</v>
      </c>
      <c r="T382" s="18" t="n">
        <f aca="false">((($AB382/2)/60)*5280)/($U382*3.2*PI())</f>
        <v>218.838046751356</v>
      </c>
      <c r="U382" s="2" t="n">
        <v>0.7</v>
      </c>
      <c r="V382" s="2" t="n">
        <f aca="false">((($P382*$P382/4)*PI())*($Q382/12)*$R382*$S382*$T382)/(33000*1.1)</f>
        <v>0</v>
      </c>
      <c r="W382" s="0" t="n">
        <v>10</v>
      </c>
      <c r="Y382" s="0" t="n">
        <v>5</v>
      </c>
      <c r="Z382" s="0" t="n">
        <v>36</v>
      </c>
      <c r="AA382" s="3" t="n">
        <f aca="false">IF(AND(W382&gt;0,Z382&gt;0),(Z382/((W382+X382)*10)),"")</f>
        <v>0.36</v>
      </c>
      <c r="AB382" s="0" t="n">
        <v>35</v>
      </c>
      <c r="AC382" s="0" t="n">
        <f aca="false">ROUND(AB382*1.6, 0)</f>
        <v>56</v>
      </c>
      <c r="AG382" s="0" t="n">
        <v>7</v>
      </c>
      <c r="AJ382" s="4" t="n">
        <v>0</v>
      </c>
      <c r="AK382" s="16" t="str">
        <f aca="false">CONCATENATE(VLOOKUP(AL382, '[2]Voxel Sizes'!$A$2:$B$18,2,FALSE()),"x",INT(AH382*15), "x", INT(AI382*15))</f>
        <v>66x0x0</v>
      </c>
      <c r="AL382" s="16" t="n">
        <f aca="false">ROUND(15*((AG382*10)/256),0)</f>
        <v>4</v>
      </c>
      <c r="AN382" s="16" t="str">
        <f aca="false">CONCATENATE(VLOOKUP(AL382,[2]Constants!$A$2:$C$16,IF(AM382&lt;&gt;"", 3, 2), FALSE()),IF(AM382&lt;&gt;"",CONCATENATE(",",VLOOKUP(AM382,$B:$AN,39,FALSE())),""))</f>
        <v>1,2,1</v>
      </c>
      <c r="AX382" s="0" t="n">
        <v>125</v>
      </c>
      <c r="AY382" s="16" t="str">
        <f aca="false">IF(L382&lt;&gt;"",MAX(16,(L382-J382)+8),"")</f>
        <v/>
      </c>
      <c r="AZ382" s="0" t="n">
        <v>-7</v>
      </c>
      <c r="BA382" s="0" t="n">
        <v>-6</v>
      </c>
      <c r="BB382" s="43" t="n">
        <f aca="false">MIN(AB382/150, 1)*30</f>
        <v>7</v>
      </c>
      <c r="BC382" s="43" t="n">
        <f aca="false">MIN(N382/4000, 1)*20</f>
        <v>0.5</v>
      </c>
      <c r="BD382" s="43" t="n">
        <f aca="false">MIN(Z382/400,1)*20</f>
        <v>1.8</v>
      </c>
      <c r="BE382" s="44" t="n">
        <f aca="false">1-(MAX(J382-1900, 0)/750)</f>
        <v>0.890666666666667</v>
      </c>
      <c r="BF382" s="43" t="n">
        <f aca="false">((MAX($M382,1)*MIN($AJ382/300,1)))*IF(G382="Wagon",50,10)</f>
        <v>0</v>
      </c>
      <c r="BG382" s="43" t="n">
        <f aca="false">VLOOKUP($H382,[2]Constants!$I$1:$K$1048576, 2, FALSE())</f>
        <v>1</v>
      </c>
      <c r="BH382" s="43" t="n">
        <f aca="false">VLOOKUP($H382,[2]Constants!$I$1:$K$1048576, 3, FALSE())*IF(AND(G382="multiple_unit",AB382&lt;110),0.75,1)</f>
        <v>2</v>
      </c>
      <c r="BI382" s="43" t="n">
        <f aca="false">INT(POWER((([2]Constants!$G$2+$BB382+$BC382+$BD382+$BF382)*$BE382)*$BH382, 1.05))+$BA382</f>
        <v>23</v>
      </c>
      <c r="BJ382" s="43" t="n">
        <f aca="false">INT(POWER(((([2]Constants!$G$1+$BB382+$BC382+$BD382+$BF382)*($BE382))*$BG382),IF($G382="wagon",1,1.2)))+$AZ382</f>
        <v>33</v>
      </c>
      <c r="BK382" s="45" t="n">
        <f aca="false">BI382*IF($G382="wagon",62.5,781.25)</f>
        <v>17968.75</v>
      </c>
      <c r="BL382" s="45" t="n">
        <f aca="false">BJ382*IF($G382="wagon",2.73,81.25)</f>
        <v>2681.25</v>
      </c>
      <c r="BV382" s="0" t="n">
        <v>4</v>
      </c>
      <c r="CA382" s="46" t="str">
        <f aca="false">VLOOKUP(J382,[2]Eras!$A$2:$C$10, 2, TRUE())</f>
        <v>lbr</v>
      </c>
      <c r="CB382" s="0" t="s">
        <v>513</v>
      </c>
      <c r="CC382" s="46" t="str">
        <f aca="false">CONCATENATE(CA382,"_",CB382)</f>
        <v>lbr_Cheap</v>
      </c>
      <c r="CD382" s="46" t="str">
        <f aca="false">_xlfn.CONCAT(H382, "_",I382)</f>
        <v>diesel_NARROW_GAUGE</v>
      </c>
      <c r="CE382" s="6" t="str">
        <f aca="false" t="array" ref="CE382:CE382">IF(AN382&lt;&gt;"na", _xlfn.CONCAT("{BLACK}Length: {GOLD}", TEXT(ROUNDUP(IF(AQ382&lt;&gt;"",SUM(VALUE(_xlfn.TEXTSPLIT(AQ382, ","))), SUM(VALUE(_xlfn.TEXTSPLIT(AN382, ",")))*IF(M382, M382, 1))/16, 1),"#,##0.0"), " tiles{}"), "")</f>
        <v>{BLACK}Length: {GOLD}0.3 tiles{}</v>
      </c>
      <c r="CF382" s="46" t="str">
        <f aca="false">VLOOKUP($CD382, [2]Constants!$M$1:$N$1048576, 2, FALSE())</f>
        <v>{BLACK}Powered by: {GOLD}Diesel</v>
      </c>
      <c r="CG382" s="46" t="str">
        <f aca="false">IF(AND(L382&gt;1,BN382&lt;&gt;1),_xlfn.CONCAT("{BLACK}Cars: {GOLD}", L382),"")</f>
        <v/>
      </c>
      <c r="CH382" s="0" t="s">
        <v>1366</v>
      </c>
      <c r="CI382" s="0" t="str">
        <f aca="false">IF($BU382="!param_no_gameplay_units","{GREEN}Included for gameplay purposes","")</f>
        <v/>
      </c>
      <c r="CJ382" s="0" t="str">
        <f aca="false">IF(BX382="buffet","{YELLOW}25% long distance bonus for consist{}",IF(BY382="DANDY","{YELLOW}Faster downhill speeds for horse-drawn trains (1 required per 2 horses){}",IF(BY382="BRAKE","{YELLOW}Speed bonus for slow wagons{}",IF(BY382="NGPassengers","{YELLOW}Preserved railway bonus: passengers pay more when hauled by old locomotives{}",IF(AND(BW382&gt;190,NOT(AND(I382="NARROW_GAUGE",BY382&lt;&gt;"PASS"))),CONCATENATE("{YELLOW}",INT((BW382-185)/1.85),"% bonus for long distance travel{}"),IF(AND(BW382&lt;180,BW382&lt;&gt;0),CONCATENATE("{YELLOW}",INT((185-BW382)/1.85),"% penalty for long distance travel{}"),""))))))</f>
        <v/>
      </c>
      <c r="CK382" s="0" t="str">
        <f aca="false">_xlfn.CONCAT(CF382,IF(CF382&lt;&gt;""," ",""),CG382,IF(OR(CG382&lt;&gt;"",CF382&lt;&gt;""),"{}",""),CE382,CJ382,"{SILVER}",CH382,IF(CI382&lt;&gt;"","{}{}",""),CI382)</f>
        <v>{BLACK}Powered by: {GOLD}Diesel {}{BLACK}Length: {GOLD}0.3 tiles{}{SILVER}Larger and more powerful diesel shunters displaced steam from industrial lines as they were more economical to run. Even preservation railways keep some around for utility duties.</v>
      </c>
    </row>
    <row r="383" customFormat="false" ht="14.25" hidden="false" customHeight="false" outlineLevel="0" collapsed="false">
      <c r="A383" s="48" t="s">
        <v>1367</v>
      </c>
      <c r="B383" s="42" t="s">
        <v>1368</v>
      </c>
      <c r="C383" s="0" t="n">
        <v>2025</v>
      </c>
      <c r="E383" s="0" t="n">
        <v>-1</v>
      </c>
      <c r="G383" s="0" t="s">
        <v>1222</v>
      </c>
      <c r="H383" s="0" t="s">
        <v>144</v>
      </c>
      <c r="I383" s="0" t="s">
        <v>1325</v>
      </c>
      <c r="J383" s="0" t="n">
        <v>1800</v>
      </c>
      <c r="L383" s="0" t="n">
        <v>1880</v>
      </c>
      <c r="W383" s="0" t="n">
        <v>3</v>
      </c>
      <c r="Y383" s="0" t="n">
        <v>3</v>
      </c>
      <c r="AA383" s="3" t="str">
        <f aca="false">IF(AND(W383&gt;0,Z383&gt;0),(Z383/((W383+X383)*10)),"")</f>
        <v/>
      </c>
      <c r="AB383" s="0" t="n">
        <v>25</v>
      </c>
      <c r="AC383" s="0" t="n">
        <f aca="false">ROUND(AB383*1.6, 0)</f>
        <v>40</v>
      </c>
      <c r="AF383" s="0" t="n">
        <v>6</v>
      </c>
      <c r="AG383" s="0" t="n">
        <v>6</v>
      </c>
      <c r="AJ383" s="4" t="n">
        <v>12</v>
      </c>
      <c r="AK383" s="16" t="str">
        <f aca="false">CONCATENATE(VLOOKUP(AL383, '[2]Voxel Sizes'!$A$2:$B$18,2,FALSE()),"x",INT(AH383*15), "x", INT(AI383*15))</f>
        <v>66x0x0</v>
      </c>
      <c r="AL383" s="16" t="n">
        <f aca="false">ROUND(15*((AG383*10)/256),0)</f>
        <v>4</v>
      </c>
      <c r="AN383" s="16" t="str">
        <f aca="false">CONCATENATE(VLOOKUP(AL383,[2]Constants!$A$2:$C$16,IF(AM383&lt;&gt;"", 3, 2), FALSE()),IF(AM383&lt;&gt;"",CONCATENATE(",",VLOOKUP(AM383,$B:$AN,39,FALSE())),""))</f>
        <v>1,2,1</v>
      </c>
      <c r="AX383" s="0" t="n">
        <v>80</v>
      </c>
      <c r="AY383" s="16" t="n">
        <f aca="false">IF(L383&lt;&gt;"",MAX(16,(L383-J383)+8),"")</f>
        <v>88</v>
      </c>
      <c r="BB383" s="43" t="n">
        <f aca="false">MIN(AB383/150, 1)*30</f>
        <v>5</v>
      </c>
      <c r="BC383" s="43" t="n">
        <f aca="false">MIN(N383/4000, 1)*20</f>
        <v>0</v>
      </c>
      <c r="BD383" s="43" t="n">
        <f aca="false">MIN(Z383/400,1)*20</f>
        <v>0</v>
      </c>
      <c r="BE383" s="44" t="n">
        <f aca="false">1-(MAX(J383-1900, 0)/750)</f>
        <v>1</v>
      </c>
      <c r="BF383" s="43" t="n">
        <f aca="false">((MAX($M383,1)*MIN($AJ383/300,1)))*IF(G383="Wagon",50,10)</f>
        <v>0.4</v>
      </c>
      <c r="BG383" s="43" t="n">
        <f aca="false">VLOOKUP($H383,[2]Constants!$I$1:$K$1048576, 2, FALSE())</f>
        <v>1</v>
      </c>
      <c r="BH383" s="43" t="n">
        <f aca="false">VLOOKUP($H383,[2]Constants!$I$1:$K$1048576, 3, FALSE())*IF(AND(G383="multiple_unit",AB383&lt;110),0.75,1)</f>
        <v>0.45</v>
      </c>
      <c r="BI383" s="43" t="n">
        <f aca="false">INT(POWER((([2]Constants!$G$2+$BB383+$BC383+$BD383+$BF383)*$BE383)*$BH383, 1.05))+$BA383</f>
        <v>5</v>
      </c>
      <c r="BJ383" s="43" t="n">
        <f aca="false">INT(POWER(((([2]Constants!$G$1+$BB383+$BC383+$BD383+$BF383)*($BE383))*$BG383),IF($G383="wagon",1,1.2)))+$AZ383</f>
        <v>37</v>
      </c>
      <c r="BK383" s="45" t="n">
        <f aca="false">BI383*IF($G383="wagon",62.5,781.25)</f>
        <v>3906.25</v>
      </c>
      <c r="BL383" s="45" t="n">
        <f aca="false">BJ383*IF($G383="wagon",2.73,81.25)</f>
        <v>3006.25</v>
      </c>
      <c r="BV383" s="0" t="n">
        <v>1</v>
      </c>
      <c r="BW383" s="0" t="n">
        <v>74</v>
      </c>
      <c r="BY383" s="0" t="s">
        <v>1187</v>
      </c>
      <c r="BZ383" s="0" t="s">
        <v>148</v>
      </c>
      <c r="CA383" s="46" t="str">
        <f aca="false">VLOOKUP(J383,[2]Eras!$A$2:$C$10, 2, TRUE())</f>
        <v>early</v>
      </c>
      <c r="CB383" s="0" t="s">
        <v>266</v>
      </c>
      <c r="CC383" s="46" t="str">
        <f aca="false">CONCATENATE(CA383,"_",CB383)</f>
        <v>early_Open Wagon</v>
      </c>
      <c r="CD383" s="46" t="str">
        <f aca="false">_xlfn.CONCAT(H383, "_",I383)</f>
        <v>wagon_NARROW_GAUGE</v>
      </c>
      <c r="CE383" s="6" t="str">
        <f aca="false" t="array" ref="CE383:CE383">IF(AN383&lt;&gt;"na", _xlfn.CONCAT("{BLACK}Length: {GOLD}", TEXT(ROUNDUP(IF(AQ383&lt;&gt;"",SUM(VALUE(_xlfn.TEXTSPLIT(AQ383, ","))), SUM(VALUE(_xlfn.TEXTSPLIT(AN383, ",")))*IF(M383, M383, 1))/16, 1),"#,##0.0"), " tiles{}"), "")</f>
        <v>{BLACK}Length: {GOLD}0.3 tiles{}</v>
      </c>
      <c r="CF383" s="46" t="str">
        <f aca="false">VLOOKUP($CD383, [2]Constants!$M$1:$N$1048576, 2, FALSE())</f>
        <v/>
      </c>
      <c r="CG383" s="46" t="str">
        <f aca="false">IF(AND(L383&gt;1,BN383&lt;&gt;1),_xlfn.CONCAT("{BLACK}Cars: {GOLD}", L383),"")</f>
        <v>{BLACK}Cars: {GOLD}1880</v>
      </c>
      <c r="CH383" s="0" t="s">
        <v>1369</v>
      </c>
      <c r="CI383" s="0" t="str">
        <f aca="false">IF($BU383="!param_no_gameplay_units","{GREEN}Included for gameplay purposes","")</f>
        <v/>
      </c>
      <c r="CJ383" s="0" t="str">
        <f aca="false">IF(BX383="buffet","{YELLOW}25% long distance bonus for consist{}",IF(BY383="DANDY","{YELLOW}Faster downhill speeds for horse-drawn trains (1 required per 2 horses){}",IF(BY383="BRAKE","{YELLOW}Speed bonus for slow wagons{}",IF(BY383="NGPassengers","{YELLOW}Preserved railway bonus: passengers pay more when hauled by old locomotives{}",IF(AND(BW383&gt;190,NOT(AND(I383="NARROW_GAUGE",BY383&lt;&gt;"PASS"))),CONCATENATE("{YELLOW}",INT((BW383-185)/1.85),"% bonus for long distance travel{}"),IF(AND(BW383&lt;180,BW383&lt;&gt;0),CONCATENATE("{YELLOW}",INT((185-BW383)/1.85),"% penalty for long distance travel{}"),""))))))</f>
        <v>{YELLOW}Preserved railway bonus: passengers pay more when hauled by old locomotives{}</v>
      </c>
      <c r="CK383" s="0" t="str">
        <f aca="false">_xlfn.CONCAT(CF383,IF(CF383&lt;&gt;""," ",""),CG383,IF(OR(CG383&lt;&gt;"",CF383&lt;&gt;""),"{}",""),CE383,CJ383,"{SILVER}",CH383,IF(CI383&lt;&gt;"","{}{}",""),CI383)</f>
        <v>{BLACK}Cars: {GOLD}1880{}{BLACK}Length: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384" customFormat="false" ht="14.25" hidden="false" customHeight="false" outlineLevel="0" collapsed="false">
      <c r="A384" s="0" t="s">
        <v>151</v>
      </c>
      <c r="B384" s="42" t="s">
        <v>1370</v>
      </c>
      <c r="C384" s="0" t="n">
        <v>2026</v>
      </c>
      <c r="E384" s="0" t="n">
        <v>3001</v>
      </c>
      <c r="F384" s="0" t="s">
        <v>143</v>
      </c>
      <c r="G384" s="0" t="s">
        <v>144</v>
      </c>
      <c r="H384" s="0" t="s">
        <v>144</v>
      </c>
      <c r="I384" s="0" t="s">
        <v>1325</v>
      </c>
      <c r="J384" s="0" t="n">
        <v>1863</v>
      </c>
      <c r="W384" s="0" t="n">
        <v>5</v>
      </c>
      <c r="Y384" s="0" t="n">
        <v>4</v>
      </c>
      <c r="AA384" s="3" t="str">
        <f aca="false">IF(AND(W384&gt;0,Z384&gt;0),(Z384/((W384+X384)*10)),"")</f>
        <v/>
      </c>
      <c r="AB384" s="0" t="n">
        <v>35</v>
      </c>
      <c r="AC384" s="0" t="n">
        <f aca="false">ROUND(AB384*1.6, 0)</f>
        <v>56</v>
      </c>
      <c r="AF384" s="0" t="n">
        <v>8</v>
      </c>
      <c r="AG384" s="0" t="n">
        <v>8</v>
      </c>
      <c r="AJ384" s="4" t="n">
        <v>18</v>
      </c>
      <c r="AK384" s="16" t="str">
        <f aca="false">CONCATENATE(VLOOKUP(AL384, '[2]Voxel Sizes'!$A$2:$B$18,2,FALSE()),"x",INT(AH384*15), "x", INT(AI384*15))</f>
        <v>82x0x0</v>
      </c>
      <c r="AL384" s="16" t="n">
        <f aca="false">ROUND(15*((AG384*10)/256),0)</f>
        <v>5</v>
      </c>
      <c r="AN384" s="16" t="str">
        <f aca="false">CONCATENATE(VLOOKUP(AL384,[2]Constants!$A$2:$C$16,IF(AM384&lt;&gt;"", 3, 2), FALSE()),IF(AM384&lt;&gt;"",CONCATENATE(",",VLOOKUP(AM384,$B:$AN,39,FALSE())),""))</f>
        <v>2,1,2</v>
      </c>
      <c r="AX384" s="0" t="n">
        <v>80</v>
      </c>
      <c r="AY384" s="16" t="str">
        <f aca="false">IF(L384&lt;&gt;"",MAX(16,(L384-J384)+8),"")</f>
        <v/>
      </c>
      <c r="AZ384" s="0" t="n">
        <v>5</v>
      </c>
      <c r="BA384" s="0" t="n">
        <v>10</v>
      </c>
      <c r="BB384" s="43" t="n">
        <f aca="false">MIN(AB384/150, 1)*30</f>
        <v>7</v>
      </c>
      <c r="BC384" s="43" t="n">
        <f aca="false">MIN(N384/4000, 1)*20</f>
        <v>0</v>
      </c>
      <c r="BD384" s="43" t="n">
        <f aca="false">MIN(Z384/400,1)*20</f>
        <v>0</v>
      </c>
      <c r="BE384" s="44" t="n">
        <f aca="false">1-(MAX(J384-1900, 0)/750)</f>
        <v>1</v>
      </c>
      <c r="BF384" s="43" t="n">
        <f aca="false">((MAX($M384,1)*MIN($AJ384/300,1)))*IF(G384="Wagon",50,10)</f>
        <v>3</v>
      </c>
      <c r="BG384" s="43" t="n">
        <f aca="false">VLOOKUP($H384,[2]Constants!$I$1:$K$1048576, 2, FALSE())</f>
        <v>1</v>
      </c>
      <c r="BH384" s="43" t="n">
        <f aca="false">VLOOKUP($H384,[2]Constants!$I$1:$K$1048576, 3, FALSE())*IF(AND(G384="multiple_unit",AB384&lt;110),0.75,1)</f>
        <v>0.45</v>
      </c>
      <c r="BI384" s="43" t="n">
        <f aca="false">INT(POWER((([2]Constants!$G$2+$BB384+$BC384+$BD384+$BF384)*$BE384)*$BH384, 1.05))+$BA384</f>
        <v>17</v>
      </c>
      <c r="BJ384" s="43" t="n">
        <f aca="false">INT(POWER(((([2]Constants!$G$1+$BB384+$BC384+$BD384+$BF384)*($BE384))*$BG384),IF($G384="wagon",1,1.2)))+$AZ384</f>
        <v>30</v>
      </c>
      <c r="BK384" s="45" t="n">
        <f aca="false">BI384*IF($G384="wagon",62.5,781.25)</f>
        <v>1062.5</v>
      </c>
      <c r="BL384" s="45" t="n">
        <f aca="false">BJ384*IF($G384="wagon",2.73,81.25)</f>
        <v>81.9</v>
      </c>
      <c r="BV384" s="0" t="n">
        <v>1</v>
      </c>
      <c r="BW384" s="0" t="n">
        <v>74</v>
      </c>
      <c r="BY384" s="0" t="s">
        <v>1187</v>
      </c>
      <c r="BZ384" s="0" t="s">
        <v>148</v>
      </c>
      <c r="CA384" s="46" t="str">
        <f aca="false">VLOOKUP(J384,[2]Eras!$A$2:$C$10, 2, TRUE())</f>
        <v>vct</v>
      </c>
      <c r="CB384" s="0" t="s">
        <v>266</v>
      </c>
      <c r="CC384" s="46" t="str">
        <f aca="false">CONCATENATE(CA384,"_",CB384)</f>
        <v>vct_Open Wagon</v>
      </c>
      <c r="CD384" s="46" t="str">
        <f aca="false">_xlfn.CONCAT(H384, "_",I384)</f>
        <v>wagon_NARROW_GAUGE</v>
      </c>
      <c r="CE384" s="6" t="str">
        <f aca="false" t="array" ref="CE384:CE384">IF(AN384&lt;&gt;"na", _xlfn.CONCAT("{BLACK}Length: {GOLD}", TEXT(ROUNDUP(IF(AQ384&lt;&gt;"",SUM(VALUE(_xlfn.TEXTSPLIT(AQ384, ","))), SUM(VALUE(_xlfn.TEXTSPLIT(AN384, ",")))*IF(M384, M384, 1))/16, 1),"#,##0.0"), " tiles{}"), "")</f>
        <v>{BLACK}Length: {GOLD}0.4 tiles{}</v>
      </c>
      <c r="CF384" s="46" t="str">
        <f aca="false">VLOOKUP($CD384, [2]Constants!$M$1:$N$1048576, 2, FALSE())</f>
        <v/>
      </c>
      <c r="CG384" s="46" t="str">
        <f aca="false">IF(AND(L384&gt;1,BN384&lt;&gt;1),_xlfn.CONCAT("{BLACK}Cars: {GOLD}", L384),"")</f>
        <v/>
      </c>
      <c r="CH384" s="0" t="s">
        <v>1371</v>
      </c>
      <c r="CI384" s="0" t="str">
        <f aca="false">IF($BU384="!param_no_gameplay_units","{GREEN}Included for gameplay purposes","")</f>
        <v/>
      </c>
      <c r="CJ384" s="0" t="str">
        <f aca="false">IF(BX384="buffet","{YELLOW}25% long distance bonus for consist{}",IF(BY384="DANDY","{YELLOW}Faster downhill speeds for horse-drawn trains (1 required per 2 horses){}",IF(BY384="BRAKE","{YELLOW}Speed bonus for slow wagons{}",IF(BY384="NGPassengers","{YELLOW}Preserved railway bonus: passengers pay more when hauled by old locomotives{}",IF(AND(BW384&gt;190,NOT(AND(I384="NARROW_GAUGE",BY384&lt;&gt;"PASS"))),CONCATENATE("{YELLOW}",INT((BW384-185)/1.85),"% bonus for long distance travel{}"),IF(AND(BW384&lt;180,BW384&lt;&gt;0),CONCATENATE("{YELLOW}",INT((185-BW384)/1.85),"% penalty for long distance travel{}"),""))))))</f>
        <v>{YELLOW}Preserved railway bonus: passengers pay more when hauled by old locomotives{}</v>
      </c>
      <c r="CK384" s="0" t="str">
        <f aca="false">_xlfn.CONCAT(CF384,IF(CF384&lt;&gt;""," ",""),CG384,IF(OR(CG384&lt;&gt;"",CF384&lt;&gt;""),"{}",""),CE384,CJ384,"{SILVER}",CH384,IF(CI384&lt;&gt;"","{}{}",""),CI384)</f>
        <v>{BLACK}Length: {GOLD}0.4 tiles{}{YELLOW}Preserved railway bonus: passengers pay more when hauled by old locomotives{}{SILVER}When narrow gauge began operating passenger services, carriages were simple, flat-sided vehicles build around wooden frames on a four-wheel chassis.</v>
      </c>
    </row>
    <row r="385" customFormat="false" ht="14.25" hidden="false" customHeight="false" outlineLevel="0" collapsed="false">
      <c r="A385" s="0" t="s">
        <v>1372</v>
      </c>
      <c r="B385" s="42" t="s">
        <v>1373</v>
      </c>
      <c r="C385" s="0" t="n">
        <v>2027</v>
      </c>
      <c r="E385" s="0" t="n">
        <v>3002</v>
      </c>
      <c r="F385" s="0" t="s">
        <v>143</v>
      </c>
      <c r="G385" s="0" t="s">
        <v>144</v>
      </c>
      <c r="H385" s="0" t="s">
        <v>144</v>
      </c>
      <c r="I385" s="0" t="s">
        <v>1325</v>
      </c>
      <c r="J385" s="0" t="n">
        <v>1900</v>
      </c>
      <c r="W385" s="0" t="n">
        <v>7</v>
      </c>
      <c r="Y385" s="0" t="n">
        <v>4</v>
      </c>
      <c r="AA385" s="3" t="str">
        <f aca="false">IF(AND(W385&gt;0,Z385&gt;0),(Z385/((W385+X385)*10)),"")</f>
        <v/>
      </c>
      <c r="AB385" s="0" t="n">
        <v>45</v>
      </c>
      <c r="AC385" s="0" t="n">
        <f aca="false">ROUND(AB385*1.6, 0)</f>
        <v>72</v>
      </c>
      <c r="AF385" s="0" t="n">
        <v>12</v>
      </c>
      <c r="AG385" s="0" t="n">
        <v>12</v>
      </c>
      <c r="AJ385" s="4" t="n">
        <v>36</v>
      </c>
      <c r="AK385" s="16" t="str">
        <f aca="false">CONCATENATE(VLOOKUP(AL385, '[2]Voxel Sizes'!$A$2:$B$18,2,FALSE()),"x",INT(AH385*15), "x", INT(AI385*15))</f>
        <v>120x0x0</v>
      </c>
      <c r="AL385" s="16" t="n">
        <f aca="false">ROUND(15*((AG385*10)/256),0)</f>
        <v>7</v>
      </c>
      <c r="AN385" s="16" t="str">
        <f aca="false">CONCATENATE(VLOOKUP(AL385,[2]Constants!$A$2:$C$16,IF(AM385&lt;&gt;"", 3, 2), FALSE()),IF(AM385&lt;&gt;"",CONCATENATE(",",VLOOKUP(AM385,$B:$AN,39,FALSE())),""))</f>
        <v>2,3,2</v>
      </c>
      <c r="AX385" s="0" t="n">
        <v>80</v>
      </c>
      <c r="AY385" s="16" t="str">
        <f aca="false">IF(L385&lt;&gt;"",MAX(16,(L385-J385)+8),"")</f>
        <v/>
      </c>
      <c r="AZ385" s="0" t="n">
        <v>10</v>
      </c>
      <c r="BA385" s="0" t="n">
        <v>20</v>
      </c>
      <c r="BB385" s="43" t="n">
        <f aca="false">MIN(AB385/150, 1)*30</f>
        <v>9</v>
      </c>
      <c r="BC385" s="43" t="n">
        <f aca="false">MIN(N385/4000, 1)*20</f>
        <v>0</v>
      </c>
      <c r="BD385" s="43" t="n">
        <f aca="false">MIN(Z385/400,1)*20</f>
        <v>0</v>
      </c>
      <c r="BE385" s="44" t="n">
        <f aca="false">1-(MAX(J385-1900, 0)/750)</f>
        <v>1</v>
      </c>
      <c r="BF385" s="43" t="n">
        <f aca="false">((MAX($M385,1)*MIN($AJ385/300,1)))*IF(G385="Wagon",50,10)</f>
        <v>6</v>
      </c>
      <c r="BG385" s="43" t="n">
        <f aca="false">VLOOKUP($H385,[2]Constants!$I$1:$K$1048576, 2, FALSE())</f>
        <v>1</v>
      </c>
      <c r="BH385" s="43" t="n">
        <f aca="false">VLOOKUP($H385,[2]Constants!$I$1:$K$1048576, 3, FALSE())*IF(AND(G385="multiple_unit",AB385&lt;110),0.75,1)</f>
        <v>0.45</v>
      </c>
      <c r="BI385" s="43" t="n">
        <f aca="false">INT(POWER((([2]Constants!$G$2+$BB385+$BC385+$BD385+$BF385)*$BE385)*$BH385, 1.05))+$BA385</f>
        <v>30</v>
      </c>
      <c r="BJ385" s="43" t="n">
        <f aca="false">INT(POWER(((([2]Constants!$G$1+$BB385+$BC385+$BD385+$BF385)*($BE385))*$BG385),IF($G385="wagon",1,1.2)))+$AZ385</f>
        <v>40</v>
      </c>
      <c r="BK385" s="45" t="n">
        <f aca="false">BI385*IF($G385="wagon",62.5,781.25)</f>
        <v>1875</v>
      </c>
      <c r="BL385" s="45" t="n">
        <f aca="false">BJ385*IF($G385="wagon",2.73,81.25)</f>
        <v>109.2</v>
      </c>
      <c r="BV385" s="0" t="n">
        <v>1</v>
      </c>
      <c r="BW385" s="0" t="n">
        <v>74</v>
      </c>
      <c r="BY385" s="0" t="s">
        <v>1187</v>
      </c>
      <c r="BZ385" s="0" t="s">
        <v>148</v>
      </c>
      <c r="CA385" s="46" t="str">
        <f aca="false">VLOOKUP(J385,[2]Eras!$A$2:$C$10, 2, TRUE())</f>
        <v>edw</v>
      </c>
      <c r="CB385" s="0" t="s">
        <v>266</v>
      </c>
      <c r="CC385" s="46" t="str">
        <f aca="false">CONCATENATE(CA385,"_",CB385)</f>
        <v>edw_Open Wagon</v>
      </c>
      <c r="CD385" s="46" t="str">
        <f aca="false">_xlfn.CONCAT(H385, "_",I385)</f>
        <v>wagon_NARROW_GAUGE</v>
      </c>
      <c r="CE385" s="6" t="str">
        <f aca="false" t="array" ref="CE385:CE385">IF(AN385&lt;&gt;"na", _xlfn.CONCAT("{BLACK}Length: {GOLD}", TEXT(ROUNDUP(IF(AQ385&lt;&gt;"",SUM(VALUE(_xlfn.TEXTSPLIT(AQ385, ","))), SUM(VALUE(_xlfn.TEXTSPLIT(AN385, ",")))*IF(M385, M385, 1))/16, 1),"#,##0.0"), " tiles{}"), "")</f>
        <v>{BLACK}Length: {GOLD}0.5 tiles{}</v>
      </c>
      <c r="CF385" s="46" t="str">
        <f aca="false">VLOOKUP($CD385, [2]Constants!$M$1:$N$1048576, 2, FALSE())</f>
        <v/>
      </c>
      <c r="CG385" s="46" t="str">
        <f aca="false">IF(AND(L385&gt;1,BN385&lt;&gt;1),_xlfn.CONCAT("{BLACK}Cars: {GOLD}", L385),"")</f>
        <v/>
      </c>
      <c r="CH385" s="0" t="s">
        <v>1374</v>
      </c>
      <c r="CI385" s="0" t="str">
        <f aca="false">IF($BU385="!param_no_gameplay_units","{GREEN}Included for gameplay purposes","")</f>
        <v/>
      </c>
      <c r="CJ385" s="0" t="str">
        <f aca="false">IF(BX385="buffet","{YELLOW}25% long distance bonus for consist{}",IF(BY385="DANDY","{YELLOW}Faster downhill speeds for horse-drawn trains (1 required per 2 horses){}",IF(BY385="BRAKE","{YELLOW}Speed bonus for slow wagons{}",IF(BY385="NGPassengers","{YELLOW}Preserved railway bonus: passengers pay more when hauled by old locomotives{}",IF(AND(BW385&gt;190,NOT(AND(I385="NARROW_GAUGE",BY385&lt;&gt;"PASS"))),CONCATENATE("{YELLOW}",INT((BW385-185)/1.85),"% bonus for long distance travel{}"),IF(AND(BW385&lt;180,BW385&lt;&gt;0),CONCATENATE("{YELLOW}",INT((185-BW385)/1.85),"% penalty for long distance travel{}"),""))))))</f>
        <v>{YELLOW}Preserved railway bonus: passengers pay more when hauled by old locomotives{}</v>
      </c>
      <c r="CK385" s="0" t="str">
        <f aca="false">_xlfn.CONCAT(CF385,IF(CF385&lt;&gt;""," ",""),CG385,IF(OR(CG385&lt;&gt;"",CF385&lt;&gt;""),"{}",""),CE385,CJ385,"{SILVER}",CH385,IF(CI385&lt;&gt;"","{}{}",""),CI385)</f>
        <v>{BLACK}Length: {GOLD}0.5 tiles{}{YELLOW}Preserved railway bonus: passengers pay more when hauled by old locomotives{}{SILVER}Later narrow gauge carriages increased in length where loading gauges allowed, using bogies to help negotiate tight curves.</v>
      </c>
    </row>
    <row r="386" customFormat="false" ht="14.25" hidden="false" customHeight="false" outlineLevel="0" collapsed="false">
      <c r="A386" s="0" t="s">
        <v>241</v>
      </c>
      <c r="B386" s="42" t="s">
        <v>1375</v>
      </c>
      <c r="C386" s="0" t="n">
        <v>2028</v>
      </c>
      <c r="E386" s="0" t="n">
        <v>3003</v>
      </c>
      <c r="F386" s="0" t="s">
        <v>143</v>
      </c>
      <c r="G386" s="0" t="s">
        <v>144</v>
      </c>
      <c r="H386" s="0" t="s">
        <v>144</v>
      </c>
      <c r="I386" s="0" t="s">
        <v>1325</v>
      </c>
      <c r="J386" s="0" t="n">
        <v>1863</v>
      </c>
      <c r="W386" s="0" t="n">
        <v>4</v>
      </c>
      <c r="Y386" s="0" t="n">
        <v>4</v>
      </c>
      <c r="AA386" s="3" t="str">
        <f aca="false">IF(AND(W386&gt;0,Z386&gt;0),(Z386/((W386+X386)*10)),"")</f>
        <v/>
      </c>
      <c r="AB386" s="0" t="n">
        <v>35</v>
      </c>
      <c r="AC386" s="0" t="n">
        <f aca="false">ROUND(AB386*1.6, 0)</f>
        <v>56</v>
      </c>
      <c r="AF386" s="0" t="n">
        <v>8</v>
      </c>
      <c r="AG386" s="0" t="n">
        <v>8</v>
      </c>
      <c r="AJ386" s="4" t="n">
        <v>24</v>
      </c>
      <c r="AK386" s="16" t="str">
        <f aca="false">CONCATENATE(VLOOKUP(AL386, '[2]Voxel Sizes'!$A$2:$B$18,2,FALSE()),"x",INT(AH386*15), "x", INT(AI386*15))</f>
        <v>82x0x0</v>
      </c>
      <c r="AL386" s="16" t="n">
        <f aca="false">ROUND(15*((AG386*10)/256),0)</f>
        <v>5</v>
      </c>
      <c r="AN386" s="16" t="str">
        <f aca="false">CONCATENATE(VLOOKUP(AL386,[2]Constants!$A$2:$C$16,IF(AM386&lt;&gt;"", 3, 2), FALSE()),IF(AM386&lt;&gt;"",CONCATENATE(",",VLOOKUP(AM386,$B:$AN,39,FALSE())),""))</f>
        <v>2,1,2</v>
      </c>
      <c r="AX386" s="0" t="n">
        <v>80</v>
      </c>
      <c r="AY386" s="16" t="str">
        <f aca="false">IF(L386&lt;&gt;"",MAX(16,(L386-J386)+8),"")</f>
        <v/>
      </c>
      <c r="AZ386" s="0" t="n">
        <v>5</v>
      </c>
      <c r="BA386" s="0" t="n">
        <v>10</v>
      </c>
      <c r="BB386" s="43" t="n">
        <f aca="false">MIN(AB386/150, 1)*30</f>
        <v>7</v>
      </c>
      <c r="BC386" s="43" t="n">
        <f aca="false">MIN(N386/4000, 1)*20</f>
        <v>0</v>
      </c>
      <c r="BD386" s="43" t="n">
        <f aca="false">MIN(Z386/400,1)*20</f>
        <v>0</v>
      </c>
      <c r="BE386" s="44" t="n">
        <f aca="false">1-(MAX(J386-1900, 0)/750)</f>
        <v>1</v>
      </c>
      <c r="BF386" s="43" t="n">
        <f aca="false">((MAX($M386,1)*MIN($AJ386/300,1)))*IF(G386="Wagon",50,10)</f>
        <v>4</v>
      </c>
      <c r="BG386" s="43" t="n">
        <f aca="false">VLOOKUP($H386,[2]Constants!$I$1:$K$1048576, 2, FALSE())</f>
        <v>1</v>
      </c>
      <c r="BH386" s="43" t="n">
        <f aca="false">VLOOKUP($H386,[2]Constants!$I$1:$K$1048576, 3, FALSE())*IF(AND(G386="multiple_unit",AB386&lt;110),0.75,1)</f>
        <v>0.45</v>
      </c>
      <c r="BI386" s="43" t="n">
        <f aca="false">INT(POWER((([2]Constants!$G$2+$BB386+$BC386+$BD386+$BF386)*$BE386)*$BH386, 1.05))+$BA386</f>
        <v>17</v>
      </c>
      <c r="BJ386" s="43" t="n">
        <f aca="false">INT(POWER(((([2]Constants!$G$1+$BB386+$BC386+$BD386+$BF386)*($BE386))*$BG386),IF($G386="wagon",1,1.2)))+$AZ386</f>
        <v>31</v>
      </c>
      <c r="BK386" s="45" t="n">
        <f aca="false">BI386*IF($G386="wagon",62.5,781.25)</f>
        <v>1062.5</v>
      </c>
      <c r="BL386" s="45" t="n">
        <f aca="false">BJ386*IF($G386="wagon",2.73,81.25)</f>
        <v>84.63</v>
      </c>
      <c r="BV386" s="0" t="n">
        <v>1</v>
      </c>
      <c r="BW386" s="0" t="n">
        <v>225</v>
      </c>
      <c r="BY386" s="0" t="s">
        <v>219</v>
      </c>
      <c r="BZ386" s="0" t="s">
        <v>220</v>
      </c>
      <c r="CA386" s="46" t="str">
        <f aca="false">VLOOKUP(J386,[2]Eras!$A$2:$C$10, 2, TRUE())</f>
        <v>vct</v>
      </c>
      <c r="CB386" s="0" t="s">
        <v>266</v>
      </c>
      <c r="CC386" s="46" t="str">
        <f aca="false">CONCATENATE(CA386,"_",CB386)</f>
        <v>vct_Open Wagon</v>
      </c>
      <c r="CD386" s="46" t="str">
        <f aca="false">_xlfn.CONCAT(H386, "_",I386)</f>
        <v>wagon_NARROW_GAUGE</v>
      </c>
      <c r="CE386" s="6" t="str">
        <f aca="false" t="array" ref="CE386:CE386">IF(AN386&lt;&gt;"na", _xlfn.CONCAT("{BLACK}Length: {GOLD}", TEXT(ROUNDUP(IF(AQ386&lt;&gt;"",SUM(VALUE(_xlfn.TEXTSPLIT(AQ386, ","))), SUM(VALUE(_xlfn.TEXTSPLIT(AN386, ",")))*IF(M386, M386, 1))/16, 1),"#,##0.0"), " tiles{}"), "")</f>
        <v>{BLACK}Length: {GOLD}0.4 tiles{}</v>
      </c>
      <c r="CF386" s="46" t="str">
        <f aca="false">VLOOKUP($CD386, [2]Constants!$M$1:$N$1048576, 2, FALSE())</f>
        <v/>
      </c>
      <c r="CG386" s="46" t="str">
        <f aca="false">IF(AND(L386&gt;1,BN386&lt;&gt;1),_xlfn.CONCAT("{BLACK}Cars: {GOLD}", L386),"")</f>
        <v/>
      </c>
      <c r="CH386" s="0" t="s">
        <v>1376</v>
      </c>
      <c r="CI386" s="0" t="str">
        <f aca="false">IF($BU386="!param_no_gameplay_units","{GREEN}Included for gameplay purposes","")</f>
        <v/>
      </c>
      <c r="CJ386" s="0" t="str">
        <f aca="false">IF(BX386="buffet","{YELLOW}25% long distance bonus for consist{}",IF(BY386="DANDY","{YELLOW}Faster downhill speeds for horse-drawn trains (1 required per 2 horses){}",IF(BY386="BRAKE","{YELLOW}Speed bonus for slow wagons{}",IF(BY386="NGPassengers","{YELLOW}Preserved railway bonus: passengers pay more when hauled by old locomotives{}",IF(AND(BW386&gt;190,NOT(AND(I386="NARROW_GAUGE",BY386&lt;&gt;"PASS"))),CONCATENATE("{YELLOW}",INT((BW386-185)/1.85),"% bonus for long distance travel{}"),IF(AND(BW386&lt;180,BW386&lt;&gt;0),CONCATENATE("{YELLOW}",INT((185-BW386)/1.85),"% penalty for long distance travel{}"),""))))))</f>
        <v/>
      </c>
      <c r="CK386" s="0" t="str">
        <f aca="false">_xlfn.CONCAT(CF386,IF(CF386&lt;&gt;""," ",""),CG386,IF(OR(CG386&lt;&gt;"",CF386&lt;&gt;""),"{}",""),CE386,CJ386,"{SILVER}",CH386,IF(CI386&lt;&gt;"","{}{}",""),CI386)</f>
        <v>{BLACK}Length: {GOLD}0.4 tiles{}{SILVER}Brake vans were rarer on narrow gauge railways, but passenger services would typically have a guard's wagon which could also carry parcels.</v>
      </c>
    </row>
    <row r="387" customFormat="false" ht="14.25" hidden="false" customHeight="false" outlineLevel="0" collapsed="false">
      <c r="A387" s="0" t="s">
        <v>1377</v>
      </c>
      <c r="B387" s="42" t="s">
        <v>1378</v>
      </c>
      <c r="C387" s="0" t="n">
        <v>2029</v>
      </c>
      <c r="E387" s="0" t="n">
        <v>3004</v>
      </c>
      <c r="F387" s="0" t="s">
        <v>143</v>
      </c>
      <c r="G387" s="0" t="s">
        <v>144</v>
      </c>
      <c r="H387" s="0" t="s">
        <v>144</v>
      </c>
      <c r="I387" s="0" t="s">
        <v>1325</v>
      </c>
      <c r="J387" s="0" t="n">
        <v>1900</v>
      </c>
      <c r="W387" s="0" t="n">
        <v>6</v>
      </c>
      <c r="Y387" s="0" t="n">
        <v>4</v>
      </c>
      <c r="AA387" s="3" t="str">
        <f aca="false">IF(AND(W387&gt;0,Z387&gt;0),(Z387/((W387+X387)*10)),"")</f>
        <v/>
      </c>
      <c r="AB387" s="0" t="n">
        <v>45</v>
      </c>
      <c r="AC387" s="0" t="n">
        <f aca="false">ROUND(AB387*1.6, 0)</f>
        <v>72</v>
      </c>
      <c r="AF387" s="0" t="n">
        <v>12</v>
      </c>
      <c r="AG387" s="0" t="n">
        <v>12</v>
      </c>
      <c r="AJ387" s="4" t="n">
        <v>42</v>
      </c>
      <c r="AK387" s="16" t="str">
        <f aca="false">CONCATENATE(VLOOKUP(AL387, '[2]Voxel Sizes'!$A$2:$B$18,2,FALSE()),"x",INT(AH387*15), "x", INT(AI387*15))</f>
        <v>120x0x0</v>
      </c>
      <c r="AL387" s="16" t="n">
        <f aca="false">ROUND(15*((AG387*10)/256),0)</f>
        <v>7</v>
      </c>
      <c r="AN387" s="16" t="str">
        <f aca="false">CONCATENATE(VLOOKUP(AL387,[2]Constants!$A$2:$C$16,IF(AM387&lt;&gt;"", 3, 2), FALSE()),IF(AM387&lt;&gt;"",CONCATENATE(",",VLOOKUP(AM387,$B:$AN,39,FALSE())),""))</f>
        <v>2,3,2</v>
      </c>
      <c r="AX387" s="0" t="n">
        <v>80</v>
      </c>
      <c r="AY387" s="16" t="str">
        <f aca="false">IF(L387&lt;&gt;"",MAX(16,(L387-J387)+8),"")</f>
        <v/>
      </c>
      <c r="AZ387" s="0" t="n">
        <v>10</v>
      </c>
      <c r="BA387" s="0" t="n">
        <v>20</v>
      </c>
      <c r="BB387" s="43" t="n">
        <f aca="false">MIN(AB387/150, 1)*30</f>
        <v>9</v>
      </c>
      <c r="BC387" s="43" t="n">
        <f aca="false">MIN(N387/4000, 1)*20</f>
        <v>0</v>
      </c>
      <c r="BD387" s="43" t="n">
        <f aca="false">MIN(Z387/400,1)*20</f>
        <v>0</v>
      </c>
      <c r="BE387" s="44" t="n">
        <f aca="false">1-(MAX(J387-1900, 0)/750)</f>
        <v>1</v>
      </c>
      <c r="BF387" s="43" t="n">
        <f aca="false">((MAX($M387,1)*MIN($AJ387/300,1)))*IF(G387="Wagon",50,10)</f>
        <v>7</v>
      </c>
      <c r="BG387" s="43" t="n">
        <f aca="false">VLOOKUP($H387,[2]Constants!$I$1:$K$1048576, 2, FALSE())</f>
        <v>1</v>
      </c>
      <c r="BH387" s="43" t="n">
        <f aca="false">VLOOKUP($H387,[2]Constants!$I$1:$K$1048576, 3, FALSE())*IF(AND(G387="multiple_unit",AB387&lt;110),0.75,1)</f>
        <v>0.45</v>
      </c>
      <c r="BI387" s="43" t="n">
        <f aca="false">INT(POWER((([2]Constants!$G$2+$BB387+$BC387+$BD387+$BF387)*$BE387)*$BH387, 1.05))+$BA387</f>
        <v>30</v>
      </c>
      <c r="BJ387" s="43" t="n">
        <f aca="false">INT(POWER(((([2]Constants!$G$1+$BB387+$BC387+$BD387+$BF387)*($BE387))*$BG387),IF($G387="wagon",1,1.2)))+$AZ387</f>
        <v>41</v>
      </c>
      <c r="BK387" s="45" t="n">
        <f aca="false">BI387*IF($G387="wagon",62.5,781.25)</f>
        <v>1875</v>
      </c>
      <c r="BL387" s="45" t="n">
        <f aca="false">BJ387*IF($G387="wagon",2.73,81.25)</f>
        <v>111.93</v>
      </c>
      <c r="BV387" s="0" t="n">
        <v>1</v>
      </c>
      <c r="BW387" s="0" t="n">
        <v>225</v>
      </c>
      <c r="BY387" s="0" t="s">
        <v>219</v>
      </c>
      <c r="BZ387" s="0" t="s">
        <v>220</v>
      </c>
      <c r="CA387" s="46" t="str">
        <f aca="false">VLOOKUP(J387,[2]Eras!$A$2:$C$10, 2, TRUE())</f>
        <v>edw</v>
      </c>
      <c r="CB387" s="0" t="s">
        <v>266</v>
      </c>
      <c r="CC387" s="46" t="str">
        <f aca="false">CONCATENATE(CA387,"_",CB387)</f>
        <v>edw_Open Wagon</v>
      </c>
      <c r="CD387" s="46" t="str">
        <f aca="false">_xlfn.CONCAT(H387, "_",I387)</f>
        <v>wagon_NARROW_GAUGE</v>
      </c>
      <c r="CE387" s="6" t="str">
        <f aca="false" t="array" ref="CE387:CE387">IF(AN387&lt;&gt;"na", _xlfn.CONCAT("{BLACK}Length: {GOLD}", TEXT(ROUNDUP(IF(AQ387&lt;&gt;"",SUM(VALUE(_xlfn.TEXTSPLIT(AQ387, ","))), SUM(VALUE(_xlfn.TEXTSPLIT(AN387, ",")))*IF(M387, M387, 1))/16, 1),"#,##0.0"), " tiles{}"), "")</f>
        <v>{BLACK}Length: {GOLD}0.5 tiles{}</v>
      </c>
      <c r="CF387" s="46" t="str">
        <f aca="false">VLOOKUP($CD387, [2]Constants!$M$1:$N$1048576, 2, FALSE())</f>
        <v/>
      </c>
      <c r="CG387" s="46" t="str">
        <f aca="false">IF(AND(L387&gt;1,BN387&lt;&gt;1),_xlfn.CONCAT("{BLACK}Cars: {GOLD}", L387),"")</f>
        <v/>
      </c>
      <c r="CH387" s="0" t="s">
        <v>1379</v>
      </c>
      <c r="CI387" s="0" t="str">
        <f aca="false">IF($BU387="!param_no_gameplay_units","{GREEN}Included for gameplay purposes","")</f>
        <v/>
      </c>
      <c r="CJ387" s="0" t="str">
        <f aca="false">IF(BX387="buffet","{YELLOW}25% long distance bonus for consist{}",IF(BY387="DANDY","{YELLOW}Faster downhill speeds for horse-drawn trains (1 required per 2 horses){}",IF(BY387="BRAKE","{YELLOW}Speed bonus for slow wagons{}",IF(BY387="NGPassengers","{YELLOW}Preserved railway bonus: passengers pay more when hauled by old locomotives{}",IF(AND(BW387&gt;190,NOT(AND(I387="NARROW_GAUGE",BY387&lt;&gt;"PASS"))),CONCATENATE("{YELLOW}",INT((BW387-185)/1.85),"% bonus for long distance travel{}"),IF(AND(BW387&lt;180,BW387&lt;&gt;0),CONCATENATE("{YELLOW}",INT((185-BW387)/1.85),"% penalty for long distance travel{}"),""))))))</f>
        <v/>
      </c>
      <c r="CK387" s="0" t="str">
        <f aca="false">_xlfn.CONCAT(CF387,IF(CF387&lt;&gt;""," ",""),CG387,IF(OR(CG387&lt;&gt;"",CF387&lt;&gt;""),"{}",""),CE387,CJ387,"{SILVER}",CH387,IF(CI387&lt;&gt;"","{}{}",""),CI387)</f>
        <v>{BLACK}Length: {GOLD}0.5 tiles{}{SILVER}Larger and heavier carriages also meant larger and heavier guard's vans.</v>
      </c>
    </row>
    <row r="388" customFormat="false" ht="14.25" hidden="false" customHeight="false" outlineLevel="0" collapsed="false">
      <c r="A388" s="0" t="s">
        <v>262</v>
      </c>
      <c r="B388" s="42" t="s">
        <v>1380</v>
      </c>
      <c r="C388" s="0" t="n">
        <v>2030</v>
      </c>
      <c r="E388" s="0" t="n">
        <v>3005</v>
      </c>
      <c r="F388" s="0" t="s">
        <v>143</v>
      </c>
      <c r="G388" s="0" t="s">
        <v>144</v>
      </c>
      <c r="H388" s="0" t="s">
        <v>144</v>
      </c>
      <c r="I388" s="0" t="s">
        <v>1325</v>
      </c>
      <c r="J388" s="0" t="n">
        <v>1800</v>
      </c>
      <c r="L388" s="0" t="n">
        <v>1900</v>
      </c>
      <c r="W388" s="0" t="n">
        <v>1</v>
      </c>
      <c r="Y388" s="0" t="n">
        <v>3</v>
      </c>
      <c r="AA388" s="3" t="str">
        <f aca="false">IF(AND(W388&gt;0,Z388&gt;0),(Z388/((W388+X388)*10)),"")</f>
        <v/>
      </c>
      <c r="AB388" s="0" t="n">
        <v>25</v>
      </c>
      <c r="AC388" s="0" t="n">
        <f aca="false">ROUND(AB388*1.6, 0)</f>
        <v>40</v>
      </c>
      <c r="AF388" s="0" t="n">
        <v>4.9</v>
      </c>
      <c r="AG388" s="0" t="n">
        <v>6</v>
      </c>
      <c r="AJ388" s="4" t="n">
        <v>9</v>
      </c>
      <c r="AK388" s="16" t="str">
        <f aca="false">CONCATENATE(VLOOKUP(AL388, '[2]Voxel Sizes'!$A$2:$B$18,2,FALSE()),"x",INT(AH388*15), "x", INT(AI388*15))</f>
        <v>66x0x0</v>
      </c>
      <c r="AL388" s="16" t="n">
        <f aca="false">ROUND(15*((AG388*10)/256),0)</f>
        <v>4</v>
      </c>
      <c r="AN388" s="16" t="str">
        <f aca="false">CONCATENATE(VLOOKUP(AL388,[2]Constants!$A$2:$C$16,IF(AM388&lt;&gt;"", 3, 2), FALSE()),IF(AM388&lt;&gt;"",CONCATENATE(",",VLOOKUP(AM388,$B:$AN,39,FALSE())),""))</f>
        <v>1,2,1</v>
      </c>
      <c r="AX388" s="0" t="n">
        <v>80</v>
      </c>
      <c r="AY388" s="16" t="n">
        <f aca="false">IF(L388&lt;&gt;"",MAX(16,(L388-J388)+8),"")</f>
        <v>108</v>
      </c>
      <c r="AZ388" s="0" t="n">
        <v>-15</v>
      </c>
      <c r="BA388" s="0" t="n">
        <v>-3</v>
      </c>
      <c r="BB388" s="43" t="n">
        <f aca="false">MIN(AB388/150, 1)*30</f>
        <v>5</v>
      </c>
      <c r="BC388" s="43" t="n">
        <f aca="false">MIN(N388/4000, 1)*20</f>
        <v>0</v>
      </c>
      <c r="BD388" s="43" t="n">
        <f aca="false">MIN(Z388/400,1)*20</f>
        <v>0</v>
      </c>
      <c r="BE388" s="44" t="n">
        <f aca="false">1-(MAX(J388-1900, 0)/750)</f>
        <v>1</v>
      </c>
      <c r="BF388" s="43" t="n">
        <f aca="false">((MAX($M388,1)*MIN($AJ388/300,1)))*IF(G388="Wagon",50,10)</f>
        <v>1.5</v>
      </c>
      <c r="BG388" s="43" t="n">
        <f aca="false">VLOOKUP($H388,[2]Constants!$I$1:$K$1048576, 2, FALSE())</f>
        <v>1</v>
      </c>
      <c r="BH388" s="43" t="n">
        <f aca="false">VLOOKUP($H388,[2]Constants!$I$1:$K$1048576, 3, FALSE())*IF(AND(G388="multiple_unit",AB388&lt;110),0.75,1)</f>
        <v>0.45</v>
      </c>
      <c r="BI388" s="43" t="n">
        <f aca="false">INT(POWER((([2]Constants!$G$2+$BB388+$BC388+$BD388+$BF388)*$BE388)*$BH388, 1.05))+$BA388</f>
        <v>2</v>
      </c>
      <c r="BJ388" s="43" t="n">
        <f aca="false">INT(POWER(((([2]Constants!$G$1+$BB388+$BC388+$BD388+$BF388)*($BE388))*$BG388),IF($G388="wagon",1,1.2)))+$AZ388</f>
        <v>6</v>
      </c>
      <c r="BK388" s="45" t="n">
        <f aca="false">BI388*IF($G388="wagon",62.5,781.25)</f>
        <v>125</v>
      </c>
      <c r="BL388" s="45" t="n">
        <f aca="false">BJ388*IF($G388="wagon",2.73,81.25)</f>
        <v>16.38</v>
      </c>
      <c r="BV388" s="0" t="n">
        <v>1</v>
      </c>
      <c r="BW388" s="0" t="n">
        <v>225</v>
      </c>
      <c r="BY388" s="0" t="s">
        <v>264</v>
      </c>
      <c r="BZ388" s="0" t="s">
        <v>265</v>
      </c>
      <c r="CA388" s="46" t="str">
        <f aca="false">VLOOKUP(J388,[2]Eras!$A$2:$C$10, 2, TRUE())</f>
        <v>early</v>
      </c>
      <c r="CB388" s="0" t="s">
        <v>266</v>
      </c>
      <c r="CC388" s="46" t="str">
        <f aca="false">CONCATENATE(CA388,"_",CB388)</f>
        <v>early_Open Wagon</v>
      </c>
      <c r="CD388" s="46" t="str">
        <f aca="false">_xlfn.CONCAT(H388, "_",I388)</f>
        <v>wagon_NARROW_GAUGE</v>
      </c>
      <c r="CE388" s="6" t="str">
        <f aca="false" t="array" ref="CE388:CE388">IF(AN388&lt;&gt;"na", _xlfn.CONCAT("{BLACK}Length: {GOLD}", TEXT(ROUNDUP(IF(AQ388&lt;&gt;"",SUM(VALUE(_xlfn.TEXTSPLIT(AQ388, ","))), SUM(VALUE(_xlfn.TEXTSPLIT(AN388, ",")))*IF(M388, M388, 1))/16, 1),"#,##0.0"), " tiles{}"), "")</f>
        <v>{BLACK}Length: {GOLD}0.3 tiles{}</v>
      </c>
      <c r="CF388" s="46" t="str">
        <f aca="false">VLOOKUP($CD388, [2]Constants!$M$1:$N$1048576, 2, FALSE())</f>
        <v/>
      </c>
      <c r="CG388" s="46" t="str">
        <f aca="false">IF(AND(L388&gt;1,BN388&lt;&gt;1),_xlfn.CONCAT("{BLACK}Cars: {GOLD}", L388),"")</f>
        <v>{BLACK}Cars: {GOLD}1900</v>
      </c>
      <c r="CH388" s="0" t="s">
        <v>1381</v>
      </c>
      <c r="CI388" s="0" t="str">
        <f aca="false">IF($BU388="!param_no_gameplay_units","{GREEN}Included for gameplay purposes","")</f>
        <v/>
      </c>
      <c r="CJ388" s="0" t="str">
        <f aca="false">IF(BX388="buffet","{YELLOW}25% long distance bonus for consist{}",IF(BY388="DANDY","{YELLOW}Faster downhill speeds for horse-drawn trains (1 required per 2 horses){}",IF(BY388="BRAKE","{YELLOW}Speed bonus for slow wagons{}",IF(BY388="NGPassengers","{YELLOW}Preserved railway bonus: passengers pay more when hauled by old locomotives{}",IF(AND(BW388&gt;190,NOT(AND(I388="NARROW_GAUGE",BY388&lt;&gt;"PASS"))),CONCATENATE("{YELLOW}",INT((BW388-185)/1.85),"% bonus for long distance travel{}"),IF(AND(BW388&lt;180,BW388&lt;&gt;0),CONCATENATE("{YELLOW}",INT((185-BW388)/1.85),"% penalty for long distance travel{}"),""))))))</f>
        <v/>
      </c>
      <c r="CK388" s="0" t="str">
        <f aca="false">_xlfn.CONCAT(CF388,IF(CF388&lt;&gt;""," ",""),CG388,IF(OR(CG388&lt;&gt;"",CF388&lt;&gt;""),"{}",""),CE388,CJ388,"{SILVER}",CH388,IF(CI388&lt;&gt;"","{}{}",""),CI388)</f>
        <v>{BLACK}Cars: {GOLD}1900{}{BLACK}Length: {GOLD}0.3 tiles{}{SILVER}An open wagon for carrying bulk cargo on narrow gauge railways.</v>
      </c>
    </row>
    <row r="389" customFormat="false" ht="14.25" hidden="false" customHeight="false" outlineLevel="0" collapsed="false">
      <c r="A389" s="0" t="s">
        <v>1382</v>
      </c>
      <c r="B389" s="42" t="s">
        <v>1383</v>
      </c>
      <c r="C389" s="0" t="n">
        <v>2031</v>
      </c>
      <c r="E389" s="0" t="n">
        <v>3006</v>
      </c>
      <c r="F389" s="0" t="s">
        <v>143</v>
      </c>
      <c r="G389" s="0" t="s">
        <v>144</v>
      </c>
      <c r="H389" s="0" t="s">
        <v>144</v>
      </c>
      <c r="I389" s="0" t="s">
        <v>1325</v>
      </c>
      <c r="J389" s="0" t="n">
        <v>1870</v>
      </c>
      <c r="W389" s="0" t="n">
        <v>1</v>
      </c>
      <c r="Y389" s="0" t="n">
        <v>4</v>
      </c>
      <c r="AA389" s="3" t="str">
        <f aca="false">IF(AND(W389&gt;0,Z389&gt;0),(Z389/((W389+X389)*10)),"")</f>
        <v/>
      </c>
      <c r="AB389" s="0" t="n">
        <v>30</v>
      </c>
      <c r="AC389" s="0" t="n">
        <f aca="false">ROUND(AB389*1.6, 0)</f>
        <v>48</v>
      </c>
      <c r="AF389" s="0" t="n">
        <v>8</v>
      </c>
      <c r="AG389" s="0" t="n">
        <v>8</v>
      </c>
      <c r="AJ389" s="4" t="n">
        <v>12</v>
      </c>
      <c r="AK389" s="16" t="str">
        <f aca="false">CONCATENATE(VLOOKUP(AL389, '[2]Voxel Sizes'!$A$2:$B$18,2,FALSE()),"x",INT(AH389*15), "x", INT(AI389*15))</f>
        <v>82x0x0</v>
      </c>
      <c r="AL389" s="16" t="n">
        <f aca="false">ROUND(15*((AG389*10)/256),0)</f>
        <v>5</v>
      </c>
      <c r="AN389" s="16" t="str">
        <f aca="false">CONCATENATE(VLOOKUP(AL389,[2]Constants!$A$2:$C$16,IF(AM389&lt;&gt;"", 3, 2), FALSE()),IF(AM389&lt;&gt;"",CONCATENATE(",",VLOOKUP(AM389,$B:$AN,39,FALSE())),""))</f>
        <v>2,1,2</v>
      </c>
      <c r="AX389" s="0" t="n">
        <v>80</v>
      </c>
      <c r="AY389" s="16" t="str">
        <f aca="false">IF(L389&lt;&gt;"",MAX(16,(L389-J389)+8),"")</f>
        <v/>
      </c>
      <c r="AZ389" s="0" t="n">
        <v>-15</v>
      </c>
      <c r="BA389" s="0" t="n">
        <v>-3</v>
      </c>
      <c r="BB389" s="43" t="n">
        <f aca="false">MIN(AB389/150, 1)*30</f>
        <v>6</v>
      </c>
      <c r="BC389" s="43" t="n">
        <f aca="false">MIN(N389/4000, 1)*20</f>
        <v>0</v>
      </c>
      <c r="BD389" s="43" t="n">
        <f aca="false">MIN(Z389/400,1)*20</f>
        <v>0</v>
      </c>
      <c r="BE389" s="44" t="n">
        <f aca="false">1-(MAX(J389-1900, 0)/750)</f>
        <v>1</v>
      </c>
      <c r="BF389" s="43" t="n">
        <f aca="false">((MAX($M389,1)*MIN($AJ389/300,1)))*IF(G389="Wagon",50,10)</f>
        <v>2</v>
      </c>
      <c r="BG389" s="43" t="n">
        <f aca="false">VLOOKUP($H389,[2]Constants!$I$1:$K$1048576, 2, FALSE())</f>
        <v>1</v>
      </c>
      <c r="BH389" s="43" t="n">
        <f aca="false">VLOOKUP($H389,[2]Constants!$I$1:$K$1048576, 3, FALSE())*IF(AND(G389="multiple_unit",AB389&lt;110),0.75,1)</f>
        <v>0.45</v>
      </c>
      <c r="BI389" s="43" t="n">
        <f aca="false">INT(POWER((([2]Constants!$G$2+$BB389+$BC389+$BD389+$BF389)*$BE389)*$BH389, 1.05))+$BA389</f>
        <v>3</v>
      </c>
      <c r="BJ389" s="43" t="n">
        <f aca="false">INT(POWER(((([2]Constants!$G$1+$BB389+$BC389+$BD389+$BF389)*($BE389))*$BG389),IF($G389="wagon",1,1.2)))+$AZ389</f>
        <v>8</v>
      </c>
      <c r="BK389" s="45" t="n">
        <f aca="false">BI389*IF($G389="wagon",62.5,781.25)</f>
        <v>187.5</v>
      </c>
      <c r="BL389" s="45" t="n">
        <f aca="false">BJ389*IF($G389="wagon",2.73,81.25)</f>
        <v>21.84</v>
      </c>
      <c r="BV389" s="0" t="n">
        <v>1</v>
      </c>
      <c r="BW389" s="0" t="n">
        <v>225</v>
      </c>
      <c r="BY389" s="0" t="s">
        <v>273</v>
      </c>
      <c r="BZ389" s="0" t="s">
        <v>265</v>
      </c>
      <c r="CA389" s="46" t="str">
        <f aca="false">VLOOKUP(J389,[2]Eras!$A$2:$C$10, 2, TRUE())</f>
        <v>vct</v>
      </c>
      <c r="CB389" s="0" t="s">
        <v>266</v>
      </c>
      <c r="CC389" s="46" t="str">
        <f aca="false">CONCATENATE(CA389,"_",CB389)</f>
        <v>vct_Open Wagon</v>
      </c>
      <c r="CD389" s="46" t="str">
        <f aca="false">_xlfn.CONCAT(H389, "_",I389)</f>
        <v>wagon_NARROW_GAUGE</v>
      </c>
      <c r="CE389" s="6" t="str">
        <f aca="false" t="array" ref="CE389:CE389">IF(AN389&lt;&gt;"na", _xlfn.CONCAT("{BLACK}Length: {GOLD}", TEXT(ROUNDUP(IF(AQ389&lt;&gt;"",SUM(VALUE(_xlfn.TEXTSPLIT(AQ389, ","))), SUM(VALUE(_xlfn.TEXTSPLIT(AN389, ",")))*IF(M389, M389, 1))/16, 1),"#,##0.0"), " tiles{}"), "")</f>
        <v>{BLACK}Length: {GOLD}0.4 tiles{}</v>
      </c>
      <c r="CF389" s="46" t="str">
        <f aca="false">VLOOKUP($CD389, [2]Constants!$M$1:$N$1048576, 2, FALSE())</f>
        <v/>
      </c>
      <c r="CG389" s="46" t="str">
        <f aca="false">IF(AND(L389&gt;1,BN389&lt;&gt;1),_xlfn.CONCAT("{BLACK}Cars: {GOLD}", L389),"")</f>
        <v/>
      </c>
      <c r="CH389" s="0" t="s">
        <v>1384</v>
      </c>
      <c r="CI389" s="0" t="str">
        <f aca="false">IF($BU389="!param_no_gameplay_units","{GREEN}Included for gameplay purposes","")</f>
        <v/>
      </c>
      <c r="CJ389" s="0" t="str">
        <f aca="false">IF(BX389="buffet","{YELLOW}25% long distance bonus for consist{}",IF(BY389="DANDY","{YELLOW}Faster downhill speeds for horse-drawn trains (1 required per 2 horses){}",IF(BY389="BRAKE","{YELLOW}Speed bonus for slow wagons{}",IF(BY389="NGPassengers","{YELLOW}Preserved railway bonus: passengers pay more when hauled by old locomotives{}",IF(AND(BW389&gt;190,NOT(AND(I389="NARROW_GAUGE",BY389&lt;&gt;"PASS"))),CONCATENATE("{YELLOW}",INT((BW389-185)/1.85),"% bonus for long distance travel{}"),IF(AND(BW389&lt;180,BW389&lt;&gt;0),CONCATENATE("{YELLOW}",INT((185-BW389)/1.85),"% penalty for long distance travel{}"),""))))))</f>
        <v/>
      </c>
      <c r="CK389" s="0" t="str">
        <f aca="false">_xlfn.CONCAT(CF389,IF(CF389&lt;&gt;""," ",""),CG389,IF(OR(CG389&lt;&gt;"",CF389&lt;&gt;""),"{}",""),CE389,CJ389,"{SILVER}",CH389,IF(CI389&lt;&gt;"","{}{}",""),CI389)</f>
        <v>{BLACK}Length: {GOLD}0.4 tiles{}{SILVER}Heavier mineral wagons allowed larger amounts of cargo to be carried.</v>
      </c>
    </row>
    <row r="390" customFormat="false" ht="14.25" hidden="false" customHeight="false" outlineLevel="0" collapsed="false">
      <c r="A390" s="0" t="s">
        <v>314</v>
      </c>
      <c r="B390" s="42" t="s">
        <v>1385</v>
      </c>
      <c r="C390" s="0" t="n">
        <v>2032</v>
      </c>
      <c r="E390" s="0" t="n">
        <v>3007</v>
      </c>
      <c r="F390" s="0" t="s">
        <v>143</v>
      </c>
      <c r="G390" s="0" t="s">
        <v>144</v>
      </c>
      <c r="H390" s="0" t="s">
        <v>144</v>
      </c>
      <c r="I390" s="0" t="s">
        <v>1325</v>
      </c>
      <c r="J390" s="0" t="n">
        <v>1800</v>
      </c>
      <c r="L390" s="0" t="n">
        <v>1900</v>
      </c>
      <c r="W390" s="0" t="n">
        <v>1</v>
      </c>
      <c r="Y390" s="0" t="n">
        <v>3</v>
      </c>
      <c r="AA390" s="3" t="str">
        <f aca="false">IF(AND(W390&gt;0,Z390&gt;0),(Z390/((W390+X390)*10)),"")</f>
        <v/>
      </c>
      <c r="AB390" s="0" t="n">
        <v>25</v>
      </c>
      <c r="AC390" s="0" t="n">
        <f aca="false">ROUND(AB390*1.6, 0)</f>
        <v>40</v>
      </c>
      <c r="AF390" s="0" t="n">
        <v>4.9</v>
      </c>
      <c r="AG390" s="0" t="n">
        <v>6</v>
      </c>
      <c r="AJ390" s="4" t="n">
        <v>10</v>
      </c>
      <c r="AK390" s="16" t="str">
        <f aca="false">CONCATENATE(VLOOKUP(AL390, '[2]Voxel Sizes'!$A$2:$B$18,2,FALSE()),"x",INT(AH390*15), "x", INT(AI390*15))</f>
        <v>66x0x0</v>
      </c>
      <c r="AL390" s="16" t="n">
        <f aca="false">ROUND(15*((AG390*10)/256),0)</f>
        <v>4</v>
      </c>
      <c r="AN390" s="16" t="str">
        <f aca="false">CONCATENATE(VLOOKUP(AL390,[2]Constants!$A$2:$C$16,IF(AM390&lt;&gt;"", 3, 2), FALSE()),IF(AM390&lt;&gt;"",CONCATENATE(",",VLOOKUP(AM390,$B:$AN,39,FALSE())),""))</f>
        <v>1,2,1</v>
      </c>
      <c r="AX390" s="0" t="n">
        <v>80</v>
      </c>
      <c r="AY390" s="16" t="n">
        <f aca="false">IF(L390&lt;&gt;"",MAX(16,(L390-J390)+8),"")</f>
        <v>108</v>
      </c>
      <c r="AZ390" s="0" t="n">
        <v>-15</v>
      </c>
      <c r="BA390" s="0" t="n">
        <v>-3</v>
      </c>
      <c r="BB390" s="43" t="n">
        <f aca="false">MIN(AB390/150, 1)*30</f>
        <v>5</v>
      </c>
      <c r="BC390" s="43" t="n">
        <f aca="false">MIN(N390/4000, 1)*20</f>
        <v>0</v>
      </c>
      <c r="BD390" s="43" t="n">
        <f aca="false">MIN(Z390/400,1)*20</f>
        <v>0</v>
      </c>
      <c r="BE390" s="44" t="n">
        <f aca="false">1-(MAX(J390-1900, 0)/750)</f>
        <v>1</v>
      </c>
      <c r="BF390" s="43" t="n">
        <f aca="false">((MAX($M390,1)*MIN($AJ390/300,1)))*IF(G390="Wagon",50,10)</f>
        <v>1.66666666666667</v>
      </c>
      <c r="BG390" s="43" t="n">
        <f aca="false">VLOOKUP($H390,[2]Constants!$I$1:$K$1048576, 2, FALSE())</f>
        <v>1</v>
      </c>
      <c r="BH390" s="43" t="n">
        <f aca="false">VLOOKUP($H390,[2]Constants!$I$1:$K$1048576, 3, FALSE())*IF(AND(G390="multiple_unit",AB390&lt;110),0.75,1)</f>
        <v>0.45</v>
      </c>
      <c r="BI390" s="43" t="n">
        <f aca="false">INT(POWER((([2]Constants!$G$2+$BB390+$BC390+$BD390+$BF390)*$BE390)*$BH390, 1.05))+$BA390</f>
        <v>2</v>
      </c>
      <c r="BJ390" s="43" t="n">
        <f aca="false">INT(POWER(((([2]Constants!$G$1+$BB390+$BC390+$BD390+$BF390)*($BE390))*$BG390),IF($G390="wagon",1,1.2)))+$AZ390</f>
        <v>6</v>
      </c>
      <c r="BK390" s="45" t="n">
        <f aca="false">BI390*IF($G390="wagon",62.5,781.25)</f>
        <v>125</v>
      </c>
      <c r="BL390" s="45" t="n">
        <f aca="false">BJ390*IF($G390="wagon",2.73,81.25)</f>
        <v>16.38</v>
      </c>
      <c r="BV390" s="0" t="n">
        <v>1</v>
      </c>
      <c r="BW390" s="0" t="n">
        <v>225</v>
      </c>
      <c r="BY390" s="0" t="s">
        <v>316</v>
      </c>
      <c r="BZ390" s="0" t="s">
        <v>317</v>
      </c>
      <c r="CA390" s="46" t="str">
        <f aca="false">VLOOKUP(J390,[2]Eras!$A$2:$C$10, 2, TRUE())</f>
        <v>early</v>
      </c>
      <c r="CB390" s="0" t="s">
        <v>266</v>
      </c>
      <c r="CC390" s="46" t="str">
        <f aca="false">CONCATENATE(CA390,"_",CB390)</f>
        <v>early_Open Wagon</v>
      </c>
      <c r="CD390" s="46" t="str">
        <f aca="false">_xlfn.CONCAT(H390, "_",I390)</f>
        <v>wagon_NARROW_GAUGE</v>
      </c>
      <c r="CE390" s="6" t="str">
        <f aca="false" t="array" ref="CE390:CE390">IF(AN390&lt;&gt;"na", _xlfn.CONCAT("{BLACK}Length: {GOLD}", TEXT(ROUNDUP(IF(AQ390&lt;&gt;"",SUM(VALUE(_xlfn.TEXTSPLIT(AQ390, ","))), SUM(VALUE(_xlfn.TEXTSPLIT(AN390, ",")))*IF(M390, M390, 1))/16, 1),"#,##0.0"), " tiles{}"), "")</f>
        <v>{BLACK}Length: {GOLD}0.3 tiles{}</v>
      </c>
      <c r="CF390" s="46" t="str">
        <f aca="false">VLOOKUP($CD390, [2]Constants!$M$1:$N$1048576, 2, FALSE())</f>
        <v/>
      </c>
      <c r="CG390" s="46" t="str">
        <f aca="false">IF(AND(L390&gt;1,BN390&lt;&gt;1),_xlfn.CONCAT("{BLACK}Cars: {GOLD}", L390),"")</f>
        <v>{BLACK}Cars: {GOLD}1900</v>
      </c>
      <c r="CH390" s="0" t="s">
        <v>1386</v>
      </c>
      <c r="CI390" s="0" t="str">
        <f aca="false">IF($BU390="!param_no_gameplay_units","{GREEN}Included for gameplay purposes","")</f>
        <v/>
      </c>
      <c r="CJ390" s="0" t="str">
        <f aca="false">IF(BX390="buffet","{YELLOW}25% long distance bonus for consist{}",IF(BY390="DANDY","{YELLOW}Faster downhill speeds for horse-drawn trains (1 required per 2 horses){}",IF(BY390="BRAKE","{YELLOW}Speed bonus for slow wagons{}",IF(BY390="NGPassengers","{YELLOW}Preserved railway bonus: passengers pay more when hauled by old locomotives{}",IF(AND(BW390&gt;190,NOT(AND(I390="NARROW_GAUGE",BY390&lt;&gt;"PASS"))),CONCATENATE("{YELLOW}",INT((BW390-185)/1.85),"% bonus for long distance travel{}"),IF(AND(BW390&lt;180,BW390&lt;&gt;0),CONCATENATE("{YELLOW}",INT((185-BW390)/1.85),"% penalty for long distance travel{}"),""))))))</f>
        <v/>
      </c>
      <c r="CK390" s="0" t="str">
        <f aca="false">_xlfn.CONCAT(CF390,IF(CF390&lt;&gt;""," ",""),CG390,IF(OR(CG390&lt;&gt;"",CF390&lt;&gt;""),"{}",""),CE390,CJ390,"{SILVER}",CH390,IF(CI390&lt;&gt;"","{}{}",""),CI390)</f>
        <v>{BLACK}Cars: {GOLD}1900{}{BLACK}Length: {GOLD}0.3 tiles{}{SILVER}While many narrow gauge railways were quarry lines carrying bulk goods or slate, flat wagons were used for transporting equipment.</v>
      </c>
    </row>
    <row r="391" customFormat="false" ht="14.25" hidden="false" customHeight="false" outlineLevel="0" collapsed="false">
      <c r="A391" s="0" t="s">
        <v>320</v>
      </c>
      <c r="B391" s="42" t="s">
        <v>1387</v>
      </c>
      <c r="C391" s="0" t="n">
        <v>2033</v>
      </c>
      <c r="E391" s="0" t="n">
        <v>3008</v>
      </c>
      <c r="F391" s="0" t="s">
        <v>143</v>
      </c>
      <c r="G391" s="0" t="s">
        <v>144</v>
      </c>
      <c r="H391" s="0" t="s">
        <v>144</v>
      </c>
      <c r="I391" s="0" t="s">
        <v>1325</v>
      </c>
      <c r="J391" s="0" t="n">
        <v>1870</v>
      </c>
      <c r="W391" s="0" t="n">
        <v>1</v>
      </c>
      <c r="Y391" s="0" t="n">
        <v>4</v>
      </c>
      <c r="AA391" s="3" t="str">
        <f aca="false">IF(AND(W391&gt;0,Z391&gt;0),(Z391/((W391+X391)*10)),"")</f>
        <v/>
      </c>
      <c r="AB391" s="0" t="n">
        <v>30</v>
      </c>
      <c r="AC391" s="0" t="n">
        <f aca="false">ROUND(AB391*1.6, 0)</f>
        <v>48</v>
      </c>
      <c r="AF391" s="0" t="n">
        <v>4.9</v>
      </c>
      <c r="AG391" s="0" t="n">
        <v>8</v>
      </c>
      <c r="AJ391" s="4" t="n">
        <v>12</v>
      </c>
      <c r="AK391" s="16" t="str">
        <f aca="false">CONCATENATE(VLOOKUP(AL391, '[2]Voxel Sizes'!$A$2:$B$18,2,FALSE()),"x",INT(AH391*15), "x", INT(AI391*15))</f>
        <v>82x0x0</v>
      </c>
      <c r="AL391" s="16" t="n">
        <f aca="false">ROUND(15*((AG391*10)/256),0)</f>
        <v>5</v>
      </c>
      <c r="AN391" s="16" t="str">
        <f aca="false">CONCATENATE(VLOOKUP(AL391,[2]Constants!$A$2:$C$16,IF(AM391&lt;&gt;"", 3, 2), FALSE()),IF(AM391&lt;&gt;"",CONCATENATE(",",VLOOKUP(AM391,$B:$AN,39,FALSE())),""))</f>
        <v>2,1,2</v>
      </c>
      <c r="AX391" s="0" t="n">
        <v>80</v>
      </c>
      <c r="AY391" s="16" t="str">
        <f aca="false">IF(L391&lt;&gt;"",MAX(16,(L391-J391)+8),"")</f>
        <v/>
      </c>
      <c r="AZ391" s="0" t="n">
        <v>-15</v>
      </c>
      <c r="BA391" s="0" t="n">
        <v>-3</v>
      </c>
      <c r="BB391" s="43" t="n">
        <f aca="false">MIN(AB391/150, 1)*30</f>
        <v>6</v>
      </c>
      <c r="BC391" s="43" t="n">
        <f aca="false">MIN(N391/4000, 1)*20</f>
        <v>0</v>
      </c>
      <c r="BD391" s="43" t="n">
        <f aca="false">MIN(Z391/400,1)*20</f>
        <v>0</v>
      </c>
      <c r="BE391" s="44" t="n">
        <f aca="false">1-(MAX(J391-1900, 0)/750)</f>
        <v>1</v>
      </c>
      <c r="BF391" s="43" t="n">
        <f aca="false">((MAX($M391,1)*MIN($AJ391/300,1)))*IF(G391="Wagon",50,10)</f>
        <v>2</v>
      </c>
      <c r="BG391" s="43" t="n">
        <f aca="false">VLOOKUP($H391,[2]Constants!$I$1:$K$1048576, 2, FALSE())</f>
        <v>1</v>
      </c>
      <c r="BH391" s="43" t="n">
        <f aca="false">VLOOKUP($H391,[2]Constants!$I$1:$K$1048576, 3, FALSE())*IF(AND(G391="multiple_unit",AB391&lt;110),0.75,1)</f>
        <v>0.45</v>
      </c>
      <c r="BI391" s="43" t="n">
        <f aca="false">INT(POWER((([2]Constants!$G$2+$BB391+$BC391+$BD391+$BF391)*$BE391)*$BH391, 1.05))+$BA391</f>
        <v>3</v>
      </c>
      <c r="BJ391" s="43" t="n">
        <f aca="false">INT(POWER(((([2]Constants!$G$1+$BB391+$BC391+$BD391+$BF391)*($BE391))*$BG391),IF($G391="wagon",1,1.2)))+$AZ391</f>
        <v>8</v>
      </c>
      <c r="BK391" s="45" t="n">
        <f aca="false">BI391*IF($G391="wagon",62.5,781.25)</f>
        <v>187.5</v>
      </c>
      <c r="BL391" s="45" t="n">
        <f aca="false">BJ391*IF($G391="wagon",2.73,81.25)</f>
        <v>21.84</v>
      </c>
      <c r="BV391" s="0" t="n">
        <v>1</v>
      </c>
      <c r="BW391" s="0" t="n">
        <v>225</v>
      </c>
      <c r="BY391" s="0" t="s">
        <v>316</v>
      </c>
      <c r="BZ391" s="0" t="s">
        <v>317</v>
      </c>
      <c r="CA391" s="46" t="str">
        <f aca="false">VLOOKUP(J391,[2]Eras!$A$2:$C$10, 2, TRUE())</f>
        <v>vct</v>
      </c>
      <c r="CB391" s="0" t="s">
        <v>266</v>
      </c>
      <c r="CC391" s="46" t="str">
        <f aca="false">CONCATENATE(CA391,"_",CB391)</f>
        <v>vct_Open Wagon</v>
      </c>
      <c r="CD391" s="46" t="str">
        <f aca="false">_xlfn.CONCAT(H391, "_",I391)</f>
        <v>wagon_NARROW_GAUGE</v>
      </c>
      <c r="CE391" s="6" t="str">
        <f aca="false" t="array" ref="CE391:CE391">IF(AN391&lt;&gt;"na", _xlfn.CONCAT("{BLACK}Length: {GOLD}", TEXT(ROUNDUP(IF(AQ391&lt;&gt;"",SUM(VALUE(_xlfn.TEXTSPLIT(AQ391, ","))), SUM(VALUE(_xlfn.TEXTSPLIT(AN391, ",")))*IF(M391, M391, 1))/16, 1),"#,##0.0"), " tiles{}"), "")</f>
        <v>{BLACK}Length: {GOLD}0.4 tiles{}</v>
      </c>
      <c r="CF391" s="46" t="str">
        <f aca="false">VLOOKUP($CD391, [2]Constants!$M$1:$N$1048576, 2, FALSE())</f>
        <v/>
      </c>
      <c r="CG391" s="46" t="str">
        <f aca="false">IF(AND(L391&gt;1,BN391&lt;&gt;1),_xlfn.CONCAT("{BLACK}Cars: {GOLD}", L391),"")</f>
        <v/>
      </c>
      <c r="CH391" s="0" t="s">
        <v>1388</v>
      </c>
      <c r="CI391" s="0" t="str">
        <f aca="false">IF($BU391="!param_no_gameplay_units","{GREEN}Included for gameplay purposes","")</f>
        <v/>
      </c>
      <c r="CJ391" s="0" t="str">
        <f aca="false">IF(BX391="buffet","{YELLOW}25% long distance bonus for consist{}",IF(BY391="DANDY","{YELLOW}Faster downhill speeds for horse-drawn trains (1 required per 2 horses){}",IF(BY391="BRAKE","{YELLOW}Speed bonus for slow wagons{}",IF(BY391="NGPassengers","{YELLOW}Preserved railway bonus: passengers pay more when hauled by old locomotives{}",IF(AND(BW391&gt;190,NOT(AND(I391="NARROW_GAUGE",BY391&lt;&gt;"PASS"))),CONCATENATE("{YELLOW}",INT((BW391-185)/1.85),"% bonus for long distance travel{}"),IF(AND(BW391&lt;180,BW391&lt;&gt;0),CONCATENATE("{YELLOW}",INT((185-BW391)/1.85),"% penalty for long distance travel{}"),""))))))</f>
        <v/>
      </c>
      <c r="CK391" s="0" t="str">
        <f aca="false">_xlfn.CONCAT(CF391,IF(CF391&lt;&gt;""," ",""),CG391,IF(OR(CG391&lt;&gt;"",CF391&lt;&gt;""),"{}",""),CE391,CJ391,"{SILVER}",CH391,IF(CI391&lt;&gt;"","{}{}",""),CI391)</f>
        <v>{BLACK}Length: {GOLD}0.4 tiles{}{SILVER}As per standard gauge practice, bolster wagons were used for carrying long, rigid cargo.</v>
      </c>
    </row>
    <row r="392" customFormat="false" ht="14.25" hidden="false" customHeight="false" outlineLevel="0" collapsed="false">
      <c r="A392" s="0" t="s">
        <v>1389</v>
      </c>
      <c r="B392" s="42" t="s">
        <v>1390</v>
      </c>
      <c r="C392" s="0" t="n">
        <v>2034</v>
      </c>
      <c r="E392" s="0" t="n">
        <v>3009</v>
      </c>
      <c r="F392" s="0" t="s">
        <v>143</v>
      </c>
      <c r="G392" s="0" t="s">
        <v>144</v>
      </c>
      <c r="H392" s="0" t="s">
        <v>144</v>
      </c>
      <c r="I392" s="0" t="s">
        <v>1325</v>
      </c>
      <c r="J392" s="0" t="n">
        <v>1890</v>
      </c>
      <c r="W392" s="0" t="n">
        <v>2</v>
      </c>
      <c r="Y392" s="0" t="n">
        <v>4</v>
      </c>
      <c r="AA392" s="3" t="str">
        <f aca="false">IF(AND(W392&gt;0,Z392&gt;0),(Z392/((W392+X392)*10)),"")</f>
        <v/>
      </c>
      <c r="AB392" s="0" t="n">
        <v>30</v>
      </c>
      <c r="AC392" s="0" t="n">
        <f aca="false">ROUND(AB392*1.6, 0)</f>
        <v>48</v>
      </c>
      <c r="AF392" s="0" t="n">
        <v>10</v>
      </c>
      <c r="AG392" s="0" t="n">
        <v>10</v>
      </c>
      <c r="AJ392" s="4" t="n">
        <v>18</v>
      </c>
      <c r="AK392" s="16" t="str">
        <f aca="false">CONCATENATE(VLOOKUP(AL392, '[2]Voxel Sizes'!$A$2:$B$18,2,FALSE()),"x",INT(AH392*15), "x", INT(AI392*15))</f>
        <v>102x0x0</v>
      </c>
      <c r="AL392" s="16" t="n">
        <f aca="false">ROUND(15*((AG392*10)/256),0)</f>
        <v>6</v>
      </c>
      <c r="AN392" s="16" t="str">
        <f aca="false">CONCATENATE(VLOOKUP(AL392,[2]Constants!$A$2:$C$16,IF(AM392&lt;&gt;"", 3, 2), FALSE()),IF(AM392&lt;&gt;"",CONCATENATE(",",VLOOKUP(AM392,$B:$AN,39,FALSE())),""))</f>
        <v>2,2,2</v>
      </c>
      <c r="AX392" s="0" t="n">
        <v>80</v>
      </c>
      <c r="AY392" s="16" t="str">
        <f aca="false">IF(L392&lt;&gt;"",MAX(16,(L392-J392)+8),"")</f>
        <v/>
      </c>
      <c r="AZ392" s="0" t="n">
        <v>-15</v>
      </c>
      <c r="BA392" s="0" t="n">
        <v>-2</v>
      </c>
      <c r="BB392" s="43" t="n">
        <f aca="false">MIN(AB392/150, 1)*30</f>
        <v>6</v>
      </c>
      <c r="BC392" s="43" t="n">
        <f aca="false">MIN(N392/4000, 1)*20</f>
        <v>0</v>
      </c>
      <c r="BD392" s="43" t="n">
        <f aca="false">MIN(Z392/400,1)*20</f>
        <v>0</v>
      </c>
      <c r="BE392" s="44" t="n">
        <f aca="false">1-(MAX(J392-1900, 0)/750)</f>
        <v>1</v>
      </c>
      <c r="BF392" s="43" t="n">
        <f aca="false">((MAX($M392,1)*MIN($AJ392/300,1)))*IF(G392="Wagon",50,10)</f>
        <v>3</v>
      </c>
      <c r="BG392" s="43" t="n">
        <f aca="false">VLOOKUP($H392,[2]Constants!$I$1:$K$1048576, 2, FALSE())</f>
        <v>1</v>
      </c>
      <c r="BH392" s="43" t="n">
        <f aca="false">VLOOKUP($H392,[2]Constants!$I$1:$K$1048576, 3, FALSE())*IF(AND(G392="multiple_unit",AB392&lt;110),0.75,1)</f>
        <v>0.45</v>
      </c>
      <c r="BI392" s="43" t="n">
        <f aca="false">INT(POWER((([2]Constants!$G$2+$BB392+$BC392+$BD392+$BF392)*$BE392)*$BH392, 1.05))+$BA392</f>
        <v>4</v>
      </c>
      <c r="BJ392" s="43" t="n">
        <f aca="false">INT(POWER(((([2]Constants!$G$1+$BB392+$BC392+$BD392+$BF392)*($BE392))*$BG392),IF($G392="wagon",1,1.2)))+$AZ392</f>
        <v>9</v>
      </c>
      <c r="BK392" s="45" t="n">
        <f aca="false">BI392*IF($G392="wagon",62.5,781.25)</f>
        <v>250</v>
      </c>
      <c r="BL392" s="45" t="n">
        <f aca="false">BJ392*IF($G392="wagon",2.73,81.25)</f>
        <v>24.57</v>
      </c>
      <c r="BV392" s="0" t="n">
        <v>1</v>
      </c>
      <c r="BW392" s="0" t="n">
        <v>225</v>
      </c>
      <c r="BY392" s="0" t="s">
        <v>316</v>
      </c>
      <c r="BZ392" s="0" t="s">
        <v>317</v>
      </c>
      <c r="CA392" s="46" t="str">
        <f aca="false">VLOOKUP(J392,[2]Eras!$A$2:$C$10, 2, TRUE())</f>
        <v>vct</v>
      </c>
      <c r="CB392" s="0" t="s">
        <v>266</v>
      </c>
      <c r="CC392" s="46" t="str">
        <f aca="false">CONCATENATE(CA392,"_",CB392)</f>
        <v>vct_Open Wagon</v>
      </c>
      <c r="CD392" s="46" t="str">
        <f aca="false">_xlfn.CONCAT(H392, "_",I392)</f>
        <v>wagon_NARROW_GAUGE</v>
      </c>
      <c r="CE392" s="6" t="str">
        <f aca="false" t="array" ref="CE392:CE392">IF(AN392&lt;&gt;"na", _xlfn.CONCAT("{BLACK}Length: {GOLD}", TEXT(ROUNDUP(IF(AQ392&lt;&gt;"",SUM(VALUE(_xlfn.TEXTSPLIT(AQ392, ","))), SUM(VALUE(_xlfn.TEXTSPLIT(AN392, ",")))*IF(M392, M392, 1))/16, 1),"#,##0.0"), " tiles{}"), "")</f>
        <v>{BLACK}Length: {GOLD}0.4 tiles{}</v>
      </c>
      <c r="CF392" s="46" t="str">
        <f aca="false">VLOOKUP($CD392, [2]Constants!$M$1:$N$1048576, 2, FALSE())</f>
        <v/>
      </c>
      <c r="CG392" s="46" t="str">
        <f aca="false">IF(AND(L392&gt;1,BN392&lt;&gt;1),_xlfn.CONCAT("{BLACK}Cars: {GOLD}", L392),"")</f>
        <v/>
      </c>
      <c r="CH392" s="0" t="s">
        <v>1391</v>
      </c>
      <c r="CI392" s="0" t="str">
        <f aca="false">IF($BU392="!param_no_gameplay_units","{GREEN}Included for gameplay purposes","")</f>
        <v/>
      </c>
      <c r="CJ392" s="0" t="str">
        <f aca="false">IF(BX392="buffet","{YELLOW}25% long distance bonus for consist{}",IF(BY392="DANDY","{YELLOW}Faster downhill speeds for horse-drawn trains (1 required per 2 horses){}",IF(BY392="BRAKE","{YELLOW}Speed bonus for slow wagons{}",IF(BY392="NGPassengers","{YELLOW}Preserved railway bonus: passengers pay more when hauled by old locomotives{}",IF(AND(BW392&gt;190,NOT(AND(I392="NARROW_GAUGE",BY392&lt;&gt;"PASS"))),CONCATENATE("{YELLOW}",INT((BW392-185)/1.85),"% bonus for long distance travel{}"),IF(AND(BW392&lt;180,BW392&lt;&gt;0),CONCATENATE("{YELLOW}",INT((185-BW392)/1.85),"% penalty for long distance travel{}"),""))))))</f>
        <v/>
      </c>
      <c r="CK392" s="0" t="str">
        <f aca="false">_xlfn.CONCAT(CF392,IF(CF392&lt;&gt;""," ",""),CG392,IF(OR(CG392&lt;&gt;"",CF392&lt;&gt;""),"{}",""),CE392,CJ392,"{SILVER}",CH392,IF(CI392&lt;&gt;"","{}{}",""),CI392)</f>
        <v>{BLACK}Length: {GOLD}0.4 tiles{}{SILVER}Narrow gauge railways tend to use smaller vehicles capable of traversing tight turns, but the occasional larger wagon can be found on straighter routes.</v>
      </c>
    </row>
    <row r="393" customFormat="false" ht="14.25" hidden="false" customHeight="false" outlineLevel="0" collapsed="false">
      <c r="A393" s="0" t="s">
        <v>1392</v>
      </c>
      <c r="B393" s="42" t="s">
        <v>1393</v>
      </c>
      <c r="C393" s="0" t="n">
        <v>2035</v>
      </c>
      <c r="E393" s="0" t="n">
        <v>3010</v>
      </c>
      <c r="F393" s="0" t="s">
        <v>143</v>
      </c>
      <c r="G393" s="0" t="s">
        <v>144</v>
      </c>
      <c r="H393" s="0" t="s">
        <v>144</v>
      </c>
      <c r="I393" s="0" t="s">
        <v>1325</v>
      </c>
      <c r="J393" s="0" t="n">
        <v>1870</v>
      </c>
      <c r="W393" s="0" t="n">
        <v>1</v>
      </c>
      <c r="Y393" s="0" t="n">
        <v>4</v>
      </c>
      <c r="AA393" s="3" t="str">
        <f aca="false">IF(AND(W393&gt;0,Z393&gt;0),(Z393/((W393+X393)*10)),"")</f>
        <v/>
      </c>
      <c r="AB393" s="0" t="n">
        <v>30</v>
      </c>
      <c r="AC393" s="0" t="n">
        <f aca="false">ROUND(AB393*1.6, 0)</f>
        <v>48</v>
      </c>
      <c r="AF393" s="0" t="n">
        <v>4.9</v>
      </c>
      <c r="AG393" s="0" t="n">
        <v>6</v>
      </c>
      <c r="AJ393" s="4" t="n">
        <v>12</v>
      </c>
      <c r="AK393" s="16" t="str">
        <f aca="false">CONCATENATE(VLOOKUP(AL393, '[2]Voxel Sizes'!$A$2:$B$18,2,FALSE()),"x",INT(AH393*15), "x", INT(AI393*15))</f>
        <v>66x0x0</v>
      </c>
      <c r="AL393" s="16" t="n">
        <f aca="false">ROUND(15*((AG393*10)/256),0)</f>
        <v>4</v>
      </c>
      <c r="AN393" s="16" t="str">
        <f aca="false">CONCATENATE(VLOOKUP(AL393,[2]Constants!$A$2:$C$16,IF(AM393&lt;&gt;"", 3, 2), FALSE()),IF(AM393&lt;&gt;"",CONCATENATE(",",VLOOKUP(AM393,$B:$AN,39,FALSE())),""))</f>
        <v>1,2,1</v>
      </c>
      <c r="AX393" s="0" t="n">
        <v>80</v>
      </c>
      <c r="AY393" s="16" t="str">
        <f aca="false">IF(L393&lt;&gt;"",MAX(16,(L393-J393)+8),"")</f>
        <v/>
      </c>
      <c r="AZ393" s="0" t="n">
        <v>-15</v>
      </c>
      <c r="BA393" s="0" t="n">
        <v>-3</v>
      </c>
      <c r="BB393" s="43" t="n">
        <f aca="false">MIN(AB393/150, 1)*30</f>
        <v>6</v>
      </c>
      <c r="BC393" s="43" t="n">
        <f aca="false">MIN(N393/4000, 1)*20</f>
        <v>0</v>
      </c>
      <c r="BD393" s="43" t="n">
        <f aca="false">MIN(Z393/400,1)*20</f>
        <v>0</v>
      </c>
      <c r="BE393" s="44" t="n">
        <f aca="false">1-(MAX(J393-1900, 0)/750)</f>
        <v>1</v>
      </c>
      <c r="BF393" s="43" t="n">
        <f aca="false">((MAX($M393,1)*MIN($AJ393/300,1)))*IF(G393="Wagon",50,10)</f>
        <v>2</v>
      </c>
      <c r="BG393" s="43" t="n">
        <f aca="false">VLOOKUP($H393,[2]Constants!$I$1:$K$1048576, 2, FALSE())</f>
        <v>1</v>
      </c>
      <c r="BH393" s="43" t="n">
        <f aca="false">VLOOKUP($H393,[2]Constants!$I$1:$K$1048576, 3, FALSE())*IF(AND(G393="multiple_unit",AB393&lt;110),0.75,1)</f>
        <v>0.45</v>
      </c>
      <c r="BI393" s="43" t="n">
        <f aca="false">INT(POWER((([2]Constants!$G$2+$BB393+$BC393+$BD393+$BF393)*$BE393)*$BH393, 1.05))+$BA393</f>
        <v>3</v>
      </c>
      <c r="BJ393" s="43" t="n">
        <f aca="false">INT(POWER(((([2]Constants!$G$1+$BB393+$BC393+$BD393+$BF393)*($BE393))*$BG393),IF($G393="wagon",1,1.2)))+$AZ393</f>
        <v>8</v>
      </c>
      <c r="BK393" s="45" t="n">
        <f aca="false">BI393*IF($G393="wagon",62.5,781.25)</f>
        <v>187.5</v>
      </c>
      <c r="BL393" s="45" t="n">
        <f aca="false">BJ393*IF($G393="wagon",2.73,81.25)</f>
        <v>21.84</v>
      </c>
      <c r="BV393" s="0" t="n">
        <v>1</v>
      </c>
      <c r="BW393" s="0" t="n">
        <v>225</v>
      </c>
      <c r="BY393" s="0" t="s">
        <v>357</v>
      </c>
      <c r="BZ393" s="0" t="s">
        <v>358</v>
      </c>
      <c r="CA393" s="46" t="str">
        <f aca="false">VLOOKUP(J393,[2]Eras!$A$2:$C$10, 2, TRUE())</f>
        <v>vct</v>
      </c>
      <c r="CB393" s="0" t="s">
        <v>266</v>
      </c>
      <c r="CC393" s="46" t="str">
        <f aca="false">CONCATENATE(CA393,"_",CB393)</f>
        <v>vct_Open Wagon</v>
      </c>
      <c r="CD393" s="46" t="str">
        <f aca="false">_xlfn.CONCAT(H393, "_",I393)</f>
        <v>wagon_NARROW_GAUGE</v>
      </c>
      <c r="CE393" s="6" t="str">
        <f aca="false" t="array" ref="CE393:CE393">IF(AN393&lt;&gt;"na", _xlfn.CONCAT("{BLACK}Length: {GOLD}", TEXT(ROUNDUP(IF(AQ393&lt;&gt;"",SUM(VALUE(_xlfn.TEXTSPLIT(AQ393, ","))), SUM(VALUE(_xlfn.TEXTSPLIT(AN393, ",")))*IF(M393, M393, 1))/16, 1),"#,##0.0"), " tiles{}"), "")</f>
        <v>{BLACK}Length: {GOLD}0.3 tiles{}</v>
      </c>
      <c r="CF393" s="46" t="str">
        <f aca="false">VLOOKUP($CD393, [2]Constants!$M$1:$N$1048576, 2, FALSE())</f>
        <v/>
      </c>
      <c r="CG393" s="46" t="str">
        <f aca="false">IF(AND(L393&gt;1,BN393&lt;&gt;1),_xlfn.CONCAT("{BLACK}Cars: {GOLD}", L393),"")</f>
        <v/>
      </c>
      <c r="CH393" s="0" t="s">
        <v>1394</v>
      </c>
      <c r="CI393" s="0" t="str">
        <f aca="false">IF($BU393="!param_no_gameplay_units","{GREEN}Included for gameplay purposes","")</f>
        <v/>
      </c>
      <c r="CJ393" s="0" t="str">
        <f aca="false">IF(BX393="buffet","{YELLOW}25% long distance bonus for consist{}",IF(BY393="DANDY","{YELLOW}Faster downhill speeds for horse-drawn trains (1 required per 2 horses){}",IF(BY393="BRAKE","{YELLOW}Speed bonus for slow wagons{}",IF(BY393="NGPassengers","{YELLOW}Preserved railway bonus: passengers pay more when hauled by old locomotives{}",IF(AND(BW393&gt;190,NOT(AND(I393="NARROW_GAUGE",BY393&lt;&gt;"PASS"))),CONCATENATE("{YELLOW}",INT((BW393-185)/1.85),"% bonus for long distance travel{}"),IF(AND(BW393&lt;180,BW393&lt;&gt;0),CONCATENATE("{YELLOW}",INT((185-BW393)/1.85),"% penalty for long distance travel{}"),""))))))</f>
        <v/>
      </c>
      <c r="CK393" s="0" t="str">
        <f aca="false">_xlfn.CONCAT(CF393,IF(CF393&lt;&gt;""," ",""),CG393,IF(OR(CG393&lt;&gt;"",CF393&lt;&gt;""),"{}",""),CE393,CJ393,"{SILVER}",CH393,IF(CI393&lt;&gt;"","{}{}",""),CI393)</f>
        <v>{BLACK}Length: {GOLD}0.3 tiles{}{SILVER}With specialised equipment at stations, tank wagons made liquid cargo easier to handle than loading drums into open wagons.</v>
      </c>
    </row>
    <row r="394" customFormat="false" ht="14.25" hidden="false" customHeight="false" outlineLevel="0" collapsed="false">
      <c r="A394" s="0" t="s">
        <v>372</v>
      </c>
      <c r="B394" s="42" t="s">
        <v>1395</v>
      </c>
      <c r="C394" s="0" t="n">
        <v>2036</v>
      </c>
      <c r="E394" s="0" t="n">
        <v>3011</v>
      </c>
      <c r="F394" s="0" t="s">
        <v>143</v>
      </c>
      <c r="G394" s="0" t="s">
        <v>144</v>
      </c>
      <c r="H394" s="0" t="s">
        <v>144</v>
      </c>
      <c r="I394" s="0" t="s">
        <v>1325</v>
      </c>
      <c r="J394" s="0" t="n">
        <v>1870</v>
      </c>
      <c r="W394" s="0" t="n">
        <v>1</v>
      </c>
      <c r="Y394" s="0" t="n">
        <v>4</v>
      </c>
      <c r="AA394" s="3" t="str">
        <f aca="false">IF(AND(W394&gt;0,Z394&gt;0),(Z394/((W394+X394)*10)),"")</f>
        <v/>
      </c>
      <c r="AB394" s="0" t="n">
        <v>30</v>
      </c>
      <c r="AC394" s="0" t="n">
        <f aca="false">ROUND(AB394*1.6, 0)</f>
        <v>48</v>
      </c>
      <c r="AF394" s="0" t="n">
        <v>4.9</v>
      </c>
      <c r="AG394" s="0" t="n">
        <v>6</v>
      </c>
      <c r="AJ394" s="4" t="n">
        <v>12</v>
      </c>
      <c r="AK394" s="16" t="str">
        <f aca="false">CONCATENATE(VLOOKUP(AL394, '[2]Voxel Sizes'!$A$2:$B$18,2,FALSE()),"x",INT(AH394*15), "x", INT(AI394*15))</f>
        <v>66x0x0</v>
      </c>
      <c r="AL394" s="16" t="n">
        <f aca="false">ROUND(15*((AG394*10)/256),0)</f>
        <v>4</v>
      </c>
      <c r="AN394" s="16" t="str">
        <f aca="false">CONCATENATE(VLOOKUP(AL394,[2]Constants!$A$2:$C$16,IF(AM394&lt;&gt;"", 3, 2), FALSE()),IF(AM394&lt;&gt;"",CONCATENATE(",",VLOOKUP(AM394,$B:$AN,39,FALSE())),""))</f>
        <v>1,2,1</v>
      </c>
      <c r="AX394" s="0" t="n">
        <v>80</v>
      </c>
      <c r="AY394" s="16" t="str">
        <f aca="false">IF(L394&lt;&gt;"",MAX(16,(L394-J394)+8),"")</f>
        <v/>
      </c>
      <c r="AZ394" s="0" t="n">
        <v>-15</v>
      </c>
      <c r="BA394" s="0" t="n">
        <v>-3</v>
      </c>
      <c r="BB394" s="43" t="n">
        <f aca="false">MIN(AB394/150, 1)*30</f>
        <v>6</v>
      </c>
      <c r="BC394" s="43" t="n">
        <f aca="false">MIN(N394/4000, 1)*20</f>
        <v>0</v>
      </c>
      <c r="BD394" s="43" t="n">
        <f aca="false">MIN(Z394/400,1)*20</f>
        <v>0</v>
      </c>
      <c r="BE394" s="44" t="n">
        <f aca="false">1-(MAX(J394-1900, 0)/750)</f>
        <v>1</v>
      </c>
      <c r="BF394" s="43" t="n">
        <f aca="false">((MAX($M394,1)*MIN($AJ394/300,1)))*IF(G394="Wagon",50,10)</f>
        <v>2</v>
      </c>
      <c r="BG394" s="43" t="n">
        <f aca="false">VLOOKUP($H394,[2]Constants!$I$1:$K$1048576, 2, FALSE())</f>
        <v>1</v>
      </c>
      <c r="BH394" s="43" t="n">
        <f aca="false">VLOOKUP($H394,[2]Constants!$I$1:$K$1048576, 3, FALSE())*IF(AND(G394="multiple_unit",AB394&lt;110),0.75,1)</f>
        <v>0.45</v>
      </c>
      <c r="BI394" s="43" t="n">
        <f aca="false">INT(POWER((([2]Constants!$G$2+$BB394+$BC394+$BD394+$BF394)*$BE394)*$BH394, 1.05))+$BA394</f>
        <v>3</v>
      </c>
      <c r="BJ394" s="43" t="n">
        <f aca="false">INT(POWER(((([2]Constants!$G$1+$BB394+$BC394+$BD394+$BF394)*($BE394))*$BG394),IF($G394="wagon",1,1.2)))+$AZ394</f>
        <v>8</v>
      </c>
      <c r="BK394" s="45" t="n">
        <f aca="false">BI394*IF($G394="wagon",62.5,781.25)</f>
        <v>187.5</v>
      </c>
      <c r="BL394" s="45" t="n">
        <f aca="false">BJ394*IF($G394="wagon",2.73,81.25)</f>
        <v>21.84</v>
      </c>
      <c r="BV394" s="0" t="n">
        <v>1</v>
      </c>
      <c r="BW394" s="0" t="n">
        <v>225</v>
      </c>
      <c r="BY394" s="0" t="s">
        <v>374</v>
      </c>
      <c r="BZ394" s="0" t="s">
        <v>375</v>
      </c>
      <c r="CA394" s="46" t="str">
        <f aca="false">VLOOKUP(J394,[2]Eras!$A$2:$C$10, 2, TRUE())</f>
        <v>vct</v>
      </c>
      <c r="CB394" s="0" t="s">
        <v>266</v>
      </c>
      <c r="CC394" s="46" t="str">
        <f aca="false">CONCATENATE(CA394,"_",CB394)</f>
        <v>vct_Open Wagon</v>
      </c>
      <c r="CD394" s="46" t="str">
        <f aca="false">_xlfn.CONCAT(H394, "_",I394)</f>
        <v>wagon_NARROW_GAUGE</v>
      </c>
      <c r="CE394" s="6" t="str">
        <f aca="false" t="array" ref="CE394:CE394">IF(AN394&lt;&gt;"na", _xlfn.CONCAT("{BLACK}Length: {GOLD}", TEXT(ROUNDUP(IF(AQ394&lt;&gt;"",SUM(VALUE(_xlfn.TEXTSPLIT(AQ394, ","))), SUM(VALUE(_xlfn.TEXTSPLIT(AN394, ",")))*IF(M394, M394, 1))/16, 1),"#,##0.0"), " tiles{}"), "")</f>
        <v>{BLACK}Length: {GOLD}0.3 tiles{}</v>
      </c>
      <c r="CF394" s="46" t="str">
        <f aca="false">VLOOKUP($CD394, [2]Constants!$M$1:$N$1048576, 2, FALSE())</f>
        <v/>
      </c>
      <c r="CG394" s="46" t="str">
        <f aca="false">IF(AND(L394&gt;1,BN394&lt;&gt;1),_xlfn.CONCAT("{BLACK}Cars: {GOLD}", L394),"")</f>
        <v/>
      </c>
      <c r="CH394" s="0" t="s">
        <v>1396</v>
      </c>
      <c r="CI394" s="0" t="str">
        <f aca="false">IF($BU394="!param_no_gameplay_units","{GREEN}Included for gameplay purposes","")</f>
        <v/>
      </c>
      <c r="CJ394" s="0" t="str">
        <f aca="false">IF(BX394="buffet","{YELLOW}25% long distance bonus for consist{}",IF(BY394="DANDY","{YELLOW}Faster downhill speeds for horse-drawn trains (1 required per 2 horses){}",IF(BY394="BRAKE","{YELLOW}Speed bonus for slow wagons{}",IF(BY394="NGPassengers","{YELLOW}Preserved railway bonus: passengers pay more when hauled by old locomotives{}",IF(AND(BW394&gt;190,NOT(AND(I394="NARROW_GAUGE",BY394&lt;&gt;"PASS"))),CONCATENATE("{YELLOW}",INT((BW394-185)/1.85),"% bonus for long distance travel{}"),IF(AND(BW394&lt;180,BW394&lt;&gt;0),CONCATENATE("{YELLOW}",INT((185-BW394)/1.85),"% penalty for long distance travel{}"),""))))))</f>
        <v/>
      </c>
      <c r="CK394" s="0" t="str">
        <f aca="false">_xlfn.CONCAT(CF394,IF(CF394&lt;&gt;""," ",""),CG394,IF(OR(CG394&lt;&gt;"",CF394&lt;&gt;""),"{}",""),CE394,CJ394,"{SILVER}",CH394,IF(CI394&lt;&gt;"","{}{}",""),CI394)</f>
        <v>{BLACK}Length: {GOLD}0.3 tiles{}{SILVER}A van for carrying livestock on narrow gauge railways.</v>
      </c>
    </row>
    <row r="395" customFormat="false" ht="14.25" hidden="false" customHeight="false" outlineLevel="0" collapsed="false">
      <c r="A395" s="0" t="s">
        <v>393</v>
      </c>
      <c r="B395" s="42" t="s">
        <v>1397</v>
      </c>
      <c r="C395" s="0" t="n">
        <v>2037</v>
      </c>
      <c r="E395" s="0" t="n">
        <v>3012</v>
      </c>
      <c r="F395" s="0" t="s">
        <v>143</v>
      </c>
      <c r="G395" s="0" t="s">
        <v>144</v>
      </c>
      <c r="H395" s="0" t="s">
        <v>144</v>
      </c>
      <c r="I395" s="0" t="s">
        <v>1325</v>
      </c>
      <c r="J395" s="0" t="n">
        <v>1800</v>
      </c>
      <c r="L395" s="0" t="n">
        <v>1900</v>
      </c>
      <c r="W395" s="0" t="n">
        <v>1</v>
      </c>
      <c r="Y395" s="0" t="n">
        <v>3</v>
      </c>
      <c r="AA395" s="3" t="str">
        <f aca="false">IF(AND(W395&gt;0,Z395&gt;0),(Z395/((W395+X395)*10)),"")</f>
        <v/>
      </c>
      <c r="AB395" s="0" t="n">
        <v>25</v>
      </c>
      <c r="AC395" s="0" t="n">
        <f aca="false">ROUND(AB395*1.6, 0)</f>
        <v>40</v>
      </c>
      <c r="AF395" s="0" t="n">
        <v>4.9</v>
      </c>
      <c r="AG395" s="0" t="n">
        <v>6</v>
      </c>
      <c r="AJ395" s="4" t="n">
        <v>12</v>
      </c>
      <c r="AK395" s="16" t="str">
        <f aca="false">CONCATENATE(VLOOKUP(AL395, '[2]Voxel Sizes'!$A$2:$B$18,2,FALSE()),"x",INT(AH395*15), "x", INT(AI395*15))</f>
        <v>66x0x0</v>
      </c>
      <c r="AL395" s="16" t="n">
        <f aca="false">ROUND(15*((AG395*10)/256),0)</f>
        <v>4</v>
      </c>
      <c r="AN395" s="16" t="str">
        <f aca="false">CONCATENATE(VLOOKUP(AL395,[2]Constants!$A$2:$C$16,IF(AM395&lt;&gt;"", 3, 2), FALSE()),IF(AM395&lt;&gt;"",CONCATENATE(",",VLOOKUP(AM395,$B:$AN,39,FALSE())),""))</f>
        <v>1,2,1</v>
      </c>
      <c r="AX395" s="0" t="n">
        <v>80</v>
      </c>
      <c r="AY395" s="16" t="n">
        <f aca="false">IF(L395&lt;&gt;"",MAX(16,(L395-J395)+8),"")</f>
        <v>108</v>
      </c>
      <c r="AZ395" s="0" t="n">
        <v>-15</v>
      </c>
      <c r="BA395" s="0" t="n">
        <v>-3</v>
      </c>
      <c r="BB395" s="43" t="n">
        <f aca="false">MIN(AB395/150, 1)*30</f>
        <v>5</v>
      </c>
      <c r="BC395" s="43" t="n">
        <f aca="false">MIN(N395/4000, 1)*20</f>
        <v>0</v>
      </c>
      <c r="BD395" s="43" t="n">
        <f aca="false">MIN(Z395/400,1)*20</f>
        <v>0</v>
      </c>
      <c r="BE395" s="44" t="n">
        <f aca="false">1-(MAX(J395-1900, 0)/750)</f>
        <v>1</v>
      </c>
      <c r="BF395" s="43" t="n">
        <f aca="false">((MAX($M395,1)*MIN($AJ395/300,1)))*IF(G395="Wagon",50,10)</f>
        <v>2</v>
      </c>
      <c r="BG395" s="43" t="n">
        <f aca="false">VLOOKUP($H395,[2]Constants!$I$1:$K$1048576, 2, FALSE())</f>
        <v>1</v>
      </c>
      <c r="BH395" s="43" t="n">
        <f aca="false">VLOOKUP($H395,[2]Constants!$I$1:$K$1048576, 3, FALSE())*IF(AND(G395="multiple_unit",AB395&lt;110),0.75,1)</f>
        <v>0.45</v>
      </c>
      <c r="BI395" s="43" t="n">
        <f aca="false">INT(POWER((([2]Constants!$G$2+$BB395+$BC395+$BD395+$BF395)*$BE395)*$BH395, 1.05))+$BA395</f>
        <v>2</v>
      </c>
      <c r="BJ395" s="43" t="n">
        <f aca="false">INT(POWER(((([2]Constants!$G$1+$BB395+$BC395+$BD395+$BF395)*($BE395))*$BG395),IF($G395="wagon",1,1.2)))+$AZ395</f>
        <v>7</v>
      </c>
      <c r="BK395" s="45" t="n">
        <f aca="false">BI395*IF($G395="wagon",62.5,781.25)</f>
        <v>125</v>
      </c>
      <c r="BL395" s="45" t="n">
        <f aca="false">BJ395*IF($G395="wagon",2.73,81.25)</f>
        <v>19.11</v>
      </c>
      <c r="BV395" s="0" t="n">
        <v>1</v>
      </c>
      <c r="BW395" s="0" t="n">
        <v>225</v>
      </c>
      <c r="BY395" s="0" t="s">
        <v>376</v>
      </c>
      <c r="BZ395" s="0" t="s">
        <v>302</v>
      </c>
      <c r="CA395" s="46" t="str">
        <f aca="false">VLOOKUP(J395,[2]Eras!$A$2:$C$10, 2, TRUE())</f>
        <v>early</v>
      </c>
      <c r="CB395" s="0" t="s">
        <v>266</v>
      </c>
      <c r="CC395" s="46" t="str">
        <f aca="false">CONCATENATE(CA395,"_",CB395)</f>
        <v>early_Open Wagon</v>
      </c>
      <c r="CD395" s="46" t="str">
        <f aca="false">_xlfn.CONCAT(H395, "_",I395)</f>
        <v>wagon_NARROW_GAUGE</v>
      </c>
      <c r="CE395" s="6" t="str">
        <f aca="false" t="array" ref="CE395:CE395">IF(AN395&lt;&gt;"na", _xlfn.CONCAT("{BLACK}Length: {GOLD}", TEXT(ROUNDUP(IF(AQ395&lt;&gt;"",SUM(VALUE(_xlfn.TEXTSPLIT(AQ395, ","))), SUM(VALUE(_xlfn.TEXTSPLIT(AN395, ",")))*IF(M395, M395, 1))/16, 1),"#,##0.0"), " tiles{}"), "")</f>
        <v>{BLACK}Length: {GOLD}0.3 tiles{}</v>
      </c>
      <c r="CF395" s="46" t="str">
        <f aca="false">VLOOKUP($CD395, [2]Constants!$M$1:$N$1048576, 2, FALSE())</f>
        <v/>
      </c>
      <c r="CG395" s="46" t="str">
        <f aca="false">IF(AND(L395&gt;1,BN395&lt;&gt;1),_xlfn.CONCAT("{BLACK}Cars: {GOLD}", L395),"")</f>
        <v>{BLACK}Cars: {GOLD}1900</v>
      </c>
      <c r="CH395" s="0" t="s">
        <v>1398</v>
      </c>
      <c r="CI395" s="0" t="str">
        <f aca="false">IF($BU395="!param_no_gameplay_units","{GREEN}Included for gameplay purposes","")</f>
        <v/>
      </c>
      <c r="CJ395" s="0" t="str">
        <f aca="false">IF(BX395="buffet","{YELLOW}25% long distance bonus for consist{}",IF(BY395="DANDY","{YELLOW}Faster downhill speeds for horse-drawn trains (1 required per 2 horses){}",IF(BY395="BRAKE","{YELLOW}Speed bonus for slow wagons{}",IF(BY395="NGPassengers","{YELLOW}Preserved railway bonus: passengers pay more when hauled by old locomotives{}",IF(AND(BW395&gt;190,NOT(AND(I395="NARROW_GAUGE",BY395&lt;&gt;"PASS"))),CONCATENATE("{YELLOW}",INT((BW395-185)/1.85),"% bonus for long distance travel{}"),IF(AND(BW395&lt;180,BW395&lt;&gt;0),CONCATENATE("{YELLOW}",INT((185-BW395)/1.85),"% penalty for long distance travel{}"),""))))))</f>
        <v/>
      </c>
      <c r="CK395" s="0" t="str">
        <f aca="false">_xlfn.CONCAT(CF395,IF(CF395&lt;&gt;""," ",""),CG395,IF(OR(CG395&lt;&gt;"",CF395&lt;&gt;""),"{}",""),CE395,CJ395,"{SILVER}",CH395,IF(CI395&lt;&gt;"","{}{}",""),CI395)</f>
        <v>{BLACK}Cars: {GOLD}1900{}{BLACK}Length: {GOLD}0.3 tiles{}{SILVER}Like their larger counterparts, narrow gauge railways built many vans for carrying piece goods.</v>
      </c>
    </row>
    <row r="396" customFormat="false" ht="14.25" hidden="false" customHeight="false" outlineLevel="0" collapsed="false">
      <c r="A396" s="0" t="s">
        <v>1399</v>
      </c>
      <c r="B396" s="42" t="s">
        <v>1400</v>
      </c>
      <c r="C396" s="0" t="n">
        <v>2038</v>
      </c>
      <c r="E396" s="0" t="n">
        <v>3013</v>
      </c>
      <c r="F396" s="0" t="s">
        <v>143</v>
      </c>
      <c r="G396" s="0" t="s">
        <v>144</v>
      </c>
      <c r="H396" s="0" t="s">
        <v>144</v>
      </c>
      <c r="I396" s="0" t="s">
        <v>1325</v>
      </c>
      <c r="J396" s="0" t="n">
        <v>1860</v>
      </c>
      <c r="W396" s="0" t="n">
        <v>3</v>
      </c>
      <c r="Y396" s="0" t="n">
        <v>4</v>
      </c>
      <c r="AA396" s="3" t="str">
        <f aca="false">IF(AND(W396&gt;0,Z396&gt;0),(Z396/((W396+X396)*10)),"")</f>
        <v/>
      </c>
      <c r="AB396" s="0" t="n">
        <v>35</v>
      </c>
      <c r="AC396" s="0" t="n">
        <f aca="false">ROUND(AB396*1.6, 0)</f>
        <v>56</v>
      </c>
      <c r="AF396" s="0" t="n">
        <v>4.9</v>
      </c>
      <c r="AG396" s="0" t="n">
        <v>6</v>
      </c>
      <c r="AJ396" s="4" t="n">
        <v>15</v>
      </c>
      <c r="AK396" s="16" t="str">
        <f aca="false">CONCATENATE(VLOOKUP(AL396, '[2]Voxel Sizes'!$A$2:$B$18,2,FALSE()),"x",INT(AH396*15), "x", INT(AI396*15))</f>
        <v>66x0x0</v>
      </c>
      <c r="AL396" s="16" t="n">
        <f aca="false">ROUND(15*((AG396*10)/256),0)</f>
        <v>4</v>
      </c>
      <c r="AN396" s="16" t="str">
        <f aca="false">CONCATENATE(VLOOKUP(AL396,[2]Constants!$A$2:$C$16,IF(AM396&lt;&gt;"", 3, 2), FALSE()),IF(AM396&lt;&gt;"",CONCATENATE(",",VLOOKUP(AM396,$B:$AN,39,FALSE())),""))</f>
        <v>1,2,1</v>
      </c>
      <c r="AX396" s="0" t="n">
        <v>80</v>
      </c>
      <c r="AY396" s="16" t="str">
        <f aca="false">IF(L396&lt;&gt;"",MAX(16,(L396-J396)+8),"")</f>
        <v/>
      </c>
      <c r="AZ396" s="0" t="n">
        <v>-14</v>
      </c>
      <c r="BA396" s="0" t="n">
        <v>-3</v>
      </c>
      <c r="BB396" s="43" t="n">
        <f aca="false">MIN(AB396/150, 1)*30</f>
        <v>7</v>
      </c>
      <c r="BC396" s="43" t="n">
        <f aca="false">MIN(N396/4000, 1)*20</f>
        <v>0</v>
      </c>
      <c r="BD396" s="43" t="n">
        <f aca="false">MIN(Z396/400,1)*20</f>
        <v>0</v>
      </c>
      <c r="BE396" s="44" t="n">
        <f aca="false">1-(MAX(J396-1900, 0)/750)</f>
        <v>1</v>
      </c>
      <c r="BF396" s="43" t="n">
        <f aca="false">((MAX($M396,1)*MIN($AJ396/300,1)))*IF(G396="Wagon",50,10)</f>
        <v>2.5</v>
      </c>
      <c r="BG396" s="43" t="n">
        <f aca="false">VLOOKUP($H396,[2]Constants!$I$1:$K$1048576, 2, FALSE())</f>
        <v>1</v>
      </c>
      <c r="BH396" s="43" t="n">
        <f aca="false">VLOOKUP($H396,[2]Constants!$I$1:$K$1048576, 3, FALSE())*IF(AND(G396="multiple_unit",AB396&lt;110),0.75,1)</f>
        <v>0.45</v>
      </c>
      <c r="BI396" s="43" t="n">
        <f aca="false">INT(POWER((([2]Constants!$G$2+$BB396+$BC396+$BD396+$BF396)*$BE396)*$BH396, 1.05))+$BA396</f>
        <v>4</v>
      </c>
      <c r="BJ396" s="43" t="n">
        <f aca="false">INT(POWER(((([2]Constants!$G$1+$BB396+$BC396+$BD396+$BF396)*($BE396))*$BG396),IF($G396="wagon",1,1.2)))+$AZ396</f>
        <v>10</v>
      </c>
      <c r="BK396" s="45" t="n">
        <f aca="false">BI396*IF($G396="wagon",62.5,781.25)</f>
        <v>250</v>
      </c>
      <c r="BL396" s="45" t="n">
        <f aca="false">BJ396*IF($G396="wagon",2.73,81.25)</f>
        <v>27.3</v>
      </c>
      <c r="BV396" s="0" t="n">
        <v>1</v>
      </c>
      <c r="BW396" s="0" t="n">
        <v>225</v>
      </c>
      <c r="BY396" s="0" t="s">
        <v>376</v>
      </c>
      <c r="BZ396" s="0" t="s">
        <v>1401</v>
      </c>
      <c r="CA396" s="46" t="str">
        <f aca="false">VLOOKUP(J396,[2]Eras!$A$2:$C$10, 2, TRUE())</f>
        <v>vct</v>
      </c>
      <c r="CB396" s="0" t="s">
        <v>266</v>
      </c>
      <c r="CC396" s="46" t="str">
        <f aca="false">CONCATENATE(CA396,"_",CB396)</f>
        <v>vct_Open Wagon</v>
      </c>
      <c r="CD396" s="46" t="str">
        <f aca="false">_xlfn.CONCAT(H396, "_",I396)</f>
        <v>wagon_NARROW_GAUGE</v>
      </c>
      <c r="CE396" s="6" t="str">
        <f aca="false" t="array" ref="CE396:CE396">IF(AN396&lt;&gt;"na", _xlfn.CONCAT("{BLACK}Length: {GOLD}", TEXT(ROUNDUP(IF(AQ396&lt;&gt;"",SUM(VALUE(_xlfn.TEXTSPLIT(AQ396, ","))), SUM(VALUE(_xlfn.TEXTSPLIT(AN396, ",")))*IF(M396, M396, 1))/16, 1),"#,##0.0"), " tiles{}"), "")</f>
        <v>{BLACK}Length: {GOLD}0.3 tiles{}</v>
      </c>
      <c r="CF396" s="46" t="str">
        <f aca="false">VLOOKUP($CD396, [2]Constants!$M$1:$N$1048576, 2, FALSE())</f>
        <v/>
      </c>
      <c r="CG396" s="46" t="str">
        <f aca="false">IF(AND(L396&gt;1,BN396&lt;&gt;1),_xlfn.CONCAT("{BLACK}Cars: {GOLD}", L396),"")</f>
        <v/>
      </c>
      <c r="CH396" s="0" t="s">
        <v>1402</v>
      </c>
      <c r="CI396" s="0" t="str">
        <f aca="false">IF($BU396="!param_no_gameplay_units","{GREEN}Included for gameplay purposes","")</f>
        <v/>
      </c>
      <c r="CJ396" s="0" t="str">
        <f aca="false">IF(BX396="buffet","{YELLOW}25% long distance bonus for consist{}",IF(BY396="DANDY","{YELLOW}Faster downhill speeds for horse-drawn trains (1 required per 2 horses){}",IF(BY396="BRAKE","{YELLOW}Speed bonus for slow wagons{}",IF(BY396="NGPassengers","{YELLOW}Preserved railway bonus: passengers pay more when hauled by old locomotives{}",IF(AND(BW396&gt;190,NOT(AND(I396="NARROW_GAUGE",BY396&lt;&gt;"PASS"))),CONCATENATE("{YELLOW}",INT((BW396-185)/1.85),"% bonus for long distance travel{}"),IF(AND(BW396&lt;180,BW396&lt;&gt;0),CONCATENATE("{YELLOW}",INT((185-BW396)/1.85),"% penalty for long distance travel{}"),""))))))</f>
        <v/>
      </c>
      <c r="CK396" s="0" t="str">
        <f aca="false">_xlfn.CONCAT(CF396,IF(CF396&lt;&gt;""," ",""),CG396,IF(OR(CG396&lt;&gt;"",CF396&lt;&gt;""),"{}",""),CE396,CJ396,"{SILVER}",CH396,IF(CI396&lt;&gt;"","{}{}",""),CI396)</f>
        <v>{BLACK}Length: {GOLD}0.3 tiles{}{SILVER}Gunpowder vans carried explosives to the quarries served by narrow gauge railways. This example has solid iron construction.</v>
      </c>
    </row>
    <row r="397" customFormat="false" ht="14.25" hidden="false" customHeight="false" outlineLevel="0" collapsed="false">
      <c r="A397" s="0" t="s">
        <v>396</v>
      </c>
      <c r="B397" s="42" t="s">
        <v>1403</v>
      </c>
      <c r="C397" s="0" t="n">
        <v>2039</v>
      </c>
      <c r="E397" s="0" t="n">
        <v>3014</v>
      </c>
      <c r="F397" s="0" t="s">
        <v>143</v>
      </c>
      <c r="G397" s="0" t="s">
        <v>144</v>
      </c>
      <c r="H397" s="0" t="s">
        <v>144</v>
      </c>
      <c r="I397" s="0" t="s">
        <v>1325</v>
      </c>
      <c r="J397" s="0" t="n">
        <v>1870</v>
      </c>
      <c r="W397" s="0" t="n">
        <v>2</v>
      </c>
      <c r="Y397" s="0" t="n">
        <v>4</v>
      </c>
      <c r="AA397" s="3" t="str">
        <f aca="false">IF(AND(W397&gt;0,Z397&gt;0),(Z397/((W397+X397)*10)),"")</f>
        <v/>
      </c>
      <c r="AB397" s="0" t="n">
        <v>35</v>
      </c>
      <c r="AC397" s="0" t="n">
        <f aca="false">ROUND(AB397*1.6, 0)</f>
        <v>56</v>
      </c>
      <c r="AF397" s="0" t="n">
        <v>4.9</v>
      </c>
      <c r="AG397" s="0" t="n">
        <v>6</v>
      </c>
      <c r="AJ397" s="4" t="n">
        <v>15</v>
      </c>
      <c r="AK397" s="16" t="str">
        <f aca="false">CONCATENATE(VLOOKUP(AL397, '[2]Voxel Sizes'!$A$2:$B$18,2,FALSE()),"x",INT(AH397*15), "x", INT(AI397*15))</f>
        <v>66x0x0</v>
      </c>
      <c r="AL397" s="16" t="n">
        <f aca="false">ROUND(15*((AG397*10)/256),0)</f>
        <v>4</v>
      </c>
      <c r="AN397" s="16" t="str">
        <f aca="false">CONCATENATE(VLOOKUP(AL397,[2]Constants!$A$2:$C$16,IF(AM397&lt;&gt;"", 3, 2), FALSE()),IF(AM397&lt;&gt;"",CONCATENATE(",",VLOOKUP(AM397,$B:$AN,39,FALSE())),""))</f>
        <v>1,2,1</v>
      </c>
      <c r="AX397" s="0" t="n">
        <v>80</v>
      </c>
      <c r="AY397" s="16" t="str">
        <f aca="false">IF(L397&lt;&gt;"",MAX(16,(L397-J397)+8),"")</f>
        <v/>
      </c>
      <c r="AZ397" s="0" t="n">
        <v>-15</v>
      </c>
      <c r="BA397" s="0" t="n">
        <v>-3</v>
      </c>
      <c r="BB397" s="43" t="n">
        <f aca="false">MIN(AB397/150, 1)*30</f>
        <v>7</v>
      </c>
      <c r="BC397" s="43" t="n">
        <f aca="false">MIN(N397/4000, 1)*20</f>
        <v>0</v>
      </c>
      <c r="BD397" s="43" t="n">
        <f aca="false">MIN(Z397/400,1)*20</f>
        <v>0</v>
      </c>
      <c r="BE397" s="44" t="n">
        <f aca="false">1-(MAX(J397-1900, 0)/750)</f>
        <v>1</v>
      </c>
      <c r="BF397" s="43" t="n">
        <f aca="false">((MAX($M397,1)*MIN($AJ397/300,1)))*IF(G397="Wagon",50,10)</f>
        <v>2.5</v>
      </c>
      <c r="BG397" s="43" t="n">
        <f aca="false">VLOOKUP($H397,[2]Constants!$I$1:$K$1048576, 2, FALSE())</f>
        <v>1</v>
      </c>
      <c r="BH397" s="43" t="n">
        <f aca="false">VLOOKUP($H397,[2]Constants!$I$1:$K$1048576, 3, FALSE())*IF(AND(G397="multiple_unit",AB397&lt;110),0.75,1)</f>
        <v>0.45</v>
      </c>
      <c r="BI397" s="43" t="n">
        <f aca="false">INT(POWER((([2]Constants!$G$2+$BB397+$BC397+$BD397+$BF397)*$BE397)*$BH397, 1.05))+$BA397</f>
        <v>4</v>
      </c>
      <c r="BJ397" s="43" t="n">
        <f aca="false">INT(POWER(((([2]Constants!$G$1+$BB397+$BC397+$BD397+$BF397)*($BE397))*$BG397),IF($G397="wagon",1,1.2)))+$AZ397</f>
        <v>9</v>
      </c>
      <c r="BK397" s="45" t="n">
        <f aca="false">BI397*IF($G397="wagon",62.5,781.25)</f>
        <v>250</v>
      </c>
      <c r="BL397" s="45" t="n">
        <f aca="false">BJ397*IF($G397="wagon",2.73,81.25)</f>
        <v>24.57</v>
      </c>
      <c r="BV397" s="0" t="n">
        <v>1</v>
      </c>
      <c r="BW397" s="0" t="n">
        <v>225</v>
      </c>
      <c r="BY397" s="0" t="s">
        <v>376</v>
      </c>
      <c r="BZ397" s="0" t="s">
        <v>302</v>
      </c>
      <c r="CA397" s="46" t="str">
        <f aca="false">VLOOKUP(J397,[2]Eras!$A$2:$C$10, 2, TRUE())</f>
        <v>vct</v>
      </c>
      <c r="CB397" s="0" t="s">
        <v>266</v>
      </c>
      <c r="CC397" s="46" t="str">
        <f aca="false">CONCATENATE(CA397,"_",CB397)</f>
        <v>vct_Open Wagon</v>
      </c>
      <c r="CD397" s="46" t="str">
        <f aca="false">_xlfn.CONCAT(H397, "_",I397)</f>
        <v>wagon_NARROW_GAUGE</v>
      </c>
      <c r="CE397" s="6" t="str">
        <f aca="false" t="array" ref="CE397:CE397">IF(AN397&lt;&gt;"na", _xlfn.CONCAT("{BLACK}Length: {GOLD}", TEXT(ROUNDUP(IF(AQ397&lt;&gt;"",SUM(VALUE(_xlfn.TEXTSPLIT(AQ397, ","))), SUM(VALUE(_xlfn.TEXTSPLIT(AN397, ",")))*IF(M397, M397, 1))/16, 1),"#,##0.0"), " tiles{}"), "")</f>
        <v>{BLACK}Length: {GOLD}0.3 tiles{}</v>
      </c>
      <c r="CF397" s="46" t="str">
        <f aca="false">VLOOKUP($CD397, [2]Constants!$M$1:$N$1048576, 2, FALSE())</f>
        <v/>
      </c>
      <c r="CG397" s="46" t="str">
        <f aca="false">IF(AND(L397&gt;1,BN397&lt;&gt;1),_xlfn.CONCAT("{BLACK}Cars: {GOLD}", L397),"")</f>
        <v/>
      </c>
      <c r="CH397" s="0" t="s">
        <v>1404</v>
      </c>
      <c r="CI397" s="0" t="str">
        <f aca="false">IF($BU397="!param_no_gameplay_units","{GREEN}Included for gameplay purposes","")</f>
        <v/>
      </c>
      <c r="CJ397" s="0" t="str">
        <f aca="false">IF(BX397="buffet","{YELLOW}25% long distance bonus for consist{}",IF(BY397="DANDY","{YELLOW}Faster downhill speeds for horse-drawn trains (1 required per 2 horses){}",IF(BY397="BRAKE","{YELLOW}Speed bonus for slow wagons{}",IF(BY397="NGPassengers","{YELLOW}Preserved railway bonus: passengers pay more when hauled by old locomotives{}",IF(AND(BW397&gt;190,NOT(AND(I397="NARROW_GAUGE",BY397&lt;&gt;"PASS"))),CONCATENATE("{YELLOW}",INT((BW397-185)/1.85),"% bonus for long distance travel{}"),IF(AND(BW397&lt;180,BW397&lt;&gt;0),CONCATENATE("{YELLOW}",INT((185-BW397)/1.85),"% penalty for long distance travel{}"),""))))))</f>
        <v/>
      </c>
      <c r="CK397" s="0" t="str">
        <f aca="false">_xlfn.CONCAT(CF397,IF(CF397&lt;&gt;""," ",""),CG397,IF(OR(CG397&lt;&gt;"",CF397&lt;&gt;""),"{}",""),CE397,CJ397,"{SILVER}",CH397,IF(CI397&lt;&gt;"","{}{}",""),CI397)</f>
        <v>{BLACK}Length: {GOLD}0.3 tiles{}{SILVER}Later vans used iron frames to increase their strength and enable running at faster speeds.</v>
      </c>
    </row>
    <row r="398" customFormat="false" ht="14.25" hidden="false" customHeight="false" outlineLevel="0" collapsed="false">
      <c r="A398" s="0" t="s">
        <v>1405</v>
      </c>
      <c r="B398" s="42" t="s">
        <v>1406</v>
      </c>
      <c r="C398" s="0" t="n">
        <v>2040</v>
      </c>
      <c r="E398" s="0" t="n">
        <v>3015</v>
      </c>
      <c r="F398" s="0" t="s">
        <v>143</v>
      </c>
      <c r="G398" s="0" t="s">
        <v>144</v>
      </c>
      <c r="H398" s="0" t="s">
        <v>144</v>
      </c>
      <c r="I398" s="0" t="s">
        <v>1325</v>
      </c>
      <c r="J398" s="0" t="n">
        <v>1800</v>
      </c>
      <c r="L398" s="0" t="n">
        <v>1880</v>
      </c>
      <c r="W398" s="0" t="n">
        <v>1</v>
      </c>
      <c r="Y398" s="0" t="n">
        <v>3</v>
      </c>
      <c r="AA398" s="3" t="str">
        <f aca="false">IF(AND(W398&gt;0,Z398&gt;0),(Z398/((W398+X398)*10)),"")</f>
        <v/>
      </c>
      <c r="AB398" s="0" t="n">
        <v>45</v>
      </c>
      <c r="AC398" s="0" t="n">
        <f aca="false">ROUND(AB398*1.6, 0)</f>
        <v>72</v>
      </c>
      <c r="AF398" s="0" t="n">
        <v>4.9</v>
      </c>
      <c r="AG398" s="0" t="n">
        <v>6</v>
      </c>
      <c r="AJ398" s="4" t="n">
        <v>0</v>
      </c>
      <c r="AK398" s="16" t="str">
        <f aca="false">CONCATENATE(VLOOKUP(AL398, '[2]Voxel Sizes'!$A$2:$B$18,2,FALSE()),"x",INT(AH398*15), "x", INT(AI398*15))</f>
        <v>66x0x0</v>
      </c>
      <c r="AL398" s="16" t="n">
        <f aca="false">ROUND(15*((AG398*10)/256),0)</f>
        <v>4</v>
      </c>
      <c r="AN398" s="16" t="str">
        <f aca="false">CONCATENATE(VLOOKUP(AL398,[2]Constants!$A$2:$C$16,IF(AM398&lt;&gt;"", 3, 2), FALSE()),IF(AM398&lt;&gt;"",CONCATENATE(",",VLOOKUP(AM398,$B:$AN,39,FALSE())),""))</f>
        <v>1,2,1</v>
      </c>
      <c r="AX398" s="0" t="n">
        <v>80</v>
      </c>
      <c r="AY398" s="16" t="n">
        <f aca="false">IF(L398&lt;&gt;"",MAX(16,(L398-J398)+8),"")</f>
        <v>88</v>
      </c>
      <c r="AZ398" s="0" t="n">
        <v>-5</v>
      </c>
      <c r="BA398" s="0" t="n">
        <v>-2</v>
      </c>
      <c r="BB398" s="43" t="n">
        <f aca="false">MIN(AB398/150, 1)*30</f>
        <v>9</v>
      </c>
      <c r="BC398" s="43" t="n">
        <f aca="false">MIN(N398/4000, 1)*20</f>
        <v>0</v>
      </c>
      <c r="BD398" s="43" t="n">
        <f aca="false">MIN(Z398/400,1)*20</f>
        <v>0</v>
      </c>
      <c r="BE398" s="44" t="n">
        <f aca="false">1-(MAX(J398-1900, 0)/750)</f>
        <v>1</v>
      </c>
      <c r="BF398" s="43" t="n">
        <f aca="false">((MAX($M398,1)*MIN($AJ398/300,1)))*IF(G398="Wagon",50,10)</f>
        <v>0</v>
      </c>
      <c r="BG398" s="43" t="n">
        <f aca="false">VLOOKUP($H398,[2]Constants!$I$1:$K$1048576, 2, FALSE())</f>
        <v>1</v>
      </c>
      <c r="BH398" s="43" t="n">
        <f aca="false">VLOOKUP($H398,[2]Constants!$I$1:$K$1048576, 3, FALSE())*IF(AND(G398="multiple_unit",AB398&lt;110),0.75,1)</f>
        <v>0.45</v>
      </c>
      <c r="BI398" s="43" t="n">
        <f aca="false">INT(POWER((([2]Constants!$G$2+$BB398+$BC398+$BD398+$BF398)*$BE398)*$BH398, 1.05))+$BA398</f>
        <v>4</v>
      </c>
      <c r="BJ398" s="43" t="n">
        <f aca="false">INT(POWER(((([2]Constants!$G$1+$BB398+$BC398+$BD398+$BF398)*($BE398))*$BG398),IF($G398="wagon",1,1.2)))+$AZ398</f>
        <v>19</v>
      </c>
      <c r="BK398" s="45" t="n">
        <f aca="false">BI398*IF($G398="wagon",62.5,781.25)</f>
        <v>250</v>
      </c>
      <c r="BL398" s="45" t="n">
        <f aca="false">BJ398*IF($G398="wagon",2.73,81.25)</f>
        <v>51.87</v>
      </c>
      <c r="BV398" s="0" t="n">
        <v>1</v>
      </c>
      <c r="BY398" s="0" t="s">
        <v>1407</v>
      </c>
      <c r="BZ398" s="0" t="s">
        <v>1408</v>
      </c>
      <c r="CA398" s="46" t="str">
        <f aca="false">VLOOKUP(J398,[2]Eras!$A$2:$C$10, 2, TRUE())</f>
        <v>early</v>
      </c>
      <c r="CB398" s="0" t="s">
        <v>266</v>
      </c>
      <c r="CC398" s="46" t="str">
        <f aca="false">CONCATENATE(CA398,"_",CB398)</f>
        <v>early_Open Wagon</v>
      </c>
      <c r="CD398" s="46" t="str">
        <f aca="false">_xlfn.CONCAT(H398, "_",I398)</f>
        <v>wagon_NARROW_GAUGE</v>
      </c>
      <c r="CE398" s="6" t="str">
        <f aca="false" t="array" ref="CE398:CE398">IF(AN398&lt;&gt;"na", _xlfn.CONCAT("{BLACK}Length: {GOLD}", TEXT(ROUNDUP(IF(AQ398&lt;&gt;"",SUM(VALUE(_xlfn.TEXTSPLIT(AQ398, ","))), SUM(VALUE(_xlfn.TEXTSPLIT(AN398, ",")))*IF(M398, M398, 1))/16, 1),"#,##0.0"), " tiles{}"), "")</f>
        <v>{BLACK}Length: {GOLD}0.3 tiles{}</v>
      </c>
      <c r="CF398" s="46" t="str">
        <f aca="false">VLOOKUP($CD398, [2]Constants!$M$1:$N$1048576, 2, FALSE())</f>
        <v/>
      </c>
      <c r="CG398" s="46" t="str">
        <f aca="false">IF(AND(L398&gt;1,BN398&lt;&gt;1),_xlfn.CONCAT("{BLACK}Cars: {GOLD}", L398),"")</f>
        <v>{BLACK}Cars: {GOLD}1880</v>
      </c>
      <c r="CH398" s="0" t="s">
        <v>1409</v>
      </c>
      <c r="CI398" s="0" t="str">
        <f aca="false">IF($BU398="!param_no_gameplay_units","{GREEN}Included for gameplay purposes","")</f>
        <v/>
      </c>
      <c r="CJ398" s="0" t="str">
        <f aca="false">IF(BX398="buffet","{YELLOW}25% long distance bonus for consist{}",IF(BY398="DANDY","{YELLOW}Faster downhill speeds for horse-drawn trains (1 required per 2 horses){}",IF(BY398="BRAKE","{YELLOW}Speed bonus for slow wagons{}",IF(BY398="NGPassengers","{YELLOW}Preserved railway bonus: passengers pay more when hauled by old locomotives{}",IF(AND(BW398&gt;190,NOT(AND(I398="NARROW_GAUGE",BY398&lt;&gt;"PASS"))),CONCATENATE("{YELLOW}",INT((BW398-185)/1.85),"% bonus for long distance travel{}"),IF(AND(BW398&lt;180,BW398&lt;&gt;0),CONCATENATE("{YELLOW}",INT((185-BW398)/1.85),"% penalty for long distance travel{}"),""))))))</f>
        <v/>
      </c>
      <c r="CK398" s="0" t="str">
        <f aca="false">_xlfn.CONCAT(CF398,IF(CF398&lt;&gt;""," ",""),CG398,IF(OR(CG398&lt;&gt;"",CF398&lt;&gt;""),"{}",""),CE398,CJ398,"{SILVER}",CH398,IF(CI398&lt;&gt;"","{}{}",""),CI398)</f>
        <v>{BLACK}Cars: {GOLD}1880{}{BLACK}Length: {GOLD}0.3 tiles{}{SILVER}Early gravity railways sent cargo downhill with horses riding in dandy wagons. At the bottom the horses would be unloaded and used to haul the empty train back up the hill.</v>
      </c>
    </row>
    <row r="399" s="30" customFormat="true" ht="14.25" hidden="false" customHeight="false" outlineLevel="0" collapsed="false">
      <c r="A399" s="30" t="s">
        <v>1410</v>
      </c>
      <c r="B399" s="49" t="s">
        <v>1411</v>
      </c>
      <c r="C399" s="21" t="n">
        <v>3010</v>
      </c>
      <c r="E399" s="30" t="n">
        <v>10</v>
      </c>
      <c r="F399" s="30" t="s">
        <v>143</v>
      </c>
      <c r="G399" s="19" t="s">
        <v>827</v>
      </c>
      <c r="H399" s="30" t="s">
        <v>529</v>
      </c>
      <c r="I399" s="30" t="s">
        <v>530</v>
      </c>
      <c r="J399" s="30" t="n">
        <v>1907</v>
      </c>
      <c r="L399" s="30" t="n">
        <v>1955</v>
      </c>
      <c r="M399" s="30" t="n">
        <v>1</v>
      </c>
      <c r="N399" s="30" t="n">
        <v>360</v>
      </c>
      <c r="O399" s="22"/>
      <c r="P399" s="23"/>
      <c r="Q399" s="23"/>
      <c r="R399" s="23"/>
      <c r="S399" s="23"/>
      <c r="T399" s="23"/>
      <c r="U399" s="23"/>
      <c r="V399" s="23"/>
      <c r="W399" s="30" t="n">
        <v>37.5</v>
      </c>
      <c r="X399" s="22"/>
      <c r="Y399" s="30" t="n">
        <v>5</v>
      </c>
      <c r="Z399" s="30" t="n">
        <v>48</v>
      </c>
      <c r="AA399" s="24" t="n">
        <f aca="false">IF(AND(W399&gt;0,Z399&gt;0),(Z399/((W399+X399)*10)),"")</f>
        <v>0.128</v>
      </c>
      <c r="AB399" s="30" t="n">
        <v>60</v>
      </c>
      <c r="AC399" s="30" t="n">
        <f aca="false">ROUND(AB399*1.6, 0)</f>
        <v>96</v>
      </c>
      <c r="AG399" s="30" t="n">
        <v>17</v>
      </c>
      <c r="AJ399" s="25" t="n">
        <v>42</v>
      </c>
      <c r="AK399" s="26" t="str">
        <f aca="false">CONCATENATE(VLOOKUP(AL399, '[1]Voxel Sizes'!$A$2:$B$18,2,FALSE()),"x",INT(AH399*15), "x", INT(AI399*15))</f>
        <v>164x0x0</v>
      </c>
      <c r="AL399" s="30" t="n">
        <f aca="false">ROUND(15*((AG399*10)/256),0)</f>
        <v>10</v>
      </c>
      <c r="AN399" s="19" t="str">
        <f aca="false">CONCATENATE(VLOOKUP(AL399,[1]Constants!$A$2:$C$16,IF(AM399&lt;&gt;"", 3, 2), FALSE()),IF(AM399&lt;&gt;"",CONCATENATE(",",VLOOKUP(AM399,$B:$AN,38,FALSE())),""))</f>
        <v>4,2,4</v>
      </c>
      <c r="AP399" s="27"/>
      <c r="AQ399" s="27"/>
      <c r="AR399" s="30" t="s">
        <v>1412</v>
      </c>
      <c r="AT399" s="30" t="n">
        <v>1</v>
      </c>
      <c r="AU399" s="30" t="s">
        <v>1412</v>
      </c>
      <c r="AX399" s="30" t="n">
        <v>25</v>
      </c>
      <c r="AY399" s="28" t="n">
        <f aca="false">IF(L399&lt;&gt;"",MAX(16,(L399-J399)+8),"")</f>
        <v>56</v>
      </c>
      <c r="AZ399" s="30" t="n">
        <v>-10</v>
      </c>
      <c r="BA399" s="30" t="n">
        <v>-25</v>
      </c>
      <c r="BB399" s="30" t="n">
        <f aca="false">MIN(AB399/150, 1)*30</f>
        <v>12</v>
      </c>
      <c r="BC399" s="30" t="n">
        <f aca="false">MIN(N399/4000, 1)*20</f>
        <v>1.8</v>
      </c>
      <c r="BD399" s="30" t="n">
        <f aca="false">MIN(Z399/400,1)*20</f>
        <v>2.4</v>
      </c>
      <c r="BE399" s="24" t="n">
        <f aca="false">1-(MAX(J399-1900, 0)/750)</f>
        <v>0.990666666666667</v>
      </c>
      <c r="BF399" s="30" t="n">
        <f aca="false">((MAX($M399,1)*MIN($AJ399/300,1)))*IF(G399="Wagon",50,10)</f>
        <v>1.4</v>
      </c>
      <c r="BG399" s="19" t="n">
        <f aca="false">VLOOKUP($H399,[1]Constants!$I$1:$K$1048576, 2, FALSE())</f>
        <v>0.85</v>
      </c>
      <c r="BH399" s="19" t="n">
        <f aca="false">VLOOKUP($H399,[1]Constants!$I$1:$K$1048576, 3, FALSE())*IF(AND(G399="multiple_unit",AB399&lt;110),0.75,1)</f>
        <v>1.725</v>
      </c>
      <c r="BI399" s="30" t="n">
        <v>21</v>
      </c>
      <c r="BJ399" s="30" t="n">
        <v>43</v>
      </c>
      <c r="BK399" s="29" t="n">
        <f aca="false">BI399*IF($G399="wagon",62.5,781.25)</f>
        <v>16406.25</v>
      </c>
      <c r="BL399" s="29" t="n">
        <f aca="false">BJ399*IF($G399="wagon",2.73,81.25)</f>
        <v>3493.75</v>
      </c>
      <c r="BR399" s="30" t="s">
        <v>1413</v>
      </c>
      <c r="BV399" s="30" t="n">
        <v>6</v>
      </c>
      <c r="BW399" s="30" t="n">
        <v>185</v>
      </c>
      <c r="BZ399" s="30" t="s">
        <v>148</v>
      </c>
      <c r="CA399" s="30" t="s">
        <v>1236</v>
      </c>
      <c r="CB399" s="30" t="s">
        <v>844</v>
      </c>
      <c r="CC399" s="30" t="str">
        <f aca="false">CONCATENATE(CA399,"_",CB399)</f>
        <v>edw_EMU</v>
      </c>
      <c r="CD399" s="30" t="str">
        <f aca="false">_xlfn.CONCAT(H399, "_",I399)</f>
        <v>electric_ELRL</v>
      </c>
      <c r="CE399" s="31" t="str">
        <f aca="false" t="array" ref="CE399:CE399">_xlfn.CONCAT("{BLACK}Length: {GOLD}", TEXT(ROUNDUP(IF(AQ399&lt;&gt;"",SUM(VALUE(_xlfn.TEXTSPLIT(AQ399, ","))), SUM(VALUE(_xlfn.TEXTSPLIT(AN399, ",")))*IF(M399, M399, 1))/16, 1), "#,##0.0"), " tiles{}")</f>
        <v>{BLACK}Length: {GOLD}0.7 tiles{}</v>
      </c>
      <c r="CF399" s="19" t="str">
        <f aca="false">VLOOKUP($CD399, [1]Constants!$M$1:$N$1048576, 2, FALSE())</f>
        <v>{BLACK}Powered by: {GOLD}25kV AC</v>
      </c>
      <c r="CG399" s="30" t="str">
        <f aca="false">IF(M399&gt;1,_xlfn.CONCAT("{BLACK}Cars: {GOLD}", M399),"")</f>
        <v/>
      </c>
      <c r="CH399" s="30" t="s">
        <v>1414</v>
      </c>
      <c r="CJ399" s="30" t="str">
        <f aca="false">IF($BV399="!param_no_gameplay_units","{GREEN}Included for gameplay purposes","")</f>
        <v/>
      </c>
      <c r="CK399" s="19" t="str">
        <f aca="false">_xlfn.CONCAT(CF399,IF(CF399 &lt;&gt; "", " ", ""),CG399,IF(OR(CG399&lt;&gt;"", CF399&lt;&gt;""), "{}",""), CE399, CJ399,"{SILVER}", CH399)</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400" s="30" customFormat="true" ht="14.25" hidden="false" customHeight="false" outlineLevel="0" collapsed="false">
      <c r="A400" s="30" t="s">
        <v>1415</v>
      </c>
      <c r="B400" s="49" t="s">
        <v>1416</v>
      </c>
      <c r="C400" s="21" t="n">
        <v>3011</v>
      </c>
      <c r="D400" s="30" t="n">
        <v>3010</v>
      </c>
      <c r="E400" s="30" t="n">
        <v>11</v>
      </c>
      <c r="F400" s="30" t="s">
        <v>143</v>
      </c>
      <c r="G400" s="19" t="s">
        <v>827</v>
      </c>
      <c r="H400" s="30" t="s">
        <v>529</v>
      </c>
      <c r="I400" s="30" t="s">
        <v>530</v>
      </c>
      <c r="J400" s="30" t="n">
        <v>1907</v>
      </c>
      <c r="L400" s="30" t="n">
        <v>1955</v>
      </c>
      <c r="M400" s="30" t="n">
        <v>2</v>
      </c>
      <c r="N400" s="30" t="n">
        <v>360</v>
      </c>
      <c r="O400" s="22"/>
      <c r="P400" s="23"/>
      <c r="Q400" s="23"/>
      <c r="R400" s="23"/>
      <c r="S400" s="23"/>
      <c r="T400" s="23"/>
      <c r="U400" s="23"/>
      <c r="V400" s="23"/>
      <c r="W400" s="30" t="n">
        <f aca="false">37.5+31</f>
        <v>68.5</v>
      </c>
      <c r="X400" s="22"/>
      <c r="Y400" s="30" t="n">
        <v>5</v>
      </c>
      <c r="Z400" s="30" t="n">
        <v>48</v>
      </c>
      <c r="AA400" s="24" t="n">
        <f aca="false">IF(AND(W400&gt;0,Z400&gt;0),(Z400/((W400+X400)*10)),"")</f>
        <v>0.0700729927007299</v>
      </c>
      <c r="AB400" s="30" t="n">
        <v>60</v>
      </c>
      <c r="AC400" s="30" t="n">
        <f aca="false">ROUND(AB400*1.6, 0)</f>
        <v>96</v>
      </c>
      <c r="AG400" s="30" t="n">
        <v>17</v>
      </c>
      <c r="AJ400" s="25" t="n">
        <v>47</v>
      </c>
      <c r="AK400" s="26" t="str">
        <f aca="false">CONCATENATE(VLOOKUP(AL400, '[1]Voxel Sizes'!$A$2:$B$18,2,FALSE()),"x",INT(AH400*15), "x", INT(AI400*15))</f>
        <v>164x0x0</v>
      </c>
      <c r="AL400" s="30" t="n">
        <f aca="false">ROUND(15*((AG400*10)/256),0)</f>
        <v>10</v>
      </c>
      <c r="AN400" s="19" t="str">
        <f aca="false">CONCATENATE(VLOOKUP(AL400,[1]Constants!$A$2:$C$16,IF(AM400&lt;&gt;"", 3, 2), FALSE()),IF(AM400&lt;&gt;"",CONCATENATE(",",VLOOKUP(AM400,$B:$AN,38,FALSE())),""))</f>
        <v>4,2,4</v>
      </c>
      <c r="AP400" s="27"/>
      <c r="AQ400" s="27"/>
      <c r="AR400" s="30" t="s">
        <v>1417</v>
      </c>
      <c r="AT400" s="30" t="s">
        <v>1418</v>
      </c>
      <c r="AU400" s="30" t="s">
        <v>1419</v>
      </c>
      <c r="AX400" s="30" t="n">
        <v>25</v>
      </c>
      <c r="AY400" s="28" t="n">
        <f aca="false">IF(L400&lt;&gt;"",MAX(16,(L400-J400)+8),"")</f>
        <v>56</v>
      </c>
      <c r="AZ400" s="30" t="n">
        <v>-10</v>
      </c>
      <c r="BA400" s="30" t="n">
        <v>-25</v>
      </c>
      <c r="BB400" s="30" t="n">
        <f aca="false">MIN(AB400/150, 1)*30</f>
        <v>12</v>
      </c>
      <c r="BC400" s="30" t="n">
        <f aca="false">MIN(N400/4000, 1)*20</f>
        <v>1.8</v>
      </c>
      <c r="BD400" s="30" t="n">
        <f aca="false">MIN(Z400/400,1)*20</f>
        <v>2.4</v>
      </c>
      <c r="BE400" s="24" t="n">
        <f aca="false">1-(MAX(J400-1900, 0)/750)</f>
        <v>0.990666666666667</v>
      </c>
      <c r="BF400" s="30" t="n">
        <f aca="false">((MAX($M400,1)*MIN($AJ400/300,1)))*IF(G400="Wagon",50,10)</f>
        <v>3.13333333333333</v>
      </c>
      <c r="BG400" s="19" t="n">
        <f aca="false">VLOOKUP($H400,[1]Constants!$I$1:$K$1048576, 2, FALSE())</f>
        <v>0.85</v>
      </c>
      <c r="BH400" s="19" t="n">
        <f aca="false">VLOOKUP($H400,[1]Constants!$I$1:$K$1048576, 3, FALSE())*IF(AND(G400="multiple_unit",AB400&lt;110),0.75,1)</f>
        <v>1.725</v>
      </c>
      <c r="BI400" s="30" t="n">
        <v>25</v>
      </c>
      <c r="BJ400" s="30" t="n">
        <v>46</v>
      </c>
      <c r="BK400" s="29" t="n">
        <f aca="false">BI400*IF($G400="wagon",62.5,781.25)</f>
        <v>19531.25</v>
      </c>
      <c r="BL400" s="29" t="n">
        <f aca="false">BJ400*IF($G400="wagon",2.73,81.25)</f>
        <v>3737.5</v>
      </c>
      <c r="BR400" s="30" t="s">
        <v>1420</v>
      </c>
      <c r="BV400" s="30" t="n">
        <v>6</v>
      </c>
      <c r="BW400" s="30" t="n">
        <v>185</v>
      </c>
      <c r="BZ400" s="30" t="s">
        <v>148</v>
      </c>
      <c r="CA400" s="30" t="s">
        <v>1236</v>
      </c>
      <c r="CB400" s="30" t="s">
        <v>844</v>
      </c>
      <c r="CC400" s="30" t="str">
        <f aca="false">CONCATENATE(CA400,"_",CB400)</f>
        <v>edw_EMU</v>
      </c>
      <c r="CD400" s="30" t="str">
        <f aca="false">_xlfn.CONCAT(H400, "_",I400)</f>
        <v>electric_ELRL</v>
      </c>
      <c r="CE400" s="31" t="str">
        <f aca="false" t="array" ref="CE400:CE400">_xlfn.CONCAT("{BLACK}Length: {GOLD}", TEXT(ROUNDUP(IF(AQ400&lt;&gt;"",SUM(VALUE(_xlfn.TEXTSPLIT(AQ400, ","))), SUM(VALUE(_xlfn.TEXTSPLIT(AN400, ",")))*IF(M400, M400, 1))/16, 1), "#,##0.0"), " tiles{}")</f>
        <v>{BLACK}Length: {GOLD}1.3 tiles{}</v>
      </c>
      <c r="CF400" s="19" t="str">
        <f aca="false">VLOOKUP($CD400, [1]Constants!$M$1:$N$1048576, 2, FALSE())</f>
        <v>{BLACK}Powered by: {GOLD}25kV AC</v>
      </c>
      <c r="CG400" s="30" t="str">
        <f aca="false">IF(M400&gt;1,_xlfn.CONCAT("{BLACK}Cars: {GOLD}", M400),"")</f>
        <v>{BLACK}Cars: {GOLD}2</v>
      </c>
      <c r="CH400" s="30" t="s">
        <v>1414</v>
      </c>
      <c r="CJ400" s="30" t="str">
        <f aca="false">IF($BV400="!param_no_gameplay_units","{GREEN}Included for gameplay purposes","")</f>
        <v/>
      </c>
      <c r="CK400" s="19" t="str">
        <f aca="false">_xlfn.CONCAT(CF400,IF(CF400 &lt;&gt; "", " ", ""),CG400,IF(OR(CG400&lt;&gt;"", CF400&lt;&gt;""), "{}",""), CE400, CJ400,"{SILVER}", CH400)</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01" s="30" customFormat="true" ht="14.25" hidden="false" customHeight="false" outlineLevel="0" collapsed="false">
      <c r="A401" s="30" t="s">
        <v>1421</v>
      </c>
      <c r="B401" s="49" t="s">
        <v>1422</v>
      </c>
      <c r="C401" s="21" t="n">
        <v>3012</v>
      </c>
      <c r="D401" s="30" t="n">
        <v>3010</v>
      </c>
      <c r="E401" s="30" t="n">
        <v>12</v>
      </c>
      <c r="F401" s="30" t="s">
        <v>143</v>
      </c>
      <c r="G401" s="19" t="s">
        <v>827</v>
      </c>
      <c r="H401" s="30" t="s">
        <v>529</v>
      </c>
      <c r="I401" s="30" t="s">
        <v>530</v>
      </c>
      <c r="J401" s="30" t="n">
        <v>1907</v>
      </c>
      <c r="L401" s="30" t="n">
        <v>1955</v>
      </c>
      <c r="M401" s="30" t="n">
        <v>3</v>
      </c>
      <c r="N401" s="30" t="n">
        <v>360</v>
      </c>
      <c r="O401" s="22"/>
      <c r="P401" s="23"/>
      <c r="Q401" s="23"/>
      <c r="R401" s="23"/>
      <c r="S401" s="23"/>
      <c r="T401" s="23"/>
      <c r="U401" s="23"/>
      <c r="V401" s="23"/>
      <c r="W401" s="30" t="n">
        <f aca="false">37.5+31+31</f>
        <v>99.5</v>
      </c>
      <c r="X401" s="22"/>
      <c r="Y401" s="30" t="n">
        <v>5</v>
      </c>
      <c r="Z401" s="30" t="n">
        <v>48</v>
      </c>
      <c r="AA401" s="24" t="n">
        <f aca="false">IF(AND(W401&gt;0,Z401&gt;0),(Z401/((W401+X401)*10)),"")</f>
        <v>0.0482412060301508</v>
      </c>
      <c r="AB401" s="30" t="n">
        <v>60</v>
      </c>
      <c r="AC401" s="30" t="n">
        <f aca="false">ROUND(AB401*1.6, 0)</f>
        <v>96</v>
      </c>
      <c r="AG401" s="30" t="n">
        <v>17</v>
      </c>
      <c r="AJ401" s="25" t="n">
        <v>48</v>
      </c>
      <c r="AK401" s="26" t="str">
        <f aca="false">CONCATENATE(VLOOKUP(AL401, '[1]Voxel Sizes'!$A$2:$B$18,2,FALSE()),"x",INT(AH401*15), "x", INT(AI401*15))</f>
        <v>164x0x0</v>
      </c>
      <c r="AL401" s="30" t="n">
        <f aca="false">ROUND(15*((AG401*10)/256),0)</f>
        <v>10</v>
      </c>
      <c r="AN401" s="19" t="str">
        <f aca="false">CONCATENATE(VLOOKUP(AL401,[1]Constants!$A$2:$C$16,IF(AM401&lt;&gt;"", 3, 2), FALSE()),IF(AM401&lt;&gt;"",CONCATENATE(",",VLOOKUP(AM401,$B:$AN,38,FALSE())),""))</f>
        <v>4,2,4</v>
      </c>
      <c r="AP401" s="27"/>
      <c r="AQ401" s="27"/>
      <c r="AR401" s="30" t="s">
        <v>1423</v>
      </c>
      <c r="AT401" s="30" t="s">
        <v>1424</v>
      </c>
      <c r="AU401" s="30" t="s">
        <v>1419</v>
      </c>
      <c r="AX401" s="30" t="n">
        <v>25</v>
      </c>
      <c r="AY401" s="28" t="n">
        <f aca="false">IF(L401&lt;&gt;"",MAX(16,(L401-J401)+8),"")</f>
        <v>56</v>
      </c>
      <c r="AZ401" s="30" t="n">
        <v>-10</v>
      </c>
      <c r="BA401" s="30" t="n">
        <v>-25</v>
      </c>
      <c r="BB401" s="30" t="n">
        <f aca="false">MIN(AB401/150, 1)*30</f>
        <v>12</v>
      </c>
      <c r="BC401" s="30" t="n">
        <f aca="false">MIN(N401/4000, 1)*20</f>
        <v>1.8</v>
      </c>
      <c r="BD401" s="30" t="n">
        <f aca="false">MIN(Z401/400,1)*20</f>
        <v>2.4</v>
      </c>
      <c r="BE401" s="24" t="n">
        <f aca="false">1-(MAX(J401-1900, 0)/750)</f>
        <v>0.990666666666667</v>
      </c>
      <c r="BF401" s="30" t="n">
        <f aca="false">((MAX($M401,1)*MIN($AJ401/300,1)))*IF(G401="Wagon",50,10)</f>
        <v>4.8</v>
      </c>
      <c r="BG401" s="19" t="n">
        <f aca="false">VLOOKUP($H401,[1]Constants!$I$1:$K$1048576, 2, FALSE())</f>
        <v>0.85</v>
      </c>
      <c r="BH401" s="19" t="n">
        <f aca="false">VLOOKUP($H401,[1]Constants!$I$1:$K$1048576, 3, FALSE())*IF(AND(G401="multiple_unit",AB401&lt;110),0.75,1)</f>
        <v>1.725</v>
      </c>
      <c r="BI401" s="30" t="n">
        <v>28</v>
      </c>
      <c r="BJ401" s="30" t="n">
        <v>49</v>
      </c>
      <c r="BK401" s="29" t="n">
        <f aca="false">BI401*IF($G401="wagon",62.5,781.25)</f>
        <v>21875</v>
      </c>
      <c r="BL401" s="29" t="n">
        <f aca="false">BJ401*IF($G401="wagon",2.73,81.25)</f>
        <v>3981.25</v>
      </c>
      <c r="BR401" s="30" t="s">
        <v>1425</v>
      </c>
      <c r="BV401" s="30" t="n">
        <v>6</v>
      </c>
      <c r="BW401" s="30" t="n">
        <v>185</v>
      </c>
      <c r="BZ401" s="30" t="s">
        <v>148</v>
      </c>
      <c r="CA401" s="30" t="s">
        <v>1236</v>
      </c>
      <c r="CB401" s="30" t="s">
        <v>844</v>
      </c>
      <c r="CC401" s="30" t="str">
        <f aca="false">CONCATENATE(CA401,"_",CB401)</f>
        <v>edw_EMU</v>
      </c>
      <c r="CD401" s="30" t="str">
        <f aca="false">_xlfn.CONCAT(H401, "_",I401)</f>
        <v>electric_ELRL</v>
      </c>
      <c r="CE401" s="31" t="str">
        <f aca="false" t="array" ref="CE401:CE401">_xlfn.CONCAT("{BLACK}Length: {GOLD}", TEXT(ROUNDUP(IF(AQ401&lt;&gt;"",SUM(VALUE(_xlfn.TEXTSPLIT(AQ401, ","))), SUM(VALUE(_xlfn.TEXTSPLIT(AN401, ",")))*IF(M401, M401, 1))/16, 1), "#,##0.0"), " tiles{}")</f>
        <v>{BLACK}Length: {GOLD}1.9 tiles{}</v>
      </c>
      <c r="CF401" s="19" t="str">
        <f aca="false">VLOOKUP($CD401, [1]Constants!$M$1:$N$1048576, 2, FALSE())</f>
        <v>{BLACK}Powered by: {GOLD}25kV AC</v>
      </c>
      <c r="CG401" s="30" t="str">
        <f aca="false">IF(M401&gt;1,_xlfn.CONCAT("{BLACK}Cars: {GOLD}", M401),"")</f>
        <v>{BLACK}Cars: {GOLD}3</v>
      </c>
      <c r="CH401" s="30" t="s">
        <v>1414</v>
      </c>
      <c r="CJ401" s="30" t="str">
        <f aca="false">IF($BV401="!param_no_gameplay_units","{GREEN}Included for gameplay purposes","")</f>
        <v/>
      </c>
      <c r="CK401" s="19" t="str">
        <f aca="false">_xlfn.CONCAT(CF401,IF(CF401 &lt;&gt; "", " ", ""),CG401,IF(OR(CG401&lt;&gt;"", CF401&lt;&gt;""), "{}",""), CE401, CJ401,"{SILVER}", CH401)</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402" s="30" customFormat="true" ht="14.25" hidden="false" customHeight="false" outlineLevel="0" collapsed="false">
      <c r="A402" s="30" t="s">
        <v>1426</v>
      </c>
      <c r="B402" s="49" t="s">
        <v>1427</v>
      </c>
      <c r="C402" s="21" t="n">
        <v>3013</v>
      </c>
      <c r="E402" s="30" t="n">
        <v>14</v>
      </c>
      <c r="F402" s="30" t="s">
        <v>143</v>
      </c>
      <c r="G402" s="19" t="s">
        <v>827</v>
      </c>
      <c r="H402" s="30" t="s">
        <v>529</v>
      </c>
      <c r="I402" s="30" t="s">
        <v>530</v>
      </c>
      <c r="J402" s="30" t="n">
        <v>1911</v>
      </c>
      <c r="L402" s="30" t="n">
        <v>1955</v>
      </c>
      <c r="M402" s="30" t="n">
        <v>2</v>
      </c>
      <c r="N402" s="30" t="n">
        <v>600</v>
      </c>
      <c r="O402" s="22"/>
      <c r="P402" s="23"/>
      <c r="Q402" s="23"/>
      <c r="R402" s="23"/>
      <c r="S402" s="23"/>
      <c r="T402" s="23"/>
      <c r="U402" s="23"/>
      <c r="V402" s="23"/>
      <c r="W402" s="30" t="n">
        <f aca="false">52+25</f>
        <v>77</v>
      </c>
      <c r="X402" s="22"/>
      <c r="Y402" s="30" t="n">
        <v>5</v>
      </c>
      <c r="Z402" s="30" t="n">
        <v>48</v>
      </c>
      <c r="AA402" s="24" t="n">
        <f aca="false">IF(AND(W402&gt;0,Z402&gt;0),(Z402/((W402+X402)*10)),"")</f>
        <v>0.0623376623376623</v>
      </c>
      <c r="AB402" s="30" t="n">
        <v>60</v>
      </c>
      <c r="AC402" s="30" t="n">
        <f aca="false">ROUND(AB402*1.6, 0)</f>
        <v>96</v>
      </c>
      <c r="AG402" s="30" t="n">
        <v>17.5</v>
      </c>
      <c r="AJ402" s="25" t="n">
        <v>48</v>
      </c>
      <c r="AK402" s="26" t="str">
        <f aca="false">CONCATENATE(VLOOKUP(AL402, '[1]Voxel Sizes'!$A$2:$B$18,2,FALSE()),"x",INT(AH402*15), "x", INT(AI402*15))</f>
        <v>164x0x0</v>
      </c>
      <c r="AL402" s="30" t="n">
        <f aca="false">ROUND(15*((AG402*10)/256),0)</f>
        <v>10</v>
      </c>
      <c r="AN402" s="19" t="str">
        <f aca="false">CONCATENATE(VLOOKUP(AL402,[1]Constants!$A$2:$C$16,IF(AM402&lt;&gt;"", 3, 2), FALSE()),IF(AM402&lt;&gt;"",CONCATENATE(",",VLOOKUP(AM402,$B:$AN,38,FALSE())),""))</f>
        <v>4,2,4</v>
      </c>
      <c r="AP402" s="27"/>
      <c r="AQ402" s="27"/>
      <c r="AR402" s="30" t="s">
        <v>1428</v>
      </c>
      <c r="AT402" s="30" t="s">
        <v>833</v>
      </c>
      <c r="AU402" s="30" t="s">
        <v>1429</v>
      </c>
      <c r="AX402" s="30" t="n">
        <v>25</v>
      </c>
      <c r="AY402" s="28" t="n">
        <f aca="false">IF(L402&lt;&gt;"",MAX(16,(L402-J402)+8),"")</f>
        <v>52</v>
      </c>
      <c r="AZ402" s="30" t="n">
        <v>-10</v>
      </c>
      <c r="BA402" s="30" t="n">
        <v>-25</v>
      </c>
      <c r="BB402" s="30" t="n">
        <f aca="false">MIN(AB402/150, 1)*30</f>
        <v>12</v>
      </c>
      <c r="BC402" s="30" t="n">
        <f aca="false">MIN(N402/4000, 1)*20</f>
        <v>3</v>
      </c>
      <c r="BD402" s="30" t="n">
        <f aca="false">MIN(Z402/400,1)*20</f>
        <v>2.4</v>
      </c>
      <c r="BE402" s="24" t="n">
        <f aca="false">1-(MAX(J402-1900, 0)/750)</f>
        <v>0.985333333333333</v>
      </c>
      <c r="BF402" s="30" t="n">
        <f aca="false">((MAX($M402,1)*MIN($AJ402/300,1)))*IF(G402="Wagon",50,10)</f>
        <v>3.2</v>
      </c>
      <c r="BG402" s="19" t="n">
        <f aca="false">VLOOKUP($H402,[1]Constants!$I$1:$K$1048576, 2, FALSE())</f>
        <v>0.85</v>
      </c>
      <c r="BH402" s="19" t="n">
        <f aca="false">VLOOKUP($H402,[1]Constants!$I$1:$K$1048576, 3, FALSE())*IF(AND(G402="multiple_unit",AB402&lt;110),0.75,1)</f>
        <v>1.725</v>
      </c>
      <c r="BI402" s="30" t="n">
        <v>27</v>
      </c>
      <c r="BJ402" s="30" t="n">
        <v>48</v>
      </c>
      <c r="BK402" s="29" t="n">
        <f aca="false">BI402*IF($G402="wagon",62.5,781.25)</f>
        <v>21093.75</v>
      </c>
      <c r="BL402" s="29" t="n">
        <f aca="false">BJ402*IF($G402="wagon",2.73,81.25)</f>
        <v>3900</v>
      </c>
      <c r="BR402" s="30" t="s">
        <v>1430</v>
      </c>
      <c r="BV402" s="30" t="n">
        <v>6</v>
      </c>
      <c r="BW402" s="30" t="n">
        <v>185</v>
      </c>
      <c r="BZ402" s="30" t="s">
        <v>148</v>
      </c>
      <c r="CA402" s="30" t="s">
        <v>1236</v>
      </c>
      <c r="CB402" s="30" t="s">
        <v>844</v>
      </c>
      <c r="CC402" s="30" t="str">
        <f aca="false">CONCATENATE(CA402,"_",CB402)</f>
        <v>edw_EMU</v>
      </c>
      <c r="CD402" s="30" t="str">
        <f aca="false">_xlfn.CONCAT(H402, "_",I402)</f>
        <v>electric_ELRL</v>
      </c>
      <c r="CE402" s="31" t="str">
        <f aca="false" t="array" ref="CE402:CE402">_xlfn.CONCAT("{BLACK}Length: {GOLD}", TEXT(ROUNDUP(IF(AQ402&lt;&gt;"",SUM(VALUE(_xlfn.TEXTSPLIT(AQ402, ","))), SUM(VALUE(_xlfn.TEXTSPLIT(AN402, ",")))*IF(M402, M402, 1))/16, 1), "#,##0.0"), " tiles{}")</f>
        <v>{BLACK}Length: {GOLD}1.3 tiles{}</v>
      </c>
      <c r="CF402" s="19" t="str">
        <f aca="false">VLOOKUP($CD402, [1]Constants!$M$1:$N$1048576, 2, FALSE())</f>
        <v>{BLACK}Powered by: {GOLD}25kV AC</v>
      </c>
      <c r="CG402" s="30" t="str">
        <f aca="false">IF(M402&gt;1,_xlfn.CONCAT("{BLACK}Cars: {GOLD}", M402),"")</f>
        <v>{BLACK}Cars: {GOLD}2</v>
      </c>
      <c r="CH402" s="30" t="s">
        <v>1431</v>
      </c>
      <c r="CJ402" s="19" t="str">
        <f aca="false">IF(BX402="buffet","{YELLOW}25% long distance bonus for consist{}",IF(CA402="BRAKE","{YELLOW}Speed bonus for slow wagons{}",IF(BW402&gt;190,CONCATENATE("{YELLOW}",INT((BW402-185)/1.85),"% bonus for long distance travel{}"),IF(AND(BW402&lt;180,BW402&lt;&gt;0),CONCATENATE("{YELLOW}",INT((185-BW402)/1.85),"% penalty for long distance travel{}"),""))))</f>
        <v/>
      </c>
      <c r="CK402" s="19" t="str">
        <f aca="false">_xlfn.CONCAT(CF402,IF(CF402 &lt;&gt; "", " ", ""),CG402,IF(OR(CG402&lt;&gt;"", CF402&lt;&gt;""), "{}",""), CE402, CJ402,"{SILVER}", CH402)</f>
        <v>{BLACK}Powered by: {GOLD}25kV AC {BLACK}Cars: {GOLD}2{}{BLACK}Length: {GOLD}1.3 tiles{}{SILVER}The LB&amp;SCR (Later SR) “CP” EMUs were a nightmare of different build dates and vehicle sizes, designed for use on the “Elevated Electric” line into London.</v>
      </c>
    </row>
    <row r="403" s="30" customFormat="true" ht="14.25" hidden="false" customHeight="false" outlineLevel="0" collapsed="false">
      <c r="A403" s="30" t="s">
        <v>1432</v>
      </c>
      <c r="B403" s="49" t="s">
        <v>1433</v>
      </c>
      <c r="C403" s="21" t="n">
        <v>3014</v>
      </c>
      <c r="D403" s="30" t="n">
        <v>3013</v>
      </c>
      <c r="E403" s="30" t="n">
        <v>14</v>
      </c>
      <c r="F403" s="30" t="s">
        <v>143</v>
      </c>
      <c r="G403" s="19" t="s">
        <v>827</v>
      </c>
      <c r="H403" s="30" t="s">
        <v>529</v>
      </c>
      <c r="I403" s="30" t="s">
        <v>530</v>
      </c>
      <c r="J403" s="30" t="n">
        <v>1911</v>
      </c>
      <c r="L403" s="30" t="n">
        <v>1955</v>
      </c>
      <c r="M403" s="30" t="n">
        <v>3</v>
      </c>
      <c r="N403" s="30" t="n">
        <v>600</v>
      </c>
      <c r="O403" s="22"/>
      <c r="P403" s="23"/>
      <c r="Q403" s="23"/>
      <c r="R403" s="23"/>
      <c r="S403" s="23"/>
      <c r="T403" s="23"/>
      <c r="U403" s="23"/>
      <c r="V403" s="23"/>
      <c r="W403" s="30" t="n">
        <f aca="false">52+25*2</f>
        <v>102</v>
      </c>
      <c r="X403" s="22"/>
      <c r="Y403" s="30" t="n">
        <v>5</v>
      </c>
      <c r="Z403" s="30" t="n">
        <v>48</v>
      </c>
      <c r="AA403" s="24" t="n">
        <f aca="false">IF(AND(W403&gt;0,Z403&gt;0),(Z403/((W403+X403)*10)),"")</f>
        <v>0.0470588235294118</v>
      </c>
      <c r="AB403" s="30" t="n">
        <v>60</v>
      </c>
      <c r="AC403" s="30" t="n">
        <f aca="false">ROUND(AB403*1.6, 0)</f>
        <v>96</v>
      </c>
      <c r="AG403" s="30" t="n">
        <v>17.5</v>
      </c>
      <c r="AJ403" s="25" t="n">
        <v>48</v>
      </c>
      <c r="AK403" s="26" t="str">
        <f aca="false">CONCATENATE(VLOOKUP(AL403, '[1]Voxel Sizes'!$A$2:$B$18,2,FALSE()),"x",INT(AH403*15), "x", INT(AI403*15))</f>
        <v>164x0x0</v>
      </c>
      <c r="AL403" s="30" t="n">
        <f aca="false">ROUND(15*((AG403*10)/256),0)</f>
        <v>10</v>
      </c>
      <c r="AN403" s="19" t="str">
        <f aca="false">CONCATENATE(VLOOKUP(AL403,[1]Constants!$A$2:$C$16,IF(AM403&lt;&gt;"", 3, 2), FALSE()),IF(AM403&lt;&gt;"",CONCATENATE(",",VLOOKUP(AM403,$B:$AN,38,FALSE())),""))</f>
        <v>4,2,4</v>
      </c>
      <c r="AP403" s="27"/>
      <c r="AQ403" s="27"/>
      <c r="AR403" s="30" t="s">
        <v>1434</v>
      </c>
      <c r="AT403" s="30" t="s">
        <v>1435</v>
      </c>
      <c r="AU403" s="30" t="s">
        <v>1429</v>
      </c>
      <c r="AX403" s="30" t="n">
        <v>25</v>
      </c>
      <c r="AY403" s="28" t="n">
        <f aca="false">IF(L403&lt;&gt;"",MAX(16,(L403-J403)+8),"")</f>
        <v>52</v>
      </c>
      <c r="AZ403" s="30" t="n">
        <v>-10</v>
      </c>
      <c r="BA403" s="30" t="n">
        <v>-25</v>
      </c>
      <c r="BB403" s="30" t="n">
        <f aca="false">MIN(AB403/150, 1)*30</f>
        <v>12</v>
      </c>
      <c r="BC403" s="30" t="n">
        <f aca="false">MIN(N403/4000, 1)*20</f>
        <v>3</v>
      </c>
      <c r="BD403" s="30" t="n">
        <f aca="false">MIN(Z403/400,1)*20</f>
        <v>2.4</v>
      </c>
      <c r="BE403" s="24" t="n">
        <f aca="false">1-(MAX(J403-1900, 0)/750)</f>
        <v>0.985333333333333</v>
      </c>
      <c r="BF403" s="30" t="n">
        <f aca="false">((MAX($M403,1)*MIN($AJ403/300,1)))*IF(G403="Wagon",50,10)</f>
        <v>4.8</v>
      </c>
      <c r="BG403" s="19" t="n">
        <f aca="false">VLOOKUP($H403,[1]Constants!$I$1:$K$1048576, 2, FALSE())</f>
        <v>0.85</v>
      </c>
      <c r="BH403" s="19" t="n">
        <f aca="false">VLOOKUP($H403,[1]Constants!$I$1:$K$1048576, 3, FALSE())*IF(AND(G403="multiple_unit",AB403&lt;110),0.75,1)</f>
        <v>1.725</v>
      </c>
      <c r="BI403" s="30" t="n">
        <v>31</v>
      </c>
      <c r="BJ403" s="30" t="n">
        <v>51</v>
      </c>
      <c r="BK403" s="29" t="n">
        <f aca="false">BI403*IF($G403="wagon",62.5,781.25)</f>
        <v>24218.75</v>
      </c>
      <c r="BL403" s="29" t="n">
        <f aca="false">BJ403*IF($G403="wagon",2.73,81.25)</f>
        <v>4143.75</v>
      </c>
      <c r="BR403" s="30" t="s">
        <v>1436</v>
      </c>
      <c r="BV403" s="30" t="n">
        <v>6</v>
      </c>
      <c r="BW403" s="30" t="n">
        <v>185</v>
      </c>
      <c r="BZ403" s="30" t="s">
        <v>148</v>
      </c>
      <c r="CA403" s="30" t="s">
        <v>1236</v>
      </c>
      <c r="CB403" s="30" t="s">
        <v>844</v>
      </c>
      <c r="CC403" s="30" t="str">
        <f aca="false">CONCATENATE(CA403,"_",CB403)</f>
        <v>edw_EMU</v>
      </c>
      <c r="CD403" s="30" t="str">
        <f aca="false">_xlfn.CONCAT(H403, "_",I403)</f>
        <v>electric_ELRL</v>
      </c>
      <c r="CE403" s="31" t="str">
        <f aca="false" t="array" ref="CE403:CE403">_xlfn.CONCAT("{BLACK}Length: {GOLD}", TEXT(ROUNDUP(IF(AQ403&lt;&gt;"",SUM(VALUE(_xlfn.TEXTSPLIT(AQ403, ","))), SUM(VALUE(_xlfn.TEXTSPLIT(AN403, ",")))*IF(M403, M403, 1))/16, 1), "#,##0.0"), " tiles{}")</f>
        <v>{BLACK}Length: {GOLD}1.9 tiles{}</v>
      </c>
      <c r="CF403" s="19" t="str">
        <f aca="false">VLOOKUP($CD403, [1]Constants!$M$1:$N$1048576, 2, FALSE())</f>
        <v>{BLACK}Powered by: {GOLD}25kV AC</v>
      </c>
      <c r="CG403" s="30" t="str">
        <f aca="false">IF(M403&gt;1,_xlfn.CONCAT("{BLACK}Cars: {GOLD}", M403),"")</f>
        <v>{BLACK}Cars: {GOLD}3</v>
      </c>
      <c r="CH403" s="30" t="s">
        <v>1431</v>
      </c>
      <c r="CJ403" s="19" t="str">
        <f aca="false">IF(BX403="buffet","{YELLOW}25% long distance bonus for consist{}",IF(CA403="BRAKE","{YELLOW}Speed bonus for slow wagons{}",IF(BW403&gt;190,CONCATENATE("{YELLOW}",INT((BW403-185)/1.85),"% bonus for long distance travel{}"),IF(AND(BW403&lt;180,BW403&lt;&gt;0),CONCATENATE("{YELLOW}",INT((185-BW403)/1.85),"% penalty for long distance travel{}"),""))))</f>
        <v/>
      </c>
      <c r="CK403" s="19" t="str">
        <f aca="false">_xlfn.CONCAT(CF403,IF(CF403 &lt;&gt; "", " ", ""),CG403,IF(OR(CG403&lt;&gt;"", CF403&lt;&gt;""), "{}",""), CE403, CJ403,"{SILVER}", CH403)</f>
        <v>{BLACK}Powered by: {GOLD}25kV AC {BLACK}Cars: {GOLD}3{}{BLACK}Length: {GOLD}1.9 tiles{}{SILVER}The LB&amp;SCR (Later SR) “CP” EMUs were a nightmare of different build dates and vehicle sizes, designed for use on the “Elevated Electric” line into London.</v>
      </c>
    </row>
    <row r="404" s="30" customFormat="true" ht="14.25" hidden="false" customHeight="false" outlineLevel="0" collapsed="false">
      <c r="A404" s="30" t="s">
        <v>1437</v>
      </c>
      <c r="B404" s="49" t="s">
        <v>1438</v>
      </c>
      <c r="C404" s="21" t="n">
        <v>3015</v>
      </c>
      <c r="D404" s="30" t="n">
        <v>3013</v>
      </c>
      <c r="E404" s="30" t="n">
        <v>14</v>
      </c>
      <c r="F404" s="30" t="s">
        <v>143</v>
      </c>
      <c r="G404" s="19" t="s">
        <v>827</v>
      </c>
      <c r="H404" s="30" t="s">
        <v>529</v>
      </c>
      <c r="I404" s="30" t="s">
        <v>530</v>
      </c>
      <c r="J404" s="30" t="n">
        <v>1911</v>
      </c>
      <c r="L404" s="30" t="n">
        <v>1955</v>
      </c>
      <c r="M404" s="30" t="n">
        <v>4</v>
      </c>
      <c r="N404" s="30" t="n">
        <v>600</v>
      </c>
      <c r="O404" s="22"/>
      <c r="P404" s="23"/>
      <c r="Q404" s="23"/>
      <c r="R404" s="23"/>
      <c r="S404" s="23"/>
      <c r="T404" s="23"/>
      <c r="U404" s="23"/>
      <c r="V404" s="23"/>
      <c r="W404" s="30" t="n">
        <f aca="false">52+25*3</f>
        <v>127</v>
      </c>
      <c r="X404" s="22"/>
      <c r="Y404" s="30" t="n">
        <v>5</v>
      </c>
      <c r="Z404" s="30" t="n">
        <v>48</v>
      </c>
      <c r="AA404" s="24" t="n">
        <f aca="false">IF(AND(W404&gt;0,Z404&gt;0),(Z404/((W404+X404)*10)),"")</f>
        <v>0.0377952755905512</v>
      </c>
      <c r="AB404" s="30" t="n">
        <v>60</v>
      </c>
      <c r="AC404" s="30" t="n">
        <f aca="false">ROUND(AB404*1.6, 0)</f>
        <v>96</v>
      </c>
      <c r="AG404" s="30" t="n">
        <v>17.5</v>
      </c>
      <c r="AJ404" s="25" t="n">
        <v>48</v>
      </c>
      <c r="AK404" s="26" t="str">
        <f aca="false">CONCATENATE(VLOOKUP(AL404, '[1]Voxel Sizes'!$A$2:$B$18,2,FALSE()),"x",INT(AH404*15), "x", INT(AI404*15))</f>
        <v>164x0x0</v>
      </c>
      <c r="AL404" s="30" t="n">
        <f aca="false">ROUND(15*((AG404*10)/256),0)</f>
        <v>10</v>
      </c>
      <c r="AN404" s="19" t="str">
        <f aca="false">CONCATENATE(VLOOKUP(AL404,[1]Constants!$A$2:$C$16,IF(AM404&lt;&gt;"", 3, 2), FALSE()),IF(AM404&lt;&gt;"",CONCATENATE(",",VLOOKUP(AM404,$B:$AN,38,FALSE())),""))</f>
        <v>4,2,4</v>
      </c>
      <c r="AP404" s="27"/>
      <c r="AQ404" s="27"/>
      <c r="AR404" s="30" t="s">
        <v>1439</v>
      </c>
      <c r="AT404" s="30" t="s">
        <v>947</v>
      </c>
      <c r="AU404" s="30" t="s">
        <v>1429</v>
      </c>
      <c r="AX404" s="30" t="n">
        <v>25</v>
      </c>
      <c r="AY404" s="28" t="n">
        <f aca="false">IF(L404&lt;&gt;"",MAX(16,(L404-J404)+8),"")</f>
        <v>52</v>
      </c>
      <c r="AZ404" s="30" t="n">
        <v>-10</v>
      </c>
      <c r="BA404" s="30" t="n">
        <v>-25</v>
      </c>
      <c r="BB404" s="30" t="n">
        <f aca="false">MIN(AB404/150, 1)*30</f>
        <v>12</v>
      </c>
      <c r="BC404" s="30" t="n">
        <f aca="false">MIN(N404/4000, 1)*20</f>
        <v>3</v>
      </c>
      <c r="BD404" s="30" t="n">
        <f aca="false">MIN(Z404/400,1)*20</f>
        <v>2.4</v>
      </c>
      <c r="BE404" s="24" t="n">
        <f aca="false">1-(MAX(J404-1900, 0)/750)</f>
        <v>0.985333333333333</v>
      </c>
      <c r="BF404" s="30" t="n">
        <f aca="false">((MAX($M404,1)*MIN($AJ404/300,1)))*IF(G404="Wagon",50,10)</f>
        <v>6.4</v>
      </c>
      <c r="BG404" s="19" t="n">
        <f aca="false">VLOOKUP($H404,[1]Constants!$I$1:$K$1048576, 2, FALSE())</f>
        <v>0.85</v>
      </c>
      <c r="BH404" s="19" t="n">
        <f aca="false">VLOOKUP($H404,[1]Constants!$I$1:$K$1048576, 3, FALSE())*IF(AND(G404="multiple_unit",AB404&lt;110),0.75,1)</f>
        <v>1.725</v>
      </c>
      <c r="BI404" s="30" t="n">
        <v>34</v>
      </c>
      <c r="BJ404" s="30" t="n">
        <v>55</v>
      </c>
      <c r="BK404" s="29" t="n">
        <f aca="false">BI404*IF($G404="wagon",62.5,781.25)</f>
        <v>26562.5</v>
      </c>
      <c r="BL404" s="29" t="n">
        <f aca="false">BJ404*IF($G404="wagon",2.73,81.25)</f>
        <v>4468.75</v>
      </c>
      <c r="BR404" s="30" t="s">
        <v>1440</v>
      </c>
      <c r="BV404" s="30" t="n">
        <v>6</v>
      </c>
      <c r="BW404" s="30" t="n">
        <v>185</v>
      </c>
      <c r="BZ404" s="30" t="s">
        <v>148</v>
      </c>
      <c r="CA404" s="30" t="s">
        <v>1236</v>
      </c>
      <c r="CB404" s="30" t="s">
        <v>844</v>
      </c>
      <c r="CC404" s="30" t="str">
        <f aca="false">CONCATENATE(CA404,"_",CB404)</f>
        <v>edw_EMU</v>
      </c>
      <c r="CD404" s="30" t="str">
        <f aca="false">_xlfn.CONCAT(H404, "_",I404)</f>
        <v>electric_ELRL</v>
      </c>
      <c r="CE404" s="31" t="str">
        <f aca="false" t="array" ref="CE404:CE404">_xlfn.CONCAT("{BLACK}Length: {GOLD}", TEXT(ROUNDUP(IF(AQ404&lt;&gt;"",SUM(VALUE(_xlfn.TEXTSPLIT(AQ404, ","))), SUM(VALUE(_xlfn.TEXTSPLIT(AN404, ",")))*IF(M404, M404, 1))/16, 1), "#,##0.0"), " tiles{}")</f>
        <v>{BLACK}Length: {GOLD}2.5 tiles{}</v>
      </c>
      <c r="CF404" s="19" t="str">
        <f aca="false">VLOOKUP($CD404, [1]Constants!$M$1:$N$1048576, 2, FALSE())</f>
        <v>{BLACK}Powered by: {GOLD}25kV AC</v>
      </c>
      <c r="CG404" s="30" t="str">
        <f aca="false">IF(M404&gt;1,_xlfn.CONCAT("{BLACK}Cars: {GOLD}", M404),"")</f>
        <v>{BLACK}Cars: {GOLD}4</v>
      </c>
      <c r="CH404" s="30" t="s">
        <v>1431</v>
      </c>
      <c r="CJ404" s="19" t="str">
        <f aca="false">IF(BX404="buffet","{YELLOW}25% long distance bonus for consist{}",IF(CA404="BRAKE","{YELLOW}Speed bonus for slow wagons{}",IF(BW404&gt;190,CONCATENATE("{YELLOW}",INT((BW404-185)/1.85),"% bonus for long distance travel{}"),IF(AND(BW404&lt;180,BW404&lt;&gt;0),CONCATENATE("{YELLOW}",INT((185-BW404)/1.85),"% penalty for long distance travel{}"),""))))</f>
        <v/>
      </c>
      <c r="CK404" s="19" t="str">
        <f aca="false">_xlfn.CONCAT(CF404,IF(CF404 &lt;&gt; "", " ", ""),CG404,IF(OR(CG404&lt;&gt;"", CF404&lt;&gt;""), "{}",""), CE404, CJ404,"{SILVER}", CH404)</f>
        <v>{BLACK}Powered by: {GOLD}25kV AC {BLACK}Cars: {GOLD}4{}{BLACK}Length: {GOLD}2.5 tiles{}{SILVER}The LB&amp;SCR (Later SR) “CP” EMUs were a nightmare of different build dates and vehicle sizes, designed for use on the “Elevated Electric” line into London.</v>
      </c>
    </row>
    <row r="405" s="30" customFormat="true" ht="14.25" hidden="false" customHeight="false" outlineLevel="0" collapsed="false">
      <c r="A405" s="30" t="s">
        <v>1441</v>
      </c>
      <c r="B405" s="49" t="s">
        <v>1442</v>
      </c>
      <c r="C405" s="21" t="n">
        <v>3016</v>
      </c>
      <c r="D405" s="30" t="n">
        <v>3013</v>
      </c>
      <c r="E405" s="30" t="n">
        <v>14</v>
      </c>
      <c r="F405" s="30" t="s">
        <v>143</v>
      </c>
      <c r="G405" s="19" t="s">
        <v>827</v>
      </c>
      <c r="H405" s="30" t="s">
        <v>529</v>
      </c>
      <c r="I405" s="30" t="s">
        <v>530</v>
      </c>
      <c r="J405" s="30" t="n">
        <v>1911</v>
      </c>
      <c r="L405" s="30" t="n">
        <v>1955</v>
      </c>
      <c r="M405" s="30" t="n">
        <v>5</v>
      </c>
      <c r="N405" s="30" t="n">
        <v>600</v>
      </c>
      <c r="O405" s="22"/>
      <c r="P405" s="23"/>
      <c r="Q405" s="23"/>
      <c r="R405" s="23"/>
      <c r="S405" s="23"/>
      <c r="T405" s="23"/>
      <c r="U405" s="23"/>
      <c r="V405" s="23"/>
      <c r="W405" s="30" t="n">
        <f aca="false">52+25*4</f>
        <v>152</v>
      </c>
      <c r="X405" s="22"/>
      <c r="Y405" s="30" t="n">
        <v>5</v>
      </c>
      <c r="Z405" s="30" t="n">
        <v>48</v>
      </c>
      <c r="AA405" s="24" t="n">
        <f aca="false">IF(AND(W405&gt;0,Z405&gt;0),(Z405/((W405+X405)*10)),"")</f>
        <v>0.0315789473684211</v>
      </c>
      <c r="AB405" s="30" t="n">
        <v>60</v>
      </c>
      <c r="AC405" s="30" t="n">
        <f aca="false">ROUND(AB405*1.6, 0)</f>
        <v>96</v>
      </c>
      <c r="AG405" s="30" t="n">
        <v>17.5</v>
      </c>
      <c r="AJ405" s="25" t="n">
        <v>48</v>
      </c>
      <c r="AK405" s="26" t="str">
        <f aca="false">CONCATENATE(VLOOKUP(AL405, '[1]Voxel Sizes'!$A$2:$B$18,2,FALSE()),"x",INT(AH405*15), "x", INT(AI405*15))</f>
        <v>164x0x0</v>
      </c>
      <c r="AL405" s="30" t="n">
        <f aca="false">ROUND(15*((AG405*10)/256),0)</f>
        <v>10</v>
      </c>
      <c r="AN405" s="19" t="str">
        <f aca="false">CONCATENATE(VLOOKUP(AL405,[1]Constants!$A$2:$C$16,IF(AM405&lt;&gt;"", 3, 2), FALSE()),IF(AM405&lt;&gt;"",CONCATENATE(",",VLOOKUP(AM405,$B:$AN,38,FALSE())),""))</f>
        <v>4,2,4</v>
      </c>
      <c r="AP405" s="27"/>
      <c r="AQ405" s="27"/>
      <c r="AR405" s="30" t="s">
        <v>1443</v>
      </c>
      <c r="AT405" s="30" t="s">
        <v>931</v>
      </c>
      <c r="AU405" s="30" t="s">
        <v>1429</v>
      </c>
      <c r="AX405" s="30" t="n">
        <v>25</v>
      </c>
      <c r="AY405" s="28" t="n">
        <f aca="false">IF(L405&lt;&gt;"",MAX(16,(L405-J405)+8),"")</f>
        <v>52</v>
      </c>
      <c r="AZ405" s="30" t="n">
        <v>-10</v>
      </c>
      <c r="BA405" s="30" t="n">
        <v>-25</v>
      </c>
      <c r="BB405" s="30" t="n">
        <f aca="false">MIN(AB405/150, 1)*30</f>
        <v>12</v>
      </c>
      <c r="BC405" s="30" t="n">
        <f aca="false">MIN(N405/4000, 1)*20</f>
        <v>3</v>
      </c>
      <c r="BD405" s="30" t="n">
        <f aca="false">MIN(Z405/400,1)*20</f>
        <v>2.4</v>
      </c>
      <c r="BE405" s="24" t="n">
        <f aca="false">1-(MAX(J405-1900, 0)/750)</f>
        <v>0.985333333333333</v>
      </c>
      <c r="BF405" s="30" t="n">
        <f aca="false">((MAX($M405,1)*MIN($AJ405/300,1)))*IF(G405="Wagon",50,10)</f>
        <v>8</v>
      </c>
      <c r="BG405" s="19" t="n">
        <f aca="false">VLOOKUP($H405,[1]Constants!$I$1:$K$1048576, 2, FALSE())</f>
        <v>0.85</v>
      </c>
      <c r="BH405" s="19" t="n">
        <f aca="false">VLOOKUP($H405,[1]Constants!$I$1:$K$1048576, 3, FALSE())*IF(AND(G405="multiple_unit",AB405&lt;110),0.75,1)</f>
        <v>1.725</v>
      </c>
      <c r="BI405" s="30" t="n">
        <v>37</v>
      </c>
      <c r="BJ405" s="30" t="n">
        <v>58</v>
      </c>
      <c r="BK405" s="29" t="n">
        <f aca="false">BI405*IF($G405="wagon",62.5,781.25)</f>
        <v>28906.25</v>
      </c>
      <c r="BL405" s="29" t="n">
        <f aca="false">BJ405*IF($G405="wagon",2.73,81.25)</f>
        <v>4712.5</v>
      </c>
      <c r="BR405" s="30" t="s">
        <v>1444</v>
      </c>
      <c r="BV405" s="30" t="n">
        <v>6</v>
      </c>
      <c r="BW405" s="30" t="n">
        <v>185</v>
      </c>
      <c r="BZ405" s="30" t="s">
        <v>148</v>
      </c>
      <c r="CA405" s="30" t="s">
        <v>1236</v>
      </c>
      <c r="CB405" s="30" t="s">
        <v>844</v>
      </c>
      <c r="CC405" s="30" t="str">
        <f aca="false">CONCATENATE(CA405,"_",CB405)</f>
        <v>edw_EMU</v>
      </c>
      <c r="CD405" s="30" t="str">
        <f aca="false">_xlfn.CONCAT(H405, "_",I405)</f>
        <v>electric_ELRL</v>
      </c>
      <c r="CE405" s="31" t="str">
        <f aca="false" t="array" ref="CE405:CE405">_xlfn.CONCAT("{BLACK}Length: {GOLD}", TEXT(ROUNDUP(IF(AQ405&lt;&gt;"",SUM(VALUE(_xlfn.TEXTSPLIT(AQ405, ","))), SUM(VALUE(_xlfn.TEXTSPLIT(AN405, ",")))*IF(M405, M405, 1))/16, 1), "#,##0.0"), " tiles{}")</f>
        <v>{BLACK}Length: {GOLD}3.2 tiles{}</v>
      </c>
      <c r="CF405" s="19" t="str">
        <f aca="false">VLOOKUP($CD405, [1]Constants!$M$1:$N$1048576, 2, FALSE())</f>
        <v>{BLACK}Powered by: {GOLD}25kV AC</v>
      </c>
      <c r="CG405" s="30" t="str">
        <f aca="false">IF(M405&gt;1,_xlfn.CONCAT("{BLACK}Cars: {GOLD}", M405),"")</f>
        <v>{BLACK}Cars: {GOLD}5</v>
      </c>
      <c r="CH405" s="30" t="s">
        <v>1431</v>
      </c>
      <c r="CJ405" s="19" t="str">
        <f aca="false">IF(BX405="buffet","{YELLOW}25% long distance bonus for consist{}",IF(CA405="BRAKE","{YELLOW}Speed bonus for slow wagons{}",IF(BW405&gt;190,CONCATENATE("{YELLOW}",INT((BW405-185)/1.85),"% bonus for long distance travel{}"),IF(AND(BW405&lt;180,BW405&lt;&gt;0),CONCATENATE("{YELLOW}",INT((185-BW405)/1.85),"% penalty for long distance travel{}"),""))))</f>
        <v/>
      </c>
      <c r="CK405" s="19" t="str">
        <f aca="false">_xlfn.CONCAT(CF405,IF(CF405 &lt;&gt; "", " ", ""),CG405,IF(OR(CG405&lt;&gt;"", CF405&lt;&gt;""), "{}",""), CE405, CJ405,"{SILVER}", CH405)</f>
        <v>{BLACK}Powered by: {GOLD}25kV AC {BLACK}Cars: {GOLD}5{}{BLACK}Length: {GOLD}3.2 tiles{}{SILVER}The LB&amp;SCR (Later SR) “CP” EMUs were a nightmare of different build dates and vehicle sizes, designed for use on the “Elevated Electric” line into London.</v>
      </c>
    </row>
    <row r="406" s="30" customFormat="true" ht="14.25" hidden="false" customHeight="false" outlineLevel="0" collapsed="false">
      <c r="A406" s="30" t="s">
        <v>1445</v>
      </c>
      <c r="B406" s="49" t="s">
        <v>1446</v>
      </c>
      <c r="C406" s="21" t="n">
        <v>3017</v>
      </c>
      <c r="D406" s="30" t="n">
        <v>3013</v>
      </c>
      <c r="E406" s="30" t="n">
        <v>14</v>
      </c>
      <c r="F406" s="30" t="s">
        <v>143</v>
      </c>
      <c r="G406" s="19" t="s">
        <v>827</v>
      </c>
      <c r="H406" s="30" t="s">
        <v>529</v>
      </c>
      <c r="I406" s="30" t="s">
        <v>530</v>
      </c>
      <c r="J406" s="30" t="n">
        <v>1911</v>
      </c>
      <c r="L406" s="30" t="n">
        <v>1955</v>
      </c>
      <c r="M406" s="30" t="n">
        <v>6</v>
      </c>
      <c r="N406" s="30" t="n">
        <v>600</v>
      </c>
      <c r="O406" s="22"/>
      <c r="P406" s="23"/>
      <c r="Q406" s="23"/>
      <c r="R406" s="23"/>
      <c r="S406" s="23"/>
      <c r="T406" s="23"/>
      <c r="U406" s="23"/>
      <c r="V406" s="23"/>
      <c r="W406" s="30" t="n">
        <f aca="false">52+25*5</f>
        <v>177</v>
      </c>
      <c r="X406" s="22"/>
      <c r="Y406" s="30" t="n">
        <v>5</v>
      </c>
      <c r="Z406" s="30" t="n">
        <v>48</v>
      </c>
      <c r="AA406" s="24" t="n">
        <f aca="false">IF(AND(W406&gt;0,Z406&gt;0),(Z406/((W406+X406)*10)),"")</f>
        <v>0.0271186440677966</v>
      </c>
      <c r="AB406" s="30" t="n">
        <v>60</v>
      </c>
      <c r="AC406" s="30" t="n">
        <f aca="false">ROUND(AB406*1.6, 0)</f>
        <v>96</v>
      </c>
      <c r="AG406" s="30" t="n">
        <v>17.5</v>
      </c>
      <c r="AJ406" s="25" t="n">
        <v>48</v>
      </c>
      <c r="AK406" s="26" t="str">
        <f aca="false">CONCATENATE(VLOOKUP(AL406, '[1]Voxel Sizes'!$A$2:$B$18,2,FALSE()),"x",INT(AH406*15), "x", INT(AI406*15))</f>
        <v>164x0x0</v>
      </c>
      <c r="AL406" s="30" t="n">
        <f aca="false">ROUND(15*((AG406*10)/256),0)</f>
        <v>10</v>
      </c>
      <c r="AN406" s="19" t="str">
        <f aca="false">CONCATENATE(VLOOKUP(AL406,[1]Constants!$A$2:$C$16,IF(AM406&lt;&gt;"", 3, 2), FALSE()),IF(AM406&lt;&gt;"",CONCATENATE(",",VLOOKUP(AM406,$B:$AN,38,FALSE())),""))</f>
        <v>4,2,4</v>
      </c>
      <c r="AP406" s="27"/>
      <c r="AQ406" s="27"/>
      <c r="AR406" s="30" t="s">
        <v>1447</v>
      </c>
      <c r="AT406" s="30" t="s">
        <v>956</v>
      </c>
      <c r="AU406" s="30" t="s">
        <v>1429</v>
      </c>
      <c r="AX406" s="30" t="n">
        <v>25</v>
      </c>
      <c r="AY406" s="28" t="n">
        <f aca="false">IF(L406&lt;&gt;"",MAX(16,(L406-J406)+8),"")</f>
        <v>52</v>
      </c>
      <c r="AZ406" s="30" t="n">
        <v>-10</v>
      </c>
      <c r="BA406" s="30" t="n">
        <v>-25</v>
      </c>
      <c r="BB406" s="30" t="n">
        <f aca="false">MIN(AB406/150, 1)*30</f>
        <v>12</v>
      </c>
      <c r="BC406" s="30" t="n">
        <f aca="false">MIN(N406/4000, 1)*20</f>
        <v>3</v>
      </c>
      <c r="BD406" s="30" t="n">
        <f aca="false">MIN(Z406/400,1)*20</f>
        <v>2.4</v>
      </c>
      <c r="BE406" s="24" t="n">
        <f aca="false">1-(MAX(J406-1900, 0)/750)</f>
        <v>0.985333333333333</v>
      </c>
      <c r="BF406" s="30" t="n">
        <f aca="false">((MAX($M406,1)*MIN($AJ406/300,1)))*IF(G406="Wagon",50,10)</f>
        <v>9.6</v>
      </c>
      <c r="BG406" s="19" t="n">
        <f aca="false">VLOOKUP($H406,[1]Constants!$I$1:$K$1048576, 2, FALSE())</f>
        <v>0.85</v>
      </c>
      <c r="BH406" s="19" t="n">
        <f aca="false">VLOOKUP($H406,[1]Constants!$I$1:$K$1048576, 3, FALSE())*IF(AND(G406="multiple_unit",AB406&lt;110),0.75,1)</f>
        <v>1.725</v>
      </c>
      <c r="BI406" s="30" t="n">
        <v>41</v>
      </c>
      <c r="BJ406" s="30" t="n">
        <v>61</v>
      </c>
      <c r="BK406" s="29" t="n">
        <f aca="false">BI406*IF($G406="wagon",62.5,781.25)</f>
        <v>32031.25</v>
      </c>
      <c r="BL406" s="29" t="n">
        <f aca="false">BJ406*IF($G406="wagon",2.73,81.25)</f>
        <v>4956.25</v>
      </c>
      <c r="BR406" s="30" t="s">
        <v>1448</v>
      </c>
      <c r="BV406" s="30" t="n">
        <v>6</v>
      </c>
      <c r="BW406" s="30" t="n">
        <v>185</v>
      </c>
      <c r="BZ406" s="30" t="s">
        <v>148</v>
      </c>
      <c r="CA406" s="30" t="s">
        <v>1236</v>
      </c>
      <c r="CB406" s="30" t="s">
        <v>844</v>
      </c>
      <c r="CC406" s="30" t="str">
        <f aca="false">CONCATENATE(CA406,"_",CB406)</f>
        <v>edw_EMU</v>
      </c>
      <c r="CD406" s="30" t="str">
        <f aca="false">_xlfn.CONCAT(H406, "_",I406)</f>
        <v>electric_ELRL</v>
      </c>
      <c r="CE406" s="31" t="str">
        <f aca="false" t="array" ref="CE406:CE406">_xlfn.CONCAT("{BLACK}Length: {GOLD}", TEXT(ROUNDUP(IF(AQ406&lt;&gt;"",SUM(VALUE(_xlfn.TEXTSPLIT(AQ406, ","))), SUM(VALUE(_xlfn.TEXTSPLIT(AN406, ",")))*IF(M406, M406, 1))/16, 1), "#,##0.0"), " tiles{}")</f>
        <v>{BLACK}Length: {GOLD}3.8 tiles{}</v>
      </c>
      <c r="CF406" s="19" t="str">
        <f aca="false">VLOOKUP($CD406, [1]Constants!$M$1:$N$1048576, 2, FALSE())</f>
        <v>{BLACK}Powered by: {GOLD}25kV AC</v>
      </c>
      <c r="CG406" s="30" t="str">
        <f aca="false">IF(M406&gt;1,_xlfn.CONCAT("{BLACK}Cars: {GOLD}", M406),"")</f>
        <v>{BLACK}Cars: {GOLD}6</v>
      </c>
      <c r="CH406" s="30" t="s">
        <v>1431</v>
      </c>
      <c r="CJ406" s="19" t="str">
        <f aca="false">IF(BX406="buffet","{YELLOW}25% long distance bonus for consist{}",IF(CA406="BRAKE","{YELLOW}Speed bonus for slow wagons{}",IF(BW406&gt;190,CONCATENATE("{YELLOW}",INT((BW406-185)/1.85),"% bonus for long distance travel{}"),IF(AND(BW406&lt;180,BW406&lt;&gt;0),CONCATENATE("{YELLOW}",INT((185-BW406)/1.85),"% penalty for long distance travel{}"),""))))</f>
        <v/>
      </c>
      <c r="CK406" s="19" t="str">
        <f aca="false">_xlfn.CONCAT(CF406,IF(CF406 &lt;&gt; "", " ", ""),CG406,IF(OR(CG406&lt;&gt;"", CF406&lt;&gt;""), "{}",""), CE406, CJ406,"{SILVER}", CH406)</f>
        <v>{BLACK}Powered by: {GOLD}25kV AC {BLACK}Cars: {GOLD}6{}{BLACK}Length: {GOLD}3.8 tiles{}{SILVER}The LB&amp;SCR (Later SR) “CP” EMUs were a nightmare of different build dates and vehicle sizes, designed for use on the “Elevated Electric” line into London.</v>
      </c>
    </row>
    <row r="407" s="30" customFormat="true" ht="14.25" hidden="false" customHeight="false" outlineLevel="0" collapsed="false">
      <c r="A407" s="30" t="s">
        <v>1449</v>
      </c>
      <c r="B407" s="49" t="s">
        <v>1450</v>
      </c>
      <c r="C407" s="21" t="n">
        <v>3018</v>
      </c>
      <c r="E407" s="30" t="n">
        <v>19</v>
      </c>
      <c r="F407" s="30" t="s">
        <v>143</v>
      </c>
      <c r="G407" s="19" t="s">
        <v>827</v>
      </c>
      <c r="H407" s="30" t="s">
        <v>529</v>
      </c>
      <c r="I407" s="30" t="s">
        <v>530</v>
      </c>
      <c r="J407" s="30" t="n">
        <v>1925</v>
      </c>
      <c r="L407" s="30" t="n">
        <v>1955</v>
      </c>
      <c r="M407" s="30" t="n">
        <v>5</v>
      </c>
      <c r="N407" s="30" t="n">
        <v>1000</v>
      </c>
      <c r="O407" s="22"/>
      <c r="P407" s="23"/>
      <c r="Q407" s="23"/>
      <c r="R407" s="23"/>
      <c r="S407" s="23"/>
      <c r="T407" s="23"/>
      <c r="U407" s="23"/>
      <c r="V407" s="23"/>
      <c r="W407" s="30" t="n">
        <v>160</v>
      </c>
      <c r="X407" s="22"/>
      <c r="Y407" s="30" t="n">
        <v>5</v>
      </c>
      <c r="Z407" s="30" t="n">
        <v>48</v>
      </c>
      <c r="AA407" s="24" t="n">
        <f aca="false">IF(AND(W407&gt;0,Z407&gt;0),(Z407/((W407+X407)*10)),"")</f>
        <v>0.03</v>
      </c>
      <c r="AB407" s="30" t="n">
        <v>60</v>
      </c>
      <c r="AC407" s="30" t="n">
        <f aca="false">ROUND(AB407*1.6, 0)</f>
        <v>96</v>
      </c>
      <c r="AG407" s="30" t="n">
        <v>12.8</v>
      </c>
      <c r="AJ407" s="25" t="n">
        <v>60</v>
      </c>
      <c r="AK407" s="26" t="str">
        <f aca="false">CONCATENATE(VLOOKUP(AL407, '[1]Voxel Sizes'!$A$2:$B$18,2,FALSE()),"x",INT(AH407*15), "x", INT(AI407*15))</f>
        <v>136x0x0</v>
      </c>
      <c r="AL407" s="30" t="n">
        <f aca="false">ROUND(15*((AG407*10)/256),0)</f>
        <v>8</v>
      </c>
      <c r="AN407" s="19" t="str">
        <f aca="false">CONCATENATE(VLOOKUP(AL407,[1]Constants!$A$2:$C$16,IF(AM407&lt;&gt;"", 3, 2), FALSE()),IF(AM407&lt;&gt;"",CONCATENATE(",",VLOOKUP(AM407,$B:$AN,38,FALSE())),""))</f>
        <v>2,4,2</v>
      </c>
      <c r="AP407" s="27" t="s">
        <v>1451</v>
      </c>
      <c r="AQ407" s="27" t="s">
        <v>1452</v>
      </c>
      <c r="AR407" s="30" t="s">
        <v>1453</v>
      </c>
      <c r="AT407" s="30" t="s">
        <v>1454</v>
      </c>
      <c r="AU407" s="30" t="s">
        <v>1429</v>
      </c>
      <c r="AX407" s="30" t="n">
        <v>25</v>
      </c>
      <c r="AY407" s="28" t="n">
        <f aca="false">IF(L407&lt;&gt;"",MAX(16,(L407-J407)+8),"")</f>
        <v>38</v>
      </c>
      <c r="AZ407" s="30" t="n">
        <v>-10</v>
      </c>
      <c r="BA407" s="30" t="n">
        <v>-25</v>
      </c>
      <c r="BB407" s="30" t="n">
        <f aca="false">MIN(AB407/150, 1)*30</f>
        <v>12</v>
      </c>
      <c r="BC407" s="30" t="n">
        <f aca="false">MIN(N407/4000, 1)*20</f>
        <v>5</v>
      </c>
      <c r="BD407" s="30" t="n">
        <f aca="false">MIN(Z407/400,1)*20</f>
        <v>2.4</v>
      </c>
      <c r="BE407" s="24" t="n">
        <f aca="false">1-(MAX(J407-1900, 0)/750)</f>
        <v>0.966666666666667</v>
      </c>
      <c r="BF407" s="30" t="n">
        <f aca="false">((MAX($M407,1)*MIN($AJ407/300,1)))*IF(G407="Wagon",50,10)</f>
        <v>10</v>
      </c>
      <c r="BG407" s="19" t="n">
        <f aca="false">VLOOKUP($H407,[1]Constants!$I$1:$K$1048576, 2, FALSE())</f>
        <v>0.85</v>
      </c>
      <c r="BH407" s="19" t="n">
        <f aca="false">VLOOKUP($H407,[1]Constants!$I$1:$K$1048576, 3, FALSE())*IF(AND(G407="multiple_unit",AB407&lt;110),0.75,1)</f>
        <v>1.725</v>
      </c>
      <c r="BI407" s="30" t="n">
        <v>45</v>
      </c>
      <c r="BJ407" s="30" t="n">
        <v>64</v>
      </c>
      <c r="BK407" s="29" t="n">
        <f aca="false">BI407*IF($G407="wagon",62.5,781.25)</f>
        <v>35156.25</v>
      </c>
      <c r="BL407" s="29" t="n">
        <f aca="false">BJ407*IF($G407="wagon",2.73,81.25)</f>
        <v>5200</v>
      </c>
      <c r="BV407" s="30" t="n">
        <v>6</v>
      </c>
      <c r="BW407" s="30" t="n">
        <v>185</v>
      </c>
      <c r="BZ407" s="30" t="s">
        <v>148</v>
      </c>
      <c r="CA407" s="30" t="s">
        <v>1263</v>
      </c>
      <c r="CB407" s="30" t="s">
        <v>844</v>
      </c>
      <c r="CC407" s="30" t="str">
        <f aca="false">CONCATENATE(CA407,"_",CB407)</f>
        <v>big4_EMU</v>
      </c>
      <c r="CD407" s="30" t="str">
        <f aca="false">_xlfn.CONCAT(H407, "_",I407)</f>
        <v>electric_ELRL</v>
      </c>
      <c r="CE407" s="31" t="str">
        <f aca="false" t="array" ref="CE407:CE407">_xlfn.CONCAT("{BLACK}Length: {GOLD}", TEXT(ROUNDUP(IF(AQ407&lt;&gt;"",SUM(VALUE(_xlfn.TEXTSPLIT(AQ407, ","))), SUM(VALUE(_xlfn.TEXTSPLIT(AN407, ",")))*IF(M407, M407, 1))/16, 1), "#,##0.0"), " tiles{}")</f>
        <v>{BLACK}Length: {GOLD}3.0 tiles{}</v>
      </c>
      <c r="CF407" s="19" t="str">
        <f aca="false">VLOOKUP($CD407, [1]Constants!$M$1:$N$1048576, 2, FALSE())</f>
        <v>{BLACK}Powered by: {GOLD}25kV AC</v>
      </c>
      <c r="CG407" s="30" t="str">
        <f aca="false">IF(M407&gt;1,_xlfn.CONCAT("{BLACK}Cars: {GOLD}", M407),"")</f>
        <v>{BLACK}Cars: {GOLD}5</v>
      </c>
      <c r="CH407" s="30" t="s">
        <v>1455</v>
      </c>
      <c r="CJ407" s="19" t="str">
        <f aca="false">IF(BX407="buffet","{YELLOW}25% long distance bonus for consist{}",IF(CA407="BRAKE","{YELLOW}Speed bonus for slow wagons{}",IF(BW407&gt;190,CONCATENATE("{YELLOW}",INT((BW407-185)/1.85),"% bonus for long distance travel{}"),IF(AND(BW407&lt;180,BW407&lt;&gt;0),CONCATENATE("{YELLOW}",INT((185-BW407)/1.85),"% penalty for long distance travel{}"),""))))</f>
        <v/>
      </c>
      <c r="CK407" s="19" t="str">
        <f aca="false">_xlfn.CONCAT(CF407,IF(CF407 &lt;&gt; "", " ", ""),CG407,IF(OR(CG407&lt;&gt;"", CF407&lt;&gt;""), "{}",""), CE407, CJ407,"{SILVER}", CH407)</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408" s="30" customFormat="true" ht="14.25" hidden="false" customHeight="false" outlineLevel="0" collapsed="false">
      <c r="A408" s="30" t="s">
        <v>1456</v>
      </c>
      <c r="B408" s="49" t="s">
        <v>1457</v>
      </c>
      <c r="C408" s="21" t="n">
        <v>3019</v>
      </c>
      <c r="E408" s="30" t="n">
        <v>20</v>
      </c>
      <c r="F408" s="30" t="s">
        <v>143</v>
      </c>
      <c r="G408" s="19" t="s">
        <v>445</v>
      </c>
      <c r="H408" s="30" t="s">
        <v>529</v>
      </c>
      <c r="I408" s="30" t="s">
        <v>530</v>
      </c>
      <c r="J408" s="30" t="n">
        <v>1925</v>
      </c>
      <c r="L408" s="30" t="n">
        <v>1955</v>
      </c>
      <c r="N408" s="30" t="n">
        <v>1000</v>
      </c>
      <c r="O408" s="22"/>
      <c r="P408" s="23"/>
      <c r="Q408" s="23"/>
      <c r="R408" s="23"/>
      <c r="S408" s="23"/>
      <c r="T408" s="23"/>
      <c r="U408" s="23"/>
      <c r="V408" s="23"/>
      <c r="W408" s="30" t="n">
        <v>62</v>
      </c>
      <c r="X408" s="22"/>
      <c r="Y408" s="30" t="n">
        <v>5</v>
      </c>
      <c r="Z408" s="30" t="n">
        <v>48</v>
      </c>
      <c r="AA408" s="24" t="n">
        <f aca="false">IF(AND(W408&gt;0,Z408&gt;0),(Z408/((W408+X408)*10)),"")</f>
        <v>0.0774193548387097</v>
      </c>
      <c r="AB408" s="30" t="n">
        <v>60</v>
      </c>
      <c r="AC408" s="30" t="n">
        <f aca="false">ROUND(AB408*1.6, 0)</f>
        <v>96</v>
      </c>
      <c r="AG408" s="30" t="n">
        <v>12.8</v>
      </c>
      <c r="AJ408" s="25" t="n">
        <v>60</v>
      </c>
      <c r="AK408" s="26" t="str">
        <f aca="false">CONCATENATE(VLOOKUP(AL408, '[1]Voxel Sizes'!$A$2:$B$18,2,FALSE()),"x",INT(AH408*15), "x", INT(AI408*15))</f>
        <v>136x0x0</v>
      </c>
      <c r="AL408" s="30" t="n">
        <f aca="false">ROUND(15*((AG408*10)/256),0)</f>
        <v>8</v>
      </c>
      <c r="AN408" s="19" t="str">
        <f aca="false">CONCATENATE(VLOOKUP(AL408,[1]Constants!$A$2:$C$16,IF(AM408&lt;&gt;"", 3, 2), FALSE()),IF(AM408&lt;&gt;"",CONCATENATE(",",VLOOKUP(AM408,$B:$AN,38,FALSE())),""))</f>
        <v>2,4,2</v>
      </c>
      <c r="AP408" s="27"/>
      <c r="AQ408" s="27"/>
      <c r="AU408" s="30" t="s">
        <v>1457</v>
      </c>
      <c r="AX408" s="30" t="n">
        <v>25</v>
      </c>
      <c r="AY408" s="28" t="n">
        <f aca="false">IF(L408&lt;&gt;"",MAX(16,(L408-J408)+8),"")</f>
        <v>38</v>
      </c>
      <c r="AZ408" s="30" t="n">
        <v>-10</v>
      </c>
      <c r="BA408" s="30" t="n">
        <v>-25</v>
      </c>
      <c r="BB408" s="30" t="n">
        <f aca="false">MIN(AB408/150, 1)*30</f>
        <v>12</v>
      </c>
      <c r="BC408" s="30" t="n">
        <f aca="false">MIN(N408/4000, 1)*20</f>
        <v>5</v>
      </c>
      <c r="BD408" s="30" t="n">
        <f aca="false">MIN(Z408/400,1)*20</f>
        <v>2.4</v>
      </c>
      <c r="BE408" s="24" t="n">
        <f aca="false">1-(MAX(J408-1900, 0)/750)</f>
        <v>0.966666666666667</v>
      </c>
      <c r="BF408" s="30" t="n">
        <f aca="false">((MAX($M408,1)*MIN($AJ408/300,1)))*IF(G408="Wagon",50,10)</f>
        <v>2</v>
      </c>
      <c r="BG408" s="19" t="n">
        <f aca="false">VLOOKUP($H408,[1]Constants!$I$1:$K$1048576, 2, FALSE())</f>
        <v>0.85</v>
      </c>
      <c r="BH408" s="19" t="n">
        <f aca="false">VLOOKUP($H408,[1]Constants!$I$1:$K$1048576, 3, FALSE())*IF(AND(G408="multiple_unit",AB408&lt;110),0.75,1)</f>
        <v>2.3</v>
      </c>
      <c r="BI408" s="30" t="n">
        <v>46</v>
      </c>
      <c r="BJ408" s="30" t="n">
        <v>49</v>
      </c>
      <c r="BK408" s="29" t="n">
        <f aca="false">BI408*IF($G408="wagon",62.5,781.25)</f>
        <v>35937.5</v>
      </c>
      <c r="BL408" s="29" t="n">
        <f aca="false">BJ408*IF($G408="wagon",2.73,81.25)</f>
        <v>3981.25</v>
      </c>
      <c r="BV408" s="30" t="n">
        <v>6</v>
      </c>
      <c r="BW408" s="30" t="n">
        <v>185</v>
      </c>
      <c r="BZ408" s="30" t="s">
        <v>220</v>
      </c>
      <c r="CA408" s="30" t="s">
        <v>1263</v>
      </c>
      <c r="CB408" s="30" t="s">
        <v>844</v>
      </c>
      <c r="CC408" s="30" t="str">
        <f aca="false">CONCATENATE(CA408,"_",CB408)</f>
        <v>big4_EMU</v>
      </c>
      <c r="CD408" s="30" t="str">
        <f aca="false">_xlfn.CONCAT(H408, "_",I408)</f>
        <v>electric_ELRL</v>
      </c>
      <c r="CE408" s="31" t="str">
        <f aca="false" t="array" ref="CE408:CE408">_xlfn.CONCAT("{BLACK}Length: {GOLD}", TEXT(ROUNDUP(IF(AQ408&lt;&gt;"",SUM(VALUE(_xlfn.TEXTSPLIT(AQ408, ","))), SUM(VALUE(_xlfn.TEXTSPLIT(AN408, ",")))*IF(M408, M408, 1))/16, 1), "#,##0.0"), " tiles{}")</f>
        <v>{BLACK}Length: {GOLD}0.5 tiles{}</v>
      </c>
      <c r="CF408" s="19" t="str">
        <f aca="false">VLOOKUP($CD408, [1]Constants!$M$1:$N$1048576, 2, FALSE())</f>
        <v>{BLACK}Powered by: {GOLD}25kV AC</v>
      </c>
      <c r="CG408" s="30" t="str">
        <f aca="false">IF(M408&gt;1,_xlfn.CONCAT("{BLACK}Cars: {GOLD}", M408),"")</f>
        <v/>
      </c>
      <c r="CH408" s="30" t="s">
        <v>1458</v>
      </c>
      <c r="CJ408" s="19" t="str">
        <f aca="false">IF(BX408="buffet","{YELLOW}25% long distance bonus for consist{}",IF(CA408="BRAKE","{YELLOW}Speed bonus for slow wagons{}",IF(BW408&gt;190,CONCATENATE("{YELLOW}",INT((BW408-185)/1.85),"% bonus for long distance travel{}"),IF(AND(BW408&lt;180,BW408&lt;&gt;0),CONCATENATE("{YELLOW}",INT((185-BW408)/1.85),"% penalty for long distance travel{}"),""))))</f>
        <v/>
      </c>
      <c r="CK408" s="19" t="str">
        <f aca="false">_xlfn.CONCAT(CF408,IF(CF408 &lt;&gt; "", " ", ""),CG408,IF(OR(CG408&lt;&gt;"", CF408&lt;&gt;""), "{}",""), CE408, CJ408,"{SILVER}", CH408)</f>
        <v>{BLACK}Powered by: {GOLD}25kV AC {}{BLACK}Length: {GOLD}0.5 tiles{}{SILVER}The motor luggage vans powering the CW EMUs were usable locomotives in their own right, and could operate independantly if needed.</v>
      </c>
    </row>
    <row r="409" s="30" customFormat="true" ht="14.25" hidden="false" customHeight="false" outlineLevel="0" collapsed="false">
      <c r="A409" s="30" t="s">
        <v>1459</v>
      </c>
      <c r="B409" s="49" t="s">
        <v>1460</v>
      </c>
      <c r="C409" s="21" t="n">
        <v>3020</v>
      </c>
      <c r="E409" s="30" t="n">
        <v>40</v>
      </c>
      <c r="F409" s="30" t="s">
        <v>143</v>
      </c>
      <c r="G409" s="30" t="s">
        <v>445</v>
      </c>
      <c r="H409" s="30" t="s">
        <v>670</v>
      </c>
      <c r="I409" s="30" t="s">
        <v>92</v>
      </c>
      <c r="J409" s="30" t="n">
        <v>1936</v>
      </c>
      <c r="K409" s="30" t="n">
        <v>1960</v>
      </c>
      <c r="L409" s="30" t="n">
        <v>1985</v>
      </c>
      <c r="N409" s="30" t="n">
        <v>45</v>
      </c>
      <c r="O409" s="22"/>
      <c r="P409" s="23"/>
      <c r="Q409" s="23"/>
      <c r="R409" s="23"/>
      <c r="S409" s="23"/>
      <c r="T409" s="50"/>
      <c r="U409" s="23"/>
      <c r="V409" s="23"/>
      <c r="W409" s="30" t="n">
        <v>7</v>
      </c>
      <c r="X409" s="22"/>
      <c r="Y409" s="30" t="n">
        <v>5</v>
      </c>
      <c r="Z409" s="30" t="n">
        <v>15</v>
      </c>
      <c r="AA409" s="24" t="n">
        <f aca="false">IF(AND(W409&gt;0,Z409&gt;0),(Z409/((W409+X409)*10)),"")</f>
        <v>0.214285714285714</v>
      </c>
      <c r="AB409" s="30" t="n">
        <v>12</v>
      </c>
      <c r="AC409" s="30" t="n">
        <f aca="false">ROUND(AB409*1.6, 0)</f>
        <v>19</v>
      </c>
      <c r="AF409" s="30" t="n">
        <v>5.5</v>
      </c>
      <c r="AG409" s="30" t="n">
        <v>6</v>
      </c>
      <c r="AH409" s="30" t="n">
        <v>2.4</v>
      </c>
      <c r="AI409" s="30" t="n">
        <v>3.32</v>
      </c>
      <c r="AJ409" s="25" t="n">
        <v>0</v>
      </c>
      <c r="AK409" s="26" t="str">
        <f aca="false">CONCATENATE(VLOOKUP(AL409, '[1]Voxel Sizes'!$A$2:$B$18,2,FALSE()),"x",INT(AH409*15), "x", INT(AI409*15))</f>
        <v>66x36x49</v>
      </c>
      <c r="AL409" s="19" t="n">
        <f aca="false">ROUND(15*((AG409*10)/256),0)</f>
        <v>4</v>
      </c>
      <c r="AN409" s="19" t="str">
        <f aca="false">CONCATENATE(VLOOKUP(AL409,[1]Constants!$A$2:$C$16,IF(AM409&lt;&gt;"", 3, 2), FALSE()),IF(AM409&lt;&gt;"",CONCATENATE(",",VLOOKUP(AM409,$B:$AN,38,FALSE())),""))</f>
        <v>1,2,1</v>
      </c>
      <c r="AP409" s="27"/>
      <c r="AQ409" s="27"/>
      <c r="AX409" s="30" t="n">
        <v>60</v>
      </c>
      <c r="AY409" s="28" t="n">
        <f aca="false">IF(L409&lt;&gt;"",MAX(16,(L409-J409)+8),"")</f>
        <v>57</v>
      </c>
      <c r="AZ409" s="30" t="n">
        <v>-11</v>
      </c>
      <c r="BA409" s="30" t="n">
        <v>-14</v>
      </c>
      <c r="BB409" s="51" t="n">
        <f aca="false">MIN(AB409/150, 1)*30</f>
        <v>2.4</v>
      </c>
      <c r="BC409" s="51" t="n">
        <f aca="false">MIN(N409/4000, 1)*20</f>
        <v>0.225</v>
      </c>
      <c r="BD409" s="51" t="n">
        <f aca="false">MIN(Z409/400,1)*20</f>
        <v>0.75</v>
      </c>
      <c r="BE409" s="52" t="n">
        <f aca="false">1-(MAX(J409-1900, 0)/750)</f>
        <v>0.952</v>
      </c>
      <c r="BF409" s="51" t="n">
        <f aca="false">((MAX($M409,1)*MIN($AJ409/300,1)))*IF(G409="Wagon",50,10)</f>
        <v>0</v>
      </c>
      <c r="BG409" s="19" t="n">
        <f aca="false">VLOOKUP($H409,[1]Constants!$I$1:$K$1048576, 2, FALSE())</f>
        <v>1</v>
      </c>
      <c r="BH409" s="19" t="n">
        <f aca="false">VLOOKUP($H409,[1]Constants!$I$1:$K$1048576, 3, FALSE())*IF(AND(G409="multiple_unit",AB409&lt;110),0.75,1)</f>
        <v>2</v>
      </c>
      <c r="BI409" s="19" t="n">
        <f aca="false">INT(POWER((([1]Constants!$G$2+$BB409+$BC409+$BD409+$BF409)*$BE409)*$BH409, 1.05))+$BA409</f>
        <v>4</v>
      </c>
      <c r="BJ409" s="19" t="n">
        <f aca="false">INT(POWER(((([1]Constants!$G$1+$BB409+$BC409+$BD409+$BF409)*($BE409))*$BG409),IF($G409="wagon",1,1.2)))+$AZ409</f>
        <v>20</v>
      </c>
      <c r="BK409" s="53" t="n">
        <f aca="false">BI409*IF($G409="wagon",62.5,781.25)</f>
        <v>3125</v>
      </c>
      <c r="BL409" s="53" t="n">
        <f aca="false">BJ409*IF($G409="wagon",2.73,81.25)</f>
        <v>1625</v>
      </c>
      <c r="BV409" s="30" t="n">
        <v>5</v>
      </c>
      <c r="CA409" s="19" t="str">
        <f aca="false">VLOOKUP(J409,[1]Eras!$A$2:$C$10, 2, TRUE())</f>
        <v>big4</v>
      </c>
      <c r="CB409" s="30" t="s">
        <v>513</v>
      </c>
      <c r="CC409" s="54" t="str">
        <f aca="false">CONCATENATE(CA409,"_",CB409)</f>
        <v>big4_Cheap</v>
      </c>
      <c r="CD409" s="54" t="str">
        <f aca="false">_xlfn.CONCAT(H409, "_",I409)</f>
        <v>diesel_RAIL</v>
      </c>
      <c r="CE409" s="31" t="str">
        <f aca="false" t="array" ref="CE409:CE409">IF(AN409&lt;&gt;"na", _xlfn.CONCAT("{BLACK}Length: {GOLD}", TEXT(ROUNDUP(IF(AQ409&lt;&gt;"",SUM(VALUE(_xlfn.TEXTSPLIT(AQ409, ","))), SUM(VALUE(_xlfn.TEXTSPLIT(AN409, ",")))*IF(M409, M409, 1))/16, 1),"#,##0.0"), " tiles{}"), "")</f>
        <v>{BLACK}Length: {GOLD}0.3 tiles{}</v>
      </c>
      <c r="CF409" s="19" t="str">
        <f aca="false">VLOOKUP($CD409, [1]Constants!$M$1:$N$1048576, 2, FALSE())</f>
        <v>{BLACK}Powered by: {GOLD}Diesel</v>
      </c>
      <c r="CG409" s="54" t="str">
        <f aca="false">IF(AND(M409&gt;1,BP409&lt;&gt;1),_xlfn.CONCAT("{BLACK}Cars: {GOLD}", M409),"")</f>
        <v/>
      </c>
      <c r="CH409" s="30" t="s">
        <v>1461</v>
      </c>
      <c r="CJ409" s="19" t="str">
        <f aca="false">IF(BX409="buffet","{YELLOW}25% long distance bonus for consist{}",IF(CA409="BRAKE","{YELLOW}Speed bonus for slow wagons{}",IF(BW409&gt;190,CONCATENATE("{YELLOW}",INT((BW409-185)/1.85),"% bonus for long distance travel{}"),IF(AND(BW409&lt;180,BW409&lt;&gt;0),CONCATENATE("{YELLOW}",INT((185-BW409)/1.85),"% penalty for long distance travel{}"),""))))</f>
        <v/>
      </c>
      <c r="CK409" s="19" t="str">
        <f aca="false">_xlfn.CONCAT(CF409,IF(CF409 &lt;&gt; "", " ", ""),CG409,IF(OR(CG409&lt;&gt;"", CF409&lt;&gt;""), "{}",""), CE409, CJ409,"{SILVER}", CH409)</f>
        <v>{BLACK}Powered by: {GOLD}Diesel {}{BLACK}Length: {GOLD}0.3 tiles{}{SILVER}A “Really Useless Engine” – these small, simple industrial locomotives saw service in many industrial yards but were almost never seen on the boader network.</v>
      </c>
      <c r="CM409" s="19"/>
      <c r="CN409" s="19"/>
    </row>
    <row r="410" s="19" customFormat="true" ht="14.25" hidden="false" customHeight="false" outlineLevel="0" collapsed="false">
      <c r="A410" s="30" t="s">
        <v>1462</v>
      </c>
      <c r="B410" s="49" t="s">
        <v>1463</v>
      </c>
      <c r="C410" s="21" t="n">
        <v>3021</v>
      </c>
      <c r="D410" s="30"/>
      <c r="E410" s="30" t="n">
        <v>41</v>
      </c>
      <c r="F410" s="30" t="s">
        <v>143</v>
      </c>
      <c r="G410" s="30" t="s">
        <v>445</v>
      </c>
      <c r="H410" s="30" t="s">
        <v>670</v>
      </c>
      <c r="I410" s="30" t="s">
        <v>92</v>
      </c>
      <c r="J410" s="30" t="n">
        <v>1938</v>
      </c>
      <c r="K410" s="30" t="n">
        <v>1966</v>
      </c>
      <c r="L410" s="30" t="n">
        <v>1991</v>
      </c>
      <c r="M410" s="30"/>
      <c r="N410" s="30" t="n">
        <v>84</v>
      </c>
      <c r="O410" s="22"/>
      <c r="P410" s="23"/>
      <c r="Q410" s="23"/>
      <c r="R410" s="23"/>
      <c r="S410" s="23"/>
      <c r="T410" s="50"/>
      <c r="U410" s="23"/>
      <c r="V410" s="23"/>
      <c r="W410" s="30" t="n">
        <v>17</v>
      </c>
      <c r="X410" s="22"/>
      <c r="Y410" s="30" t="n">
        <v>5</v>
      </c>
      <c r="Z410" s="30" t="n">
        <v>60</v>
      </c>
      <c r="AA410" s="24" t="n">
        <f aca="false">IF(AND(W410&gt;0,Z410&gt;0),(Z410/((W410+X410)*10)),"")</f>
        <v>0.352941176470588</v>
      </c>
      <c r="AB410" s="30" t="n">
        <v>18</v>
      </c>
      <c r="AC410" s="30" t="n">
        <f aca="false">ROUND(AB410*1.6, 0)</f>
        <v>29</v>
      </c>
      <c r="AD410" s="30"/>
      <c r="AE410" s="30"/>
      <c r="AF410" s="30" t="n">
        <v>6.2</v>
      </c>
      <c r="AG410" s="30" t="n">
        <v>8</v>
      </c>
      <c r="AH410" s="30" t="n">
        <v>2.4</v>
      </c>
      <c r="AI410" s="30" t="n">
        <v>3.32</v>
      </c>
      <c r="AJ410" s="25" t="n">
        <v>0</v>
      </c>
      <c r="AK410" s="26" t="str">
        <f aca="false">CONCATENATE(VLOOKUP(AL410, '[1]Voxel Sizes'!$A$2:$B$18,2,FALSE()),"x",INT(AH410*15), "x", INT(AI410*15))</f>
        <v>82x36x49</v>
      </c>
      <c r="AL410" s="19" t="n">
        <f aca="false">ROUND(15*((AG410*10)/256),0)</f>
        <v>5</v>
      </c>
      <c r="AM410" s="30"/>
      <c r="AN410" s="19" t="str">
        <f aca="false">CONCATENATE(VLOOKUP(AL410,[1]Constants!$A$2:$C$16,IF(AM410&lt;&gt;"", 3, 2), FALSE()),IF(AM410&lt;&gt;"",CONCATENATE(",",VLOOKUP(AM410,$B:$AN,38,FALSE())),""))</f>
        <v>2,1,2</v>
      </c>
      <c r="AO410" s="30"/>
      <c r="AP410" s="27"/>
      <c r="AQ410" s="27"/>
      <c r="AR410" s="30"/>
      <c r="AS410" s="30"/>
      <c r="AT410" s="30"/>
      <c r="AU410" s="30"/>
      <c r="AV410" s="30"/>
      <c r="AW410" s="30"/>
      <c r="AX410" s="30" t="n">
        <v>60</v>
      </c>
      <c r="AY410" s="28" t="n">
        <f aca="false">IF(L410&lt;&gt;"",MAX(16,(L410-J410)+8),"")</f>
        <v>61</v>
      </c>
      <c r="AZ410" s="30" t="n">
        <v>-11</v>
      </c>
      <c r="BA410" s="30" t="n">
        <v>-14</v>
      </c>
      <c r="BB410" s="51" t="n">
        <f aca="false">MIN(AB410/150, 1)*30</f>
        <v>3.6</v>
      </c>
      <c r="BC410" s="51" t="n">
        <f aca="false">MIN(N410/4000, 1)*20</f>
        <v>0.42</v>
      </c>
      <c r="BD410" s="51" t="n">
        <f aca="false">MIN(Z410/400,1)*20</f>
        <v>3</v>
      </c>
      <c r="BE410" s="52" t="n">
        <f aca="false">1-(MAX(J410-1900, 0)/750)</f>
        <v>0.949333333333333</v>
      </c>
      <c r="BF410" s="51" t="n">
        <f aca="false">((MAX($M410,1)*MIN($AJ410/300,1)))*IF(G410="Wagon",50,10)</f>
        <v>0</v>
      </c>
      <c r="BG410" s="19" t="n">
        <f aca="false">VLOOKUP($H410,[1]Constants!$I$1:$K$1048576, 2, FALSE())</f>
        <v>1</v>
      </c>
      <c r="BH410" s="19" t="n">
        <f aca="false">VLOOKUP($H410,[1]Constants!$I$1:$K$1048576, 3, FALSE())*IF(AND(G410="multiple_unit",AB410&lt;110),0.75,1)</f>
        <v>2</v>
      </c>
      <c r="BI410" s="19" t="n">
        <f aca="false">INT(POWER((([1]Constants!$G$2+$BB410+$BC410+$BD410+$BF410)*$BE410)*$BH410, 1.05))+$BA410</f>
        <v>12</v>
      </c>
      <c r="BJ410" s="19" t="n">
        <f aca="false">INT(POWER(((([1]Constants!$G$1+$BB410+$BC410+$BD410+$BF410)*($BE410))*$BG410),IF($G410="wagon",1,1.2)))+$AZ410</f>
        <v>27</v>
      </c>
      <c r="BK410" s="53" t="n">
        <f aca="false">BI410*IF($G410="wagon",62.5,781.25)</f>
        <v>9375</v>
      </c>
      <c r="BL410" s="53" t="n">
        <f aca="false">BJ410*IF($G410="wagon",2.73,81.25)</f>
        <v>2193.75</v>
      </c>
      <c r="BM410" s="30"/>
      <c r="BN410" s="30"/>
      <c r="BO410" s="30"/>
      <c r="BP410" s="30"/>
      <c r="BQ410" s="30"/>
      <c r="BR410" s="30"/>
      <c r="BS410" s="30"/>
      <c r="BT410" s="30"/>
      <c r="BU410" s="30"/>
      <c r="BV410" s="30" t="n">
        <v>5</v>
      </c>
      <c r="BW410" s="30"/>
      <c r="BX410" s="30"/>
      <c r="BY410" s="30"/>
      <c r="BZ410" s="30"/>
      <c r="CA410" s="19" t="str">
        <f aca="false">VLOOKUP(J410,[1]Eras!$A$2:$C$10, 2, TRUE())</f>
        <v>big4</v>
      </c>
      <c r="CB410" s="30" t="s">
        <v>513</v>
      </c>
      <c r="CC410" s="54" t="str">
        <f aca="false">CONCATENATE(CA410,"_",CB410)</f>
        <v>big4_Cheap</v>
      </c>
      <c r="CD410" s="54" t="str">
        <f aca="false">_xlfn.CONCAT(H410, "_",I410)</f>
        <v>diesel_RAIL</v>
      </c>
      <c r="CE410" s="31" t="str">
        <f aca="false" t="array" ref="CE410:CE410">IF(AN410&lt;&gt;"na", _xlfn.CONCAT("{BLACK}Length: {GOLD}", TEXT(ROUNDUP(IF(AQ410&lt;&gt;"",SUM(VALUE(_xlfn.TEXTSPLIT(AQ410, ","))), SUM(VALUE(_xlfn.TEXTSPLIT(AN410, ",")))*IF(M410, M410, 1))/16, 1),"#,##0.0"), " tiles{}"), "")</f>
        <v>{BLACK}Length: {GOLD}0.4 tiles{}</v>
      </c>
      <c r="CF410" s="19" t="str">
        <f aca="false">VLOOKUP($CD410, [1]Constants!$M$1:$N$1048576, 2, FALSE())</f>
        <v>{BLACK}Powered by: {GOLD}Diesel</v>
      </c>
      <c r="CG410" s="54" t="str">
        <f aca="false">IF(AND(M410&gt;1,BP410&lt;&gt;1),_xlfn.CONCAT("{BLACK}Cars: {GOLD}", M410),"")</f>
        <v/>
      </c>
      <c r="CH410" s="30" t="s">
        <v>1464</v>
      </c>
      <c r="CI410" s="30"/>
      <c r="CJ410" s="19" t="str">
        <f aca="false">IF(BX410="buffet","{YELLOW}25% long distance bonus for consist{}",IF(CA410="BRAKE","{YELLOW}Speed bonus for slow wagons{}",IF(BW410&gt;190,CONCATENATE("{YELLOW}",INT((BW410-185)/1.85),"% bonus for long distance travel{}"),IF(AND(BW410&lt;180,BW410&lt;&gt;0),CONCATENATE("{YELLOW}",INT((185-BW410)/1.85),"% penalty for long distance travel{}"),""))))</f>
        <v/>
      </c>
      <c r="CK410" s="19" t="str">
        <f aca="false">_xlfn.CONCAT(CF410,IF(CF410 &lt;&gt; "", " ", ""),CG410,IF(OR(CG410&lt;&gt;"", CF410&lt;&gt;""), "{}",""), CE410, CJ410,"{SILVER}", CH410)</f>
        <v>{BLACK}Powered by: {GOLD}Diesel {}{BLACK}Length: {GOLD}0.4 tiles{}{SILVER}A mild upgrade in power made the Ruston 88 significantly more effective than it’s little brother, without vastly increasing cost.</v>
      </c>
      <c r="CL410" s="30"/>
    </row>
    <row r="411" s="19" customFormat="true" ht="14.25" hidden="false" customHeight="false" outlineLevel="0" collapsed="false">
      <c r="A411" s="19" t="s">
        <v>1465</v>
      </c>
      <c r="B411" s="20" t="s">
        <v>1466</v>
      </c>
      <c r="C411" s="21" t="n">
        <v>3022</v>
      </c>
      <c r="E411" s="19" t="n">
        <v>20</v>
      </c>
      <c r="F411" s="19" t="s">
        <v>143</v>
      </c>
      <c r="G411" s="19" t="s">
        <v>827</v>
      </c>
      <c r="H411" s="19" t="s">
        <v>670</v>
      </c>
      <c r="I411" s="19" t="s">
        <v>92</v>
      </c>
      <c r="J411" s="19" t="n">
        <v>1956</v>
      </c>
      <c r="K411" s="19" t="n">
        <v>1989</v>
      </c>
      <c r="L411" s="19" t="n">
        <v>2004</v>
      </c>
      <c r="M411" s="19" t="n">
        <v>4</v>
      </c>
      <c r="N411" s="19" t="n">
        <v>1000</v>
      </c>
      <c r="O411" s="22"/>
      <c r="P411" s="23"/>
      <c r="Q411" s="23"/>
      <c r="R411" s="23"/>
      <c r="S411" s="23"/>
      <c r="T411" s="23"/>
      <c r="U411" s="23"/>
      <c r="V411" s="23"/>
      <c r="W411" s="19" t="n">
        <v>180</v>
      </c>
      <c r="X411" s="22"/>
      <c r="Y411" s="19" t="n">
        <v>5</v>
      </c>
      <c r="Z411" s="19" t="n">
        <v>85</v>
      </c>
      <c r="AA411" s="24" t="n">
        <f aca="false">IF(AND(W411&gt;0,Z411&gt;0),(Z411/((W411+X411)*10)),"")</f>
        <v>0.0472222222222222</v>
      </c>
      <c r="AB411" s="19" t="n">
        <v>75</v>
      </c>
      <c r="AC411" s="19" t="n">
        <f aca="false">ROUND(AB411*1.6, 0)</f>
        <v>120</v>
      </c>
      <c r="AF411" s="19" t="n">
        <v>17.37</v>
      </c>
      <c r="AG411" s="19" t="n">
        <v>18</v>
      </c>
      <c r="AH411" s="19" t="n">
        <v>2.5</v>
      </c>
      <c r="AI411" s="19" t="n">
        <v>3.77</v>
      </c>
      <c r="AJ411" s="25" t="n">
        <v>37</v>
      </c>
      <c r="AK411" s="26" t="str">
        <f aca="false">CONCATENATE(VLOOKUP(AL411, '[1]Voxel Sizes'!$A$2:$B$18,2,FALSE()),"x",INT(AH411*15), "x", INT(AI411*15))</f>
        <v>186x37x56</v>
      </c>
      <c r="AL411" s="19" t="n">
        <f aca="false">ROUND(15*((AG411*10)/256),0)</f>
        <v>11</v>
      </c>
      <c r="AN411" s="19" t="str">
        <f aca="false">CONCATENATE(VLOOKUP(AL411,[1]Constants!$A$2:$C$16,IF(AM411&lt;&gt;"", 3, 2), FALSE()),IF(AM411&lt;&gt;"",CONCATENATE(",",VLOOKUP(AM411,$B:$AN,38,FALSE())),""))</f>
        <v>4,3,4</v>
      </c>
      <c r="AO411" s="19" t="s">
        <v>1467</v>
      </c>
      <c r="AP411" s="27"/>
      <c r="AQ411" s="27"/>
      <c r="AR411" s="19" t="s">
        <v>1468</v>
      </c>
      <c r="AT411" s="19" t="s">
        <v>855</v>
      </c>
      <c r="AU411" s="19" t="s">
        <v>1469</v>
      </c>
      <c r="AX411" s="19" t="n">
        <v>45</v>
      </c>
      <c r="AY411" s="28" t="n">
        <f aca="false">IF(L411&lt;&gt;"",MAX(16,(L411-J411)+8),"")</f>
        <v>56</v>
      </c>
      <c r="AZ411" s="19" t="n">
        <v>-10</v>
      </c>
      <c r="BA411" s="19" t="n">
        <v>-15</v>
      </c>
      <c r="BB411" s="19" t="n">
        <f aca="false">MIN(AB411/150, 1)*30</f>
        <v>15</v>
      </c>
      <c r="BC411" s="19" t="n">
        <f aca="false">MIN(N411/4000, 1)*20</f>
        <v>5</v>
      </c>
      <c r="BD411" s="19" t="n">
        <f aca="false">MIN(Z411/400,1)*20</f>
        <v>4.25</v>
      </c>
      <c r="BE411" s="24" t="n">
        <f aca="false">1-(MAX(J411-1900, 0)/750)</f>
        <v>0.925333333333333</v>
      </c>
      <c r="BF411" s="19" t="n">
        <f aca="false">((MAX($M411,1)*MIN($AJ411/300,1)))*IF(G411="Wagon",50,10)</f>
        <v>4.93333333333333</v>
      </c>
      <c r="BG411" s="19" t="n">
        <f aca="false">VLOOKUP($H411,[1]Constants!$I$1:$K$1048576, 2, FALSE())</f>
        <v>1</v>
      </c>
      <c r="BH411" s="19" t="n">
        <f aca="false">VLOOKUP($H411,[1]Constants!$I$1:$K$1048576, 3, FALSE())*IF(AND(G411="multiple_unit",AB411&lt;110),0.75,1)</f>
        <v>1.5</v>
      </c>
      <c r="BI411" s="19" t="n">
        <f aca="false">INT(POWER((([1]Constants!$G$2+$BB411+$BC411+$BD411+$BF411)*$BE411)*$BH411, 1.05))+$BA411</f>
        <v>42</v>
      </c>
      <c r="BJ411" s="19" t="n">
        <f aca="false">INT(POWER(((([1]Constants!$G$1+$BB411+$BC411+$BD411+$BF411)*($BE411))*$BG411),IF($G411="wagon",1,1.2)))+$AZ411</f>
        <v>75</v>
      </c>
      <c r="BK411" s="29" t="n">
        <f aca="false">BI411*IF($G411="wagon",62.5,781.25)</f>
        <v>32812.5</v>
      </c>
      <c r="BL411" s="29" t="n">
        <f aca="false">BJ411*IF($G411="wagon",2.73,81.25)</f>
        <v>6093.75</v>
      </c>
      <c r="BR411" s="19" t="s">
        <v>1470</v>
      </c>
      <c r="BV411" s="19" t="n">
        <v>2</v>
      </c>
      <c r="BZ411" s="19" t="s">
        <v>148</v>
      </c>
      <c r="CA411" s="19" t="str">
        <f aca="false">VLOOKUP(J411,[1]Eras!$A$2:$C$10, 2, TRUE())</f>
        <v>dsl</v>
      </c>
      <c r="CB411" s="30" t="s">
        <v>834</v>
      </c>
      <c r="CC411" s="19" t="str">
        <f aca="false">CONCATENATE(CA411,"_",CB411)</f>
        <v>dsl_DMU</v>
      </c>
      <c r="CD411" s="19" t="str">
        <f aca="false">_xlfn.CONCAT(H411, "_",I411)</f>
        <v>diesel_RAIL</v>
      </c>
      <c r="CE411" s="31" t="str">
        <f aca="false" t="array" ref="CE411:CE411">_xlfn.CONCAT("{BLACK}Length: {GOLD}", TEXT(ROUNDUP(IF(AQ411&lt;&gt;"",SUM(VALUE(_xlfn.TEXTSPLIT(AQ411, ","))), SUM(VALUE(_xlfn.TEXTSPLIT(AN411, ",")))*IF(M411, M411, 1))/16, 1), "#,##0.0"), " tiles{}")</f>
        <v>{BLACK}Length: {GOLD}2.8 tiles{}</v>
      </c>
      <c r="CF411" s="19" t="str">
        <f aca="false">VLOOKUP($CD411, [1]Constants!$M$1:$N$1048576, 2, FALSE())</f>
        <v>{BLACK}Powered by: {GOLD}Diesel</v>
      </c>
      <c r="CG411" s="19" t="str">
        <f aca="false">IF(M411&gt;1,_xlfn.CONCAT("{BLACK}Cars: {GOLD}", M411),"")</f>
        <v>{BLACK}Cars: {GOLD}4</v>
      </c>
      <c r="CH411" s="19" t="s">
        <v>1471</v>
      </c>
      <c r="CJ411" s="19" t="str">
        <f aca="false">IF(BX411="buffet","{YELLOW}25% long distance bonus for consist{}",IF(CA411="BRAKE","{YELLOW}Speed bonus for slow wagons{}",IF(BW411&gt;190,CONCATENATE("{YELLOW}",INT((BW411-185)/1.85),"% bonus for long distance travel{}"),IF(AND(BW411&lt;180,BW411&lt;&gt;0),CONCATENATE("{YELLOW}",INT((185-BW411)/1.85),"% penalty for long distance travel{}"),""))))</f>
        <v/>
      </c>
      <c r="CK411" s="19" t="str">
        <f aca="false">_xlfn.CONCAT(CF411,IF(CF411 &lt;&gt; "", " ", ""),CG411,IF(OR(CG411&lt;&gt;"", CF411&lt;&gt;""), "{}",""), CE411, CJ411,"{SILVER}", CH411)</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row>
    <row r="412" s="19" customFormat="true" ht="14.25" hidden="false" customHeight="false" outlineLevel="0" collapsed="false">
      <c r="A412" s="19" t="s">
        <v>1472</v>
      </c>
      <c r="B412" s="20" t="s">
        <v>1473</v>
      </c>
      <c r="C412" s="21" t="n">
        <v>3023</v>
      </c>
      <c r="D412" s="19" t="n">
        <v>3022</v>
      </c>
      <c r="E412" s="19" t="n">
        <v>22</v>
      </c>
      <c r="F412" s="19" t="s">
        <v>143</v>
      </c>
      <c r="G412" s="19" t="s">
        <v>827</v>
      </c>
      <c r="H412" s="19" t="s">
        <v>670</v>
      </c>
      <c r="I412" s="19" t="s">
        <v>92</v>
      </c>
      <c r="J412" s="19" t="n">
        <v>1956</v>
      </c>
      <c r="K412" s="19" t="n">
        <v>1989</v>
      </c>
      <c r="L412" s="19" t="n">
        <v>2004</v>
      </c>
      <c r="M412" s="19" t="n">
        <v>6</v>
      </c>
      <c r="N412" s="19" t="n">
        <v>1000</v>
      </c>
      <c r="O412" s="22"/>
      <c r="P412" s="23"/>
      <c r="Q412" s="23"/>
      <c r="R412" s="23"/>
      <c r="S412" s="23"/>
      <c r="T412" s="23"/>
      <c r="U412" s="23"/>
      <c r="V412" s="23"/>
      <c r="W412" s="19" t="n">
        <v>238</v>
      </c>
      <c r="X412" s="22"/>
      <c r="Y412" s="19" t="n">
        <v>5</v>
      </c>
      <c r="Z412" s="19" t="n">
        <v>85</v>
      </c>
      <c r="AA412" s="24" t="n">
        <f aca="false">IF(AND(W412&gt;0,Z412&gt;0),(Z412/((W412+X412)*10)),"")</f>
        <v>0.0357142857142857</v>
      </c>
      <c r="AB412" s="19" t="n">
        <v>75</v>
      </c>
      <c r="AC412" s="19" t="n">
        <f aca="false">ROUND(AB412*1.6, 0)</f>
        <v>120</v>
      </c>
      <c r="AF412" s="19" t="n">
        <v>17.37</v>
      </c>
      <c r="AG412" s="19" t="n">
        <v>18</v>
      </c>
      <c r="AH412" s="19" t="n">
        <v>2.5</v>
      </c>
      <c r="AI412" s="19" t="n">
        <v>3.77</v>
      </c>
      <c r="AJ412" s="25" t="n">
        <v>42</v>
      </c>
      <c r="AK412" s="26" t="str">
        <f aca="false">CONCATENATE(VLOOKUP(AL412, '[1]Voxel Sizes'!$A$2:$B$18,2,FALSE()),"x",INT(AH412*15), "x", INT(AI412*15))</f>
        <v>186x37x56</v>
      </c>
      <c r="AL412" s="19" t="n">
        <f aca="false">ROUND(15*((AG412*10)/256),0)</f>
        <v>11</v>
      </c>
      <c r="AN412" s="19" t="str">
        <f aca="false">CONCATENATE(VLOOKUP(AL412,[1]Constants!$A$2:$C$16,IF(AM412&lt;&gt;"", 3, 2), FALSE()),IF(AM412&lt;&gt;"",CONCATENATE(",",VLOOKUP(AM412,$B:$AN,38,FALSE())),""))</f>
        <v>4,3,4</v>
      </c>
      <c r="AO412" s="19" t="s">
        <v>1474</v>
      </c>
      <c r="AP412" s="27"/>
      <c r="AQ412" s="27"/>
      <c r="AR412" s="19" t="s">
        <v>1475</v>
      </c>
      <c r="AT412" s="19" t="s">
        <v>956</v>
      </c>
      <c r="AU412" s="19" t="s">
        <v>1469</v>
      </c>
      <c r="AX412" s="19" t="n">
        <v>45</v>
      </c>
      <c r="AY412" s="28" t="n">
        <f aca="false">IF(L412&lt;&gt;"",MAX(16,(L412-J412)+8),"")</f>
        <v>56</v>
      </c>
      <c r="AZ412" s="19" t="n">
        <v>-10</v>
      </c>
      <c r="BA412" s="19" t="n">
        <v>-15</v>
      </c>
      <c r="BB412" s="19" t="n">
        <f aca="false">MIN(AB412/150, 1)*30</f>
        <v>15</v>
      </c>
      <c r="BC412" s="19" t="n">
        <f aca="false">MIN(N412/4000, 1)*20</f>
        <v>5</v>
      </c>
      <c r="BD412" s="19" t="n">
        <f aca="false">MIN(Z412/400,1)*20</f>
        <v>4.25</v>
      </c>
      <c r="BE412" s="24" t="n">
        <f aca="false">1-(MAX(J412-1900, 0)/750)</f>
        <v>0.925333333333333</v>
      </c>
      <c r="BF412" s="19" t="n">
        <f aca="false">((MAX($M412,1)*MIN($AJ412/300,1)))*IF(G412="Wagon",50,10)</f>
        <v>8.4</v>
      </c>
      <c r="BG412" s="19" t="n">
        <f aca="false">VLOOKUP($H412,[1]Constants!$I$1:$K$1048576, 2, FALSE())</f>
        <v>1</v>
      </c>
      <c r="BH412" s="19" t="n">
        <f aca="false">VLOOKUP($H412,[1]Constants!$I$1:$K$1048576, 3, FALSE())*IF(AND(G412="multiple_unit",AB412&lt;110),0.75,1)</f>
        <v>1.5</v>
      </c>
      <c r="BI412" s="19" t="n">
        <f aca="false">INT(POWER((([1]Constants!$G$2+$BB412+$BC412+$BD412+$BF412)*$BE412)*$BH412, 1.05))+$BA412</f>
        <v>48</v>
      </c>
      <c r="BJ412" s="19" t="n">
        <f aca="false">INT(POWER(((([1]Constants!$G$1+$BB412+$BC412+$BD412+$BF412)*($BE412))*$BG412),IF($G412="wagon",1,1.2)))+$AZ412</f>
        <v>84</v>
      </c>
      <c r="BK412" s="29" t="n">
        <f aca="false">BI412*IF($G412="wagon",62.5,781.25)</f>
        <v>37500</v>
      </c>
      <c r="BL412" s="29" t="n">
        <f aca="false">BJ412*IF($G412="wagon",2.73,81.25)</f>
        <v>6825</v>
      </c>
      <c r="BR412" s="30" t="s">
        <v>1476</v>
      </c>
      <c r="BV412" s="19" t="n">
        <v>2</v>
      </c>
      <c r="BZ412" s="19" t="s">
        <v>148</v>
      </c>
      <c r="CA412" s="19" t="str">
        <f aca="false">VLOOKUP(J412,[1]Eras!$A$2:$C$10, 2, TRUE())</f>
        <v>dsl</v>
      </c>
      <c r="CB412" s="30" t="s">
        <v>834</v>
      </c>
      <c r="CC412" s="19" t="str">
        <f aca="false">CONCATENATE(CA412,"_",CB412)</f>
        <v>dsl_DMU</v>
      </c>
      <c r="CD412" s="19" t="str">
        <f aca="false">_xlfn.CONCAT(H412, "_",I412)</f>
        <v>diesel_RAIL</v>
      </c>
      <c r="CE412" s="31" t="str">
        <f aca="false" t="array" ref="CE412:CE412">_xlfn.CONCAT("{BLACK}Length: {GOLD}", TEXT(ROUNDUP(IF(AQ412&lt;&gt;"",SUM(VALUE(_xlfn.TEXTSPLIT(AQ412, ","))), SUM(VALUE(_xlfn.TEXTSPLIT(AN412, ",")))*IF(M412, M412, 1))/16, 1), "#,##0.0"), " tiles{}")</f>
        <v>{BLACK}Length: {GOLD}4.2 tiles{}</v>
      </c>
      <c r="CF412" s="19" t="str">
        <f aca="false">VLOOKUP($CD412, [1]Constants!$M$1:$N$1048576, 2, FALSE())</f>
        <v>{BLACK}Powered by: {GOLD}Diesel</v>
      </c>
      <c r="CG412" s="19" t="str">
        <f aca="false">IF(M412&gt;1,_xlfn.CONCAT("{BLACK}Cars: {GOLD}", M412),"")</f>
        <v>{BLACK}Cars: {GOLD}6</v>
      </c>
      <c r="CH412" s="19" t="s">
        <v>1471</v>
      </c>
      <c r="CJ412" s="19" t="str">
        <f aca="false">IF(BX412="buffet","{YELLOW}25% long distance bonus for consist{}",IF(CA412="BRAKE","{YELLOW}Speed bonus for slow wagons{}",IF(BW412&gt;190,CONCATENATE("{YELLOW}",INT((BW412-185)/1.85),"% bonus for long distance travel{}"),IF(AND(BW412&lt;180,BW412&lt;&gt;0),CONCATENATE("{YELLOW}",INT((185-BW412)/1.85),"% penalty for long distance travel{}"),""))))</f>
        <v/>
      </c>
      <c r="CK412" s="19" t="str">
        <f aca="false">_xlfn.CONCAT(CF412,IF(CF412 &lt;&gt; "", " ", ""),CG412,IF(OR(CG412&lt;&gt;"", CF412&lt;&gt;""), "{}",""), CE412, CJ412,"{SILVER}", CH412)</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row>
    <row r="413" s="19" customFormat="true" ht="14.25" hidden="false" customHeight="false" outlineLevel="0" collapsed="false">
      <c r="A413" s="19" t="s">
        <v>1477</v>
      </c>
      <c r="B413" s="20" t="s">
        <v>1478</v>
      </c>
      <c r="C413" s="21" t="n">
        <v>3024</v>
      </c>
      <c r="E413" s="19" t="n">
        <v>24</v>
      </c>
      <c r="F413" s="19" t="s">
        <v>143</v>
      </c>
      <c r="G413" s="19" t="s">
        <v>827</v>
      </c>
      <c r="H413" s="19" t="s">
        <v>670</v>
      </c>
      <c r="I413" s="19" t="s">
        <v>92</v>
      </c>
      <c r="J413" s="19" t="n">
        <v>1957</v>
      </c>
      <c r="K413" s="19" t="n">
        <v>1989</v>
      </c>
      <c r="L413" s="19" t="n">
        <v>2004</v>
      </c>
      <c r="M413" s="19" t="n">
        <v>3</v>
      </c>
      <c r="N413" s="19" t="n">
        <v>600</v>
      </c>
      <c r="O413" s="22"/>
      <c r="P413" s="23"/>
      <c r="Q413" s="23"/>
      <c r="R413" s="23"/>
      <c r="S413" s="23"/>
      <c r="T413" s="23"/>
      <c r="U413" s="23"/>
      <c r="V413" s="23"/>
      <c r="W413" s="19" t="n">
        <f aca="false">32.5+25</f>
        <v>57.5</v>
      </c>
      <c r="X413" s="22"/>
      <c r="Y413" s="19" t="n">
        <v>5</v>
      </c>
      <c r="Z413" s="19" t="n">
        <v>85</v>
      </c>
      <c r="AA413" s="24" t="n">
        <f aca="false">IF(AND(W413&gt;0,Z413&gt;0),(Z413/((W413+X413)*10)),"")</f>
        <v>0.147826086956522</v>
      </c>
      <c r="AB413" s="19" t="n">
        <v>75</v>
      </c>
      <c r="AC413" s="19" t="n">
        <f aca="false">ROUND(AB413*1.6, 0)</f>
        <v>120</v>
      </c>
      <c r="AF413" s="19" t="n">
        <v>19.5</v>
      </c>
      <c r="AG413" s="19" t="n">
        <v>20</v>
      </c>
      <c r="AH413" s="19" t="n">
        <v>2.7</v>
      </c>
      <c r="AI413" s="19" t="n">
        <v>3.77</v>
      </c>
      <c r="AJ413" s="25" t="n">
        <v>51</v>
      </c>
      <c r="AK413" s="26" t="str">
        <f aca="false">CONCATENATE(VLOOKUP(AL413, '[1]Voxel Sizes'!$A$2:$B$18,2,FALSE()),"x",INT(AH413*15), "x", INT(AI413*15))</f>
        <v>198x40x56</v>
      </c>
      <c r="AL413" s="19" t="n">
        <f aca="false">ROUND(15*((AG413*10)/256),0)</f>
        <v>12</v>
      </c>
      <c r="AN413" s="19" t="str">
        <f aca="false">CONCATENATE(VLOOKUP(AL413,[1]Constants!$A$2:$C$16,IF(AM413&lt;&gt;"", 3, 2), FALSE()),IF(AM413&lt;&gt;"",CONCATENATE(",",VLOOKUP(AM413,$B:$AN,38,FALSE())),""))</f>
        <v>4,4,4</v>
      </c>
      <c r="AP413" s="27"/>
      <c r="AQ413" s="27"/>
      <c r="AR413" s="19" t="s">
        <v>1479</v>
      </c>
      <c r="AT413" s="19" t="s">
        <v>864</v>
      </c>
      <c r="AU413" s="19" t="s">
        <v>1480</v>
      </c>
      <c r="AX413" s="19" t="n">
        <v>45</v>
      </c>
      <c r="AY413" s="28" t="n">
        <f aca="false">IF(L413&lt;&gt;"",MAX(16,(L413-J413)+8),"")</f>
        <v>55</v>
      </c>
      <c r="AZ413" s="19" t="n">
        <v>-10</v>
      </c>
      <c r="BA413" s="19" t="n">
        <v>-15</v>
      </c>
      <c r="BB413" s="19" t="n">
        <f aca="false">MIN(AB413/150, 1)*30</f>
        <v>15</v>
      </c>
      <c r="BC413" s="19" t="n">
        <f aca="false">MIN(N413/4000, 1)*20</f>
        <v>3</v>
      </c>
      <c r="BD413" s="19" t="n">
        <f aca="false">MIN(Z413/400,1)*20</f>
        <v>4.25</v>
      </c>
      <c r="BE413" s="24" t="n">
        <f aca="false">1-(MAX(J413-1900, 0)/750)</f>
        <v>0.924</v>
      </c>
      <c r="BF413" s="19" t="n">
        <f aca="false">((MAX($M413,1)*MIN($AJ413/300,1)))*IF(G413="Wagon",50,10)</f>
        <v>5.1</v>
      </c>
      <c r="BG413" s="19" t="n">
        <f aca="false">VLOOKUP($H413,[1]Constants!$I$1:$K$1048576, 2, FALSE())</f>
        <v>1</v>
      </c>
      <c r="BH413" s="19" t="n">
        <f aca="false">VLOOKUP($H413,[1]Constants!$I$1:$K$1048576, 3, FALSE())*IF(AND(G413="multiple_unit",AB413&lt;110),0.75,1)</f>
        <v>1.5</v>
      </c>
      <c r="BI413" s="19" t="n">
        <f aca="false">INT(POWER((([1]Constants!$G$2+$BB413+$BC413+$BD413+$BF413)*$BE413)*$BH413, 1.05))+$BA413</f>
        <v>39</v>
      </c>
      <c r="BJ413" s="19" t="n">
        <f aca="false">INT(POWER(((([1]Constants!$G$1+$BB413+$BC413+$BD413+$BF413)*($BE413))*$BG413),IF($G413="wagon",1,1.2)))+$AZ413</f>
        <v>71</v>
      </c>
      <c r="BK413" s="29" t="n">
        <f aca="false">BI413*IF($G413="wagon",62.5,781.25)</f>
        <v>30468.75</v>
      </c>
      <c r="BL413" s="29" t="n">
        <f aca="false">BJ413*IF($G413="wagon",2.73,81.25)</f>
        <v>5768.75</v>
      </c>
      <c r="BR413" s="19" t="s">
        <v>1481</v>
      </c>
      <c r="BV413" s="19" t="n">
        <v>2</v>
      </c>
      <c r="BZ413" s="19" t="s">
        <v>148</v>
      </c>
      <c r="CA413" s="19" t="str">
        <f aca="false">VLOOKUP(J413,[1]Eras!$A$2:$C$10, 2, TRUE())</f>
        <v>dsl</v>
      </c>
      <c r="CB413" s="30" t="s">
        <v>834</v>
      </c>
      <c r="CC413" s="19" t="str">
        <f aca="false">CONCATENATE(CA413,"_",CB413)</f>
        <v>dsl_DMU</v>
      </c>
      <c r="CD413" s="19" t="str">
        <f aca="false">_xlfn.CONCAT(H413, "_",I413)</f>
        <v>diesel_RAIL</v>
      </c>
      <c r="CE413" s="31" t="str">
        <f aca="false" t="array" ref="CE413:CE413">_xlfn.CONCAT("{BLACK}Length: {GOLD}", TEXT(ROUNDUP(IF(AQ413&lt;&gt;"",SUM(VALUE(_xlfn.TEXTSPLIT(AQ413, ","))), SUM(VALUE(_xlfn.TEXTSPLIT(AN413, ",")))*IF(M413, M413, 1))/16, 1), "#,##0.0"), " tiles{}")</f>
        <v>{BLACK}Length: {GOLD}2.3 tiles{}</v>
      </c>
      <c r="CF413" s="19" t="str">
        <f aca="false">VLOOKUP($CD413, [1]Constants!$M$1:$N$1048576, 2, FALSE())</f>
        <v>{BLACK}Powered by: {GOLD}Diesel</v>
      </c>
      <c r="CG413" s="19" t="str">
        <f aca="false">IF(M413&gt;1,_xlfn.CONCAT("{BLACK}Cars: {GOLD}", M413),"")</f>
        <v>{BLACK}Cars: {GOLD}3</v>
      </c>
      <c r="CH413" s="19" t="s">
        <v>1482</v>
      </c>
      <c r="CJ413" s="19" t="str">
        <f aca="false">IF(BX413="buffet","{YELLOW}25% long distance bonus for consist{}",IF(CA413="BRAKE","{YELLOW}Speed bonus for slow wagons{}",IF(BW413&gt;190,CONCATENATE("{YELLOW}",INT((BW413-185)/1.85),"% bonus for long distance travel{}"),IF(AND(BW413&lt;180,BW413&lt;&gt;0),CONCATENATE("{YELLOW}",INT((185-BW413)/1.85),"% penalty for long distance travel{}"),""))))</f>
        <v/>
      </c>
      <c r="CK413" s="19" t="str">
        <f aca="false">_xlfn.CONCAT(CF413,IF(CF413 &lt;&gt; "", " ", ""),CG413,IF(OR(CG413&lt;&gt;"", CF413&lt;&gt;""), "{}",""), CE413, CJ413,"{SILVER}", CH413)</f>
        <v>{BLACK}Powered by: {GOLD}Diesel {BLACK}Cars: {GOLD}3{}{BLACK}Length: {GOLD}2.3 tiles{}{SILVER}Class 205 units were a relatively numerous class of high-density non-corridor multiple units that worked services across Hampshire. In many ways they were the classic ‘Thumper’ unit.</v>
      </c>
    </row>
    <row r="414" s="30" customFormat="true" ht="14.25" hidden="false" customHeight="false" outlineLevel="0" collapsed="false">
      <c r="A414" s="19" t="s">
        <v>1483</v>
      </c>
      <c r="B414" s="20" t="s">
        <v>1484</v>
      </c>
      <c r="C414" s="21" t="n">
        <v>3025</v>
      </c>
      <c r="D414" s="19" t="n">
        <v>3024</v>
      </c>
      <c r="E414" s="19" t="n">
        <v>26</v>
      </c>
      <c r="F414" s="19" t="s">
        <v>143</v>
      </c>
      <c r="G414" s="19" t="s">
        <v>827</v>
      </c>
      <c r="H414" s="19" t="s">
        <v>670</v>
      </c>
      <c r="I414" s="19" t="s">
        <v>92</v>
      </c>
      <c r="J414" s="19" t="n">
        <v>1957</v>
      </c>
      <c r="K414" s="19" t="n">
        <v>1989</v>
      </c>
      <c r="L414" s="19" t="n">
        <v>2004</v>
      </c>
      <c r="M414" s="19" t="n">
        <v>2</v>
      </c>
      <c r="N414" s="19" t="n">
        <v>600</v>
      </c>
      <c r="O414" s="22"/>
      <c r="P414" s="23"/>
      <c r="Q414" s="23"/>
      <c r="R414" s="23"/>
      <c r="S414" s="23"/>
      <c r="T414" s="23"/>
      <c r="U414" s="23"/>
      <c r="V414" s="23"/>
      <c r="W414" s="19" t="n">
        <f aca="false">32.5+25</f>
        <v>57.5</v>
      </c>
      <c r="X414" s="22"/>
      <c r="Y414" s="19" t="n">
        <v>5</v>
      </c>
      <c r="Z414" s="19" t="n">
        <v>85</v>
      </c>
      <c r="AA414" s="24" t="n">
        <f aca="false">IF(AND(W414&gt;0,Z414&gt;0),(Z414/((W414+X414)*10)),"")</f>
        <v>0.147826086956522</v>
      </c>
      <c r="AB414" s="19" t="n">
        <v>75</v>
      </c>
      <c r="AC414" s="19" t="n">
        <f aca="false">ROUND(AB414*1.6, 0)</f>
        <v>120</v>
      </c>
      <c r="AD414" s="19"/>
      <c r="AE414" s="19"/>
      <c r="AF414" s="19" t="n">
        <v>19.5</v>
      </c>
      <c r="AG414" s="19" t="n">
        <v>20</v>
      </c>
      <c r="AH414" s="19" t="n">
        <v>2.7</v>
      </c>
      <c r="AI414" s="19" t="n">
        <v>3.77</v>
      </c>
      <c r="AJ414" s="25" t="n">
        <v>51</v>
      </c>
      <c r="AK414" s="26" t="str">
        <f aca="false">CONCATENATE(VLOOKUP(AL414, '[1]Voxel Sizes'!$A$2:$B$18,2,FALSE()),"x",INT(AH414*15), "x", INT(AI414*15))</f>
        <v>198x40x56</v>
      </c>
      <c r="AL414" s="19" t="n">
        <f aca="false">ROUND(15*((AG414*10)/256),0)</f>
        <v>12</v>
      </c>
      <c r="AM414" s="19"/>
      <c r="AN414" s="19" t="str">
        <f aca="false">CONCATENATE(VLOOKUP(AL414,[1]Constants!$A$2:$C$16,IF(AM414&lt;&gt;"", 3, 2), FALSE()),IF(AM414&lt;&gt;"",CONCATENATE(",",VLOOKUP(AM414,$B:$AN,38,FALSE())),""))</f>
        <v>4,4,4</v>
      </c>
      <c r="AO414" s="19"/>
      <c r="AP414" s="27"/>
      <c r="AQ414" s="27"/>
      <c r="AR414" s="19" t="s">
        <v>1485</v>
      </c>
      <c r="AS414" s="19"/>
      <c r="AT414" s="19" t="s">
        <v>1486</v>
      </c>
      <c r="AU414" s="19" t="s">
        <v>1480</v>
      </c>
      <c r="AV414" s="19"/>
      <c r="AW414" s="19"/>
      <c r="AX414" s="19" t="n">
        <v>45</v>
      </c>
      <c r="AY414" s="28" t="n">
        <f aca="false">IF(L414&lt;&gt;"",MAX(16,(L414-J414)+8),"")</f>
        <v>55</v>
      </c>
      <c r="AZ414" s="19" t="n">
        <v>-10</v>
      </c>
      <c r="BA414" s="19" t="n">
        <v>-15</v>
      </c>
      <c r="BB414" s="19" t="n">
        <f aca="false">MIN(AB414/150, 1)*30</f>
        <v>15</v>
      </c>
      <c r="BC414" s="19" t="n">
        <f aca="false">MIN(N414/4000, 1)*20</f>
        <v>3</v>
      </c>
      <c r="BD414" s="19" t="n">
        <f aca="false">MIN(Z414/400,1)*20</f>
        <v>4.25</v>
      </c>
      <c r="BE414" s="24" t="n">
        <f aca="false">1-(MAX(J414-1900, 0)/750)</f>
        <v>0.924</v>
      </c>
      <c r="BF414" s="19" t="n">
        <f aca="false">((MAX($M414,1)*MIN($AJ414/300,1)))*IF(G414="Wagon",50,10)</f>
        <v>3.4</v>
      </c>
      <c r="BG414" s="19" t="n">
        <f aca="false">VLOOKUP($H414,[1]Constants!$I$1:$K$1048576, 2, FALSE())</f>
        <v>1</v>
      </c>
      <c r="BH414" s="19" t="n">
        <f aca="false">VLOOKUP($H414,[1]Constants!$I$1:$K$1048576, 3, FALSE())*IF(AND(G414="multiple_unit",AB414&lt;110),0.75,1)</f>
        <v>1.5</v>
      </c>
      <c r="BI414" s="19" t="n">
        <f aca="false">INT(POWER((([1]Constants!$G$2+$BB414+$BC414+$BD414+$BF414)*$BE414)*$BH414, 1.05))+$BA414</f>
        <v>36</v>
      </c>
      <c r="BJ414" s="19" t="n">
        <f aca="false">INT(POWER(((([1]Constants!$G$1+$BB414+$BC414+$BD414+$BF414)*($BE414))*$BG414),IF($G414="wagon",1,1.2)))+$AZ414</f>
        <v>67</v>
      </c>
      <c r="BK414" s="29" t="n">
        <f aca="false">BI414*IF($G414="wagon",62.5,781.25)</f>
        <v>28125</v>
      </c>
      <c r="BL414" s="29" t="n">
        <f aca="false">BJ414*IF($G414="wagon",2.73,81.25)</f>
        <v>5443.75</v>
      </c>
      <c r="BM414" s="19"/>
      <c r="BN414" s="19"/>
      <c r="BO414" s="19"/>
      <c r="BP414" s="19"/>
      <c r="BQ414" s="19"/>
      <c r="BR414" s="19" t="s">
        <v>1487</v>
      </c>
      <c r="BS414" s="19"/>
      <c r="BT414" s="19"/>
      <c r="BU414" s="19"/>
      <c r="BV414" s="19" t="n">
        <v>2</v>
      </c>
      <c r="BW414" s="19"/>
      <c r="BX414" s="19"/>
      <c r="BY414" s="19"/>
      <c r="BZ414" s="19" t="s">
        <v>148</v>
      </c>
      <c r="CA414" s="19" t="str">
        <f aca="false">VLOOKUP(J414,[1]Eras!$A$2:$C$10, 2, TRUE())</f>
        <v>dsl</v>
      </c>
      <c r="CB414" s="30" t="s">
        <v>834</v>
      </c>
      <c r="CC414" s="19" t="str">
        <f aca="false">CONCATENATE(CA414,"_",CB414)</f>
        <v>dsl_DMU</v>
      </c>
      <c r="CD414" s="19" t="str">
        <f aca="false">_xlfn.CONCAT(H414, "_",I414)</f>
        <v>diesel_RAIL</v>
      </c>
      <c r="CE414" s="31" t="str">
        <f aca="false" t="array" ref="CE414:CE414">_xlfn.CONCAT("{BLACK}Length: {GOLD}", TEXT(ROUNDUP(IF(AQ414&lt;&gt;"",SUM(VALUE(_xlfn.TEXTSPLIT(AQ414, ","))), SUM(VALUE(_xlfn.TEXTSPLIT(AN414, ",")))*IF(M414, M414, 1))/16, 1), "#,##0.0"), " tiles{}")</f>
        <v>{BLACK}Length: {GOLD}1.5 tiles{}</v>
      </c>
      <c r="CF414" s="19" t="str">
        <f aca="false">VLOOKUP($CD414, [1]Constants!$M$1:$N$1048576, 2, FALSE())</f>
        <v>{BLACK}Powered by: {GOLD}Diesel</v>
      </c>
      <c r="CG414" s="19" t="str">
        <f aca="false">IF(M414&gt;1,_xlfn.CONCAT("{BLACK}Cars: {GOLD}", M414),"")</f>
        <v>{BLACK}Cars: {GOLD}2</v>
      </c>
      <c r="CH414" s="19" t="s">
        <v>1482</v>
      </c>
      <c r="CI414" s="19"/>
      <c r="CJ414" s="19" t="str">
        <f aca="false">IF(BX414="buffet","{YELLOW}25% long distance bonus for consist{}",IF(CA414="BRAKE","{YELLOW}Speed bonus for slow wagons{}",IF(BW414&gt;190,CONCATENATE("{YELLOW}",INT((BW414-185)/1.85),"% bonus for long distance travel{}"),IF(AND(BW414&lt;180,BW414&lt;&gt;0),CONCATENATE("{YELLOW}",INT((185-BW414)/1.85),"% penalty for long distance travel{}"),""))))</f>
        <v/>
      </c>
      <c r="CK414" s="19" t="str">
        <f aca="false">_xlfn.CONCAT(CF414,IF(CF414 &lt;&gt; "", " ", ""),CG414,IF(OR(CG414&lt;&gt;"", CF414&lt;&gt;""), "{}",""), CE414, CJ414,"{SILVER}", CH414)</f>
        <v>{BLACK}Powered by: {GOLD}Diesel {BLACK}Cars: {GOLD}2{}{BLACK}Length: {GOLD}1.5 tiles{}{SILVER}Class 205 units were a relatively numerous class of high-density non-corridor multiple units that worked services across Hampshire. In many ways they were the classic ‘Thumper’ unit.</v>
      </c>
      <c r="CL414" s="19"/>
      <c r="CM414" s="19"/>
      <c r="CN414" s="19"/>
    </row>
    <row r="415" s="19" customFormat="true" ht="14.25" hidden="false" customHeight="false" outlineLevel="0" collapsed="false">
      <c r="A415" s="19" t="s">
        <v>1488</v>
      </c>
      <c r="B415" s="20" t="s">
        <v>1489</v>
      </c>
      <c r="C415" s="21" t="n">
        <v>3026</v>
      </c>
      <c r="E415" s="19" t="n">
        <v>28</v>
      </c>
      <c r="F415" s="19" t="s">
        <v>143</v>
      </c>
      <c r="G415" s="19" t="s">
        <v>827</v>
      </c>
      <c r="H415" s="19" t="s">
        <v>670</v>
      </c>
      <c r="I415" s="19" t="s">
        <v>92</v>
      </c>
      <c r="J415" s="19" t="n">
        <v>1982</v>
      </c>
      <c r="K415" s="19" t="n">
        <v>2002</v>
      </c>
      <c r="L415" s="19" t="n">
        <v>2006</v>
      </c>
      <c r="M415" s="19" t="n">
        <v>4</v>
      </c>
      <c r="N415" s="19" t="n">
        <v>1000</v>
      </c>
      <c r="O415" s="22"/>
      <c r="P415" s="23"/>
      <c r="Q415" s="23"/>
      <c r="R415" s="23"/>
      <c r="S415" s="23"/>
      <c r="T415" s="23"/>
      <c r="U415" s="23"/>
      <c r="V415" s="23"/>
      <c r="W415" s="19" t="n">
        <v>144</v>
      </c>
      <c r="X415" s="22"/>
      <c r="Y415" s="19" t="n">
        <v>5</v>
      </c>
      <c r="Z415" s="19" t="n">
        <v>92</v>
      </c>
      <c r="AA415" s="24" t="n">
        <f aca="false">IF(AND(W415&gt;0,Z415&gt;0),(Z415/((W415+X415)*10)),"")</f>
        <v>0.0638888888888889</v>
      </c>
      <c r="AB415" s="19" t="n">
        <v>90</v>
      </c>
      <c r="AC415" s="19" t="n">
        <f aca="false">ROUND(AB415*1.6, 0)</f>
        <v>144</v>
      </c>
      <c r="AF415" s="19" t="n">
        <v>19.8</v>
      </c>
      <c r="AG415" s="19" t="n">
        <v>20</v>
      </c>
      <c r="AH415" s="19" t="n">
        <v>2.5</v>
      </c>
      <c r="AI415" s="19" t="n">
        <v>3.77</v>
      </c>
      <c r="AJ415" s="25" t="n">
        <v>64</v>
      </c>
      <c r="AK415" s="26" t="str">
        <f aca="false">CONCATENATE(VLOOKUP(AL415, '[1]Voxel Sizes'!$A$2:$B$18,2,FALSE()),"x",INT(AH415*15), "x", INT(AI415*15))</f>
        <v>198x37x56</v>
      </c>
      <c r="AL415" s="19" t="n">
        <f aca="false">ROUND(15*((AG415*10)/256),0)</f>
        <v>12</v>
      </c>
      <c r="AN415" s="19" t="str">
        <f aca="false">CONCATENATE(VLOOKUP(AL415,[1]Constants!$A$2:$C$16,IF(AM415&lt;&gt;"", 3, 2), FALSE()),IF(AM415&lt;&gt;"",CONCATENATE(",",VLOOKUP(AM415,$B:$AN,38,FALSE())),""))</f>
        <v>4,4,4</v>
      </c>
      <c r="AO415" s="19" t="n">
        <v>1</v>
      </c>
      <c r="AP415" s="27"/>
      <c r="AQ415" s="27"/>
      <c r="AR415" s="19" t="s">
        <v>1490</v>
      </c>
      <c r="AT415" s="19" t="s">
        <v>881</v>
      </c>
      <c r="AU415" s="19" t="s">
        <v>1491</v>
      </c>
      <c r="AX415" s="19" t="n">
        <v>45</v>
      </c>
      <c r="AY415" s="28" t="n">
        <f aca="false">IF(L415&lt;&gt;"",MAX(16,(L415-J415)+8),"")</f>
        <v>32</v>
      </c>
      <c r="AZ415" s="19" t="n">
        <v>10</v>
      </c>
      <c r="BB415" s="19" t="n">
        <f aca="false">MIN(AB415/150, 1)*30</f>
        <v>18</v>
      </c>
      <c r="BC415" s="19" t="n">
        <f aca="false">MIN(N415/4000, 1)*20</f>
        <v>5</v>
      </c>
      <c r="BD415" s="19" t="n">
        <f aca="false">MIN(Z415/400,1)*20</f>
        <v>4.6</v>
      </c>
      <c r="BE415" s="24" t="n">
        <f aca="false">1-(MAX(J415-1900, 0)/750)</f>
        <v>0.890666666666667</v>
      </c>
      <c r="BF415" s="19" t="n">
        <f aca="false">((MAX($M415,1)*MIN($AJ415/300,1)))*IF(G415="Wagon",50,10)</f>
        <v>8.53333333333333</v>
      </c>
      <c r="BG415" s="19" t="n">
        <f aca="false">VLOOKUP($H415,[1]Constants!$I$1:$K$1048576, 2, FALSE())</f>
        <v>1</v>
      </c>
      <c r="BH415" s="19" t="n">
        <f aca="false">VLOOKUP($H415,[1]Constants!$I$1:$K$1048576, 3, FALSE())*IF(AND(G415="multiple_unit",AB415&lt;110),0.75,1)</f>
        <v>1.5</v>
      </c>
      <c r="BI415" s="19" t="n">
        <f aca="false">INT(POWER((([1]Constants!$G$2+$BB415+$BC415+$BD415+$BF415)*$BE415)*$BH415, 1.05))+$BA415</f>
        <v>67</v>
      </c>
      <c r="BJ415" s="19" t="n">
        <f aca="false">INT(POWER(((([1]Constants!$G$1+$BB415+$BC415+$BD415+$BF415)*($BE415))*$BG415),IF($G415="wagon",1,1.2)))+$AZ415</f>
        <v>107</v>
      </c>
      <c r="BK415" s="29" t="n">
        <f aca="false">BI415*IF($G415="wagon",62.5,781.25)</f>
        <v>52343.75</v>
      </c>
      <c r="BL415" s="29" t="n">
        <f aca="false">BJ415*IF($G415="wagon",2.73,81.25)</f>
        <v>8693.75</v>
      </c>
      <c r="BR415" s="19" t="s">
        <v>1492</v>
      </c>
      <c r="BV415" s="19" t="n">
        <v>2</v>
      </c>
      <c r="BZ415" s="19" t="s">
        <v>148</v>
      </c>
      <c r="CA415" s="19" t="str">
        <f aca="false">VLOOKUP(J415,[1]Eras!$A$2:$C$10, 2, TRUE())</f>
        <v>lbr</v>
      </c>
      <c r="CB415" s="30" t="s">
        <v>834</v>
      </c>
      <c r="CC415" s="19" t="str">
        <f aca="false">CONCATENATE(CA415,"_",CB415)</f>
        <v>lbr_DMU</v>
      </c>
      <c r="CD415" s="19" t="str">
        <f aca="false">_xlfn.CONCAT(H415, "_",I415)</f>
        <v>diesel_RAIL</v>
      </c>
      <c r="CE415" s="31" t="str">
        <f aca="false" t="array" ref="CE415:CE415">_xlfn.CONCAT("{BLACK}Length: {GOLD}", TEXT(ROUNDUP(IF(AQ415&lt;&gt;"",SUM(VALUE(_xlfn.TEXTSPLIT(AQ415, ","))), SUM(VALUE(_xlfn.TEXTSPLIT(AN415, ",")))*IF(M415, M415, 1))/16, 1), "#,##0.0"), " tiles{}")</f>
        <v>{BLACK}Length: {GOLD}3.0 tiles{}</v>
      </c>
      <c r="CF415" s="19" t="str">
        <f aca="false">VLOOKUP($CD415, [1]Constants!$M$1:$N$1048576, 2, FALSE())</f>
        <v>{BLACK}Powered by: {GOLD}Diesel</v>
      </c>
      <c r="CG415" s="19" t="str">
        <f aca="false">IF(M415&gt;1,_xlfn.CONCAT("{BLACK}Cars: {GOLD}", M415),"")</f>
        <v>{BLACK}Cars: {GOLD}4</v>
      </c>
      <c r="CH415" s="19" t="s">
        <v>1493</v>
      </c>
      <c r="CJ415" s="19" t="str">
        <f aca="false">IF(BX415="buffet","{YELLOW}25% long distance bonus for consist{}",IF(CA415="BRAKE","{YELLOW}Speed bonus for slow wagons{}",IF(BW415&gt;190,CONCATENATE("{YELLOW}",INT((BW415-185)/1.85),"% bonus for long distance travel{}"),IF(AND(BW415&lt;180,BW415&lt;&gt;0),CONCATENATE("{YELLOW}",INT((185-BW415)/1.85),"% penalty for long distance travel{}"),""))))</f>
        <v/>
      </c>
      <c r="CK415" s="19" t="str">
        <f aca="false">_xlfn.CONCAT(CF415,IF(CF415 &lt;&gt; "", " ", ""),CG415,IF(OR(CG415&lt;&gt;"", CF415&lt;&gt;""), "{}",""), CE415, CJ415,"{SILVER}", CH415)</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416" s="19" customFormat="true" ht="14.25" hidden="false" customHeight="false" outlineLevel="0" collapsed="false">
      <c r="A416" s="19" t="s">
        <v>1494</v>
      </c>
      <c r="B416" s="20" t="s">
        <v>1492</v>
      </c>
      <c r="C416" s="21" t="n">
        <v>3027</v>
      </c>
      <c r="D416" s="19" t="n">
        <v>3026</v>
      </c>
      <c r="E416" s="19" t="n">
        <v>29</v>
      </c>
      <c r="F416" s="19" t="s">
        <v>143</v>
      </c>
      <c r="G416" s="19" t="s">
        <v>827</v>
      </c>
      <c r="H416" s="19" t="s">
        <v>670</v>
      </c>
      <c r="I416" s="19" t="s">
        <v>92</v>
      </c>
      <c r="J416" s="19" t="n">
        <v>1982</v>
      </c>
      <c r="K416" s="19" t="n">
        <v>2002</v>
      </c>
      <c r="L416" s="19" t="n">
        <v>2006</v>
      </c>
      <c r="M416" s="19" t="n">
        <v>3</v>
      </c>
      <c r="N416" s="19" t="n">
        <v>1000</v>
      </c>
      <c r="O416" s="22"/>
      <c r="P416" s="23"/>
      <c r="Q416" s="23"/>
      <c r="R416" s="23"/>
      <c r="S416" s="23"/>
      <c r="T416" s="23"/>
      <c r="U416" s="23"/>
      <c r="V416" s="23"/>
      <c r="W416" s="19" t="n">
        <v>118</v>
      </c>
      <c r="X416" s="22"/>
      <c r="Y416" s="19" t="n">
        <v>5</v>
      </c>
      <c r="Z416" s="19" t="n">
        <v>92</v>
      </c>
      <c r="AA416" s="24" t="n">
        <f aca="false">IF(AND(W416&gt;0,Z416&gt;0),(Z416/((W416+X416)*10)),"")</f>
        <v>0.0779661016949153</v>
      </c>
      <c r="AB416" s="19" t="n">
        <v>90</v>
      </c>
      <c r="AC416" s="19" t="n">
        <f aca="false">ROUND(AB416*1.6, 0)</f>
        <v>144</v>
      </c>
      <c r="AF416" s="19" t="n">
        <v>19.8</v>
      </c>
      <c r="AG416" s="19" t="n">
        <v>20</v>
      </c>
      <c r="AH416" s="19" t="n">
        <v>2.5</v>
      </c>
      <c r="AI416" s="19" t="n">
        <v>3.77</v>
      </c>
      <c r="AJ416" s="25" t="n">
        <v>67</v>
      </c>
      <c r="AK416" s="26" t="str">
        <f aca="false">CONCATENATE(VLOOKUP(AL416, '[1]Voxel Sizes'!$A$2:$B$18,2,FALSE()),"x",INT(AH416*15), "x", INT(AI416*15))</f>
        <v>198x37x56</v>
      </c>
      <c r="AL416" s="19" t="n">
        <f aca="false">ROUND(15*((AG416*10)/256),0)</f>
        <v>12</v>
      </c>
      <c r="AN416" s="19" t="str">
        <f aca="false">CONCATENATE(VLOOKUP(AL416,[1]Constants!$A$2:$C$16,IF(AM416&lt;&gt;"", 3, 2), FALSE()),IF(AM416&lt;&gt;"",CONCATENATE(",",VLOOKUP(AM416,$B:$AN,38,FALSE())),""))</f>
        <v>4,4,4</v>
      </c>
      <c r="AO416" s="19" t="n">
        <v>8</v>
      </c>
      <c r="AP416" s="27"/>
      <c r="AQ416" s="27"/>
      <c r="AR416" s="19" t="s">
        <v>1495</v>
      </c>
      <c r="AT416" s="19" t="s">
        <v>843</v>
      </c>
      <c r="AU416" s="19" t="s">
        <v>1496</v>
      </c>
      <c r="AX416" s="19" t="n">
        <v>45</v>
      </c>
      <c r="AY416" s="28" t="n">
        <f aca="false">IF(L416&lt;&gt;"",MAX(16,(L416-J416)+8),"")</f>
        <v>32</v>
      </c>
      <c r="AZ416" s="19" t="n">
        <v>10</v>
      </c>
      <c r="BB416" s="19" t="n">
        <f aca="false">MIN(AB416/150, 1)*30</f>
        <v>18</v>
      </c>
      <c r="BC416" s="19" t="n">
        <f aca="false">MIN(N416/4000, 1)*20</f>
        <v>5</v>
      </c>
      <c r="BD416" s="19" t="n">
        <f aca="false">MIN(Z416/400,1)*20</f>
        <v>4.6</v>
      </c>
      <c r="BE416" s="24" t="n">
        <f aca="false">1-(MAX(J416-1900, 0)/750)</f>
        <v>0.890666666666667</v>
      </c>
      <c r="BF416" s="19" t="n">
        <f aca="false">((MAX($M416,1)*MIN($AJ416/300,1)))*IF(G416="Wagon",50,10)</f>
        <v>6.7</v>
      </c>
      <c r="BG416" s="19" t="n">
        <f aca="false">VLOOKUP($H416,[1]Constants!$I$1:$K$1048576, 2, FALSE())</f>
        <v>1</v>
      </c>
      <c r="BH416" s="19" t="n">
        <f aca="false">VLOOKUP($H416,[1]Constants!$I$1:$K$1048576, 3, FALSE())*IF(AND(G416="multiple_unit",AB416&lt;110),0.75,1)</f>
        <v>1.5</v>
      </c>
      <c r="BI416" s="19" t="n">
        <f aca="false">INT(POWER((([1]Constants!$G$2+$BB416+$BC416+$BD416+$BF416)*$BE416)*$BH416, 1.05))+$BA416</f>
        <v>64</v>
      </c>
      <c r="BJ416" s="19" t="n">
        <f aca="false">INT(POWER(((([1]Constants!$G$1+$BB416+$BC416+$BD416+$BF416)*($BE416))*$BG416),IF($G416="wagon",1,1.2)))+$AZ416</f>
        <v>103</v>
      </c>
      <c r="BK416" s="29" t="n">
        <f aca="false">BI416*IF($G416="wagon",62.5,781.25)</f>
        <v>50000</v>
      </c>
      <c r="BL416" s="29" t="n">
        <f aca="false">BJ416*IF($G416="wagon",2.73,81.25)</f>
        <v>8368.75</v>
      </c>
      <c r="BR416" s="19" t="s">
        <v>1489</v>
      </c>
      <c r="BV416" s="19" t="n">
        <v>2</v>
      </c>
      <c r="BZ416" s="19" t="s">
        <v>148</v>
      </c>
      <c r="CA416" s="19" t="str">
        <f aca="false">VLOOKUP(J416,[1]Eras!$A$2:$C$10, 2, TRUE())</f>
        <v>lbr</v>
      </c>
      <c r="CB416" s="30" t="s">
        <v>834</v>
      </c>
      <c r="CC416" s="19" t="str">
        <f aca="false">CONCATENATE(CA416,"_",CB416)</f>
        <v>lbr_DMU</v>
      </c>
      <c r="CD416" s="19" t="str">
        <f aca="false">_xlfn.CONCAT(H416, "_",I416)</f>
        <v>diesel_RAIL</v>
      </c>
      <c r="CE416" s="31" t="str">
        <f aca="false" t="array" ref="CE416:CE416">_xlfn.CONCAT("{BLACK}Length: {GOLD}", TEXT(ROUNDUP(IF(AQ416&lt;&gt;"",SUM(VALUE(_xlfn.TEXTSPLIT(AQ416, ","))), SUM(VALUE(_xlfn.TEXTSPLIT(AN416, ",")))*IF(M416, M416, 1))/16, 1), "#,##0.0"), " tiles{}")</f>
        <v>{BLACK}Length: {GOLD}2.3 tiles{}</v>
      </c>
      <c r="CF416" s="19" t="str">
        <f aca="false">VLOOKUP($CD416, [1]Constants!$M$1:$N$1048576, 2, FALSE())</f>
        <v>{BLACK}Powered by: {GOLD}Diesel</v>
      </c>
      <c r="CG416" s="19" t="str">
        <f aca="false">IF(M416&gt;1,_xlfn.CONCAT("{BLACK}Cars: {GOLD}", M416),"")</f>
        <v>{BLACK}Cars: {GOLD}3</v>
      </c>
      <c r="CH416" s="19" t="s">
        <v>1497</v>
      </c>
      <c r="CJ416" s="19" t="str">
        <f aca="false">IF(BX416="buffet","{YELLOW}25% long distance bonus for consist{}",IF(CA416="BRAKE","{YELLOW}Speed bonus for slow wagons{}",IF(BW416&gt;190,CONCATENATE("{YELLOW}",INT((BW416-185)/1.85),"% bonus for long distance travel{}"),IF(AND(BW416&lt;180,BW416&lt;&gt;0),CONCATENATE("{YELLOW}",INT((185-BW416)/1.85),"% penalty for long distance travel{}"),""))))</f>
        <v/>
      </c>
      <c r="CK416" s="19" t="str">
        <f aca="false">_xlfn.CONCAT(CF416,IF(CF416 &lt;&gt; "", " ", ""),CG416,IF(OR(CG416&lt;&gt;"", CF416&lt;&gt;""), "{}",""), CE416, CJ416,"{SILVER}", CH416)</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417" s="19" customFormat="true" ht="14.25" hidden="false" customHeight="false" outlineLevel="0" collapsed="false">
      <c r="A417" s="30" t="s">
        <v>1498</v>
      </c>
      <c r="B417" s="49" t="s">
        <v>1499</v>
      </c>
      <c r="C417" s="21" t="n">
        <v>3028</v>
      </c>
      <c r="D417" s="30"/>
      <c r="E417" s="30" t="n">
        <v>27</v>
      </c>
      <c r="F417" s="30" t="s">
        <v>143</v>
      </c>
      <c r="G417" s="30" t="s">
        <v>827</v>
      </c>
      <c r="H417" s="30" t="s">
        <v>670</v>
      </c>
      <c r="I417" s="30" t="s">
        <v>92</v>
      </c>
      <c r="J417" s="30" t="n">
        <v>1960</v>
      </c>
      <c r="K417" s="30"/>
      <c r="L417" s="30" t="n">
        <v>1973</v>
      </c>
      <c r="M417" s="30" t="n">
        <v>6</v>
      </c>
      <c r="N417" s="30" t="n">
        <v>1000</v>
      </c>
      <c r="O417" s="22"/>
      <c r="P417" s="23"/>
      <c r="Q417" s="23"/>
      <c r="R417" s="23"/>
      <c r="S417" s="23"/>
      <c r="T417" s="23"/>
      <c r="U417" s="23"/>
      <c r="V417" s="23"/>
      <c r="W417" s="26" t="n">
        <v>304</v>
      </c>
      <c r="X417" s="22"/>
      <c r="Y417" s="30" t="n">
        <v>3</v>
      </c>
      <c r="Z417" s="30" t="n">
        <v>155</v>
      </c>
      <c r="AA417" s="24" t="n">
        <f aca="false">IF(AND(W417&gt;0,Z417&gt;0),(Z417/((W417+X417)*10)),"")</f>
        <v>0.0509868421052632</v>
      </c>
      <c r="AB417" s="30" t="n">
        <v>90</v>
      </c>
      <c r="AC417" s="30" t="n">
        <f aca="false">ROUND(AB417*1.6, 0)</f>
        <v>144</v>
      </c>
      <c r="AD417" s="30"/>
      <c r="AE417" s="30"/>
      <c r="AF417" s="30" t="n">
        <v>20.26</v>
      </c>
      <c r="AG417" s="30" t="n">
        <v>20</v>
      </c>
      <c r="AH417" s="30" t="n">
        <v>2.9</v>
      </c>
      <c r="AI417" s="30" t="n">
        <v>3.77</v>
      </c>
      <c r="AJ417" s="25" t="n">
        <v>36</v>
      </c>
      <c r="AK417" s="26" t="str">
        <f aca="false">CONCATENATE(VLOOKUP(AL417, '[1]Voxel Sizes'!$A$2:$B$18,2,FALSE()),"x",INT(AH417*15), "x", INT(AI417*15))</f>
        <v>198x43x56</v>
      </c>
      <c r="AL417" s="30" t="n">
        <f aca="false">ROUND(15*((AG417*10)/256),0)</f>
        <v>12</v>
      </c>
      <c r="AM417" s="30"/>
      <c r="AN417" s="19" t="str">
        <f aca="false">CONCATENATE(VLOOKUP(AL417,[1]Constants!$A$2:$C$16,IF(AM417&lt;&gt;"", 3, 2), FALSE()),IF(AM417&lt;&gt;"",CONCATENATE(",",VLOOKUP(AM417,$B:$AN,38,FALSE())),""))</f>
        <v>4,4,4</v>
      </c>
      <c r="AO417" s="30" t="s">
        <v>1500</v>
      </c>
      <c r="AP417" s="27"/>
      <c r="AQ417" s="27"/>
      <c r="AR417" s="30" t="s">
        <v>1501</v>
      </c>
      <c r="AS417" s="30"/>
      <c r="AT417" s="30" t="s">
        <v>926</v>
      </c>
      <c r="AU417" s="30" t="s">
        <v>1502</v>
      </c>
      <c r="AV417" s="30"/>
      <c r="AW417" s="30"/>
      <c r="AX417" s="30" t="n">
        <v>22</v>
      </c>
      <c r="AY417" s="28" t="n">
        <f aca="false">IF(L417&lt;&gt;"",MAX(16,(L417-J417)+8),"")</f>
        <v>21</v>
      </c>
      <c r="AZ417" s="30" t="n">
        <v>-10</v>
      </c>
      <c r="BA417" s="30" t="n">
        <v>-15</v>
      </c>
      <c r="BB417" s="30" t="n">
        <f aca="false">MIN(AB417/150, 1)*30</f>
        <v>18</v>
      </c>
      <c r="BC417" s="30" t="n">
        <f aca="false">MIN(N417/4000, 1)*20</f>
        <v>5</v>
      </c>
      <c r="BD417" s="30" t="n">
        <f aca="false">MIN(Z417/400,1)*20</f>
        <v>7.75</v>
      </c>
      <c r="BE417" s="24" t="n">
        <f aca="false">1-(MAX(J417-1900, 0)/750)</f>
        <v>0.92</v>
      </c>
      <c r="BF417" s="30" t="n">
        <f aca="false">((MAX($M417,1)*MIN($AJ417/300,1)))*IF(G417="Wagon",50,10)</f>
        <v>7.2</v>
      </c>
      <c r="BG417" s="19" t="n">
        <f aca="false">VLOOKUP($H417,[1]Constants!$I$1:$K$1048576, 2, FALSE())</f>
        <v>1</v>
      </c>
      <c r="BH417" s="19" t="n">
        <f aca="false">VLOOKUP($H417,[1]Constants!$I$1:$K$1048576, 3, FALSE())*IF(AND(G417="multiple_unit",AB417&lt;110),0.75,1)</f>
        <v>1.5</v>
      </c>
      <c r="BI417" s="30" t="n">
        <v>61</v>
      </c>
      <c r="BJ417" s="30" t="n">
        <v>101</v>
      </c>
      <c r="BK417" s="29" t="n">
        <f aca="false">BI417*IF($G417="wagon",62.5,781.25)</f>
        <v>47656.25</v>
      </c>
      <c r="BL417" s="29" t="n">
        <f aca="false">BJ417*IF($G417="wagon",2.73,81.25)</f>
        <v>8206.25</v>
      </c>
      <c r="BM417" s="30"/>
      <c r="BN417" s="30"/>
      <c r="BO417" s="30"/>
      <c r="BP417" s="30"/>
      <c r="BQ417" s="30"/>
      <c r="BR417" s="30"/>
      <c r="BS417" s="30"/>
      <c r="BT417" s="30"/>
      <c r="BU417" s="30" t="s">
        <v>952</v>
      </c>
      <c r="BV417" s="30" t="n">
        <v>2</v>
      </c>
      <c r="BW417" s="30" t="n">
        <v>222</v>
      </c>
      <c r="BX417" s="30"/>
      <c r="BY417" s="30"/>
      <c r="BZ417" s="30" t="s">
        <v>148</v>
      </c>
      <c r="CA417" s="30" t="s">
        <v>1270</v>
      </c>
      <c r="CB417" s="30" t="s">
        <v>882</v>
      </c>
      <c r="CC417" s="19" t="str">
        <f aca="false">CONCATENATE(CA417,"_",CB417)</f>
        <v>dsl_DMU (Express)</v>
      </c>
      <c r="CD417" s="19" t="str">
        <f aca="false">_xlfn.CONCAT(H417, "_",I417)</f>
        <v>diesel_RAIL</v>
      </c>
      <c r="CE417" s="31" t="str">
        <f aca="false" t="array" ref="CE417:CE417">_xlfn.CONCAT("{BLACK}Length: {GOLD}", TEXT(ROUNDUP(IF(AQ417&lt;&gt;"",SUM(VALUE(_xlfn.TEXTSPLIT(AQ417, ","))), SUM(VALUE(_xlfn.TEXTSPLIT(AN417, ",")))*IF(M417, M417, 1))/16, 1), "#,##0.0"), " tiles{}")</f>
        <v>{BLACK}Length: {GOLD}4.5 tiles{}</v>
      </c>
      <c r="CF417" s="19" t="str">
        <f aca="false">VLOOKUP($CD417, [1]Constants!$M$1:$N$1048576, 2, FALSE())</f>
        <v>{BLACK}Powered by: {GOLD}Diesel</v>
      </c>
      <c r="CG417" s="19" t="str">
        <f aca="false">IF(M417&gt;1,_xlfn.CONCAT("{BLACK}Cars: {GOLD}", M417),"")</f>
        <v>{BLACK}Cars: {GOLD}6</v>
      </c>
      <c r="CH417" s="19" t="s">
        <v>1503</v>
      </c>
      <c r="CJ417" s="19" t="str">
        <f aca="false">IF(BX417="buffet","{YELLOW}25% long distance bonus for consist{}",IF(CA417="BRAKE","{YELLOW}Speed bonus for slow wagons{}",IF(BW417&gt;190,CONCATENATE("{YELLOW}",INT((BW417-185)/1.85),"% bonus for long distance travel{}"),IF(AND(BW417&lt;180,BW417&lt;&gt;0),CONCATENATE("{YELLOW}",INT((185-BW417)/1.85),"% penalty for long distance travel{}"),""))))</f>
        <v>{YELLOW}20% bonus for long distance travel{}</v>
      </c>
      <c r="CK417" s="19" t="str">
        <f aca="false">_xlfn.CONCAT(CF417,IF(CF417 &lt;&gt; "", " ", ""),CG417,IF(OR(CG417&lt;&gt;"", CF417&lt;&gt;""), "{}",""), CE417, CJ417,"{SILVER}", CH417)</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row>
    <row r="418" s="19" customFormat="true" ht="14.25" hidden="false" customHeight="false" outlineLevel="0" collapsed="false">
      <c r="A418" s="30" t="s">
        <v>1498</v>
      </c>
      <c r="B418" s="49" t="s">
        <v>1504</v>
      </c>
      <c r="C418" s="21" t="n">
        <v>3029</v>
      </c>
      <c r="D418" s="30" t="n">
        <v>3028</v>
      </c>
      <c r="E418" s="30" t="n">
        <v>27</v>
      </c>
      <c r="F418" s="30" t="s">
        <v>143</v>
      </c>
      <c r="G418" s="30" t="s">
        <v>827</v>
      </c>
      <c r="H418" s="30" t="s">
        <v>670</v>
      </c>
      <c r="I418" s="30" t="s">
        <v>92</v>
      </c>
      <c r="J418" s="30" t="n">
        <v>1960</v>
      </c>
      <c r="K418" s="30"/>
      <c r="L418" s="30" t="n">
        <v>1973</v>
      </c>
      <c r="M418" s="30" t="n">
        <v>8</v>
      </c>
      <c r="N418" s="30" t="n">
        <v>1000</v>
      </c>
      <c r="O418" s="22"/>
      <c r="P418" s="23"/>
      <c r="Q418" s="23"/>
      <c r="R418" s="23"/>
      <c r="S418" s="23"/>
      <c r="T418" s="23"/>
      <c r="U418" s="23"/>
      <c r="V418" s="23"/>
      <c r="W418" s="30" t="n">
        <f aca="false">408/6*5</f>
        <v>340</v>
      </c>
      <c r="X418" s="22"/>
      <c r="Y418" s="30" t="n">
        <v>3</v>
      </c>
      <c r="Z418" s="30" t="n">
        <v>155</v>
      </c>
      <c r="AA418" s="24" t="n">
        <f aca="false">IF(AND(W418&gt;0,Z418&gt;0),(Z418/((W418+X418)*10)),"")</f>
        <v>0.0455882352941176</v>
      </c>
      <c r="AB418" s="30" t="n">
        <v>90</v>
      </c>
      <c r="AC418" s="30" t="n">
        <f aca="false">ROUND(AB418*1.6, 0)</f>
        <v>144</v>
      </c>
      <c r="AD418" s="30"/>
      <c r="AE418" s="30"/>
      <c r="AF418" s="30" t="n">
        <v>20.26</v>
      </c>
      <c r="AG418" s="30" t="n">
        <v>20</v>
      </c>
      <c r="AH418" s="30" t="n">
        <v>2.9</v>
      </c>
      <c r="AI418" s="30" t="n">
        <v>3.77</v>
      </c>
      <c r="AJ418" s="25" t="n">
        <v>38</v>
      </c>
      <c r="AK418" s="26" t="str">
        <f aca="false">CONCATENATE(VLOOKUP(AL418, '[1]Voxel Sizes'!$A$2:$B$18,2,FALSE()),"x",INT(AH418*15), "x", INT(AI418*15))</f>
        <v>198x43x56</v>
      </c>
      <c r="AL418" s="30" t="n">
        <f aca="false">ROUND(15*((AG418*10)/256),0)</f>
        <v>12</v>
      </c>
      <c r="AM418" s="30"/>
      <c r="AN418" s="19" t="str">
        <f aca="false">CONCATENATE(VLOOKUP(AL418,[1]Constants!$A$2:$C$16,IF(AM418&lt;&gt;"", 3, 2), FALSE()),IF(AM418&lt;&gt;"",CONCATENATE(",",VLOOKUP(AM418,$B:$AN,38,FALSE())),""))</f>
        <v>4,4,4</v>
      </c>
      <c r="AO418" s="30" t="s">
        <v>1505</v>
      </c>
      <c r="AP418" s="27"/>
      <c r="AQ418" s="27"/>
      <c r="AR418" s="30" t="s">
        <v>1501</v>
      </c>
      <c r="AS418" s="30"/>
      <c r="AT418" s="30" t="s">
        <v>1506</v>
      </c>
      <c r="AU418" s="30" t="s">
        <v>1502</v>
      </c>
      <c r="AV418" s="30"/>
      <c r="AW418" s="30"/>
      <c r="AX418" s="30" t="n">
        <v>22</v>
      </c>
      <c r="AY418" s="28" t="n">
        <f aca="false">IF(L418&lt;&gt;"",MAX(16,(L418-J418)+8),"")</f>
        <v>21</v>
      </c>
      <c r="AZ418" s="30" t="n">
        <v>-10</v>
      </c>
      <c r="BA418" s="30" t="n">
        <v>-15</v>
      </c>
      <c r="BB418" s="30" t="n">
        <f aca="false">MIN(AB418/150, 1)*30</f>
        <v>18</v>
      </c>
      <c r="BC418" s="30" t="n">
        <f aca="false">MIN(N418/4000, 1)*20</f>
        <v>5</v>
      </c>
      <c r="BD418" s="30" t="n">
        <f aca="false">MIN(Z418/400,1)*20</f>
        <v>7.75</v>
      </c>
      <c r="BE418" s="24" t="n">
        <f aca="false">1-(MAX(J418-1900, 0)/750)</f>
        <v>0.92</v>
      </c>
      <c r="BF418" s="30" t="n">
        <f aca="false">((MAX($M418,1)*MIN($AJ418/300,1)))*IF(G418="Wagon",50,10)</f>
        <v>10.1333333333333</v>
      </c>
      <c r="BG418" s="19" t="n">
        <f aca="false">VLOOKUP($H418,[1]Constants!$I$1:$K$1048576, 2, FALSE())</f>
        <v>1</v>
      </c>
      <c r="BH418" s="19" t="n">
        <f aca="false">VLOOKUP($H418,[1]Constants!$I$1:$K$1048576, 3, FALSE())*IF(AND(G418="multiple_unit",AB418&lt;110),0.75,1)</f>
        <v>1.5</v>
      </c>
      <c r="BI418" s="30" t="n">
        <v>61</v>
      </c>
      <c r="BJ418" s="30" t="n">
        <v>101</v>
      </c>
      <c r="BK418" s="29" t="n">
        <f aca="false">BI418*IF($G418="wagon",62.5,781.25)</f>
        <v>47656.25</v>
      </c>
      <c r="BL418" s="29" t="n">
        <f aca="false">BJ418*IF($G418="wagon",2.73,81.25)</f>
        <v>8206.25</v>
      </c>
      <c r="BM418" s="30"/>
      <c r="BN418" s="30"/>
      <c r="BO418" s="30"/>
      <c r="BP418" s="30"/>
      <c r="BQ418" s="30"/>
      <c r="BR418" s="30"/>
      <c r="BS418" s="30"/>
      <c r="BT418" s="30"/>
      <c r="BU418" s="30" t="s">
        <v>952</v>
      </c>
      <c r="BV418" s="30" t="n">
        <v>2</v>
      </c>
      <c r="BW418" s="30" t="n">
        <v>222</v>
      </c>
      <c r="BX418" s="30"/>
      <c r="BY418" s="30"/>
      <c r="BZ418" s="30" t="s">
        <v>148</v>
      </c>
      <c r="CA418" s="30" t="s">
        <v>1270</v>
      </c>
      <c r="CB418" s="30" t="s">
        <v>882</v>
      </c>
      <c r="CC418" s="19" t="str">
        <f aca="false">CONCATENATE(CA418,"_",CB418)</f>
        <v>dsl_DMU (Express)</v>
      </c>
      <c r="CD418" s="19" t="str">
        <f aca="false">_xlfn.CONCAT(H418, "_",I418)</f>
        <v>diesel_RAIL</v>
      </c>
      <c r="CE418" s="31" t="str">
        <f aca="false" t="array" ref="CE418:CE418">_xlfn.CONCAT("{BLACK}Length: {GOLD}", TEXT(ROUNDUP(IF(AQ418&lt;&gt;"",SUM(VALUE(_xlfn.TEXTSPLIT(AQ418, ","))), SUM(VALUE(_xlfn.TEXTSPLIT(AN418, ",")))*IF(M418, M418, 1))/16, 1), "#,##0.0"), " tiles{}")</f>
        <v>{BLACK}Length: {GOLD}6.0 tiles{}</v>
      </c>
      <c r="CF418" s="19" t="str">
        <f aca="false">VLOOKUP($CD418, [1]Constants!$M$1:$N$1048576, 2, FALSE())</f>
        <v>{BLACK}Powered by: {GOLD}Diesel</v>
      </c>
      <c r="CG418" s="19" t="str">
        <f aca="false">IF(M418&gt;1,_xlfn.CONCAT("{BLACK}Cars: {GOLD}", M418),"")</f>
        <v>{BLACK}Cars: {GOLD}8</v>
      </c>
      <c r="CH418" s="19" t="s">
        <v>1507</v>
      </c>
      <c r="CJ418" s="19" t="str">
        <f aca="false">IF(BX418="buffet","{YELLOW}25% long distance bonus for consist{}",IF(CA418="BRAKE","{YELLOW}Speed bonus for slow wagons{}",IF(BW418&gt;190,CONCATENATE("{YELLOW}",INT((BW418-185)/1.85),"% bonus for long distance travel{}"),IF(AND(BW418&lt;180,BW418&lt;&gt;0),CONCATENATE("{YELLOW}",INT((185-BW418)/1.85),"% penalty for long distance travel{}"),""))))</f>
        <v>{YELLOW}20% bonus for long distance travel{}</v>
      </c>
      <c r="CK418" s="19" t="str">
        <f aca="false">_xlfn.CONCAT(CF418,IF(CF418 &lt;&gt; "", " ", ""),CG418,IF(OR(CG418&lt;&gt;"", CF418&lt;&gt;""), "{}",""), CE418, CJ418,"{SILVER}", CH418)</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row>
    <row r="419" s="30" customFormat="true" ht="14.25" hidden="false" customHeight="false" outlineLevel="0" collapsed="false">
      <c r="A419" s="30" t="s">
        <v>1508</v>
      </c>
      <c r="B419" s="49" t="s">
        <v>1509</v>
      </c>
      <c r="C419" s="21" t="n">
        <v>3030</v>
      </c>
      <c r="D419" s="19"/>
      <c r="E419" s="19" t="n">
        <v>30</v>
      </c>
      <c r="F419" s="19" t="s">
        <v>143</v>
      </c>
      <c r="G419" s="19" t="s">
        <v>827</v>
      </c>
      <c r="H419" s="19" t="s">
        <v>529</v>
      </c>
      <c r="I419" s="19" t="s">
        <v>530</v>
      </c>
      <c r="J419" s="19" t="n">
        <v>1959</v>
      </c>
      <c r="K419" s="19" t="n">
        <v>1982</v>
      </c>
      <c r="L419" s="19" t="n">
        <v>1992</v>
      </c>
      <c r="M419" s="19" t="n">
        <v>4</v>
      </c>
      <c r="N419" s="19" t="n">
        <v>768</v>
      </c>
      <c r="O419" s="22"/>
      <c r="P419" s="23"/>
      <c r="Q419" s="23"/>
      <c r="R419" s="23"/>
      <c r="S419" s="23"/>
      <c r="T419" s="23"/>
      <c r="U419" s="23"/>
      <c r="V419" s="23"/>
      <c r="W419" s="19" t="n">
        <v>157</v>
      </c>
      <c r="X419" s="22"/>
      <c r="Y419" s="19" t="n">
        <v>5</v>
      </c>
      <c r="Z419" s="19" t="n">
        <v>130</v>
      </c>
      <c r="AA419" s="24" t="n">
        <f aca="false">IF(AND(W419&gt;0,Z419&gt;0),(Z419/((W419+X419)*10)),"")</f>
        <v>0.0828025477707006</v>
      </c>
      <c r="AB419" s="19" t="n">
        <v>75</v>
      </c>
      <c r="AC419" s="19" t="n">
        <f aca="false">ROUND(AB419*1.6, 0)</f>
        <v>120</v>
      </c>
      <c r="AD419" s="19"/>
      <c r="AE419" s="19"/>
      <c r="AF419" s="19" t="n">
        <v>20.3</v>
      </c>
      <c r="AG419" s="19" t="n">
        <v>20</v>
      </c>
      <c r="AH419" s="19" t="n">
        <v>2.82</v>
      </c>
      <c r="AI419" s="19" t="n">
        <v>3.97</v>
      </c>
      <c r="AJ419" s="25" t="n">
        <v>57</v>
      </c>
      <c r="AK419" s="26" t="str">
        <f aca="false">CONCATENATE(VLOOKUP(AL419, '[1]Voxel Sizes'!$A$2:$B$18,2,FALSE()),"x",INT(AH419*15), "x", INT(AI419*15))</f>
        <v>198x42x59</v>
      </c>
      <c r="AL419" s="19" t="n">
        <f aca="false">ROUND(15*((AG419*10)/256),0)</f>
        <v>12</v>
      </c>
      <c r="AM419" s="19"/>
      <c r="AN419" s="19" t="str">
        <f aca="false">CONCATENATE(VLOOKUP(AL419,[1]Constants!$A$2:$C$16,IF(AM419&lt;&gt;"", 3, 2), FALSE()),IF(AM419&lt;&gt;"",CONCATENATE(",",VLOOKUP(AM419,$B:$AN,38,FALSE())),""))</f>
        <v>4,4,4</v>
      </c>
      <c r="AO419" s="19" t="n">
        <v>6</v>
      </c>
      <c r="AP419" s="27"/>
      <c r="AQ419" s="27"/>
      <c r="AR419" s="19" t="s">
        <v>1510</v>
      </c>
      <c r="AS419" s="19"/>
      <c r="AT419" s="19" t="s">
        <v>881</v>
      </c>
      <c r="AU419" s="19" t="s">
        <v>1511</v>
      </c>
      <c r="AV419" s="19"/>
      <c r="AW419" s="19"/>
      <c r="AX419" s="19" t="n">
        <v>32</v>
      </c>
      <c r="AY419" s="28" t="n">
        <f aca="false">IF(L419&lt;&gt;"",MAX(16,(L419-J419)+8),"")</f>
        <v>41</v>
      </c>
      <c r="AZ419" s="19" t="n">
        <v>-10</v>
      </c>
      <c r="BA419" s="19" t="n">
        <v>-20</v>
      </c>
      <c r="BB419" s="19" t="n">
        <f aca="false">MIN(AB419/150, 1)*30</f>
        <v>15</v>
      </c>
      <c r="BC419" s="19" t="n">
        <f aca="false">MIN(N419/4000, 1)*20</f>
        <v>3.84</v>
      </c>
      <c r="BD419" s="19" t="n">
        <f aca="false">MIN(Z419/400,1)*20</f>
        <v>6.5</v>
      </c>
      <c r="BE419" s="24" t="n">
        <f aca="false">1-(MAX(J419-1900, 0)/750)</f>
        <v>0.921333333333333</v>
      </c>
      <c r="BF419" s="19" t="n">
        <f aca="false">((MAX($M419,1)*MIN($AJ419/300,1)))*IF(G419="Wagon",50,10)</f>
        <v>7.6</v>
      </c>
      <c r="BG419" s="19" t="n">
        <f aca="false">VLOOKUP($H419,[1]Constants!$I$1:$K$1048576, 2, FALSE())</f>
        <v>0.85</v>
      </c>
      <c r="BH419" s="19" t="n">
        <f aca="false">VLOOKUP($H419,[1]Constants!$I$1:$K$1048576, 3, FALSE())*IF(AND(G419="multiple_unit",AB419&lt;110),0.75,1)</f>
        <v>1.725</v>
      </c>
      <c r="BI419" s="19" t="n">
        <v>54</v>
      </c>
      <c r="BJ419" s="19" t="n">
        <v>67</v>
      </c>
      <c r="BK419" s="29" t="n">
        <f aca="false">BI419*IF($G419="wagon",62.5,781.25)</f>
        <v>42187.5</v>
      </c>
      <c r="BL419" s="29" t="n">
        <f aca="false">BJ419*IF($G419="wagon",2.73,81.25)</f>
        <v>5443.75</v>
      </c>
      <c r="BM419" s="19"/>
      <c r="BN419" s="19"/>
      <c r="BO419" s="19"/>
      <c r="BP419" s="19"/>
      <c r="BQ419" s="19"/>
      <c r="BR419" s="19" t="str">
        <f aca="false">_xlfn.ORG.LIBREOFFICE.REGEX(_xlfn.ORG.LIBREOFFICE.REGEX(ACEMUVEHICLES, _xlfn.CONCAT(B419, ",?"), ""), ",$", "")</f>
        <v>class_302_parcels,class_309_2car,class_309_2_4car_buf,class_309_3_4car</v>
      </c>
      <c r="BS419" s="19"/>
      <c r="BT419" s="19"/>
      <c r="BU419" s="19"/>
      <c r="BV419" s="19" t="n">
        <v>6</v>
      </c>
      <c r="BW419" s="19" t="n">
        <v>185</v>
      </c>
      <c r="BX419" s="19"/>
      <c r="BY419" s="19"/>
      <c r="BZ419" s="19" t="s">
        <v>148</v>
      </c>
      <c r="CA419" s="19" t="s">
        <v>1270</v>
      </c>
      <c r="CB419" s="30" t="s">
        <v>844</v>
      </c>
      <c r="CC419" s="19" t="str">
        <f aca="false">CONCATENATE(CA419,"_",CB419)</f>
        <v>dsl_EMU</v>
      </c>
      <c r="CD419" s="19" t="str">
        <f aca="false">_xlfn.CONCAT(H419, "_",I419)</f>
        <v>electric_ELRL</v>
      </c>
      <c r="CE419" s="31" t="str">
        <f aca="false" t="array" ref="CE419:CE419">_xlfn.CONCAT("{BLACK}Length: {GOLD}", TEXT(ROUNDUP(IF(AQ419&lt;&gt;"",SUM(VALUE(_xlfn.TEXTSPLIT(AQ419, ","))), SUM(VALUE(_xlfn.TEXTSPLIT(AN419, ",")))*IF(M419, M419, 1))/16, 1), "#,##0.0"), " tiles{}")</f>
        <v>{BLACK}Length: {GOLD}3.0 tiles{}</v>
      </c>
      <c r="CF419" s="19" t="str">
        <f aca="false">VLOOKUP($CD419, [1]Constants!$M$1:$N$1048576, 2, FALSE())</f>
        <v>{BLACK}Powered by: {GOLD}25kV AC</v>
      </c>
      <c r="CG419" s="19" t="str">
        <f aca="false">IF(M419&gt;1,_xlfn.CONCAT("{BLACK}Cars: {GOLD}", M419),"")</f>
        <v>{BLACK}Cars: {GOLD}4</v>
      </c>
      <c r="CH419" s="19" t="s">
        <v>1512</v>
      </c>
      <c r="CI419" s="19"/>
      <c r="CJ419" s="19" t="str">
        <f aca="false">IF(BX419="buffet","{YELLOW}25% long distance bonus for consist{}",IF(CA419="BRAKE","{YELLOW}Speed bonus for slow wagons{}",IF(BW419&gt;190,CONCATENATE("{YELLOW}",INT((BW419-185)/1.85),"% bonus for long distance travel{}"),IF(AND(BW419&lt;180,BW419&lt;&gt;0),CONCATENATE("{YELLOW}",INT((185-BW419)/1.85),"% penalty for long distance travel{}"),""))))</f>
        <v/>
      </c>
      <c r="CK419" s="19" t="str">
        <f aca="false">_xlfn.CONCAT(CF419,IF(CF419 &lt;&gt; "", " ", ""),CG419,IF(OR(CG419&lt;&gt;"", CF419&lt;&gt;""), "{}",""), CE419, CJ419,"{SILVER}", CH419)</f>
        <v>{BLACK}Powered by: {GOLD}25kV AC {BLACK}Cars: {GOLD}4{}{BLACK}Length: {GOLD}3.0 tiles{}{SILVER}A suburban Mk1 EMU that mainly operated out of East London on the LT&amp;S line. Here we represent the refurbished condition of these units, which lasted until 1998.</v>
      </c>
      <c r="CL419" s="19"/>
      <c r="CM419" s="19"/>
      <c r="CN419" s="19"/>
    </row>
    <row r="420" s="30" customFormat="true" ht="14.25" hidden="false" customHeight="false" outlineLevel="0" collapsed="false">
      <c r="A420" s="30" t="s">
        <v>1513</v>
      </c>
      <c r="B420" s="49" t="s">
        <v>1514</v>
      </c>
      <c r="C420" s="21" t="n">
        <v>3031</v>
      </c>
      <c r="D420" s="19" t="n">
        <v>3030</v>
      </c>
      <c r="E420" s="19" t="n">
        <v>32</v>
      </c>
      <c r="F420" s="19" t="s">
        <v>143</v>
      </c>
      <c r="G420" s="19" t="s">
        <v>827</v>
      </c>
      <c r="H420" s="19" t="s">
        <v>529</v>
      </c>
      <c r="I420" s="19" t="s">
        <v>530</v>
      </c>
      <c r="J420" s="19" t="n">
        <v>1959</v>
      </c>
      <c r="K420" s="19" t="n">
        <v>1982</v>
      </c>
      <c r="L420" s="19" t="n">
        <v>1992</v>
      </c>
      <c r="M420" s="19" t="n">
        <v>3</v>
      </c>
      <c r="N420" s="19" t="n">
        <v>768</v>
      </c>
      <c r="O420" s="22"/>
      <c r="P420" s="23"/>
      <c r="Q420" s="23"/>
      <c r="R420" s="23"/>
      <c r="S420" s="23"/>
      <c r="T420" s="23"/>
      <c r="U420" s="23"/>
      <c r="V420" s="23"/>
      <c r="W420" s="19" t="n">
        <v>124</v>
      </c>
      <c r="X420" s="22"/>
      <c r="Y420" s="19" t="n">
        <v>5</v>
      </c>
      <c r="Z420" s="19" t="n">
        <v>130</v>
      </c>
      <c r="AA420" s="24" t="n">
        <f aca="false">IF(AND(W420&gt;0,Z420&gt;0),(Z420/((W420+X420)*10)),"")</f>
        <v>0.104838709677419</v>
      </c>
      <c r="AB420" s="19" t="n">
        <v>75</v>
      </c>
      <c r="AC420" s="19" t="n">
        <f aca="false">ROUND(AB420*1.6, 0)</f>
        <v>120</v>
      </c>
      <c r="AD420" s="19"/>
      <c r="AE420" s="19"/>
      <c r="AF420" s="19" t="n">
        <v>20.3</v>
      </c>
      <c r="AG420" s="19" t="n">
        <v>20</v>
      </c>
      <c r="AH420" s="19" t="n">
        <v>2.82</v>
      </c>
      <c r="AI420" s="19" t="n">
        <v>3.97</v>
      </c>
      <c r="AJ420" s="25" t="n">
        <v>57</v>
      </c>
      <c r="AK420" s="26" t="str">
        <f aca="false">CONCATENATE(VLOOKUP(AL420, '[1]Voxel Sizes'!$A$2:$B$18,2,FALSE()),"x",INT(AH420*15), "x", INT(AI420*15))</f>
        <v>198x42x59</v>
      </c>
      <c r="AL420" s="19" t="n">
        <f aca="false">ROUND(15*((AG420*10)/256),0)</f>
        <v>12</v>
      </c>
      <c r="AM420" s="19"/>
      <c r="AN420" s="19" t="str">
        <f aca="false">CONCATENATE(VLOOKUP(AL420,[1]Constants!$A$2:$C$16,IF(AM420&lt;&gt;"", 3, 2), FALSE()),IF(AM420&lt;&gt;"",CONCATENATE(",",VLOOKUP(AM420,$B:$AN,38,FALSE())),""))</f>
        <v>4,4,4</v>
      </c>
      <c r="AO420" s="19" t="n">
        <v>3</v>
      </c>
      <c r="AP420" s="27"/>
      <c r="AQ420" s="27"/>
      <c r="AR420" s="19" t="s">
        <v>1515</v>
      </c>
      <c r="AS420" s="19"/>
      <c r="AT420" s="19" t="s">
        <v>864</v>
      </c>
      <c r="AU420" s="19" t="s">
        <v>1516</v>
      </c>
      <c r="AV420" s="19"/>
      <c r="AW420" s="19"/>
      <c r="AX420" s="19" t="n">
        <v>32</v>
      </c>
      <c r="AY420" s="28" t="n">
        <f aca="false">IF(L420&lt;&gt;"",MAX(16,(L420-J420)+8),"")</f>
        <v>41</v>
      </c>
      <c r="AZ420" s="19" t="n">
        <v>-15</v>
      </c>
      <c r="BA420" s="19" t="n">
        <v>-20</v>
      </c>
      <c r="BB420" s="19" t="n">
        <f aca="false">MIN(AB420/150, 1)*30</f>
        <v>15</v>
      </c>
      <c r="BC420" s="19" t="n">
        <f aca="false">MIN(N420/4000, 1)*20</f>
        <v>3.84</v>
      </c>
      <c r="BD420" s="19" t="n">
        <f aca="false">MIN(Z420/400,1)*20</f>
        <v>6.5</v>
      </c>
      <c r="BE420" s="24" t="n">
        <f aca="false">1-(MAX(J420-1900, 0)/750)</f>
        <v>0.921333333333333</v>
      </c>
      <c r="BF420" s="19" t="n">
        <f aca="false">((MAX($M420,1)*MIN($AJ420/300,1)))*IF(G420="Wagon",50,10)</f>
        <v>5.7</v>
      </c>
      <c r="BG420" s="19" t="n">
        <f aca="false">VLOOKUP($H420,[1]Constants!$I$1:$K$1048576, 2, FALSE())</f>
        <v>0.85</v>
      </c>
      <c r="BH420" s="19" t="n">
        <f aca="false">VLOOKUP($H420,[1]Constants!$I$1:$K$1048576, 3, FALSE())*IF(AND(G420="multiple_unit",AB420&lt;110),0.75,1)</f>
        <v>1.725</v>
      </c>
      <c r="BI420" s="19" t="n">
        <v>50</v>
      </c>
      <c r="BJ420" s="19" t="n">
        <v>58</v>
      </c>
      <c r="BK420" s="29" t="n">
        <f aca="false">BI420*IF($G420="wagon",62.5,781.25)</f>
        <v>39062.5</v>
      </c>
      <c r="BL420" s="29" t="n">
        <f aca="false">BJ420*IF($G420="wagon",2.73,81.25)</f>
        <v>4712.5</v>
      </c>
      <c r="BM420" s="19"/>
      <c r="BN420" s="19"/>
      <c r="BO420" s="19"/>
      <c r="BP420" s="19"/>
      <c r="BQ420" s="19"/>
      <c r="BR420" s="19" t="str">
        <f aca="false">_xlfn.ORG.LIBREOFFICE.REGEX(_xlfn.ORG.LIBREOFFICE.REGEX(ACEMUVEHICLES, _xlfn.CONCAT(B420, ",?"), ""), ",$", "")</f>
        <v>class_302_4car,class_309_2car,class_309_2_4car_buf,class_309_3_4car</v>
      </c>
      <c r="BS420" s="19"/>
      <c r="BT420" s="19"/>
      <c r="BU420" s="19"/>
      <c r="BV420" s="19" t="n">
        <v>6</v>
      </c>
      <c r="BW420" s="19" t="n">
        <v>185</v>
      </c>
      <c r="BX420" s="19"/>
      <c r="BY420" s="19"/>
      <c r="BZ420" s="19" t="s">
        <v>220</v>
      </c>
      <c r="CA420" s="19" t="s">
        <v>1270</v>
      </c>
      <c r="CB420" s="30" t="s">
        <v>844</v>
      </c>
      <c r="CC420" s="19" t="str">
        <f aca="false">CONCATENATE(CA420,"_",CB420)</f>
        <v>dsl_EMU</v>
      </c>
      <c r="CD420" s="19" t="str">
        <f aca="false">_xlfn.CONCAT(H420, "_",I420)</f>
        <v>electric_ELRL</v>
      </c>
      <c r="CE420" s="31" t="str">
        <f aca="false" t="array" ref="CE420:CE420">_xlfn.CONCAT("{BLACK}Length: {GOLD}", TEXT(ROUNDUP(IF(AQ420&lt;&gt;"",SUM(VALUE(_xlfn.TEXTSPLIT(AQ420, ","))), SUM(VALUE(_xlfn.TEXTSPLIT(AN420, ",")))*IF(M420, M420, 1))/16, 1), "#,##0.0"), " tiles{}")</f>
        <v>{BLACK}Length: {GOLD}2.3 tiles{}</v>
      </c>
      <c r="CF420" s="19" t="str">
        <f aca="false">VLOOKUP($CD420, [1]Constants!$M$1:$N$1048576, 2, FALSE())</f>
        <v>{BLACK}Powered by: {GOLD}25kV AC</v>
      </c>
      <c r="CG420" s="19" t="str">
        <f aca="false">IF(M420&gt;1,_xlfn.CONCAT("{BLACK}Cars: {GOLD}", M420),"")</f>
        <v>{BLACK}Cars: {GOLD}3</v>
      </c>
      <c r="CH420" s="19" t="s">
        <v>1517</v>
      </c>
      <c r="CI420" s="19"/>
      <c r="CJ420" s="19" t="str">
        <f aca="false">IF(BX420="buffet","{YELLOW}25% long distance bonus for consist{}",IF(CA420="BRAKE","{YELLOW}Speed bonus for slow wagons{}",IF(BW420&gt;190,CONCATENATE("{YELLOW}",INT((BW420-185)/1.85),"% bonus for long distance travel{}"),IF(AND(BW420&lt;180,BW420&lt;&gt;0),CONCATENATE("{YELLOW}",INT((185-BW420)/1.85),"% penalty for long distance travel{}"),""))))</f>
        <v/>
      </c>
      <c r="CK420" s="19" t="str">
        <f aca="false">_xlfn.CONCAT(CF420,IF(CF420 &lt;&gt; "", " ", ""),CG420,IF(OR(CG420&lt;&gt;"", CF420&lt;&gt;""), "{}",""), CE420, CJ420,"{SILVER}", CH420)</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L420" s="19"/>
      <c r="CM420" s="19"/>
      <c r="CN420" s="19"/>
    </row>
    <row r="421" s="19" customFormat="true" ht="14.25" hidden="false" customHeight="false" outlineLevel="0" collapsed="false">
      <c r="A421" s="30" t="s">
        <v>1518</v>
      </c>
      <c r="B421" s="49" t="s">
        <v>1519</v>
      </c>
      <c r="C421" s="21" t="n">
        <v>3032</v>
      </c>
      <c r="D421" s="19" t="n">
        <v>3033</v>
      </c>
      <c r="E421" s="19" t="n">
        <v>42</v>
      </c>
      <c r="F421" s="19" t="s">
        <v>143</v>
      </c>
      <c r="G421" s="19" t="s">
        <v>827</v>
      </c>
      <c r="H421" s="19" t="s">
        <v>529</v>
      </c>
      <c r="I421" s="19" t="s">
        <v>530</v>
      </c>
      <c r="J421" s="19" t="n">
        <v>1962</v>
      </c>
      <c r="K421" s="19" t="n">
        <v>1990</v>
      </c>
      <c r="L421" s="19" t="n">
        <v>2000</v>
      </c>
      <c r="M421" s="19" t="n">
        <v>2</v>
      </c>
      <c r="N421" s="19" t="n">
        <v>1128</v>
      </c>
      <c r="O421" s="22"/>
      <c r="P421" s="23"/>
      <c r="Q421" s="23"/>
      <c r="R421" s="23"/>
      <c r="S421" s="23"/>
      <c r="T421" s="23"/>
      <c r="U421" s="23"/>
      <c r="V421" s="23"/>
      <c r="W421" s="19" t="n">
        <v>101</v>
      </c>
      <c r="X421" s="22"/>
      <c r="Y421" s="19" t="n">
        <v>5</v>
      </c>
      <c r="Z421" s="19" t="n">
        <v>205</v>
      </c>
      <c r="AA421" s="24" t="n">
        <f aca="false">IF(AND(W421&gt;0,Z421&gt;0),(Z421/((W421+X421)*10)),"")</f>
        <v>0.202970297029703</v>
      </c>
      <c r="AB421" s="19" t="n">
        <v>100</v>
      </c>
      <c r="AC421" s="19" t="n">
        <f aca="false">ROUND(AB421*1.6, 0)</f>
        <v>160</v>
      </c>
      <c r="AF421" s="19" t="n">
        <v>20.3</v>
      </c>
      <c r="AG421" s="19" t="n">
        <v>20</v>
      </c>
      <c r="AH421" s="19" t="n">
        <v>2.82</v>
      </c>
      <c r="AI421" s="19" t="n">
        <v>3.97</v>
      </c>
      <c r="AJ421" s="25" t="n">
        <v>54</v>
      </c>
      <c r="AK421" s="26" t="str">
        <f aca="false">CONCATENATE(VLOOKUP(AL421, '[1]Voxel Sizes'!$A$2:$B$18,2,FALSE()),"x",INT(AH421*15), "x", INT(AI421*15))</f>
        <v>198x42x59</v>
      </c>
      <c r="AL421" s="19" t="n">
        <f aca="false">ROUND(15*((AG421*10)/256),0)</f>
        <v>12</v>
      </c>
      <c r="AN421" s="19" t="str">
        <f aca="false">CONCATENATE(VLOOKUP(AL421,[1]Constants!$A$2:$C$16,IF(AM421&lt;&gt;"", 3, 2), FALSE()),IF(AM421&lt;&gt;"",CONCATENATE(",",VLOOKUP(AM421,$B:$AN,38,FALSE())),""))</f>
        <v>4,4,4</v>
      </c>
      <c r="AO421" s="19" t="n">
        <v>6</v>
      </c>
      <c r="AP421" s="27"/>
      <c r="AQ421" s="27"/>
      <c r="AR421" s="19" t="s">
        <v>1520</v>
      </c>
      <c r="AT421" s="19" t="s">
        <v>833</v>
      </c>
      <c r="AU421" s="19" t="s">
        <v>1521</v>
      </c>
      <c r="AX421" s="19" t="n">
        <v>35</v>
      </c>
      <c r="AY421" s="28" t="n">
        <f aca="false">IF(L421&lt;&gt;"",MAX(16,(L421-J421)+8),"")</f>
        <v>46</v>
      </c>
      <c r="AZ421" s="19" t="n">
        <v>-15</v>
      </c>
      <c r="BA421" s="19" t="n">
        <v>-50</v>
      </c>
      <c r="BB421" s="19" t="n">
        <f aca="false">MIN(AB421/150, 1)*30</f>
        <v>20</v>
      </c>
      <c r="BC421" s="19" t="n">
        <f aca="false">MIN(N421/4000, 1)*20</f>
        <v>5.64</v>
      </c>
      <c r="BD421" s="19" t="n">
        <f aca="false">MIN(Z421/400,1)*20</f>
        <v>10.25</v>
      </c>
      <c r="BE421" s="24" t="n">
        <f aca="false">1-(MAX(J421-1900, 0)/750)</f>
        <v>0.917333333333333</v>
      </c>
      <c r="BF421" s="19" t="n">
        <f aca="false">((MAX($M421,1)*MIN($AJ421/300,1)))*IF(G421="Wagon",50,10)</f>
        <v>3.6</v>
      </c>
      <c r="BG421" s="19" t="n">
        <f aca="false">VLOOKUP($H421,[1]Constants!$I$1:$K$1048576, 2, FALSE())</f>
        <v>0.85</v>
      </c>
      <c r="BH421" s="19" t="n">
        <f aca="false">VLOOKUP($H421,[1]Constants!$I$1:$K$1048576, 3, FALSE())*IF(AND(G421="multiple_unit",AB421&lt;110),0.75,1)</f>
        <v>1.725</v>
      </c>
      <c r="BI421" s="19" t="n">
        <v>37</v>
      </c>
      <c r="BJ421" s="19" t="n">
        <v>74</v>
      </c>
      <c r="BK421" s="29" t="n">
        <f aca="false">BI421*IF($G421="wagon",62.5,781.25)</f>
        <v>28906.25</v>
      </c>
      <c r="BL421" s="29" t="n">
        <f aca="false">BJ421*IF($G421="wagon",2.73,81.25)</f>
        <v>6012.5</v>
      </c>
      <c r="BR421" s="19" t="str">
        <f aca="false">_xlfn.ORG.LIBREOFFICE.REGEX(_xlfn.ORG.LIBREOFFICE.REGEX(ACEMUVEHICLES, _xlfn.CONCAT(B421, ",?"), ""), ",$", "")</f>
        <v>class_302_4car,class_302_parcels,class_309_2_4car_buf,class_309_3_4car</v>
      </c>
      <c r="BV421" s="19" t="n">
        <v>6</v>
      </c>
      <c r="BW421" s="19" t="n">
        <v>185</v>
      </c>
      <c r="BX421" s="30"/>
      <c r="BY421" s="19" t="s">
        <v>147</v>
      </c>
      <c r="BZ421" s="19" t="s">
        <v>148</v>
      </c>
      <c r="CA421" s="19" t="s">
        <v>1270</v>
      </c>
      <c r="CB421" s="30" t="s">
        <v>850</v>
      </c>
      <c r="CC421" s="19" t="str">
        <f aca="false">CONCATENATE(CA421,"_",CB421)</f>
        <v>dsl_EMU (Express)</v>
      </c>
      <c r="CD421" s="19" t="str">
        <f aca="false">_xlfn.CONCAT(H421, "_",I421)</f>
        <v>electric_ELRL</v>
      </c>
      <c r="CE421" s="31" t="str">
        <f aca="false" t="array" ref="CE421:CE421">_xlfn.CONCAT("{BLACK}Length: {GOLD}", TEXT(ROUNDUP(IF(AQ421&lt;&gt;"",SUM(VALUE(_xlfn.TEXTSPLIT(AQ421, ","))), SUM(VALUE(_xlfn.TEXTSPLIT(AN421, ",")))*IF(M421, M421, 1))/16, 1), "#,##0.0"), " tiles{}")</f>
        <v>{BLACK}Length: {GOLD}1.5 tiles{}</v>
      </c>
      <c r="CF421" s="19" t="str">
        <f aca="false">VLOOKUP($CD421, [1]Constants!$M$1:$N$1048576, 2, FALSE())</f>
        <v>{BLACK}Powered by: {GOLD}25kV AC</v>
      </c>
      <c r="CG421" s="19" t="str">
        <f aca="false">IF(M421&gt;1,_xlfn.CONCAT("{BLACK}Cars: {GOLD}", M421),"")</f>
        <v>{BLACK}Cars: {GOLD}2</v>
      </c>
      <c r="CH421" s="19" t="s">
        <v>1522</v>
      </c>
      <c r="CJ421" s="19" t="str">
        <f aca="false">IF(BX421="buffet","{YELLOW}25% long distance bonus for consist{}",IF(CA421="BRAKE","{YELLOW}Speed bonus for slow wagons{}",IF(BW421&gt;190,CONCATENATE("{YELLOW}",INT((BW421-185)/1.85),"% bonus for long distance travel{}"),IF(AND(BW421&lt;180,BW421&lt;&gt;0),CONCATENATE("{YELLOW}",INT((185-BW421)/1.85),"% penalty for long distance travel{}"),""))))</f>
        <v/>
      </c>
      <c r="CK421" s="19" t="str">
        <f aca="false">_xlfn.CONCAT(CF421,IF(CF421 &lt;&gt; "", " ", ""),CG421,IF(OR(CG421&lt;&gt;"", CF421&lt;&gt;""), "{}",""), CE421, CJ421,"{SILVER}", CH421)</f>
        <v>{BLACK}Powered by: {GOLD}25kV AC {BLACK}Cars: {GOLD}2{}{BLACK}Length: {GOLD}1.5 tiles{}{SILVER}The ‘Clacton’ units were iconic express EMUs of the GEML’s early electrification. This subclass represents a 2 car formation, used to boost 2nd class capacity and power on peak time services.</v>
      </c>
    </row>
    <row r="422" s="19" customFormat="true" ht="14.25" hidden="false" customHeight="false" outlineLevel="0" collapsed="false">
      <c r="A422" s="30" t="s">
        <v>1523</v>
      </c>
      <c r="B422" s="49" t="s">
        <v>1524</v>
      </c>
      <c r="C422" s="21" t="n">
        <v>3033</v>
      </c>
      <c r="E422" s="19" t="n">
        <v>43</v>
      </c>
      <c r="F422" s="19" t="s">
        <v>143</v>
      </c>
      <c r="G422" s="19" t="s">
        <v>827</v>
      </c>
      <c r="H422" s="19" t="s">
        <v>529</v>
      </c>
      <c r="I422" s="19" t="s">
        <v>530</v>
      </c>
      <c r="J422" s="19" t="n">
        <v>1962</v>
      </c>
      <c r="K422" s="19" t="n">
        <v>1990</v>
      </c>
      <c r="L422" s="19" t="n">
        <v>2000</v>
      </c>
      <c r="M422" s="19" t="n">
        <v>4</v>
      </c>
      <c r="N422" s="19" t="n">
        <v>1128</v>
      </c>
      <c r="O422" s="22"/>
      <c r="P422" s="23"/>
      <c r="Q422" s="23"/>
      <c r="R422" s="23"/>
      <c r="S422" s="23"/>
      <c r="T422" s="23"/>
      <c r="U422" s="23"/>
      <c r="V422" s="23"/>
      <c r="W422" s="19" t="n">
        <v>171</v>
      </c>
      <c r="X422" s="22"/>
      <c r="Y422" s="19" t="n">
        <v>5</v>
      </c>
      <c r="Z422" s="19" t="n">
        <v>205</v>
      </c>
      <c r="AA422" s="24" t="n">
        <f aca="false">IF(AND(W422&gt;0,Z422&gt;0),(Z422/((W422+X422)*10)),"")</f>
        <v>0.119883040935673</v>
      </c>
      <c r="AB422" s="19" t="n">
        <v>100</v>
      </c>
      <c r="AC422" s="19" t="n">
        <f aca="false">ROUND(AB422*1.6, 0)</f>
        <v>160</v>
      </c>
      <c r="AF422" s="19" t="n">
        <v>20.3</v>
      </c>
      <c r="AG422" s="19" t="n">
        <v>20</v>
      </c>
      <c r="AH422" s="19" t="n">
        <v>2.82</v>
      </c>
      <c r="AI422" s="19" t="n">
        <v>3.97</v>
      </c>
      <c r="AJ422" s="25" t="n">
        <v>41</v>
      </c>
      <c r="AK422" s="26" t="str">
        <f aca="false">CONCATENATE(VLOOKUP(AL422, '[1]Voxel Sizes'!$A$2:$B$18,2,FALSE()),"x",INT(AH422*15), "x", INT(AI422*15))</f>
        <v>198x42x59</v>
      </c>
      <c r="AL422" s="19" t="n">
        <f aca="false">ROUND(15*((AG422*10)/256),0)</f>
        <v>12</v>
      </c>
      <c r="AN422" s="19" t="str">
        <f aca="false">CONCATENATE(VLOOKUP(AL422,[1]Constants!$A$2:$C$16,IF(AM422&lt;&gt;"", 3, 2), FALSE()),IF(AM422&lt;&gt;"",CONCATENATE(",",VLOOKUP(AM422,$B:$AN,38,FALSE())),""))</f>
        <v>4,4,4</v>
      </c>
      <c r="AO422" s="19" t="n">
        <v>6</v>
      </c>
      <c r="AP422" s="27"/>
      <c r="AQ422" s="27"/>
      <c r="AR422" s="19" t="s">
        <v>1525</v>
      </c>
      <c r="AT422" s="19" t="s">
        <v>1526</v>
      </c>
      <c r="AU422" s="19" t="s">
        <v>1527</v>
      </c>
      <c r="AX422" s="19" t="n">
        <v>35</v>
      </c>
      <c r="AY422" s="28" t="n">
        <f aca="false">IF(L422&lt;&gt;"",MAX(16,(L422-J422)+8),"")</f>
        <v>46</v>
      </c>
      <c r="AZ422" s="19" t="n">
        <v>25</v>
      </c>
      <c r="BA422" s="19" t="n">
        <v>-15</v>
      </c>
      <c r="BB422" s="19" t="n">
        <f aca="false">MIN(AB422/150, 1)*30</f>
        <v>20</v>
      </c>
      <c r="BC422" s="19" t="n">
        <f aca="false">MIN(N422/4000, 1)*20</f>
        <v>5.64</v>
      </c>
      <c r="BD422" s="19" t="n">
        <f aca="false">MIN(Z422/400,1)*20</f>
        <v>10.25</v>
      </c>
      <c r="BE422" s="24" t="n">
        <f aca="false">1-(MAX(J422-1900, 0)/750)</f>
        <v>0.917333333333333</v>
      </c>
      <c r="BF422" s="19" t="n">
        <f aca="false">((MAX($M422,1)*MIN($AJ422/300,1)))*IF(G422="Wagon",50,10)</f>
        <v>5.46666666666667</v>
      </c>
      <c r="BG422" s="19" t="n">
        <f aca="false">VLOOKUP($H422,[1]Constants!$I$1:$K$1048576, 2, FALSE())</f>
        <v>0.85</v>
      </c>
      <c r="BH422" s="19" t="n">
        <f aca="false">VLOOKUP($H422,[1]Constants!$I$1:$K$1048576, 3, FALSE())*IF(AND(G422="multiple_unit",AB422&lt;110),0.75,1)</f>
        <v>1.725</v>
      </c>
      <c r="BI422" s="19" t="n">
        <v>75</v>
      </c>
      <c r="BJ422" s="19" t="n">
        <v>118</v>
      </c>
      <c r="BK422" s="29" t="n">
        <f aca="false">BI422*IF($G422="wagon",62.5,781.25)</f>
        <v>58593.75</v>
      </c>
      <c r="BL422" s="29" t="n">
        <f aca="false">BJ422*IF($G422="wagon",2.73,81.25)</f>
        <v>9587.5</v>
      </c>
      <c r="BR422" s="19" t="str">
        <f aca="false">_xlfn.ORG.LIBREOFFICE.REGEX(_xlfn.ORG.LIBREOFFICE.REGEX(ACEMUVEHICLES, _xlfn.CONCAT(B422, ",?"), ""), ",$", "")</f>
        <v>class_302_4car,class_302_parcels,class_309_2car,class_309_3_4car</v>
      </c>
      <c r="BV422" s="19" t="n">
        <v>6</v>
      </c>
      <c r="BW422" s="19" t="n">
        <v>185</v>
      </c>
      <c r="BX422" s="30" t="s">
        <v>190</v>
      </c>
      <c r="BY422" s="19" t="s">
        <v>147</v>
      </c>
      <c r="BZ422" s="19" t="s">
        <v>148</v>
      </c>
      <c r="CA422" s="19" t="s">
        <v>1270</v>
      </c>
      <c r="CB422" s="30" t="s">
        <v>850</v>
      </c>
      <c r="CC422" s="19" t="str">
        <f aca="false">CONCATENATE(CA422,"_",CB422)</f>
        <v>dsl_EMU (Express)</v>
      </c>
      <c r="CD422" s="19" t="str">
        <f aca="false">_xlfn.CONCAT(H422, "_",I422)</f>
        <v>electric_ELRL</v>
      </c>
      <c r="CE422" s="31" t="str">
        <f aca="false" t="array" ref="CE422:CE422">_xlfn.CONCAT("{BLACK}Length: {GOLD}", TEXT(ROUNDUP(IF(AQ422&lt;&gt;"",SUM(VALUE(_xlfn.TEXTSPLIT(AQ422, ","))), SUM(VALUE(_xlfn.TEXTSPLIT(AN422, ",")))*IF(M422, M422, 1))/16, 1), "#,##0.0"), " tiles{}")</f>
        <v>{BLACK}Length: {GOLD}3.0 tiles{}</v>
      </c>
      <c r="CF422" s="19" t="str">
        <f aca="false">VLOOKUP($CD422, [1]Constants!$M$1:$N$1048576, 2, FALSE())</f>
        <v>{BLACK}Powered by: {GOLD}25kV AC</v>
      </c>
      <c r="CG422" s="19" t="str">
        <f aca="false">IF(M422&gt;1,_xlfn.CONCAT("{BLACK}Cars: {GOLD}", M422),"")</f>
        <v>{BLACK}Cars: {GOLD}4</v>
      </c>
      <c r="CH422" s="19" t="s">
        <v>1528</v>
      </c>
      <c r="CJ422" s="19" t="str">
        <f aca="false">IF(BX422="buffet","{YELLOW}25% long distance bonus for consist{}",IF(CA422="BRAKE","{YELLOW}Speed bonus for slow wagons{}",IF(BW422&gt;190,CONCATENATE("{YELLOW}",INT((BW422-185)/1.85),"% bonus for long distance travel{}"),IF(AND(BW422&lt;180,BW422&lt;&gt;0),CONCATENATE("{YELLOW}",INT((185-BW422)/1.85),"% penalty for long distance travel{}"),""))))</f>
        <v>{YELLOW}25% long distance bonus for consist{}</v>
      </c>
      <c r="CK422" s="19" t="str">
        <f aca="false">_xlfn.CONCAT(CF422,IF(CF422 &lt;&gt; "", " ", ""),CG422,IF(OR(CG422&lt;&gt;"", CF422&lt;&gt;""), "{}",""), CE422, CJ422,"{SILVER}", CH422)</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423" s="19" customFormat="true" ht="14.25" hidden="false" customHeight="false" outlineLevel="0" collapsed="false">
      <c r="A423" s="30" t="s">
        <v>1529</v>
      </c>
      <c r="B423" s="49" t="s">
        <v>1530</v>
      </c>
      <c r="C423" s="21" t="n">
        <v>3034</v>
      </c>
      <c r="D423" s="19" t="n">
        <v>3033</v>
      </c>
      <c r="E423" s="19" t="n">
        <v>44</v>
      </c>
      <c r="F423" s="19" t="s">
        <v>143</v>
      </c>
      <c r="G423" s="19" t="s">
        <v>827</v>
      </c>
      <c r="H423" s="19" t="s">
        <v>529</v>
      </c>
      <c r="I423" s="19" t="s">
        <v>530</v>
      </c>
      <c r="J423" s="19" t="n">
        <v>1962</v>
      </c>
      <c r="K423" s="19" t="n">
        <v>1990</v>
      </c>
      <c r="L423" s="19" t="n">
        <v>2000</v>
      </c>
      <c r="M423" s="19" t="n">
        <v>4</v>
      </c>
      <c r="N423" s="19" t="n">
        <v>1128</v>
      </c>
      <c r="O423" s="22"/>
      <c r="P423" s="23"/>
      <c r="Q423" s="23"/>
      <c r="R423" s="23"/>
      <c r="S423" s="23"/>
      <c r="T423" s="23"/>
      <c r="U423" s="23"/>
      <c r="V423" s="23"/>
      <c r="W423" s="19" t="n">
        <v>170</v>
      </c>
      <c r="X423" s="22"/>
      <c r="Y423" s="19" t="n">
        <v>5</v>
      </c>
      <c r="Z423" s="19" t="n">
        <v>205</v>
      </c>
      <c r="AA423" s="24" t="n">
        <f aca="false">IF(AND(W423&gt;0,Z423&gt;0),(Z423/((W423+X423)*10)),"")</f>
        <v>0.120588235294118</v>
      </c>
      <c r="AB423" s="19" t="n">
        <v>100</v>
      </c>
      <c r="AC423" s="19" t="n">
        <f aca="false">ROUND(AB423*1.6, 0)</f>
        <v>160</v>
      </c>
      <c r="AF423" s="19" t="n">
        <v>20.3</v>
      </c>
      <c r="AG423" s="19" t="n">
        <v>20</v>
      </c>
      <c r="AH423" s="19" t="n">
        <v>2.82</v>
      </c>
      <c r="AI423" s="19" t="n">
        <v>3.97</v>
      </c>
      <c r="AJ423" s="25" t="n">
        <v>53</v>
      </c>
      <c r="AK423" s="26" t="str">
        <f aca="false">CONCATENATE(VLOOKUP(AL423, '[1]Voxel Sizes'!$A$2:$B$18,2,FALSE()),"x",INT(AH423*15), "x", INT(AI423*15))</f>
        <v>198x42x59</v>
      </c>
      <c r="AL423" s="19" t="n">
        <f aca="false">ROUND(15*((AG423*10)/256),0)</f>
        <v>12</v>
      </c>
      <c r="AN423" s="19" t="str">
        <f aca="false">CONCATENATE(VLOOKUP(AL423,[1]Constants!$A$2:$C$16,IF(AM423&lt;&gt;"", 3, 2), FALSE()),IF(AM423&lt;&gt;"",CONCATENATE(",",VLOOKUP(AM423,$B:$AN,38,FALSE())),""))</f>
        <v>4,4,4</v>
      </c>
      <c r="AO423" s="19" t="n">
        <v>6</v>
      </c>
      <c r="AP423" s="27"/>
      <c r="AQ423" s="27"/>
      <c r="AR423" s="19" t="s">
        <v>1531</v>
      </c>
      <c r="AT423" s="19" t="s">
        <v>1532</v>
      </c>
      <c r="AU423" s="19" t="s">
        <v>1527</v>
      </c>
      <c r="AX423" s="19" t="n">
        <v>35</v>
      </c>
      <c r="AY423" s="28" t="n">
        <f aca="false">IF(L423&lt;&gt;"",MAX(16,(L423-J423)+8),"")</f>
        <v>46</v>
      </c>
      <c r="AZ423" s="19" t="n">
        <v>-10</v>
      </c>
      <c r="BA423" s="19" t="n">
        <v>-30</v>
      </c>
      <c r="BB423" s="19" t="n">
        <f aca="false">MIN(AB423/150, 1)*30</f>
        <v>20</v>
      </c>
      <c r="BC423" s="19" t="n">
        <f aca="false">MIN(N423/4000, 1)*20</f>
        <v>5.64</v>
      </c>
      <c r="BD423" s="19" t="n">
        <f aca="false">MIN(Z423/400,1)*20</f>
        <v>10.25</v>
      </c>
      <c r="BE423" s="24" t="n">
        <f aca="false">1-(MAX(J423-1900, 0)/750)</f>
        <v>0.917333333333333</v>
      </c>
      <c r="BF423" s="19" t="n">
        <f aca="false">((MAX($M423,1)*MIN($AJ423/300,1)))*IF(G423="Wagon",50,10)</f>
        <v>7.06666666666667</v>
      </c>
      <c r="BG423" s="19" t="n">
        <f aca="false">VLOOKUP($H423,[1]Constants!$I$1:$K$1048576, 2, FALSE())</f>
        <v>0.85</v>
      </c>
      <c r="BH423" s="19" t="n">
        <f aca="false">VLOOKUP($H423,[1]Constants!$I$1:$K$1048576, 3, FALSE())*IF(AND(G423="multiple_unit",AB423&lt;110),0.75,1)</f>
        <v>1.725</v>
      </c>
      <c r="BI423" s="19" t="n">
        <v>64</v>
      </c>
      <c r="BJ423" s="19" t="n">
        <v>86</v>
      </c>
      <c r="BK423" s="29" t="n">
        <f aca="false">BI423*IF($G423="wagon",62.5,781.25)</f>
        <v>50000</v>
      </c>
      <c r="BL423" s="29" t="n">
        <f aca="false">BJ423*IF($G423="wagon",2.73,81.25)</f>
        <v>6987.5</v>
      </c>
      <c r="BR423" s="19" t="str">
        <f aca="false">_xlfn.ORG.LIBREOFFICE.REGEX(_xlfn.ORG.LIBREOFFICE.REGEX(ACEMUVEHICLES, _xlfn.CONCAT(B423, ",?"), ""), ",$", "")</f>
        <v>class_302_4car,class_302_parcels,class_309_2car,class_309_2_4car_buf</v>
      </c>
      <c r="BV423" s="19" t="n">
        <v>6</v>
      </c>
      <c r="BW423" s="19" t="n">
        <v>185</v>
      </c>
      <c r="BX423" s="30"/>
      <c r="BY423" s="19" t="s">
        <v>147</v>
      </c>
      <c r="BZ423" s="19" t="s">
        <v>148</v>
      </c>
      <c r="CA423" s="19" t="s">
        <v>1270</v>
      </c>
      <c r="CB423" s="30" t="s">
        <v>850</v>
      </c>
      <c r="CC423" s="19" t="str">
        <f aca="false">CONCATENATE(CA423,"_",CB423)</f>
        <v>dsl_EMU (Express)</v>
      </c>
      <c r="CD423" s="19" t="str">
        <f aca="false">_xlfn.CONCAT(H423, "_",I423)</f>
        <v>electric_ELRL</v>
      </c>
      <c r="CE423" s="31" t="str">
        <f aca="false" t="array" ref="CE423:CE423">_xlfn.CONCAT("{BLACK}Length: {GOLD}", TEXT(ROUNDUP(IF(AQ423&lt;&gt;"",SUM(VALUE(_xlfn.TEXTSPLIT(AQ423, ","))), SUM(VALUE(_xlfn.TEXTSPLIT(AN423, ",")))*IF(M423, M423, 1))/16, 1), "#,##0.0"), " tiles{}")</f>
        <v>{BLACK}Length: {GOLD}3.0 tiles{}</v>
      </c>
      <c r="CF423" s="19" t="str">
        <f aca="false">VLOOKUP($CD423, [1]Constants!$M$1:$N$1048576, 2, FALSE())</f>
        <v>{BLACK}Powered by: {GOLD}25kV AC</v>
      </c>
      <c r="CG423" s="19" t="str">
        <f aca="false">IF(M423&gt;1,_xlfn.CONCAT("{BLACK}Cars: {GOLD}", M423),"")</f>
        <v>{BLACK}Cars: {GOLD}4</v>
      </c>
      <c r="CH423" s="19" t="s">
        <v>1533</v>
      </c>
      <c r="CJ423" s="19" t="str">
        <f aca="false">IF(BX423="buffet","{YELLOW}25% long distance bonus for consist{}",IF(CA423="BRAKE","{YELLOW}Speed bonus for slow wagons{}",IF(BW423&gt;190,CONCATENATE("{YELLOW}",INT((BW423-185)/1.85),"% bonus for long distance travel{}"),IF(AND(BW423&lt;180,BW423&lt;&gt;0),CONCATENATE("{YELLOW}",INT((185-BW423)/1.85),"% penalty for long distance travel{}"),""))))</f>
        <v/>
      </c>
      <c r="CK423" s="19" t="str">
        <f aca="false">_xlfn.CONCAT(CF423,IF(CF423 &lt;&gt; "", " ", ""),CG423,IF(OR(CG423&lt;&gt;"", CF423&lt;&gt;""), "{}",""), CE423, CJ423,"{SILVER}", CH423)</f>
        <v>{BLACK}Powered by: {GOLD}25kV AC {BLACK}Cars: {GOLD}4{}{BLACK}Length: {GOLD}3.0 tiles{}{SILVER}The ‘Clacton’ units were iconic express EMUs of the GEML’s early electrification. This subclass represents a basic 4 car formation complete.</v>
      </c>
    </row>
    <row r="424" s="19" customFormat="true" ht="14.25" hidden="false" customHeight="false" outlineLevel="0" collapsed="false">
      <c r="A424" s="30" t="s">
        <v>1534</v>
      </c>
      <c r="B424" s="49" t="s">
        <v>1535</v>
      </c>
      <c r="C424" s="21" t="n">
        <v>3035</v>
      </c>
      <c r="E424" s="19" t="n">
        <v>45</v>
      </c>
      <c r="F424" s="19" t="s">
        <v>143</v>
      </c>
      <c r="G424" s="19" t="s">
        <v>827</v>
      </c>
      <c r="H424" s="19" t="s">
        <v>529</v>
      </c>
      <c r="I424" s="19" t="s">
        <v>530</v>
      </c>
      <c r="J424" s="19" t="n">
        <v>1975</v>
      </c>
      <c r="K424" s="19" t="n">
        <v>2010</v>
      </c>
      <c r="L424" s="19" t="n">
        <v>2015</v>
      </c>
      <c r="M424" s="19" t="n">
        <v>2</v>
      </c>
      <c r="N424" s="19" t="n">
        <v>248</v>
      </c>
      <c r="O424" s="22"/>
      <c r="P424" s="23"/>
      <c r="Q424" s="23"/>
      <c r="R424" s="23"/>
      <c r="S424" s="23"/>
      <c r="T424" s="23"/>
      <c r="U424" s="23"/>
      <c r="V424" s="23"/>
      <c r="W424" s="19" t="n">
        <v>40</v>
      </c>
      <c r="X424" s="22"/>
      <c r="Y424" s="19" t="n">
        <v>5</v>
      </c>
      <c r="Z424" s="19" t="n">
        <v>40</v>
      </c>
      <c r="AA424" s="24" t="n">
        <f aca="false">IF(AND(W424&gt;0,Z424&gt;0),(Z424/((W424+X424)*10)),"")</f>
        <v>0.1</v>
      </c>
      <c r="AB424" s="19" t="n">
        <v>50</v>
      </c>
      <c r="AC424" s="19" t="n">
        <f aca="false">ROUND(AB424*1.6, 0)</f>
        <v>80</v>
      </c>
      <c r="AF424" s="19" t="n">
        <v>13.9</v>
      </c>
      <c r="AG424" s="19" t="n">
        <v>13.9</v>
      </c>
      <c r="AH424" s="19" t="n">
        <v>2.65</v>
      </c>
      <c r="AI424" s="19" t="n">
        <v>3.16</v>
      </c>
      <c r="AJ424" s="25" t="n">
        <v>54</v>
      </c>
      <c r="AK424" s="26" t="str">
        <f aca="false">CONCATENATE(VLOOKUP(AL424, '[1]Voxel Sizes'!$A$2:$B$18,2,FALSE()),"x",INT(AH424*15), "x", INT(AI424*15))</f>
        <v>136x39x47</v>
      </c>
      <c r="AL424" s="19" t="n">
        <f aca="false">ROUND(15*((AG424*10)/256),0)</f>
        <v>8</v>
      </c>
      <c r="AN424" s="19" t="str">
        <f aca="false">CONCATENATE(VLOOKUP(AL424,[1]Constants!$A$2:$C$16,IF(AM424&lt;&gt;"", 3, 2), FALSE()),IF(AM424&lt;&gt;"",CONCATENATE(",",VLOOKUP(AM424,$B:$AN,38,FALSE())),""))</f>
        <v>2,4,2</v>
      </c>
      <c r="AO424" s="19" t="n">
        <v>2</v>
      </c>
      <c r="AP424" s="27"/>
      <c r="AQ424" s="27"/>
      <c r="AR424" s="19" t="s">
        <v>1536</v>
      </c>
      <c r="AT424" s="19" t="s">
        <v>833</v>
      </c>
      <c r="AU424" s="19" t="s">
        <v>1537</v>
      </c>
      <c r="AX424" s="19" t="n">
        <v>45</v>
      </c>
      <c r="AY424" s="28" t="n">
        <v>120</v>
      </c>
      <c r="BA424" s="19" t="n">
        <v>-10</v>
      </c>
      <c r="BB424" s="19" t="n">
        <f aca="false">MIN(AB424/150, 1)*30</f>
        <v>10</v>
      </c>
      <c r="BC424" s="19" t="n">
        <f aca="false">MIN(N424/4000, 1)*20</f>
        <v>1.24</v>
      </c>
      <c r="BD424" s="19" t="n">
        <f aca="false">MIN(Z424/400,1)*20</f>
        <v>2</v>
      </c>
      <c r="BE424" s="24" t="n">
        <f aca="false">1-(MAX(J424-1900, 0)/750)</f>
        <v>0.9</v>
      </c>
      <c r="BF424" s="19" t="n">
        <f aca="false">((MAX($M424,1)*MIN($AJ424/300,1)))*IF(G424="Wagon",50,10)</f>
        <v>3.6</v>
      </c>
      <c r="BG424" s="19" t="n">
        <f aca="false">VLOOKUP($H424,[1]Constants!$I$1:$K$1048576, 2, FALSE())</f>
        <v>0.85</v>
      </c>
      <c r="BH424" s="19" t="n">
        <f aca="false">VLOOKUP($H424,[1]Constants!$I$1:$K$1048576, 3, FALSE())*IF(AND(G424="multiple_unit",AB424&lt;110),0.75,1)</f>
        <v>1.725</v>
      </c>
      <c r="BI424" s="19" t="n">
        <v>30</v>
      </c>
      <c r="BJ424" s="19" t="n">
        <v>46</v>
      </c>
      <c r="BK424" s="29" t="n">
        <f aca="false">BI424*IF($G424="wagon",62.5,781.25)</f>
        <v>23437.5</v>
      </c>
      <c r="BL424" s="29" t="n">
        <f aca="false">BJ424*IF($G424="wagon",2.73,81.25)</f>
        <v>3737.5</v>
      </c>
      <c r="BV424" s="19" t="n">
        <v>9</v>
      </c>
      <c r="BW424" s="19" t="n">
        <v>148</v>
      </c>
      <c r="BX424" s="30"/>
      <c r="BY424" s="19" t="s">
        <v>147</v>
      </c>
      <c r="BZ424" s="19" t="s">
        <v>148</v>
      </c>
      <c r="CA424" s="19" t="s">
        <v>1320</v>
      </c>
      <c r="CB424" s="30" t="s">
        <v>844</v>
      </c>
      <c r="CC424" s="19" t="str">
        <f aca="false">CONCATENATE(CA424,"_",CB424)</f>
        <v>lbr_EMU</v>
      </c>
      <c r="CD424" s="19" t="str">
        <f aca="false">_xlfn.CONCAT(H424, "_",I424)</f>
        <v>electric_ELRL</v>
      </c>
      <c r="CE424" s="31" t="str">
        <f aca="false" t="array" ref="CE424:CE424">_xlfn.CONCAT("{BLACK}Length: {GOLD}", TEXT(ROUNDUP(IF(AQ424&lt;&gt;"",SUM(VALUE(_xlfn.TEXTSPLIT(AQ424, ","))), SUM(VALUE(_xlfn.TEXTSPLIT(AN424, ",")))*IF(M424, M424, 1))/16, 1), "#,##0.0"), " tiles{}")</f>
        <v>{BLACK}Length: {GOLD}1.0 tiles{}</v>
      </c>
      <c r="CF424" s="19" t="str">
        <f aca="false">VLOOKUP($CD424, [1]Constants!$M$1:$N$1048576, 2, FALSE())</f>
        <v>{BLACK}Powered by: {GOLD}25kV AC</v>
      </c>
      <c r="CG424" s="19" t="str">
        <f aca="false">IF(M424&gt;1,_xlfn.CONCAT("{BLACK}Cars: {GOLD}", M424),"")</f>
        <v>{BLACK}Cars: {GOLD}2</v>
      </c>
      <c r="CH424" s="19" t="s">
        <v>1538</v>
      </c>
      <c r="CJ424" s="19" t="str">
        <f aca="false">IF(BX424="buffet","{YELLOW}25% long distance bonus for consist{}",IF(CA424="BRAKE","{YELLOW}Speed bonus for slow wagons{}",IF(BW424&gt;190,CONCATENATE("{YELLOW}",INT((BW424-185)/1.85),"% bonus for long distance travel{}"),IF(AND(BW424&lt;180,BW424&lt;&gt;0),CONCATENATE("{YELLOW}",INT((185-BW424)/1.85),"% penalty for long distance travel{}"),""))))</f>
        <v>{YELLOW}20% penalty for long distance travel{}</v>
      </c>
      <c r="CK424" s="19" t="str">
        <f aca="false">_xlfn.CONCAT(CF424,IF(CF424 &lt;&gt; "", " ", ""),CG424,IF(OR(CG424&lt;&gt;"", CF424&lt;&gt;""), "{}",""), CE424, CJ424,"{SILVER}", CH424)</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425" s="30" customFormat="true" ht="14.25" hidden="false" customHeight="false" outlineLevel="0" collapsed="false">
      <c r="A425" s="19" t="s">
        <v>1539</v>
      </c>
      <c r="B425" s="20" t="s">
        <v>1540</v>
      </c>
      <c r="C425" s="21" t="n">
        <v>3036</v>
      </c>
      <c r="D425" s="19"/>
      <c r="E425" s="19" t="n">
        <v>413</v>
      </c>
      <c r="F425" s="19" t="s">
        <v>143</v>
      </c>
      <c r="G425" s="19" t="s">
        <v>827</v>
      </c>
      <c r="H425" s="19" t="s">
        <v>529</v>
      </c>
      <c r="I425" s="19" t="s">
        <v>641</v>
      </c>
      <c r="J425" s="19" t="n">
        <v>1956</v>
      </c>
      <c r="K425" s="19" t="n">
        <v>1989</v>
      </c>
      <c r="L425" s="19" t="n">
        <v>2004</v>
      </c>
      <c r="M425" s="19" t="n">
        <v>4</v>
      </c>
      <c r="N425" s="19" t="n">
        <v>500</v>
      </c>
      <c r="O425" s="22"/>
      <c r="P425" s="23"/>
      <c r="Q425" s="23"/>
      <c r="R425" s="23"/>
      <c r="S425" s="23"/>
      <c r="T425" s="23"/>
      <c r="U425" s="23"/>
      <c r="V425" s="23"/>
      <c r="W425" s="19" t="n">
        <v>46.2</v>
      </c>
      <c r="X425" s="22"/>
      <c r="Y425" s="19" t="n">
        <v>5</v>
      </c>
      <c r="Z425" s="19" t="n">
        <v>95</v>
      </c>
      <c r="AA425" s="24" t="n">
        <f aca="false">IF(AND(W425&gt;0,Z425&gt;0),(Z425/((W425+X425)*10)),"")</f>
        <v>0.205627705627706</v>
      </c>
      <c r="AB425" s="19" t="n">
        <v>90</v>
      </c>
      <c r="AC425" s="19" t="n">
        <f aca="false">ROUND(AB425*1.6, 0)</f>
        <v>144</v>
      </c>
      <c r="AD425" s="19"/>
      <c r="AE425" s="19"/>
      <c r="AF425" s="19" t="n">
        <v>19.64</v>
      </c>
      <c r="AG425" s="19" t="n">
        <v>20</v>
      </c>
      <c r="AH425" s="19" t="n">
        <v>2.7</v>
      </c>
      <c r="AI425" s="19" t="n">
        <v>3.77</v>
      </c>
      <c r="AJ425" s="25" t="n">
        <v>56</v>
      </c>
      <c r="AK425" s="26" t="str">
        <f aca="false">CONCATENATE(VLOOKUP(AL425, '[1]Voxel Sizes'!$A$2:$B$18,2,FALSE()),"x",INT(AH425*15), "x", INT(AI425*15))</f>
        <v>198x40x56</v>
      </c>
      <c r="AL425" s="19" t="n">
        <f aca="false">ROUND(15*((AG425*10)/256),0)</f>
        <v>12</v>
      </c>
      <c r="AM425" s="19"/>
      <c r="AN425" s="19" t="str">
        <f aca="false">CONCATENATE(VLOOKUP(AL425,[1]Constants!$A$2:$C$16,IF(AM425&lt;&gt;"", 3, 2), FALSE()),IF(AM425&lt;&gt;"",CONCATENATE(",",VLOOKUP(AM425,$B:$AN,38,FALSE())),""))</f>
        <v>4,4,4</v>
      </c>
      <c r="AO425" s="19"/>
      <c r="AP425" s="27"/>
      <c r="AQ425" s="27"/>
      <c r="AR425" s="19" t="s">
        <v>1541</v>
      </c>
      <c r="AS425" s="19"/>
      <c r="AT425" s="19" t="s">
        <v>881</v>
      </c>
      <c r="AU425" s="19" t="s">
        <v>1542</v>
      </c>
      <c r="AV425" s="19"/>
      <c r="AW425" s="19"/>
      <c r="AX425" s="19" t="n">
        <v>45</v>
      </c>
      <c r="AY425" s="28" t="n">
        <f aca="false">IF(L425&lt;&gt;"",MAX(16,(L425-J425)+8),"")</f>
        <v>56</v>
      </c>
      <c r="AZ425" s="19" t="n">
        <v>-10</v>
      </c>
      <c r="BA425" s="19"/>
      <c r="BB425" s="19" t="n">
        <f aca="false">MIN(AB425/150, 1)*30</f>
        <v>18</v>
      </c>
      <c r="BC425" s="19" t="n">
        <f aca="false">MIN(N425/4000, 1)*20</f>
        <v>2.5</v>
      </c>
      <c r="BD425" s="19" t="n">
        <f aca="false">MIN(Z425/400,1)*20</f>
        <v>4.75</v>
      </c>
      <c r="BE425" s="24" t="n">
        <f aca="false">1-(MAX(J425-1900, 0)/750)</f>
        <v>0.925333333333333</v>
      </c>
      <c r="BF425" s="19" t="n">
        <f aca="false">((MAX($M425,1)*MIN($AJ425/300,1)))*IF(G425="Wagon",50,10)</f>
        <v>7.46666666666667</v>
      </c>
      <c r="BG425" s="19" t="n">
        <f aca="false">VLOOKUP($H425,[1]Constants!$I$1:$K$1048576, 2, FALSE())</f>
        <v>0.85</v>
      </c>
      <c r="BH425" s="19" t="n">
        <f aca="false">VLOOKUP($H425,[1]Constants!$I$1:$K$1048576, 3, FALSE())*IF(AND(G425="multiple_unit",AB425&lt;110),0.75,1)</f>
        <v>1.725</v>
      </c>
      <c r="BI425" s="19" t="n">
        <f aca="false">INT(POWER((([1]Constants!$G$2+$BB425+$BC425+$BD425+$BF425)*$BE425)*$BH425, 1.05))+$BA425</f>
        <v>73</v>
      </c>
      <c r="BJ425" s="19" t="n">
        <f aca="false">INT(POWER(((([1]Constants!$G$1+$BB425+$BC425+$BD425+$BF425)*($BE425))*$BG425),IF($G425="wagon",1,1.2)))+$AZ425</f>
        <v>67</v>
      </c>
      <c r="BK425" s="29" t="n">
        <f aca="false">BI425*IF($G425="wagon",62.5,781.25)</f>
        <v>57031.25</v>
      </c>
      <c r="BL425" s="29" t="n">
        <f aca="false">BJ425*IF($G425="wagon",2.73,81.25)</f>
        <v>5443.75</v>
      </c>
      <c r="BM425" s="19"/>
      <c r="BN425" s="19"/>
      <c r="BO425" s="19"/>
      <c r="BP425" s="19"/>
      <c r="BQ425" s="19"/>
      <c r="BR425" s="19" t="s">
        <v>1543</v>
      </c>
      <c r="BS425" s="19"/>
      <c r="BT425" s="19"/>
      <c r="BU425" s="19"/>
      <c r="BV425" s="19" t="n">
        <v>2</v>
      </c>
      <c r="BW425" s="19"/>
      <c r="BX425" s="19"/>
      <c r="BY425" s="19"/>
      <c r="BZ425" s="19" t="s">
        <v>148</v>
      </c>
      <c r="CA425" s="19" t="str">
        <f aca="false">VLOOKUP(J425,[1]Eras!$A$2:$C$10, 2, TRUE())</f>
        <v>dsl</v>
      </c>
      <c r="CB425" s="30" t="s">
        <v>844</v>
      </c>
      <c r="CC425" s="19" t="str">
        <f aca="false">CONCATENATE(CA425,"_",CB425)</f>
        <v>dsl_EMU</v>
      </c>
      <c r="CD425" s="19" t="str">
        <f aca="false">_xlfn.CONCAT(H425, "_",I425)</f>
        <v>electric_THIRD_RAIL</v>
      </c>
      <c r="CE425" s="31" t="str">
        <f aca="false" t="array" ref="CE425:CE425">_xlfn.CONCAT("{BLACK}Length: {GOLD}", TEXT(ROUNDUP(IF(AQ425&lt;&gt;"",SUM(VALUE(_xlfn.TEXTSPLIT(AQ425, ","))), SUM(VALUE(_xlfn.TEXTSPLIT(AN425, ",")))*IF(M425, M425, 1))/16, 1), "#,##0.0"), " tiles{}")</f>
        <v>{BLACK}Length: {GOLD}3.0 tiles{}</v>
      </c>
      <c r="CF425" s="19" t="str">
        <f aca="false">VLOOKUP($CD425, [1]Constants!$M$1:$N$1048576, 2, FALSE())</f>
        <v>{BLACK}Powered by: {GOLD}750V DC</v>
      </c>
      <c r="CG425" s="19" t="str">
        <f aca="false">IF(M425&gt;1,_xlfn.CONCAT("{BLACK}Cars: {GOLD}", M425),"")</f>
        <v>{BLACK}Cars: {GOLD}4</v>
      </c>
      <c r="CH425" s="19" t="s">
        <v>1544</v>
      </c>
      <c r="CI425" s="19"/>
      <c r="CJ425" s="19" t="str">
        <f aca="false">IF(BX425="buffet","{YELLOW}25% long distance bonus for consist{}",IF(CA425="BRAKE","{YELLOW}Speed bonus for slow wagons{}",IF(BW425&gt;190,CONCATENATE("{YELLOW}",INT((BW425-185)/1.85),"% bonus for long distance travel{}"),IF(AND(BW425&lt;180,BW425&lt;&gt;0),CONCATENATE("{YELLOW}",INT((185-BW425)/1.85),"% penalty for long distance travel{}"),""))))</f>
        <v/>
      </c>
      <c r="CK425" s="19" t="str">
        <f aca="false">_xlfn.CONCAT(CF425,IF(CF425 &lt;&gt; "", " ", ""),CG425,IF(OR(CG425&lt;&gt;"", CF425&lt;&gt;""), "{}",""), CE425, CJ425,"{SILVER}", CH425)</f>
        <v>{BLACK}Powered by: {GOLD}750V DC {BLACK}Cars: {GOLD}4{}{BLACK}Length: {GOLD}3.0 tiles{}{SILVER}The archetypal Mk1 Express EMU – 4CEP units were an evolution of the earlier southern 4COR units. 133 were built and they enjoyed a long career into the early 2000s.</v>
      </c>
      <c r="CL425" s="19"/>
      <c r="CM425" s="19"/>
      <c r="CN425" s="19"/>
    </row>
    <row r="426" s="19" customFormat="true" ht="14.25" hidden="false" customHeight="false" outlineLevel="0" collapsed="false">
      <c r="A426" s="19" t="s">
        <v>1545</v>
      </c>
      <c r="B426" s="20" t="s">
        <v>1546</v>
      </c>
      <c r="C426" s="21" t="n">
        <v>3037</v>
      </c>
      <c r="E426" s="19" t="n">
        <v>421</v>
      </c>
      <c r="F426" s="19" t="s">
        <v>143</v>
      </c>
      <c r="G426" s="19" t="s">
        <v>445</v>
      </c>
      <c r="H426" s="19" t="s">
        <v>757</v>
      </c>
      <c r="I426" s="19" t="s">
        <v>1055</v>
      </c>
      <c r="J426" s="19" t="n">
        <v>1959</v>
      </c>
      <c r="K426" s="19" t="n">
        <v>1989</v>
      </c>
      <c r="L426" s="19" t="n">
        <v>2004</v>
      </c>
      <c r="M426" s="19" t="n">
        <v>1</v>
      </c>
      <c r="N426" s="19" t="n">
        <v>500</v>
      </c>
      <c r="O426" s="22"/>
      <c r="P426" s="23"/>
      <c r="Q426" s="23"/>
      <c r="R426" s="23"/>
      <c r="S426" s="23"/>
      <c r="T426" s="23"/>
      <c r="U426" s="23"/>
      <c r="V426" s="23"/>
      <c r="W426" s="19" t="n">
        <v>46.2</v>
      </c>
      <c r="X426" s="22"/>
      <c r="Y426" s="19" t="n">
        <v>5</v>
      </c>
      <c r="Z426" s="19" t="n">
        <v>95</v>
      </c>
      <c r="AA426" s="24" t="n">
        <f aca="false">IF(AND(W426&gt;0,Z426&gt;0),(Z426/((W426+X426)*10)),"")</f>
        <v>0.205627705627706</v>
      </c>
      <c r="AB426" s="19" t="n">
        <v>90</v>
      </c>
      <c r="AC426" s="19" t="n">
        <f aca="false">ROUND(AB426*1.6, 0)</f>
        <v>144</v>
      </c>
      <c r="AF426" s="19" t="n">
        <v>19.64</v>
      </c>
      <c r="AG426" s="19" t="n">
        <v>20</v>
      </c>
      <c r="AH426" s="19" t="n">
        <v>2.7</v>
      </c>
      <c r="AI426" s="19" t="n">
        <v>3.77</v>
      </c>
      <c r="AJ426" s="25" t="n">
        <v>38</v>
      </c>
      <c r="AK426" s="26" t="str">
        <f aca="false">CONCATENATE(VLOOKUP(AL426, '[1]Voxel Sizes'!$A$2:$B$18,2,FALSE()),"x",INT(AH426*15), "x", INT(AI426*15))</f>
        <v>198x40x56</v>
      </c>
      <c r="AL426" s="19" t="n">
        <f aca="false">ROUND(15*((AG426*10)/256),0)</f>
        <v>12</v>
      </c>
      <c r="AN426" s="19" t="str">
        <f aca="false">CONCATENATE(VLOOKUP(AL426,[1]Constants!$A$2:$C$16,IF(AM426&lt;&gt;"", 3, 2), FALSE()),IF(AM426&lt;&gt;"",CONCATENATE(",",VLOOKUP(AM426,$B:$AN,38,FALSE())),""))</f>
        <v>4,4,4</v>
      </c>
      <c r="AP426" s="27"/>
      <c r="AQ426" s="27"/>
      <c r="AR426" s="19" t="s">
        <v>1546</v>
      </c>
      <c r="AT426" s="19" t="n">
        <v>1</v>
      </c>
      <c r="AX426" s="19" t="n">
        <v>45</v>
      </c>
      <c r="AY426" s="28" t="n">
        <f aca="false">IF(L426&lt;&gt;"",MAX(16,(L426-J426)+8),"")</f>
        <v>53</v>
      </c>
      <c r="BA426" s="19" t="n">
        <v>-45</v>
      </c>
      <c r="BB426" s="19" t="n">
        <f aca="false">MIN(AB426/150, 1)*30</f>
        <v>18</v>
      </c>
      <c r="BC426" s="19" t="n">
        <f aca="false">MIN(N426/4000, 1)*20</f>
        <v>2.5</v>
      </c>
      <c r="BD426" s="19" t="n">
        <f aca="false">MIN(Z426/400,1)*20</f>
        <v>4.75</v>
      </c>
      <c r="BE426" s="24" t="n">
        <f aca="false">1-(MAX(J426-1900, 0)/750)</f>
        <v>0.921333333333333</v>
      </c>
      <c r="BF426" s="19" t="n">
        <f aca="false">((MAX($M426,1)*MIN($AJ426/300,1)))*IF(G426="Wagon",50,10)</f>
        <v>1.26666666666667</v>
      </c>
      <c r="BG426" s="19" t="n">
        <f aca="false">VLOOKUP($H426,[1]Constants!$I$1:$K$1048576, 2, FALSE())</f>
        <v>0.9</v>
      </c>
      <c r="BH426" s="19" t="n">
        <f aca="false">VLOOKUP($H426,[1]Constants!$I$1:$K$1048576, 3, FALSE())*IF(AND(G426="multiple_unit",AB426&lt;110),0.75,1)</f>
        <v>2.5</v>
      </c>
      <c r="BI426" s="19" t="n">
        <f aca="false">INT(POWER((([1]Constants!$G$2+$BB426+$BC426+$BD426+$BF426)*$BE426)*$BH426, 1.05))+$BA426</f>
        <v>44</v>
      </c>
      <c r="BJ426" s="19" t="n">
        <f aca="false">INT(POWER(((([1]Constants!$G$1+$BB426+$BC426+$BD426+$BF426)*($BE426))*$BG426),IF($G426="wagon",1,1.2)))+$AZ426</f>
        <v>69</v>
      </c>
      <c r="BK426" s="29" t="n">
        <f aca="false">BI426*IF($G426="wagon",62.5,781.25)</f>
        <v>34375</v>
      </c>
      <c r="BL426" s="29" t="n">
        <f aca="false">BJ426*IF($G426="wagon",2.73,81.25)</f>
        <v>5606.25</v>
      </c>
      <c r="BR426" s="19" t="s">
        <v>1547</v>
      </c>
      <c r="BV426" s="19" t="n">
        <v>2</v>
      </c>
      <c r="BZ426" s="19" t="s">
        <v>220</v>
      </c>
      <c r="CA426" s="19" t="str">
        <f aca="false">VLOOKUP(J426,[1]Eras!$A$2:$C$10, 2, TRUE())</f>
        <v>dsl</v>
      </c>
      <c r="CB426" s="30" t="s">
        <v>844</v>
      </c>
      <c r="CC426" s="19" t="str">
        <f aca="false">CONCATENATE(CA426,"_",CB426)</f>
        <v>dsl_EMU</v>
      </c>
      <c r="CD426" s="19" t="str">
        <f aca="false">_xlfn.CONCAT(H426, "_",I426)</f>
        <v>dual_power_BATTERY</v>
      </c>
      <c r="CE426" s="31" t="str">
        <f aca="false" t="array" ref="CE426:CE426">_xlfn.CONCAT("{BLACK}Length: {GOLD}", TEXT(ROUNDUP(IF(AQ426&lt;&gt;"",SUM(VALUE(_xlfn.TEXTSPLIT(AQ426, ","))), SUM(VALUE(_xlfn.TEXTSPLIT(AN426, ",")))*IF(M426, M426, 1))/16, 1), "#,##0.0"), " tiles{}")</f>
        <v>{BLACK}Length: {GOLD}0.8 tiles{}</v>
      </c>
      <c r="CF426" s="19" t="str">
        <f aca="false">VLOOKUP($CD426, [1]Constants!$M$1:$N$1048576, 2, FALSE())</f>
        <v>{BLACK}Powered by: {GOLD}750V DC / Battery</v>
      </c>
      <c r="CG426" s="19" t="str">
        <f aca="false">IF(M426&gt;1,_xlfn.CONCAT("{BLACK}Cars: {GOLD}", M426),"")</f>
        <v/>
      </c>
      <c r="CH426" s="19" t="s">
        <v>1548</v>
      </c>
      <c r="CJ426" s="19" t="str">
        <f aca="false">IF(BX426="buffet","{YELLOW}25% long distance bonus for consist{}",IF(CA426="BRAKE","{YELLOW}Speed bonus for slow wagons{}",IF(BW426&gt;190,CONCATENATE("{YELLOW}",INT((BW426-185)/1.85),"% bonus for long distance travel{}"),IF(AND(BW426&lt;180,BW426&lt;&gt;0),CONCATENATE("{YELLOW}",INT((185-BW426)/1.85),"% penalty for long distance travel{}"),""))))</f>
        <v/>
      </c>
      <c r="CK426" s="19" t="str">
        <f aca="false">_xlfn.CONCAT(CF426,IF(CF426 &lt;&gt; "", " ", ""),CG426,IF(OR(CG426&lt;&gt;"", CF426&lt;&gt;""), "{}",""), CE426, CJ426,"{SILVER}", CH426)</f>
        <v>{BLACK}Powered by: {GOLD}750V DC / Battery {}{BLACK}Length: {GOLD}0.8 tiles{}{SILVER}The Class 419 Motor Luggage Van was used to extend the luggage capacity of express services and was capable of running on it’s own batteries within non-electrified areas.</v>
      </c>
    </row>
    <row r="427" s="19" customFormat="true" ht="14.25" hidden="false" customHeight="false" outlineLevel="0" collapsed="false">
      <c r="A427" s="19" t="s">
        <v>1549</v>
      </c>
      <c r="B427" s="20" t="s">
        <v>1550</v>
      </c>
      <c r="C427" s="21" t="n">
        <v>3038</v>
      </c>
      <c r="E427" s="19" t="n">
        <v>491</v>
      </c>
      <c r="F427" s="19" t="s">
        <v>143</v>
      </c>
      <c r="G427" s="19" t="s">
        <v>445</v>
      </c>
      <c r="H427" s="19" t="s">
        <v>529</v>
      </c>
      <c r="I427" s="19" t="s">
        <v>641</v>
      </c>
      <c r="J427" s="19" t="n">
        <v>1959</v>
      </c>
      <c r="K427" s="19" t="n">
        <v>1989</v>
      </c>
      <c r="L427" s="19" t="n">
        <v>2005</v>
      </c>
      <c r="M427" s="19" t="n">
        <v>1</v>
      </c>
      <c r="N427" s="19" t="n">
        <v>500</v>
      </c>
      <c r="O427" s="22"/>
      <c r="P427" s="23"/>
      <c r="Q427" s="23"/>
      <c r="R427" s="23"/>
      <c r="S427" s="23"/>
      <c r="T427" s="23"/>
      <c r="U427" s="23"/>
      <c r="V427" s="23"/>
      <c r="W427" s="19" t="n">
        <v>40.5</v>
      </c>
      <c r="X427" s="22"/>
      <c r="Y427" s="19" t="n">
        <v>5</v>
      </c>
      <c r="Z427" s="19" t="n">
        <v>95</v>
      </c>
      <c r="AA427" s="24" t="n">
        <f aca="false">IF(AND(W427&gt;0,Z427&gt;0),(Z427/((W427+X427)*10)),"")</f>
        <v>0.234567901234568</v>
      </c>
      <c r="AB427" s="19" t="n">
        <v>90</v>
      </c>
      <c r="AC427" s="19" t="n">
        <f aca="false">ROUND(AB427*1.6, 0)</f>
        <v>144</v>
      </c>
      <c r="AF427" s="19" t="n">
        <v>19.64</v>
      </c>
      <c r="AG427" s="19" t="n">
        <v>20</v>
      </c>
      <c r="AH427" s="19" t="n">
        <v>2.7</v>
      </c>
      <c r="AI427" s="19" t="n">
        <v>3.77</v>
      </c>
      <c r="AJ427" s="25" t="n">
        <v>38</v>
      </c>
      <c r="AK427" s="26" t="str">
        <f aca="false">CONCATENATE(VLOOKUP(AL427, '[1]Voxel Sizes'!$A$2:$B$18,2,FALSE()),"x",INT(AH427*15), "x", INT(AI427*15))</f>
        <v>198x40x56</v>
      </c>
      <c r="AL427" s="19" t="n">
        <f aca="false">ROUND(15*((AG427*10)/256),0)</f>
        <v>12</v>
      </c>
      <c r="AN427" s="19" t="str">
        <f aca="false">CONCATENATE(VLOOKUP(AL427,[1]Constants!$A$2:$C$16,IF(AM427&lt;&gt;"", 3, 2), FALSE()),IF(AM427&lt;&gt;"",CONCATENATE(",",VLOOKUP(AM427,$B:$AN,38,FALSE())),""))</f>
        <v>4,4,4</v>
      </c>
      <c r="AP427" s="27"/>
      <c r="AQ427" s="27"/>
      <c r="AR427" s="19" t="s">
        <v>1550</v>
      </c>
      <c r="AT427" s="19" t="n">
        <v>1</v>
      </c>
      <c r="AX427" s="19" t="n">
        <v>45</v>
      </c>
      <c r="AY427" s="28" t="n">
        <f aca="false">IF(L427&lt;&gt;"",MAX(16,(L427-J427)+8),"")</f>
        <v>54</v>
      </c>
      <c r="BA427" s="19" t="n">
        <v>-45</v>
      </c>
      <c r="BB427" s="19" t="n">
        <f aca="false">MIN(AB427/150, 1)*30</f>
        <v>18</v>
      </c>
      <c r="BC427" s="19" t="n">
        <f aca="false">MIN(N427/4000, 1)*20</f>
        <v>2.5</v>
      </c>
      <c r="BD427" s="19" t="n">
        <f aca="false">MIN(Z427/400,1)*20</f>
        <v>4.75</v>
      </c>
      <c r="BE427" s="24" t="n">
        <f aca="false">1-(MAX(J427-1900, 0)/750)</f>
        <v>0.921333333333333</v>
      </c>
      <c r="BF427" s="19" t="n">
        <f aca="false">((MAX($M427,1)*MIN($AJ427/300,1)))*IF(G427="Wagon",50,10)</f>
        <v>1.26666666666667</v>
      </c>
      <c r="BG427" s="19" t="n">
        <f aca="false">VLOOKUP($H427,[1]Constants!$I$1:$K$1048576, 2, FALSE())</f>
        <v>0.85</v>
      </c>
      <c r="BH427" s="19" t="n">
        <f aca="false">VLOOKUP($H427,[1]Constants!$I$1:$K$1048576, 3, FALSE())*IF(AND(G427="multiple_unit",AB427&lt;110),0.75,1)</f>
        <v>2.3</v>
      </c>
      <c r="BI427" s="19" t="n">
        <f aca="false">INT(POWER((([1]Constants!$G$2+$BB427+$BC427+$BD427+$BF427)*$BE427)*$BH427, 1.05))+$BA427</f>
        <v>37</v>
      </c>
      <c r="BJ427" s="19" t="n">
        <f aca="false">INT(POWER(((([1]Constants!$G$1+$BB427+$BC427+$BD427+$BF427)*($BE427))*$BG427),IF($G427="wagon",1,1.2)))+$AZ427</f>
        <v>65</v>
      </c>
      <c r="BK427" s="29" t="n">
        <f aca="false">BI427*IF($G427="wagon",62.5,781.25)</f>
        <v>28906.25</v>
      </c>
      <c r="BL427" s="29" t="n">
        <f aca="false">BJ427*IF($G427="wagon",2.73,81.25)</f>
        <v>5281.25</v>
      </c>
      <c r="BM427" s="19" t="n">
        <v>1</v>
      </c>
      <c r="BN427" s="19" t="n">
        <v>1</v>
      </c>
      <c r="BR427" s="19" t="s">
        <v>1551</v>
      </c>
      <c r="BV427" s="19" t="n">
        <v>2</v>
      </c>
      <c r="BZ427" s="19" t="s">
        <v>220</v>
      </c>
      <c r="CA427" s="19" t="str">
        <f aca="false">VLOOKUP(J427,[1]Eras!$A$2:$C$10, 2, TRUE())</f>
        <v>dsl</v>
      </c>
      <c r="CB427" s="30" t="s">
        <v>844</v>
      </c>
      <c r="CC427" s="19" t="str">
        <f aca="false">CONCATENATE(CA427,"_",CB427)</f>
        <v>dsl_EMU</v>
      </c>
      <c r="CD427" s="19" t="str">
        <f aca="false">_xlfn.CONCAT(H427, "_",I427)</f>
        <v>electric_THIRD_RAIL</v>
      </c>
      <c r="CE427" s="31" t="str">
        <f aca="false">_xlfn.CONCAT("{BLACK}Length: {GOLD}", TEXT(ROUNDUP(IF(AQ427&lt;&gt;"",SUM(VALUE(_xlfn.TEXTSPLIT(AQ427, ","))), SUM(VALUE(_xlfn.TEXTSPLIT(AN427, ",")))*IF(M427, M427, 1))/16, 1), "#,##0.0"), " tiles{}")</f>
        <v>{BLACK}Length: {GOLD}0.8 tiles{}</v>
      </c>
      <c r="CF427" s="19" t="str">
        <f aca="false">VLOOKUP($CD427, [1]Constants!$M$1:$N$1048576, 2, FALSE())</f>
        <v>{BLACK}Powered by: {GOLD}750V DC</v>
      </c>
      <c r="CG427" s="19" t="str">
        <f aca="false">IF(M427&gt;1,_xlfn.CONCAT("{BLACK}Cars: {GOLD}", M427),"")</f>
        <v/>
      </c>
      <c r="CH427" s="19" t="s">
        <v>1552</v>
      </c>
      <c r="CJ427" s="19" t="str">
        <f aca="false">IF(BX427="buffet","{YELLOW}25% long distance bonus for consist{}",IF(CA427="BRAKE","{YELLOW}Speed bonus for slow wagons{}",IF(BW427&gt;190,CONCATENATE("{YELLOW}",INT((BW427-185)/1.85),"% bonus for long distance travel{}"),IF(AND(BW427&lt;180,BW427&lt;&gt;0),CONCATENATE("{YELLOW}",INT((185-BW427)/1.85),"% penalty for long distance travel{}"),""))))</f>
        <v/>
      </c>
      <c r="CK427" s="19" t="str">
        <f aca="false">_xlfn.CONCAT(CF427,IF(CF427 &lt;&gt; "", " ", ""),CG427,IF(OR(CG427&lt;&gt;"", CF427&lt;&gt;""), "{}",""), CE427, CJ427,"{SILVER}", CH427)</f>
        <v>{BLACK}Powered by: {GOLD}750V DC {}{BLACK}Length: {GOLD}0.8 tiles{}{SILVER}A late conversion of the 2HAP driving motor to a cab and luggage car for Gatwick Express services</v>
      </c>
    </row>
    <row r="428" s="26" customFormat="true" ht="14.25" hidden="false" customHeight="false" outlineLevel="0" collapsed="false">
      <c r="A428" s="26" t="s">
        <v>1553</v>
      </c>
      <c r="B428" s="32" t="s">
        <v>1554</v>
      </c>
      <c r="C428" s="21" t="n">
        <v>3039</v>
      </c>
      <c r="E428" s="26" t="n">
        <v>144</v>
      </c>
      <c r="F428" s="26" t="s">
        <v>143</v>
      </c>
      <c r="G428" s="26" t="s">
        <v>827</v>
      </c>
      <c r="H428" s="26" t="s">
        <v>670</v>
      </c>
      <c r="I428" s="26" t="s">
        <v>92</v>
      </c>
      <c r="J428" s="26" t="n">
        <v>1979</v>
      </c>
      <c r="K428" s="26" t="n">
        <v>1983</v>
      </c>
      <c r="L428" s="26" t="n">
        <v>1987</v>
      </c>
      <c r="M428" s="26" t="n">
        <v>1</v>
      </c>
      <c r="N428" s="26" t="n">
        <v>150</v>
      </c>
      <c r="O428" s="33"/>
      <c r="P428" s="34"/>
      <c r="Q428" s="34"/>
      <c r="R428" s="34"/>
      <c r="S428" s="34"/>
      <c r="T428" s="34"/>
      <c r="U428" s="34"/>
      <c r="V428" s="34"/>
      <c r="W428" s="26" t="n">
        <f aca="false">24.3</f>
        <v>24.3</v>
      </c>
      <c r="X428" s="33"/>
      <c r="Y428" s="26" t="n">
        <v>5</v>
      </c>
      <c r="Z428" s="26" t="n">
        <v>70</v>
      </c>
      <c r="AA428" s="35" t="n">
        <f aca="false">IF(AND(W428&gt;0,Z428&gt;0),(Z428/((W428+X428)*10)),"")</f>
        <v>0.288065843621399</v>
      </c>
      <c r="AB428" s="26" t="n">
        <v>75</v>
      </c>
      <c r="AC428" s="26" t="n">
        <f aca="false">ROUND(AB428*1.6, 0)</f>
        <v>120</v>
      </c>
      <c r="AF428" s="26" t="n">
        <v>15.45</v>
      </c>
      <c r="AG428" s="26" t="n">
        <v>15.45</v>
      </c>
      <c r="AH428" s="26" t="n">
        <v>2.5</v>
      </c>
      <c r="AI428" s="26" t="n">
        <v>3.9</v>
      </c>
      <c r="AJ428" s="36" t="n">
        <v>42</v>
      </c>
      <c r="AK428" s="26" t="str">
        <f aca="false">CONCATENATE(VLOOKUP(AL428, '[2]Voxel Sizes'!$A$2:$B$18,2,FALSE()),"x",INT(AH428*15), "x", INT(AI428*15))</f>
        <v>152x37x58</v>
      </c>
      <c r="AL428" s="26" t="n">
        <f aca="false">ROUND(15*((AG428*10)/256),0)</f>
        <v>9</v>
      </c>
      <c r="AN428" s="26" t="str">
        <f aca="false">CONCATENATE(VLOOKUP(AL428,[2]Constants!$A$2:$C$16,IF(AM428&lt;&gt;"", 3, 2), FALSE()),IF(AM428&lt;&gt;"",CONCATENATE(",",VLOOKUP(AM428,$B:$AN,39,FALSE())),""))</f>
        <v>2,5,2</v>
      </c>
      <c r="AP428" s="37"/>
      <c r="AQ428" s="37"/>
      <c r="AR428" s="26" t="s">
        <v>1554</v>
      </c>
      <c r="AT428" s="26" t="s">
        <v>1555</v>
      </c>
      <c r="AX428" s="26" t="n">
        <v>18</v>
      </c>
      <c r="AY428" s="38" t="n">
        <f aca="false">IF(L428&lt;&gt;"",MAX(16,(L428-J428)+8),"")</f>
        <v>16</v>
      </c>
      <c r="AZ428" s="26" t="n">
        <v>-35</v>
      </c>
      <c r="BA428" s="26" t="n">
        <v>-25</v>
      </c>
      <c r="BB428" s="26" t="n">
        <f aca="false">MIN(AB428/150, 1)*30</f>
        <v>15</v>
      </c>
      <c r="BC428" s="26" t="n">
        <f aca="false">MIN(N428/4000, 1)*20</f>
        <v>0.75</v>
      </c>
      <c r="BD428" s="26" t="n">
        <f aca="false">MIN(Z428/400,1)*20</f>
        <v>3.5</v>
      </c>
      <c r="BE428" s="35" t="n">
        <f aca="false">1-(MAX(J428-1900, 0)/750)</f>
        <v>0.894666666666667</v>
      </c>
      <c r="BF428" s="26" t="n">
        <f aca="false">((MAX($M428,1)*MIN($AJ428/300,1)))*IF(G428="Wagon",50,10)</f>
        <v>1.4</v>
      </c>
      <c r="BG428" s="19" t="n">
        <f aca="false">VLOOKUP($H428,[1]Constants!$I$1:$K$1048576, 2, FALSE())</f>
        <v>1</v>
      </c>
      <c r="BH428" s="19" t="n">
        <f aca="false">VLOOKUP($H428,[1]Constants!$I$1:$K$1048576, 3, FALSE())*IF(AND(G428="multiple_unit",AB428&lt;110),0.75,1)</f>
        <v>1.5</v>
      </c>
      <c r="BI428" s="19" t="n">
        <f aca="false">INT(POWER((([1]Constants!$G$2+$BB428+$BC428+$BD428+$BF428)*$BE428)*$BH428, 1.05))+$BA428</f>
        <v>16</v>
      </c>
      <c r="BJ428" s="19" t="n">
        <f aca="false">INT(POWER(((([1]Constants!$G$1+$BB428+$BC428+$BD428+$BF428)*($BE428))*$BG428),IF($G428="wagon",1,1.2)))+$AZ428</f>
        <v>28</v>
      </c>
      <c r="BK428" s="29" t="n">
        <f aca="false">BI428*IF($G428="wagon",62.5,781.25)</f>
        <v>12500</v>
      </c>
      <c r="BL428" s="39" t="n">
        <f aca="false">BJ428*IF($G428="wagon",2.73,81.25)</f>
        <v>2275</v>
      </c>
      <c r="BV428" s="26" t="n">
        <v>2</v>
      </c>
      <c r="BW428" s="26" t="n">
        <v>148</v>
      </c>
      <c r="BZ428" s="26" t="s">
        <v>148</v>
      </c>
      <c r="CA428" s="26" t="str">
        <f aca="false">VLOOKUP(J428,[2]Eras!$A$2:$C$10, 2, TRUE())</f>
        <v>lbr</v>
      </c>
      <c r="CB428" s="40" t="s">
        <v>828</v>
      </c>
      <c r="CC428" s="19" t="str">
        <f aca="false">CONCATENATE(CA428,"_",CB428)</f>
        <v>lbr_DMU (Cheap)</v>
      </c>
      <c r="CD428" s="19" t="str">
        <f aca="false">_xlfn.CONCAT(H428, "_",I428)</f>
        <v>diesel_RAIL</v>
      </c>
      <c r="CE428" s="31" t="str">
        <f aca="false">_xlfn.CONCAT("{BLACK}Length: {GOLD}", TEXT(ROUNDUP(IF(AQ428&lt;&gt;"",SUM(VALUE(_xlfn.TEXTSPLIT(AQ428, ","))), SUM(VALUE(_xlfn.TEXTSPLIT(AN428, ",")))*IF(M428, M428, 1))/16, 1), "#,##0.0"), " tiles{}")</f>
        <v>{BLACK}Length: {GOLD}0.6 tiles{}</v>
      </c>
      <c r="CF428" s="19" t="str">
        <f aca="false">VLOOKUP($CD428, [1]Constants!$M$1:$N$1048576, 2, FALSE())</f>
        <v>{BLACK}Powered by: {GOLD}Diesel</v>
      </c>
      <c r="CG428" s="19" t="str">
        <f aca="false">IF(M428&gt;1,_xlfn.CONCAT("{BLACK}Cars: {GOLD}", M428),"")</f>
        <v/>
      </c>
      <c r="CH428" s="26" t="s">
        <v>1556</v>
      </c>
      <c r="CJ428" s="19" t="str">
        <f aca="false">IF(BX428="buffet","{YELLOW}25% long distance bonus for consist{}",IF(CA428="BRAKE","{YELLOW}Speed bonus for slow wagons{}",IF(BW428&gt;190,CONCATENATE("{YELLOW}",INT((BW428-185)/1.85),"% bonus for long distance travel{}"),IF(AND(BW428&lt;180,BW428&lt;&gt;0),CONCATENATE("{YELLOW}",INT((185-BW428)/1.85),"% penalty for long distance travel{}"),""))))</f>
        <v>{YELLOW}20% penalty for long distance travel{}</v>
      </c>
      <c r="CK428" s="19" t="str">
        <f aca="false">_xlfn.CONCAT(CF428,IF(CF428 &lt;&gt; "", " ", ""),CG428,IF(OR(CG428&lt;&gt;"", CF428&lt;&gt;""), "{}",""), CE428, CJ428,"{SILVER}", CH428)</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429" s="26" customFormat="true" ht="14.25" hidden="false" customHeight="false" outlineLevel="0" collapsed="false">
      <c r="A429" s="26" t="s">
        <v>1557</v>
      </c>
      <c r="B429" s="32" t="s">
        <v>1558</v>
      </c>
      <c r="C429" s="21" t="n">
        <v>3040</v>
      </c>
      <c r="E429" s="26" t="n">
        <v>145</v>
      </c>
      <c r="F429" s="26" t="s">
        <v>143</v>
      </c>
      <c r="G429" s="26" t="s">
        <v>827</v>
      </c>
      <c r="H429" s="26" t="s">
        <v>670</v>
      </c>
      <c r="I429" s="26" t="s">
        <v>92</v>
      </c>
      <c r="J429" s="26" t="n">
        <v>1984</v>
      </c>
      <c r="K429" s="26" t="n">
        <v>1988</v>
      </c>
      <c r="L429" s="26" t="n">
        <v>2005</v>
      </c>
      <c r="M429" s="26" t="n">
        <v>2</v>
      </c>
      <c r="N429" s="26" t="n">
        <v>205</v>
      </c>
      <c r="O429" s="33"/>
      <c r="P429" s="34"/>
      <c r="Q429" s="34"/>
      <c r="R429" s="34"/>
      <c r="S429" s="34"/>
      <c r="T429" s="34"/>
      <c r="U429" s="34"/>
      <c r="V429" s="34"/>
      <c r="W429" s="26" t="n">
        <f aca="false">26+26.5</f>
        <v>52.5</v>
      </c>
      <c r="X429" s="33"/>
      <c r="Y429" s="26" t="n">
        <v>5</v>
      </c>
      <c r="Z429" s="26" t="n">
        <v>70</v>
      </c>
      <c r="AA429" s="35" t="n">
        <f aca="false">IF(AND(W429&gt;0,Z429&gt;0),(Z429/((W429+X429)*10)),"")</f>
        <v>0.133333333333333</v>
      </c>
      <c r="AB429" s="26" t="n">
        <v>75</v>
      </c>
      <c r="AC429" s="26" t="n">
        <f aca="false">ROUND(AB429*1.6, 0)</f>
        <v>120</v>
      </c>
      <c r="AF429" s="26" t="n">
        <v>15.45</v>
      </c>
      <c r="AG429" s="26" t="n">
        <v>15.45</v>
      </c>
      <c r="AH429" s="26" t="n">
        <v>2.5</v>
      </c>
      <c r="AI429" s="26" t="n">
        <v>3.9</v>
      </c>
      <c r="AJ429" s="36" t="n">
        <v>46</v>
      </c>
      <c r="AK429" s="26" t="str">
        <f aca="false">CONCATENATE(VLOOKUP(AL429, '[2]Voxel Sizes'!$A$2:$B$18,2,FALSE()),"x",INT(AH429*15), "x", INT(AI429*15))</f>
        <v>152x37x58</v>
      </c>
      <c r="AL429" s="26" t="n">
        <f aca="false">ROUND(15*((AG429*10)/256),0)</f>
        <v>9</v>
      </c>
      <c r="AN429" s="26" t="str">
        <f aca="false">CONCATENATE(VLOOKUP(AL429,[2]Constants!$A$2:$C$16,IF(AM429&lt;&gt;"", 3, 2), FALSE()),IF(AM429&lt;&gt;"",CONCATENATE(",",VLOOKUP(AM429,$B:$AN,39,FALSE())),""))</f>
        <v>2,5,2</v>
      </c>
      <c r="AP429" s="37"/>
      <c r="AQ429" s="37"/>
      <c r="AR429" s="26" t="s">
        <v>1559</v>
      </c>
      <c r="AT429" s="26" t="s">
        <v>833</v>
      </c>
      <c r="AU429" s="26" t="s">
        <v>1560</v>
      </c>
      <c r="AX429" s="26" t="n">
        <v>18</v>
      </c>
      <c r="AY429" s="38" t="n">
        <f aca="false">IF(L429&lt;&gt;"",MAX(16,(L429-J429)+8),"")</f>
        <v>29</v>
      </c>
      <c r="AZ429" s="26" t="n">
        <v>-35</v>
      </c>
      <c r="BA429" s="26" t="n">
        <v>-20</v>
      </c>
      <c r="BB429" s="26" t="n">
        <f aca="false">MIN(AB429/150, 1)*30</f>
        <v>15</v>
      </c>
      <c r="BC429" s="26" t="n">
        <f aca="false">MIN(N429/4000, 1)*20</f>
        <v>1.025</v>
      </c>
      <c r="BD429" s="26" t="n">
        <f aca="false">MIN(Z429/400,1)*20</f>
        <v>3.5</v>
      </c>
      <c r="BE429" s="35" t="n">
        <f aca="false">1-(MAX(J429-1900, 0)/750)</f>
        <v>0.888</v>
      </c>
      <c r="BF429" s="26" t="n">
        <f aca="false">((MAX($M429,1)*MIN($AJ429/300,1)))*IF(G429="Wagon",50,10)</f>
        <v>3.06666666666667</v>
      </c>
      <c r="BG429" s="19" t="n">
        <f aca="false">VLOOKUP($H429,[1]Constants!$I$1:$K$1048576, 2, FALSE())</f>
        <v>1</v>
      </c>
      <c r="BH429" s="19" t="n">
        <f aca="false">VLOOKUP($H429,[1]Constants!$I$1:$K$1048576, 3, FALSE())*IF(AND(G429="multiple_unit",AB429&lt;110),0.75,1)</f>
        <v>1.5</v>
      </c>
      <c r="BI429" s="19" t="n">
        <f aca="false">INT(POWER((([1]Constants!$G$2+$BB429+$BC429+$BD429+$BF429)*$BE429)*$BH429, 1.05))+$BA429</f>
        <v>24</v>
      </c>
      <c r="BJ429" s="19" t="n">
        <f aca="false">INT(POWER(((([1]Constants!$G$1+$BB429+$BC429+$BD429+$BF429)*($BE429))*$BG429),IF($G429="wagon",1,1.2)))+$AZ429</f>
        <v>32</v>
      </c>
      <c r="BK429" s="29" t="n">
        <f aca="false">BI429*IF($G429="wagon",62.5,781.25)</f>
        <v>18750</v>
      </c>
      <c r="BL429" s="39" t="n">
        <f aca="false">BJ429*IF($G429="wagon",2.73,81.25)</f>
        <v>2600</v>
      </c>
      <c r="BR429" s="26" t="str">
        <f aca="false">_xlfn.ORG.LIBREOFFICE.REGEX(_xlfn.ORG.LIBREOFFICE.REGEX(SPRINTERMUVEHICLES, _xlfn.CONCAT(B429, ",?"), ""), ",$", "")</f>
        <v>class_150,class_151,class_153,class_153_mail,super_sprinter,express_sprinter_2car,express_sprinter_3car,sprinter_hybrid,class_170,class_170_3car</v>
      </c>
      <c r="BV429" s="26" t="n">
        <v>2</v>
      </c>
      <c r="BW429" s="26" t="n">
        <v>148</v>
      </c>
      <c r="BZ429" s="26" t="s">
        <v>148</v>
      </c>
      <c r="CA429" s="26" t="str">
        <f aca="false">VLOOKUP(J429,[2]Eras!$A$2:$C$10, 2, TRUE())</f>
        <v>lbr</v>
      </c>
      <c r="CB429" s="40" t="s">
        <v>828</v>
      </c>
      <c r="CC429" s="19" t="str">
        <f aca="false">CONCATENATE(CA429,"_",CB429)</f>
        <v>lbr_DMU (Cheap)</v>
      </c>
      <c r="CD429" s="19" t="str">
        <f aca="false">_xlfn.CONCAT(H429, "_",I429)</f>
        <v>diesel_RAIL</v>
      </c>
      <c r="CE429" s="31" t="str">
        <f aca="false">_xlfn.CONCAT("{BLACK}Length: {GOLD}", TEXT(ROUNDUP(IF(AQ429&lt;&gt;"",SUM(VALUE(_xlfn.TEXTSPLIT(AQ429, ","))), SUM(VALUE(_xlfn.TEXTSPLIT(AN429, ",")))*IF(M429, M429, 1))/16, 1), "#,##0.0"), " tiles{}")</f>
        <v>{BLACK}Length: {GOLD}1.2 tiles{}</v>
      </c>
      <c r="CF429" s="19" t="str">
        <f aca="false">VLOOKUP($CD429, [1]Constants!$M$1:$N$1048576, 2, FALSE())</f>
        <v>{BLACK}Powered by: {GOLD}Diesel</v>
      </c>
      <c r="CG429" s="19" t="str">
        <f aca="false">IF(M429&gt;1,_xlfn.CONCAT("{BLACK}Cars: {GOLD}", M429),"")</f>
        <v>{BLACK}Cars: {GOLD}2</v>
      </c>
      <c r="CH429" s="26" t="s">
        <v>1561</v>
      </c>
      <c r="CJ429" s="19" t="str">
        <f aca="false">IF(BX429="buffet","{YELLOW}25% long distance bonus for consist{}",IF(CA429="BRAKE","{YELLOW}Speed bonus for slow wagons{}",IF(BW429&gt;190,CONCATENATE("{YELLOW}",INT((BW429-185)/1.85),"% bonus for long distance travel{}"),IF(AND(BW429&lt;180,BW429&lt;&gt;0),CONCATENATE("{YELLOW}",INT((185-BW429)/1.85),"% penalty for long distance travel{}"),""))))</f>
        <v>{YELLOW}20% penalty for long distance travel{}</v>
      </c>
      <c r="CK429" s="19" t="str">
        <f aca="false">_xlfn.CONCAT(CF429,IF(CF429 &lt;&gt; "", " ", ""),CG429,IF(OR(CG429&lt;&gt;"", CF429&lt;&gt;""), "{}",""), CE429, CJ429,"{SILVER}", CH429)</f>
        <v>{BLACK}Powered by: {GOLD}Diesel {BLACK}Cars: {GOLD}2{}{BLACK}Length: {GOLD}1.2 tiles{}{YELLOW}20% penalty for long distance travel{}{SILVER}The Class 141 is a multiple unit built from Leyland National bus parts. While cheap and light, it is criticised for its poor ride quality.</v>
      </c>
    </row>
    <row r="430" s="26" customFormat="true" ht="14.25" hidden="false" customHeight="false" outlineLevel="0" collapsed="false">
      <c r="A430" s="26" t="s">
        <v>1562</v>
      </c>
      <c r="B430" s="32" t="s">
        <v>1563</v>
      </c>
      <c r="C430" s="21" t="n">
        <v>3041</v>
      </c>
      <c r="E430" s="26" t="n">
        <v>147</v>
      </c>
      <c r="F430" s="26" t="s">
        <v>143</v>
      </c>
      <c r="G430" s="26" t="s">
        <v>827</v>
      </c>
      <c r="H430" s="26" t="s">
        <v>670</v>
      </c>
      <c r="I430" s="26" t="s">
        <v>92</v>
      </c>
      <c r="J430" s="26" t="n">
        <v>1984</v>
      </c>
      <c r="K430" s="26" t="n">
        <v>1987</v>
      </c>
      <c r="M430" s="26" t="n">
        <v>2</v>
      </c>
      <c r="N430" s="26" t="n">
        <f aca="false">286*2</f>
        <v>572</v>
      </c>
      <c r="O430" s="33"/>
      <c r="P430" s="34"/>
      <c r="Q430" s="34"/>
      <c r="R430" s="34"/>
      <c r="S430" s="34"/>
      <c r="T430" s="34"/>
      <c r="U430" s="34"/>
      <c r="V430" s="34"/>
      <c r="W430" s="26" t="n">
        <f aca="false">35.8*2</f>
        <v>71.6</v>
      </c>
      <c r="X430" s="33"/>
      <c r="Y430" s="26" t="n">
        <v>5</v>
      </c>
      <c r="Z430" s="26" t="n">
        <v>110</v>
      </c>
      <c r="AA430" s="35" t="n">
        <f aca="false">IF(AND(W430&gt;0,Z430&gt;0),(Z430/((W430+X430)*10)),"")</f>
        <v>0.153631284916201</v>
      </c>
      <c r="AB430" s="26" t="n">
        <v>75</v>
      </c>
      <c r="AC430" s="26" t="n">
        <f aca="false">ROUND(AB430*1.6, 0)</f>
        <v>120</v>
      </c>
      <c r="AF430" s="26" t="n">
        <v>20</v>
      </c>
      <c r="AG430" s="26" t="n">
        <v>20</v>
      </c>
      <c r="AH430" s="26" t="n">
        <v>2.81</v>
      </c>
      <c r="AI430" s="26" t="n">
        <v>3.7</v>
      </c>
      <c r="AJ430" s="36" t="n">
        <v>63</v>
      </c>
      <c r="AK430" s="26" t="str">
        <f aca="false">CONCATENATE(VLOOKUP(AL430, '[2]Voxel Sizes'!$A$2:$B$18,2,FALSE()),"x",INT(AH430*15), "x", INT(AI430*15))</f>
        <v>198x42x55</v>
      </c>
      <c r="AL430" s="26" t="n">
        <f aca="false">ROUND(15*((AG430*10)/256),0)</f>
        <v>12</v>
      </c>
      <c r="AN430" s="26" t="str">
        <f aca="false">CONCATENATE(VLOOKUP(AL430,[2]Constants!$A$2:$C$16,IF(AM430&lt;&gt;"", 3, 2), FALSE()),IF(AM430&lt;&gt;"",CONCATENATE(",",VLOOKUP(AM430,$B:$AN,39,FALSE())),""))</f>
        <v>4,4,4</v>
      </c>
      <c r="AP430" s="37"/>
      <c r="AQ430" s="37"/>
      <c r="AR430" s="26" t="s">
        <v>1564</v>
      </c>
      <c r="AT430" s="26" t="s">
        <v>833</v>
      </c>
      <c r="AU430" s="26" t="s">
        <v>1565</v>
      </c>
      <c r="AX430" s="26" t="n">
        <v>28</v>
      </c>
      <c r="AY430" s="38" t="str">
        <f aca="false">IF(L430&lt;&gt;"",MAX(16,(L430-J430)+8),"")</f>
        <v/>
      </c>
      <c r="AZ430" s="26" t="n">
        <v>-10</v>
      </c>
      <c r="BA430" s="26" t="n">
        <v>-15</v>
      </c>
      <c r="BB430" s="26" t="n">
        <f aca="false">MIN(AB430/150, 1)*30</f>
        <v>15</v>
      </c>
      <c r="BC430" s="26" t="n">
        <f aca="false">MIN(N430/4000, 1)*20</f>
        <v>2.86</v>
      </c>
      <c r="BD430" s="26" t="n">
        <f aca="false">MIN(Z430/400,1)*20</f>
        <v>5.5</v>
      </c>
      <c r="BE430" s="35" t="n">
        <f aca="false">1-(MAX(J430-1900, 0)/750)</f>
        <v>0.888</v>
      </c>
      <c r="BF430" s="26" t="n">
        <f aca="false">((MAX($M430,1)*MIN($AJ430/300,1)))*IF(G430="Wagon",50,10)</f>
        <v>4.2</v>
      </c>
      <c r="BG430" s="19" t="n">
        <f aca="false">VLOOKUP($H430,[1]Constants!$I$1:$K$1048576, 2, FALSE())</f>
        <v>1</v>
      </c>
      <c r="BH430" s="19" t="n">
        <f aca="false">VLOOKUP($H430,[1]Constants!$I$1:$K$1048576, 3, FALSE())*IF(AND(G430="multiple_unit",AB430&lt;110),0.75,1)</f>
        <v>1.5</v>
      </c>
      <c r="BI430" s="26" t="n">
        <f aca="false">INT(POWER((([2]Constants!$G$2+$BB430+$BC430+$BD430+$BF430)*$BE430)*$BH430, 1.05))+$BA430</f>
        <v>37</v>
      </c>
      <c r="BJ430" s="26" t="n">
        <f aca="false">INT(POWER(((([2]Constants!$G$1+$BB430+$BC430+$BD430+$BF430)*($BE430))*$BG430),IF($G430="wagon",1,1.2)))+$AZ430</f>
        <v>68</v>
      </c>
      <c r="BK430" s="39" t="n">
        <f aca="false">BI430*IF($G430="wagon",62.5,781.25)</f>
        <v>28906.25</v>
      </c>
      <c r="BL430" s="39" t="n">
        <f aca="false">BJ430*IF($G430="wagon",2.73,81.25)</f>
        <v>5525</v>
      </c>
      <c r="BR430" s="26" t="str">
        <f aca="false">_xlfn.ORG.LIBREOFFICE.REGEX(_xlfn.ORG.LIBREOFFICE.REGEX(SPRINTERMUVEHICLES, _xlfn.CONCAT(B430, ",?"), ""), ",$", "")</f>
        <v>class_141,class_151,class_153,class_153_mail,super_sprinter,express_sprinter_2car,express_sprinter_3car,sprinter_hybrid,class_170,class_170_3car</v>
      </c>
      <c r="BV430" s="26" t="n">
        <v>1</v>
      </c>
      <c r="BW430" s="26" t="n">
        <v>185</v>
      </c>
      <c r="BZ430" s="26" t="s">
        <v>148</v>
      </c>
      <c r="CA430" s="26" t="str">
        <f aca="false">VLOOKUP(J430,[2]Eras!$A$2:$C$10, 2, TRUE())</f>
        <v>lbr</v>
      </c>
      <c r="CB430" s="40" t="s">
        <v>834</v>
      </c>
      <c r="CC430" s="26" t="str">
        <f aca="false">CONCATENATE(CA430,"_",CB430)</f>
        <v>lbr_DMU</v>
      </c>
      <c r="CD430" s="26" t="str">
        <f aca="false">_xlfn.CONCAT(H430, "_",I430)</f>
        <v>diesel_RAIL</v>
      </c>
      <c r="CE430" s="31" t="str">
        <f aca="false">_xlfn.CONCAT("{BLACK}Length: {GOLD}", TEXT(ROUNDUP(IF(AQ430&lt;&gt;"",SUM(VALUE(_xlfn.TEXTSPLIT(AQ430, ","))), SUM(VALUE(_xlfn.TEXTSPLIT(AN430, ",")))*IF(M430, M430, 1))/16, 1), "#,##0.0"), " tiles{}")</f>
        <v>{BLACK}Length: {GOLD}1.5 tiles{}</v>
      </c>
      <c r="CF430" s="19" t="str">
        <f aca="false">VLOOKUP($CD430, [1]Constants!$M$1:$N$1048576, 2, FALSE())</f>
        <v>{BLACK}Powered by: {GOLD}Diesel</v>
      </c>
      <c r="CG430" s="26" t="str">
        <f aca="false">IF(M430&gt;1,_xlfn.CONCAT("{BLACK}Cars: {GOLD}", M430),"")</f>
        <v>{BLACK}Cars: {GOLD}2</v>
      </c>
      <c r="CH430" s="26" t="s">
        <v>1566</v>
      </c>
      <c r="CK430" s="19" t="str">
        <f aca="false">_xlfn.CONCAT(CF430,IF(CF430 &lt;&gt; "", " ", ""),CG430,IF(OR(CG430&lt;&gt;"", CF430&lt;&gt;""), "{}",""), CD430, CH430,"{SILVER}", CG430)</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431" s="19" customFormat="true" ht="14.25" hidden="false" customHeight="false" outlineLevel="0" collapsed="false">
      <c r="A431" s="19" t="s">
        <v>1567</v>
      </c>
      <c r="B431" s="20" t="s">
        <v>1568</v>
      </c>
      <c r="C431" s="21" t="n">
        <v>3042</v>
      </c>
      <c r="E431" s="19" t="n">
        <v>148</v>
      </c>
      <c r="F431" s="19" t="s">
        <v>143</v>
      </c>
      <c r="G431" s="19" t="s">
        <v>827</v>
      </c>
      <c r="H431" s="19" t="s">
        <v>670</v>
      </c>
      <c r="I431" s="19" t="s">
        <v>92</v>
      </c>
      <c r="J431" s="19" t="n">
        <v>1985</v>
      </c>
      <c r="K431" s="19" t="n">
        <v>2015</v>
      </c>
      <c r="L431" s="19" t="n">
        <v>2025</v>
      </c>
      <c r="M431" s="19" t="n">
        <v>3</v>
      </c>
      <c r="N431" s="19" t="n">
        <v>855</v>
      </c>
      <c r="O431" s="22"/>
      <c r="P431" s="23"/>
      <c r="Q431" s="23"/>
      <c r="R431" s="23"/>
      <c r="S431" s="23"/>
      <c r="T431" s="23"/>
      <c r="U431" s="23"/>
      <c r="V431" s="23"/>
      <c r="W431" s="19" t="n">
        <v>97</v>
      </c>
      <c r="X431" s="22"/>
      <c r="Y431" s="19" t="n">
        <v>5</v>
      </c>
      <c r="Z431" s="19" t="n">
        <v>145</v>
      </c>
      <c r="AA431" s="24" t="n">
        <f aca="false">IF(AND(W431&gt;0,Z431&gt;0),(Z431/((W431+X431)*10)),"")</f>
        <v>0.149484536082474</v>
      </c>
      <c r="AB431" s="19" t="n">
        <v>75</v>
      </c>
      <c r="AC431" s="19" t="n">
        <f aca="false">ROUND(AB431*1.6, 0)</f>
        <v>120</v>
      </c>
      <c r="AF431" s="19" t="n">
        <v>19.9</v>
      </c>
      <c r="AG431" s="19" t="n">
        <v>20</v>
      </c>
      <c r="AH431" s="19" t="n">
        <v>2.8</v>
      </c>
      <c r="AI431" s="19" t="n">
        <v>3.84</v>
      </c>
      <c r="AJ431" s="25" t="n">
        <v>77</v>
      </c>
      <c r="AK431" s="26" t="str">
        <f aca="false">CONCATENATE(VLOOKUP(AL431, '[1]Voxel Sizes'!$A$2:$B$18,2,FALSE()),"x",INT(AH431*15), "x", INT(AI431*15))</f>
        <v>198x42x57</v>
      </c>
      <c r="AL431" s="19" t="n">
        <f aca="false">ROUND(15*((AG431*10)/256),0)</f>
        <v>12</v>
      </c>
      <c r="AN431" s="19" t="str">
        <f aca="false">CONCATENATE(VLOOKUP(AL431,[1]Constants!$A$2:$C$16,IF(AM431&lt;&gt;"", 3, 2), FALSE()),IF(AM431&lt;&gt;"",CONCATENATE(",",VLOOKUP(AM431,$B:$AN,38,FALSE())),""))</f>
        <v>4,4,4</v>
      </c>
      <c r="AO431" s="19" t="n">
        <v>4</v>
      </c>
      <c r="AP431" s="27"/>
      <c r="AQ431" s="27"/>
      <c r="AR431" s="19" t="s">
        <v>1569</v>
      </c>
      <c r="AT431" s="19" t="s">
        <v>864</v>
      </c>
      <c r="AU431" s="19" t="s">
        <v>1568</v>
      </c>
      <c r="AX431" s="19" t="n">
        <v>27</v>
      </c>
      <c r="AY431" s="28" t="n">
        <f aca="false">IF(L431&lt;&gt;"",MAX(16,(L431-J431)+8),"")</f>
        <v>48</v>
      </c>
      <c r="AZ431" s="19" t="n">
        <v>-15</v>
      </c>
      <c r="BA431" s="19" t="n">
        <v>-25</v>
      </c>
      <c r="BB431" s="19" t="n">
        <f aca="false">MIN(AB431/150, 1)*30</f>
        <v>15</v>
      </c>
      <c r="BC431" s="19" t="n">
        <f aca="false">MIN(N431/4000, 1)*20</f>
        <v>4.275</v>
      </c>
      <c r="BD431" s="19" t="n">
        <f aca="false">MIN(Z431/400,1)*20</f>
        <v>7.25</v>
      </c>
      <c r="BE431" s="24" t="n">
        <f aca="false">1-(MAX(J431-1900, 0)/750)</f>
        <v>0.886666666666667</v>
      </c>
      <c r="BF431" s="19" t="n">
        <f aca="false">((MAX($M431,1)*MIN($AJ431/300,1)))*IF(G431="Wagon",50,10)</f>
        <v>7.7</v>
      </c>
      <c r="BG431" s="19" t="n">
        <f aca="false">VLOOKUP($H431,[1]Constants!$I$1:$K$1048576, 2, FALSE())</f>
        <v>1</v>
      </c>
      <c r="BH431" s="19" t="n">
        <f aca="false">VLOOKUP($H431,[1]Constants!$I$1:$K$1048576, 3, FALSE())*IF(AND(G431="multiple_unit",AB431&lt;110),0.75,1)</f>
        <v>1.5</v>
      </c>
      <c r="BI431" s="19" t="n">
        <v>38</v>
      </c>
      <c r="BJ431" s="19" t="n">
        <v>77</v>
      </c>
      <c r="BK431" s="29" t="n">
        <f aca="false">BI431*IF($G431="wagon",62.5,781.25)</f>
        <v>29687.5</v>
      </c>
      <c r="BL431" s="29" t="n">
        <f aca="false">BJ431*IF($G431="wagon",2.73,81.25)</f>
        <v>6256.25</v>
      </c>
      <c r="BR431" s="26" t="str">
        <f aca="false">_xlfn.ORG.LIBREOFFICE.REGEX(_xlfn.ORG.LIBREOFFICE.REGEX(SPRINTERMUVEHICLES, _xlfn.CONCAT(B431, ",?"), ""), ",$", "")</f>
        <v>class_141,class_150,class_153,class_153_mail,super_sprinter,express_sprinter_2car,express_sprinter_3car,sprinter_hybrid,class_170,class_170_3car</v>
      </c>
      <c r="BV431" s="19" t="n">
        <v>4</v>
      </c>
      <c r="BW431" s="19" t="n">
        <v>185</v>
      </c>
      <c r="BZ431" s="19" t="s">
        <v>148</v>
      </c>
      <c r="CA431" s="19" t="s">
        <v>1320</v>
      </c>
      <c r="CB431" s="30" t="s">
        <v>834</v>
      </c>
      <c r="CC431" s="19" t="str">
        <f aca="false">CONCATENATE(CA431,"_",CB431)</f>
        <v>lbr_DMU</v>
      </c>
      <c r="CD431" s="19" t="str">
        <f aca="false">_xlfn.CONCAT(H431, "_",I431)</f>
        <v>diesel_RAIL</v>
      </c>
      <c r="CE431" s="31" t="str">
        <f aca="false">_xlfn.CONCAT("{BLACK}Length: {GOLD}", TEXT(ROUNDUP(IF(AQ431&lt;&gt;"",SUM(VALUE(_xlfn.TEXTSPLIT(AQ431, ","))), SUM(VALUE(_xlfn.TEXTSPLIT(AN431, ",")))*IF(M431, M431, 1))/16, 1), "#,##0.0"), " tiles{}")</f>
        <v>{BLACK}Length: {GOLD}2.3 tiles{}</v>
      </c>
      <c r="CF431" s="19" t="str">
        <f aca="false">VLOOKUP($CD431, [1]Constants!$M$1:$N$1048576, 2, FALSE())</f>
        <v>{BLACK}Powered by: {GOLD}Diesel</v>
      </c>
      <c r="CG431" s="19" t="str">
        <f aca="false">IF(M431&gt;1,_xlfn.CONCAT("{BLACK}Cars: {GOLD}", M431),"")</f>
        <v>{BLACK}Cars: {GOLD}3</v>
      </c>
      <c r="CH431" s="19" t="s">
        <v>1570</v>
      </c>
      <c r="CJ431" s="19" t="str">
        <f aca="false">IF(BX431="buffet","{YELLOW}25% long distance bonus for consist{}",IF(CA431="BRAKE","{YELLOW}Speed bonus for slow wagons{}",IF(BW431&gt;190,CONCATENATE("{YELLOW}",INT((BW431-185)/1.85),"% bonus for long distance travel{}"),IF(AND(BW431&lt;180,BW431&lt;&gt;0),CONCATENATE("{YELLOW}",INT((185-BW431)/1.85),"% penalty for long distance travel{}"),""))))</f>
        <v/>
      </c>
      <c r="CK431" s="19" t="str">
        <f aca="false">_xlfn.CONCAT(CF431,IF(CF431 &lt;&gt; "", " ", ""),CG431,IF(OR(CG431&lt;&gt;"", CF431&lt;&gt;""), "{}",""), CE431, CJ431,"{SILVER}", CH431)</f>
        <v>{BLACK}Powered by: {GOLD}Diesel {BLACK}Cars: {GOLD}3{}{BLACK}Length: {GOLD}2.3 tiles{}{SILVER}A class of 2 prototype DMUs built to compete for the contract that became the Class 150 fleet purchase. These units suffered with gearbox issues and the BREL type won the contest instead.</v>
      </c>
    </row>
    <row r="432" s="19" customFormat="true" ht="14.25" hidden="false" customHeight="false" outlineLevel="0" collapsed="false">
      <c r="A432" s="19" t="s">
        <v>1571</v>
      </c>
      <c r="B432" s="20" t="s">
        <v>1572</v>
      </c>
      <c r="C432" s="21" t="n">
        <v>3043</v>
      </c>
      <c r="E432" s="19" t="n">
        <v>155</v>
      </c>
      <c r="F432" s="19" t="s">
        <v>143</v>
      </c>
      <c r="G432" s="19" t="s">
        <v>827</v>
      </c>
      <c r="H432" s="19" t="s">
        <v>670</v>
      </c>
      <c r="I432" s="19" t="s">
        <v>92</v>
      </c>
      <c r="J432" s="19" t="n">
        <v>1991</v>
      </c>
      <c r="M432" s="19" t="n">
        <v>1</v>
      </c>
      <c r="N432" s="19" t="n">
        <v>285</v>
      </c>
      <c r="O432" s="22"/>
      <c r="P432" s="23"/>
      <c r="Q432" s="23"/>
      <c r="R432" s="23"/>
      <c r="S432" s="23"/>
      <c r="T432" s="23"/>
      <c r="U432" s="23"/>
      <c r="V432" s="23"/>
      <c r="W432" s="19" t="n">
        <v>41.2</v>
      </c>
      <c r="X432" s="22"/>
      <c r="Y432" s="19" t="n">
        <v>5</v>
      </c>
      <c r="Z432" s="19" t="n">
        <v>55</v>
      </c>
      <c r="AA432" s="24" t="n">
        <v>0.153631284916201</v>
      </c>
      <c r="AB432" s="19" t="n">
        <v>75</v>
      </c>
      <c r="AC432" s="19" t="n">
        <v>120</v>
      </c>
      <c r="AF432" s="19" t="n">
        <v>23.2</v>
      </c>
      <c r="AG432" s="19" t="n">
        <v>23.2</v>
      </c>
      <c r="AH432" s="19" t="n">
        <v>2.7</v>
      </c>
      <c r="AI432" s="19" t="n">
        <v>3.7</v>
      </c>
      <c r="AJ432" s="25" t="n">
        <v>72</v>
      </c>
      <c r="AK432" s="26" t="str">
        <f aca="false">CONCATENATE(VLOOKUP(AL432, '[1]Voxel Sizes'!$A$2:$B$18,2,FALSE()),"x",INT(AH432*15), "x", INT(AI432*15))</f>
        <v>238x40x55</v>
      </c>
      <c r="AL432" s="19" t="n">
        <f aca="false">ROUND(15*((AG432*10)/256),0)</f>
        <v>14</v>
      </c>
      <c r="AN432" s="19" t="str">
        <f aca="false">CONCATENATE(VLOOKUP(AL432,[1]Constants!$A$2:$C$16,IF(AM432&lt;&gt;"", 3, 2), FALSE()),IF(AM432&lt;&gt;"",CONCATENATE(",",VLOOKUP(AM432,$B:$AN,38,FALSE())),""))</f>
        <v>4,6,4</v>
      </c>
      <c r="AP432" s="27"/>
      <c r="AQ432" s="27"/>
      <c r="AR432" s="19" t="s">
        <v>1572</v>
      </c>
      <c r="AT432" s="19" t="n">
        <v>1</v>
      </c>
      <c r="AX432" s="19" t="n">
        <v>33</v>
      </c>
      <c r="AY432" s="28"/>
      <c r="AZ432" s="19" t="n">
        <v>-10</v>
      </c>
      <c r="BA432" s="19" t="n">
        <v>-15</v>
      </c>
      <c r="BB432" s="19" t="n">
        <f aca="false">MIN(AB432/150, 1)*30</f>
        <v>15</v>
      </c>
      <c r="BC432" s="19" t="n">
        <f aca="false">MIN(N432/4000, 1)*20</f>
        <v>1.425</v>
      </c>
      <c r="BD432" s="19" t="n">
        <f aca="false">MIN(Z432/400,1)*20</f>
        <v>2.75</v>
      </c>
      <c r="BE432" s="24" t="n">
        <f aca="false">1-(MAX(J432-1900, 0)/750)</f>
        <v>0.878666666666667</v>
      </c>
      <c r="BF432" s="19" t="n">
        <f aca="false">((MAX($M432,1)*MIN($AJ432/300,1)))*IF(G432="Wagon",50,10)</f>
        <v>2.4</v>
      </c>
      <c r="BG432" s="19" t="n">
        <f aca="false">VLOOKUP($H432,[1]Constants!$I$1:$K$1048576, 2, FALSE())</f>
        <v>1</v>
      </c>
      <c r="BH432" s="19" t="n">
        <f aca="false">VLOOKUP($H432,[1]Constants!$I$1:$K$1048576, 3, FALSE())*IF(AND(G432="multiple_unit",AB432&lt;110),0.75,1)</f>
        <v>1.5</v>
      </c>
      <c r="BI432" s="19" t="n">
        <f aca="false">INT(POWER((([1]Constants!$G$2+$BB432+$BC432+$BD432+$BF432)*$BE432)*$BH432, 1.05))+$BA432</f>
        <v>26</v>
      </c>
      <c r="BJ432" s="19" t="n">
        <f aca="false">INT(POWER(((([1]Constants!$G$1+$BB432+$BC432+$BD432+$BF432)*($BE432))*$BG432),IF($G432="wagon",1,1.2)))+$AZ432</f>
        <v>54</v>
      </c>
      <c r="BK432" s="29" t="n">
        <f aca="false">BI432*IF($G432="wagon",62.5,781.25)</f>
        <v>20312.5</v>
      </c>
      <c r="BL432" s="29" t="n">
        <f aca="false">BJ432*IF($G432="wagon",2.73,81.25)</f>
        <v>4387.5</v>
      </c>
      <c r="BR432" s="26" t="str">
        <f aca="false">_xlfn.ORG.LIBREOFFICE.REGEX(_xlfn.ORG.LIBREOFFICE.REGEX(SPRINTERMUVEHICLES, _xlfn.CONCAT(B432, ",?"), ""), ",$", "")</f>
        <v>class_141,class_150,class_151,class_153_mail,super_sprinter,express_sprinter_2car,express_sprinter_3car,sprinter_hybrid,class_170,class_170_3car</v>
      </c>
      <c r="BV432" s="19" t="n">
        <v>4</v>
      </c>
      <c r="BW432" s="19" t="n">
        <v>185</v>
      </c>
      <c r="BZ432" s="19" t="s">
        <v>148</v>
      </c>
      <c r="CA432" s="19" t="str">
        <f aca="false">VLOOKUP(J432,[1]Eras!$A$2:$C$10, 2, TRUE())</f>
        <v>lbr</v>
      </c>
      <c r="CB432" s="30" t="s">
        <v>834</v>
      </c>
      <c r="CC432" s="19" t="s">
        <v>1573</v>
      </c>
      <c r="CD432" s="19" t="s">
        <v>1574</v>
      </c>
      <c r="CE432" s="31" t="str">
        <f aca="false">_xlfn.CONCAT("{BLACK}Length: {GOLD}", TEXT(ROUNDUP(IF(AQ432&lt;&gt;"",SUM(VALUE(_xlfn.TEXTSPLIT(AQ432, ","))), SUM(VALUE(_xlfn.TEXTSPLIT(AN432, ",")))*IF(M432, M432, 1))/16, 1), "#,##0.0"), " tiles{}")</f>
        <v>{BLACK}Length: {GOLD}0.9 tiles{}</v>
      </c>
      <c r="CF432" s="19" t="str">
        <f aca="false">VLOOKUP($CD432, [1]Constants!$M$1:$N$1048576, 2, FALSE())</f>
        <v>{BLACK}Powered by: {GOLD}Diesel</v>
      </c>
      <c r="CG432" s="19" t="str">
        <f aca="false">IF(M432&gt;1,_xlfn.CONCAT("{BLACK}Cars: {GOLD}", M432),"")</f>
        <v/>
      </c>
      <c r="CH432" s="19" t="s">
        <v>1575</v>
      </c>
      <c r="CJ432" s="19" t="str">
        <f aca="false">IF(BX432="buffet","{YELLOW}25% long distance bonus for consist{}",IF(CA432="BRAKE","{YELLOW}Speed bonus for slow wagons{}",IF(BW432&gt;190,CONCATENATE("{YELLOW}",INT((BW432-185)/1.85),"% bonus for long distance travel{}"),IF(AND(BW432&lt;180,BW432&lt;&gt;0),CONCATENATE("{YELLOW}",INT((185-BW432)/1.85),"% penalty for long distance travel{}"),""))))</f>
        <v/>
      </c>
      <c r="CK432" s="19" t="str">
        <f aca="false">_xlfn.CONCAT(CF432,IF(CF432 &lt;&gt; "", " ", ""),CG432,IF(OR(CG432&lt;&gt;"", CF432&lt;&gt;""), "{}",""), CE432, CJ432,"{SILVER}", CH432)</f>
        <v>{BLACK}Powered by: {GOLD}Diesel {}{BLACK}Length: {GOLD}0.9 tiles{}{SILVER}The Class 153 was a conversion of earlier Class 155 units, 35 of which were split in two with small cabs added at the inner ends.</v>
      </c>
    </row>
    <row r="433" s="19" customFormat="true" ht="14.25" hidden="false" customHeight="false" outlineLevel="0" collapsed="false">
      <c r="A433" s="19" t="s">
        <v>1576</v>
      </c>
      <c r="B433" s="20" t="s">
        <v>1577</v>
      </c>
      <c r="C433" s="21" t="n">
        <v>3044</v>
      </c>
      <c r="D433" s="19" t="n">
        <v>3043</v>
      </c>
      <c r="E433" s="19" t="n">
        <v>156</v>
      </c>
      <c r="F433" s="19" t="s">
        <v>143</v>
      </c>
      <c r="G433" s="19" t="s">
        <v>827</v>
      </c>
      <c r="H433" s="19" t="s">
        <v>670</v>
      </c>
      <c r="I433" s="19" t="s">
        <v>92</v>
      </c>
      <c r="J433" s="19" t="n">
        <v>1991</v>
      </c>
      <c r="M433" s="19" t="n">
        <v>1</v>
      </c>
      <c r="N433" s="19" t="n">
        <v>285</v>
      </c>
      <c r="O433" s="22"/>
      <c r="P433" s="23"/>
      <c r="Q433" s="23"/>
      <c r="R433" s="23"/>
      <c r="S433" s="23"/>
      <c r="T433" s="23"/>
      <c r="U433" s="23"/>
      <c r="V433" s="23"/>
      <c r="W433" s="19" t="n">
        <v>41.2</v>
      </c>
      <c r="X433" s="22"/>
      <c r="Y433" s="19" t="n">
        <v>5</v>
      </c>
      <c r="Z433" s="19" t="n">
        <v>55</v>
      </c>
      <c r="AA433" s="24" t="n">
        <v>0.153631284916201</v>
      </c>
      <c r="AB433" s="19" t="n">
        <v>75</v>
      </c>
      <c r="AC433" s="19" t="n">
        <v>120</v>
      </c>
      <c r="AF433" s="19" t="n">
        <v>23.2</v>
      </c>
      <c r="AG433" s="19" t="n">
        <v>23.2</v>
      </c>
      <c r="AH433" s="19" t="n">
        <v>2.7</v>
      </c>
      <c r="AI433" s="19" t="n">
        <v>3.7</v>
      </c>
      <c r="AJ433" s="25" t="n">
        <v>60</v>
      </c>
      <c r="AK433" s="26" t="str">
        <f aca="false">CONCATENATE(VLOOKUP(AL433, '[1]Voxel Sizes'!$A$2:$B$18,2,FALSE()),"x",INT(AH433*15), "x", INT(AI433*15))</f>
        <v>238x40x55</v>
      </c>
      <c r="AL433" s="19" t="n">
        <f aca="false">ROUND(15*((AG433*10)/256),0)</f>
        <v>14</v>
      </c>
      <c r="AN433" s="19" t="str">
        <f aca="false">CONCATENATE(VLOOKUP(AL433,[1]Constants!$A$2:$C$16,IF(AM433&lt;&gt;"", 3, 2), FALSE()),IF(AM433&lt;&gt;"",CONCATENATE(",",VLOOKUP(AM433,$B:$AN,38,FALSE())),""))</f>
        <v>4,6,4</v>
      </c>
      <c r="AP433" s="27"/>
      <c r="AQ433" s="27"/>
      <c r="AR433" s="19" t="s">
        <v>1577</v>
      </c>
      <c r="AT433" s="19" t="n">
        <v>1</v>
      </c>
      <c r="AX433" s="19" t="n">
        <v>33</v>
      </c>
      <c r="AY433" s="28"/>
      <c r="AZ433" s="19" t="n">
        <v>-10</v>
      </c>
      <c r="BA433" s="19" t="n">
        <v>-15</v>
      </c>
      <c r="BB433" s="19" t="n">
        <f aca="false">MIN(AB433/150, 1)*30</f>
        <v>15</v>
      </c>
      <c r="BC433" s="19" t="n">
        <f aca="false">MIN(N433/4000, 1)*20</f>
        <v>1.425</v>
      </c>
      <c r="BD433" s="19" t="n">
        <f aca="false">MIN(Z433/400,1)*20</f>
        <v>2.75</v>
      </c>
      <c r="BE433" s="24" t="n">
        <f aca="false">1-(MAX(J433-1900, 0)/750)</f>
        <v>0.878666666666667</v>
      </c>
      <c r="BF433" s="19" t="n">
        <f aca="false">((MAX($M433,1)*MIN($AJ433/300,1)))*IF(G433="Wagon",50,10)</f>
        <v>2</v>
      </c>
      <c r="BG433" s="19" t="n">
        <f aca="false">VLOOKUP($H433,[1]Constants!$I$1:$K$1048576, 2, FALSE())</f>
        <v>1</v>
      </c>
      <c r="BH433" s="19" t="n">
        <f aca="false">VLOOKUP($H433,[1]Constants!$I$1:$K$1048576, 3, FALSE())*IF(AND(G433="multiple_unit",AB433&lt;110),0.75,1)</f>
        <v>1.5</v>
      </c>
      <c r="BI433" s="19" t="n">
        <f aca="false">INT(POWER((([1]Constants!$G$2+$BB433+$BC433+$BD433+$BF433)*$BE433)*$BH433, 1.05))+$BA433</f>
        <v>26</v>
      </c>
      <c r="BJ433" s="19" t="n">
        <f aca="false">INT(POWER(((([1]Constants!$G$1+$BB433+$BC433+$BD433+$BF433)*($BE433))*$BG433),IF($G433="wagon",1,1.2)))+$AZ433</f>
        <v>53</v>
      </c>
      <c r="BK433" s="29" t="n">
        <f aca="false">BI433*IF($G433="wagon",62.5,781.25)</f>
        <v>20312.5</v>
      </c>
      <c r="BL433" s="29" t="n">
        <f aca="false">BJ433*IF($G433="wagon",2.73,81.25)</f>
        <v>4306.25</v>
      </c>
      <c r="BR433" s="26" t="str">
        <f aca="false">_xlfn.ORG.LIBREOFFICE.REGEX(_xlfn.ORG.LIBREOFFICE.REGEX(SPRINTERMUVEHICLES, _xlfn.CONCAT(B433, ",?"), ""), ",$", "")</f>
        <v>class_141,class_150,class_151,class_153,super_sprinter,express_sprinter_2car,express_sprinter_3car,sprinter_hybrid,class_170,class_170_3car</v>
      </c>
      <c r="BU433" s="19" t="s">
        <v>1578</v>
      </c>
      <c r="BV433" s="19" t="n">
        <v>4</v>
      </c>
      <c r="BW433" s="19" t="n">
        <v>185</v>
      </c>
      <c r="BZ433" s="19" t="s">
        <v>220</v>
      </c>
      <c r="CA433" s="19" t="str">
        <f aca="false">VLOOKUP(J433,[1]Eras!$A$2:$C$10, 2, TRUE())</f>
        <v>lbr</v>
      </c>
      <c r="CB433" s="30" t="s">
        <v>834</v>
      </c>
      <c r="CC433" s="19" t="s">
        <v>1573</v>
      </c>
      <c r="CD433" s="19" t="s">
        <v>1574</v>
      </c>
      <c r="CE433" s="31" t="str">
        <f aca="false">_xlfn.CONCAT("{BLACK}Length: {GOLD}", TEXT(ROUNDUP(IF(AQ433&lt;&gt;"",SUM(VALUE(_xlfn.TEXTSPLIT(AQ433, ","))), SUM(VALUE(_xlfn.TEXTSPLIT(AN433, ",")))*IF(M433, M433, 1))/16, 1), "#,##0.0"), " tiles{}")</f>
        <v>{BLACK}Length: {GOLD}0.9 tiles{}</v>
      </c>
      <c r="CF433" s="19" t="str">
        <f aca="false">VLOOKUP($CD433, [1]Constants!$M$1:$N$1048576, 2, FALSE())</f>
        <v>{BLACK}Powered by: {GOLD}Diesel</v>
      </c>
      <c r="CG433" s="19" t="str">
        <f aca="false">IF(M433&gt;1,_xlfn.CONCAT("{BLACK}Cars: {GOLD}", M433),"")</f>
        <v/>
      </c>
      <c r="CH433" s="19" t="s">
        <v>1579</v>
      </c>
      <c r="CJ433" s="19" t="str">
        <f aca="false">IF(BX433="buffet","{YELLOW}25% long distance bonus for consist{}",IF(CA433="BRAKE","{YELLOW}Speed bonus for slow wagons{}",IF(BW433&gt;190,CONCATENATE("{YELLOW}",INT((BW433-185)/1.85),"% bonus for long distance travel{}"),IF(AND(BW433&lt;180,BW433&lt;&gt;0),CONCATENATE("{YELLOW}",INT((185-BW433)/1.85),"% penalty for long distance travel{}"),""))))</f>
        <v/>
      </c>
      <c r="CK433" s="19" t="str">
        <f aca="false">_xlfn.CONCAT(CF433,IF(CF433 &lt;&gt; "", " ", ""),CG433,IF(OR(CG433&lt;&gt;"", CF433&lt;&gt;""), "{}",""), CE433, CJ433,"{SILVER}", CH433)</f>
        <v>{BLACK}Powered by: {GOLD}Diesel {}{BLACK}Length: {GOLD}0.9 tiles{}{SILVER}What if the class 153s were converted for parcels service rather than passenger use? This preceds the later use of the 153 as supplementary bike carriages or ‘active travel’ vehicles.</v>
      </c>
    </row>
    <row r="434" s="26" customFormat="true" ht="14.25" hidden="false" customHeight="false" outlineLevel="0" collapsed="false">
      <c r="A434" s="26" t="s">
        <v>1580</v>
      </c>
      <c r="B434" s="32" t="s">
        <v>1581</v>
      </c>
      <c r="C434" s="21" t="n">
        <v>3045</v>
      </c>
      <c r="E434" s="26" t="n">
        <v>157</v>
      </c>
      <c r="F434" s="26" t="s">
        <v>143</v>
      </c>
      <c r="G434" s="26" t="s">
        <v>827</v>
      </c>
      <c r="H434" s="26" t="s">
        <v>670</v>
      </c>
      <c r="I434" s="26" t="s">
        <v>92</v>
      </c>
      <c r="J434" s="26" t="n">
        <v>1988</v>
      </c>
      <c r="M434" s="26" t="n">
        <v>2</v>
      </c>
      <c r="N434" s="26" t="n">
        <f aca="false">285*2</f>
        <v>570</v>
      </c>
      <c r="O434" s="33"/>
      <c r="P434" s="34"/>
      <c r="Q434" s="34"/>
      <c r="R434" s="34"/>
      <c r="S434" s="34"/>
      <c r="T434" s="34"/>
      <c r="U434" s="34"/>
      <c r="V434" s="34"/>
      <c r="W434" s="26" t="n">
        <f aca="false">35.5+36.1</f>
        <v>71.6</v>
      </c>
      <c r="X434" s="33"/>
      <c r="Y434" s="26" t="n">
        <v>5</v>
      </c>
      <c r="Z434" s="26" t="n">
        <v>110</v>
      </c>
      <c r="AA434" s="35" t="n">
        <f aca="false">IF(AND(W434&gt;0,Z434&gt;0),(Z434/((W434+X434)*10)),"")</f>
        <v>0.153631284916201</v>
      </c>
      <c r="AB434" s="26" t="n">
        <v>75</v>
      </c>
      <c r="AC434" s="26" t="n">
        <f aca="false">ROUND(AB434*1.6, 0)</f>
        <v>120</v>
      </c>
      <c r="AF434" s="26" t="n">
        <v>23</v>
      </c>
      <c r="AG434" s="26" t="n">
        <v>23</v>
      </c>
      <c r="AH434" s="26" t="n">
        <v>2.8</v>
      </c>
      <c r="AI434" s="26" t="n">
        <v>3.7</v>
      </c>
      <c r="AJ434" s="36" t="n">
        <v>69</v>
      </c>
      <c r="AK434" s="26" t="str">
        <f aca="false">CONCATENATE(VLOOKUP(AL434, '[2]Voxel Sizes'!$A$2:$B$18,2,FALSE()),"x",INT(AH434*15), "x", INT(AI434*15))</f>
        <v>214x42x55</v>
      </c>
      <c r="AL434" s="26" t="n">
        <f aca="false">ROUND(15*((AG434*10)/256),0)</f>
        <v>13</v>
      </c>
      <c r="AN434" s="26" t="str">
        <f aca="false">CONCATENATE(VLOOKUP(AL434,[2]Constants!$A$2:$C$16,IF(AM434&lt;&gt;"", 3, 2), FALSE()),IF(AM434&lt;&gt;"",CONCATENATE(",",VLOOKUP(AM434,$B:$AN,39,FALSE())),""))</f>
        <v>4,5,4</v>
      </c>
      <c r="AP434" s="37"/>
      <c r="AQ434" s="37"/>
      <c r="AR434" s="26" t="s">
        <v>1582</v>
      </c>
      <c r="AT434" s="26" t="s">
        <v>833</v>
      </c>
      <c r="AX434" s="26" t="n">
        <v>33</v>
      </c>
      <c r="AY434" s="38" t="str">
        <f aca="false">IF(L434&lt;&gt;"",MAX(16,(L434-J434)+8),"")</f>
        <v/>
      </c>
      <c r="AZ434" s="26" t="n">
        <v>-10</v>
      </c>
      <c r="BA434" s="26" t="n">
        <v>-15</v>
      </c>
      <c r="BB434" s="26" t="n">
        <f aca="false">MIN(AB434/150, 1)*30</f>
        <v>15</v>
      </c>
      <c r="BC434" s="26" t="n">
        <f aca="false">MIN(N434/4000, 1)*20</f>
        <v>2.85</v>
      </c>
      <c r="BD434" s="26" t="n">
        <f aca="false">MIN(Z434/400,1)*20</f>
        <v>5.5</v>
      </c>
      <c r="BE434" s="35" t="n">
        <f aca="false">1-(MAX(J434-1900, 0)/750)</f>
        <v>0.882666666666667</v>
      </c>
      <c r="BF434" s="26" t="n">
        <f aca="false">((MAX($M434,1)*MIN($AJ434/300,1)))*IF(G434="Wagon",50,10)</f>
        <v>4.6</v>
      </c>
      <c r="BG434" s="19" t="n">
        <f aca="false">VLOOKUP($H434,[1]Constants!$I$1:$K$1048576, 2, FALSE())</f>
        <v>1</v>
      </c>
      <c r="BH434" s="19" t="n">
        <f aca="false">VLOOKUP($H434,[1]Constants!$I$1:$K$1048576, 3, FALSE())*IF(AND(G434="multiple_unit",AB434&lt;110),0.75,1)</f>
        <v>1.5</v>
      </c>
      <c r="BI434" s="19" t="n">
        <f aca="false">INT(POWER((([1]Constants!$G$2+$BB434+$BC434+$BD434+$BF434)*$BE434)*$BH434, 1.05))+$BA434</f>
        <v>37</v>
      </c>
      <c r="BJ434" s="19" t="n">
        <f aca="false">INT(POWER(((([1]Constants!$G$1+$BB434+$BC434+$BD434+$BF434)*($BE434))*$BG434),IF($G434="wagon",1,1.2)))+$AZ434</f>
        <v>68</v>
      </c>
      <c r="BK434" s="39" t="n">
        <f aca="false">BI434*IF($G434="wagon",62.5,781.25)</f>
        <v>28906.25</v>
      </c>
      <c r="BL434" s="39" t="n">
        <f aca="false">BJ434*IF($G434="wagon",2.73,81.25)</f>
        <v>5525</v>
      </c>
      <c r="BR434" s="26" t="str">
        <f aca="false">_xlfn.ORG.LIBREOFFICE.REGEX(_xlfn.ORG.LIBREOFFICE.REGEX(SPRINTERMUVEHICLES, _xlfn.CONCAT(B434, ",?"), ""), ",$", "")</f>
        <v>class_141,class_150,class_151,class_153,class_153_mail,express_sprinter_2car,express_sprinter_3car,sprinter_hybrid,class_170,class_170_3car</v>
      </c>
      <c r="BV434" s="26" t="n">
        <v>4</v>
      </c>
      <c r="BW434" s="26" t="n">
        <v>185</v>
      </c>
      <c r="BZ434" s="26" t="s">
        <v>148</v>
      </c>
      <c r="CA434" s="26" t="str">
        <f aca="false">VLOOKUP(J434,[2]Eras!$A$2:$C$10, 2, TRUE())</f>
        <v>lbr</v>
      </c>
      <c r="CB434" s="40" t="s">
        <v>834</v>
      </c>
      <c r="CC434" s="26" t="str">
        <f aca="false">CONCATENATE(CA434,"_",CB434)</f>
        <v>lbr_DMU</v>
      </c>
      <c r="CD434" s="26" t="str">
        <f aca="false">_xlfn.CONCAT(H434, "_",I434)</f>
        <v>diesel_RAIL</v>
      </c>
      <c r="CE434" s="41" t="str">
        <f aca="false">_xlfn.CONCAT("{BLACK}Length: {GOLD}", TEXT(ROUNDUP(IF(AQ434&lt;&gt;"",SUM(VALUE(_xlfn.TEXTSPLIT(AQ434, ","))), SUM(VALUE(_xlfn.TEXTSPLIT(AN434, ",")))*IF(M434, M434, 1))/16, 1), "#,##0.0"), " tiles{}")</f>
        <v>{BLACK}Length: {GOLD}1.7 tiles{}</v>
      </c>
      <c r="CF434" s="19" t="str">
        <f aca="false">VLOOKUP($CD434, [1]Constants!$M$1:$N$1048576, 2, FALSE())</f>
        <v>{BLACK}Powered by: {GOLD}Diesel</v>
      </c>
      <c r="CG434" s="26" t="str">
        <f aca="false">IF(M434&gt;1,_xlfn.CONCAT("{BLACK}Cars: {GOLD}", M434),"")</f>
        <v>{BLACK}Cars: {GOLD}2</v>
      </c>
      <c r="CH434" s="26" t="s">
        <v>1583</v>
      </c>
      <c r="CJ434" s="19" t="str">
        <f aca="false">IF(BX434="buffet","{YELLOW}25% long distance bonus for consist{}",IF(CA434="BRAKE","{YELLOW}Speed bonus for slow wagons{}",IF(BW434&gt;190,CONCATENATE("{YELLOW}",INT((BW434-185)/1.85),"% bonus for long distance travel{}"),IF(AND(BW434&lt;180,BW434&lt;&gt;0),CONCATENATE("{YELLOW}",INT((185-BW434)/1.85),"% penalty for long distance travel{}"),""))))</f>
        <v/>
      </c>
      <c r="CK434" s="19" t="str">
        <f aca="false">_xlfn.CONCAT(CF434,IF(CF434 &lt;&gt; "", " ", ""),CG434,IF(OR(CG434&lt;&gt;"", CF434&lt;&gt;""), "{}",""), CE434, CJ434,"{SILVER}", CH434)</f>
        <v>{BLACK}Powered by: {GOLD}Diesel {BLACK}Cars: {GOLD}2{}{BLACK}Length: {GOLD}1.7 tiles{}{SILVER}The Class 156 is a member of the Sprinter family designed for longer journeys, with single doors at each end rather than the metro-style doors of the Class 150s.</v>
      </c>
    </row>
    <row r="435" s="26" customFormat="true" ht="14.25" hidden="false" customHeight="false" outlineLevel="0" collapsed="false">
      <c r="A435" s="26" t="s">
        <v>1584</v>
      </c>
      <c r="B435" s="32" t="s">
        <v>1585</v>
      </c>
      <c r="C435" s="21" t="n">
        <v>3046</v>
      </c>
      <c r="E435" s="26" t="n">
        <v>158</v>
      </c>
      <c r="F435" s="26" t="s">
        <v>143</v>
      </c>
      <c r="G435" s="26" t="s">
        <v>827</v>
      </c>
      <c r="H435" s="26" t="s">
        <v>670</v>
      </c>
      <c r="I435" s="26" t="s">
        <v>92</v>
      </c>
      <c r="J435" s="26" t="n">
        <v>1989</v>
      </c>
      <c r="K435" s="26" t="n">
        <v>1992</v>
      </c>
      <c r="M435" s="26" t="n">
        <v>2</v>
      </c>
      <c r="N435" s="26" t="n">
        <f aca="false">350*2</f>
        <v>700</v>
      </c>
      <c r="O435" s="33"/>
      <c r="P435" s="34"/>
      <c r="Q435" s="34"/>
      <c r="R435" s="34"/>
      <c r="S435" s="34"/>
      <c r="T435" s="34"/>
      <c r="U435" s="34"/>
      <c r="V435" s="34"/>
      <c r="W435" s="26" t="n">
        <f aca="false">38.5 * 2</f>
        <v>77</v>
      </c>
      <c r="X435" s="33"/>
      <c r="Y435" s="26" t="n">
        <v>5</v>
      </c>
      <c r="Z435" s="26" t="n">
        <v>120</v>
      </c>
      <c r="AA435" s="35" t="n">
        <f aca="false">IF(AND(W435&gt;0,Z435&gt;0),(Z435/((W435+X435)*10)),"")</f>
        <v>0.155844155844156</v>
      </c>
      <c r="AB435" s="26" t="n">
        <v>90</v>
      </c>
      <c r="AC435" s="26" t="n">
        <f aca="false">ROUND(AB435*1.6, 0)</f>
        <v>144</v>
      </c>
      <c r="AF435" s="26" t="n">
        <v>23.2</v>
      </c>
      <c r="AG435" s="26" t="n">
        <v>23</v>
      </c>
      <c r="AH435" s="26" t="n">
        <v>2.7</v>
      </c>
      <c r="AJ435" s="36" t="n">
        <v>69</v>
      </c>
      <c r="AK435" s="26" t="str">
        <f aca="false">CONCATENATE(VLOOKUP(AL435, '[2]Voxel Sizes'!$A$2:$B$18,2,FALSE()),"x",INT(AH435*15), "x", INT(AI435*15))</f>
        <v>214x40x0</v>
      </c>
      <c r="AL435" s="26" t="n">
        <f aca="false">ROUND(15*((AG435*10)/256),0)</f>
        <v>13</v>
      </c>
      <c r="AN435" s="26" t="str">
        <f aca="false">CONCATENATE(VLOOKUP(AL435,[2]Constants!$A$2:$C$16,IF(AM435&lt;&gt;"", 3, 2), FALSE()),IF(AM435&lt;&gt;"",CONCATENATE(",",VLOOKUP(AM435,$B:$AN,39,FALSE())),""))</f>
        <v>4,5,4</v>
      </c>
      <c r="AP435" s="37"/>
      <c r="AQ435" s="37"/>
      <c r="AR435" s="26" t="s">
        <v>1586</v>
      </c>
      <c r="AT435" s="26" t="s">
        <v>833</v>
      </c>
      <c r="AU435" s="26" t="s">
        <v>1587</v>
      </c>
      <c r="AX435" s="26" t="n">
        <v>33</v>
      </c>
      <c r="AY435" s="38" t="str">
        <f aca="false">IF(L435&lt;&gt;"",MAX(16,(L435-J435)+8),"")</f>
        <v/>
      </c>
      <c r="AZ435" s="26" t="n">
        <v>-10</v>
      </c>
      <c r="BA435" s="26" t="n">
        <v>-15</v>
      </c>
      <c r="BB435" s="26" t="n">
        <f aca="false">MIN(AB435/150, 1)*30</f>
        <v>18</v>
      </c>
      <c r="BC435" s="26" t="n">
        <f aca="false">MIN(N435/4000, 1)*20</f>
        <v>3.5</v>
      </c>
      <c r="BD435" s="26" t="n">
        <f aca="false">MIN(Z435/400,1)*20</f>
        <v>6</v>
      </c>
      <c r="BE435" s="35" t="n">
        <f aca="false">1-(MAX(J435-1900, 0)/750)</f>
        <v>0.881333333333333</v>
      </c>
      <c r="BF435" s="26" t="n">
        <f aca="false">((MAX($M435,1)*MIN($AJ435/300,1)))*IF(G435="Wagon",50,10)</f>
        <v>4.6</v>
      </c>
      <c r="BG435" s="19" t="n">
        <f aca="false">VLOOKUP($H435,[1]Constants!$I$1:$K$1048576, 2, FALSE())</f>
        <v>1</v>
      </c>
      <c r="BH435" s="19" t="n">
        <f aca="false">VLOOKUP($H435,[1]Constants!$I$1:$K$1048576, 3, FALSE())*IF(AND(G435="multiple_unit",AB435&lt;110),0.75,1)</f>
        <v>1.5</v>
      </c>
      <c r="BI435" s="19" t="n">
        <f aca="false">INT(POWER((([1]Constants!$G$2+$BB435+$BC435+$BD435+$BF435)*$BE435)*$BH435, 1.05))+$BA435</f>
        <v>44</v>
      </c>
      <c r="BJ435" s="19" t="n">
        <f aca="false">INT(POWER(((([1]Constants!$G$1+$BB435+$BC435+$BD435+$BF435)*($BE435))*$BG435),IF($G435="wagon",1,1.2)))+$AZ435</f>
        <v>77</v>
      </c>
      <c r="BK435" s="39" t="n">
        <f aca="false">BI435*IF($G435="wagon",62.5,781.25)</f>
        <v>34375</v>
      </c>
      <c r="BL435" s="39" t="n">
        <f aca="false">BJ435*IF($G435="wagon",2.73,81.25)</f>
        <v>6256.25</v>
      </c>
      <c r="BR435" s="26" t="str">
        <f aca="false">_xlfn.ORG.LIBREOFFICE.REGEX(_xlfn.ORG.LIBREOFFICE.REGEX(SPRINTERMUVEHICLES, _xlfn.CONCAT(B435, ",?"), ""), ",$", "")</f>
        <v>class_141,class_150,class_151,class_153,class_153_mail,super_sprinter,express_sprinter_3car,sprinter_hybrid,class_170,class_170_3car</v>
      </c>
      <c r="BV435" s="26" t="n">
        <v>7</v>
      </c>
      <c r="BW435" s="26" t="n">
        <v>205</v>
      </c>
      <c r="BZ435" s="26" t="s">
        <v>148</v>
      </c>
      <c r="CA435" s="26" t="str">
        <f aca="false">VLOOKUP(J435,[2]Eras!$A$2:$C$10, 2, TRUE())</f>
        <v>lbr</v>
      </c>
      <c r="CB435" s="40" t="s">
        <v>882</v>
      </c>
      <c r="CC435" s="26" t="str">
        <f aca="false">CONCATENATE(CA435,"_",CB435)</f>
        <v>lbr_DMU (Express)</v>
      </c>
      <c r="CD435" s="26" t="str">
        <f aca="false">_xlfn.CONCAT(H435, "_",I435)</f>
        <v>diesel_RAIL</v>
      </c>
      <c r="CE435" s="41" t="str">
        <f aca="false" t="array" ref="CE435:CE435">_xlfn.CONCAT("{BLACK}Length: {GOLD}", TEXT(ROUNDUP(IF(AQ435&lt;&gt;"",SUM(VALUE(_xlfn.TEXTSPLIT(AQ435, ","))), SUM(VALUE(_xlfn.TEXTSPLIT(AN435, ",")))*IF(M435, M435, 1))/16, 1), "#,##0.0"), " tiles{}")</f>
        <v>{BLACK}Length: {GOLD}1.7 tiles{}</v>
      </c>
      <c r="CF435" s="19" t="str">
        <f aca="false">VLOOKUP($CD435, [1]Constants!$M$1:$N$1048576, 2, FALSE())</f>
        <v>{BLACK}Powered by: {GOLD}Diesel</v>
      </c>
      <c r="CG435" s="26" t="str">
        <f aca="false">IF(M435&gt;1,_xlfn.CONCAT("{BLACK}Cars: {GOLD}", M435),"")</f>
        <v>{BLACK}Cars: {GOLD}2</v>
      </c>
      <c r="CH435" s="26" t="s">
        <v>1588</v>
      </c>
      <c r="CJ435" s="19" t="str">
        <f aca="false">IF(BX435="buffet","{YELLOW}25% long distance bonus for consist{}",IF(CA435="BRAKE","{YELLOW}Speed bonus for slow wagons{}",IF(BW435&gt;190,CONCATENATE("{YELLOW}",INT((BW435-185)/1.85),"% bonus for long distance travel{}"),IF(AND(BW435&lt;180,BW435&lt;&gt;0),CONCATENATE("{YELLOW}",INT((185-BW435)/1.85),"% penalty for long distance travel{}"),""))))</f>
        <v>{YELLOW}10% bonus for long distance travel{}</v>
      </c>
      <c r="CK435" s="19" t="str">
        <f aca="false">_xlfn.CONCAT(CF435,IF(CF435 &lt;&gt; "", " ", ""),CG435,IF(OR(CG435&lt;&gt;"", CF435&lt;&gt;""), "{}",""), CE435, CJ435,"{SILVER}", CH435)</f>
        <v>{BLACK}Powered by: {GOLD}Diesel {BLACK}Cars: {GOLD}2{}{BLACK}Length: {GOLD}1.7 tiles{}{YELLOW}10% bonus for long distance travel{}{SILVER}The Class 158 has many improvements over earlier generation Sprinters, including air conditioning and a more comfortable ride.</v>
      </c>
    </row>
    <row r="436" s="26" customFormat="true" ht="14.25" hidden="false" customHeight="false" outlineLevel="0" collapsed="false">
      <c r="A436" s="26" t="s">
        <v>1584</v>
      </c>
      <c r="B436" s="32" t="s">
        <v>1589</v>
      </c>
      <c r="C436" s="21" t="n">
        <v>3047</v>
      </c>
      <c r="D436" s="26" t="n">
        <v>3046</v>
      </c>
      <c r="E436" s="26" t="n">
        <v>159</v>
      </c>
      <c r="F436" s="26" t="s">
        <v>143</v>
      </c>
      <c r="G436" s="26" t="s">
        <v>827</v>
      </c>
      <c r="H436" s="26" t="s">
        <v>670</v>
      </c>
      <c r="I436" s="26" t="s">
        <v>92</v>
      </c>
      <c r="J436" s="26" t="n">
        <v>1989</v>
      </c>
      <c r="K436" s="26" t="n">
        <v>1992</v>
      </c>
      <c r="M436" s="26" t="n">
        <v>3</v>
      </c>
      <c r="N436" s="26" t="n">
        <f aca="false">350*3</f>
        <v>1050</v>
      </c>
      <c r="O436" s="33"/>
      <c r="P436" s="34"/>
      <c r="Q436" s="34"/>
      <c r="R436" s="34"/>
      <c r="S436" s="34"/>
      <c r="T436" s="34"/>
      <c r="U436" s="34"/>
      <c r="V436" s="34"/>
      <c r="W436" s="26" t="n">
        <f aca="false">38.5 * 3</f>
        <v>115.5</v>
      </c>
      <c r="X436" s="33"/>
      <c r="Y436" s="26" t="n">
        <v>5</v>
      </c>
      <c r="Z436" s="26" t="n">
        <v>120</v>
      </c>
      <c r="AA436" s="35" t="n">
        <f aca="false">IF(AND(W436&gt;0,Z436&gt;0),(Z436/((W436+X436)*10)),"")</f>
        <v>0.103896103896104</v>
      </c>
      <c r="AB436" s="26" t="n">
        <v>90</v>
      </c>
      <c r="AC436" s="26" t="n">
        <f aca="false">ROUND(AB436*1.6, 0)</f>
        <v>144</v>
      </c>
      <c r="AF436" s="26" t="n">
        <v>23.2</v>
      </c>
      <c r="AG436" s="26" t="n">
        <v>23</v>
      </c>
      <c r="AH436" s="26" t="n">
        <v>2.7</v>
      </c>
      <c r="AJ436" s="36" t="n">
        <v>69</v>
      </c>
      <c r="AK436" s="26" t="str">
        <f aca="false">CONCATENATE(VLOOKUP(AL436, '[2]Voxel Sizes'!$A$2:$B$18,2,FALSE()),"x",INT(AH436*15), "x", INT(AI436*15))</f>
        <v>214x40x0</v>
      </c>
      <c r="AL436" s="26" t="n">
        <f aca="false">ROUND(15*((AG436*10)/256),0)</f>
        <v>13</v>
      </c>
      <c r="AN436" s="26" t="str">
        <f aca="false">CONCATENATE(VLOOKUP(AL436,[2]Constants!$A$2:$C$16,IF(AM436&lt;&gt;"", 3, 2), FALSE()),IF(AM436&lt;&gt;"",CONCATENATE(",",VLOOKUP(AM436,$B:$AN,39,FALSE())),""))</f>
        <v>4,5,4</v>
      </c>
      <c r="AP436" s="37"/>
      <c r="AQ436" s="37"/>
      <c r="AR436" s="26" t="s">
        <v>1590</v>
      </c>
      <c r="AT436" s="26" t="s">
        <v>1591</v>
      </c>
      <c r="AU436" s="26" t="s">
        <v>1587</v>
      </c>
      <c r="AX436" s="26" t="n">
        <v>33</v>
      </c>
      <c r="AY436" s="38" t="str">
        <f aca="false">IF(L436&lt;&gt;"",MAX(16,(L436-J436)+8),"")</f>
        <v/>
      </c>
      <c r="AZ436" s="26" t="n">
        <v>-10</v>
      </c>
      <c r="BA436" s="26" t="n">
        <v>-15</v>
      </c>
      <c r="BB436" s="26" t="n">
        <f aca="false">MIN(AB436/150, 1)*30</f>
        <v>18</v>
      </c>
      <c r="BC436" s="26" t="n">
        <f aca="false">MIN(N436/4000, 1)*20</f>
        <v>5.25</v>
      </c>
      <c r="BD436" s="26" t="n">
        <f aca="false">MIN(Z436/400,1)*20</f>
        <v>6</v>
      </c>
      <c r="BE436" s="35" t="n">
        <f aca="false">1-(MAX(J436-1900, 0)/750)</f>
        <v>0.881333333333333</v>
      </c>
      <c r="BF436" s="26" t="n">
        <f aca="false">((MAX($M436,1)*MIN($AJ436/300,1)))*IF(G436="Wagon",50,10)</f>
        <v>6.9</v>
      </c>
      <c r="BG436" s="19" t="n">
        <f aca="false">VLOOKUP($H436,[1]Constants!$I$1:$K$1048576, 2, FALSE())</f>
        <v>1</v>
      </c>
      <c r="BH436" s="19" t="n">
        <f aca="false">VLOOKUP($H436,[1]Constants!$I$1:$K$1048576, 3, FALSE())*IF(AND(G436="multiple_unit",AB436&lt;110),0.75,1)</f>
        <v>1.5</v>
      </c>
      <c r="BI436" s="19" t="n">
        <f aca="false">INT(POWER((([1]Constants!$G$2+$BB436+$BC436+$BD436+$BF436)*$BE436)*$BH436, 1.05))+$BA436</f>
        <v>51</v>
      </c>
      <c r="BJ436" s="19" t="n">
        <f aca="false">INT(POWER(((([1]Constants!$G$1+$BB436+$BC436+$BD436+$BF436)*($BE436))*$BG436),IF($G436="wagon",1,1.2)))+$AZ436</f>
        <v>86</v>
      </c>
      <c r="BK436" s="39" t="n">
        <f aca="false">BI436*IF($G436="wagon",62.5,781.25)</f>
        <v>39843.75</v>
      </c>
      <c r="BL436" s="39" t="n">
        <f aca="false">BJ436*IF($G436="wagon",2.73,81.25)</f>
        <v>6987.5</v>
      </c>
      <c r="BR436" s="26" t="str">
        <f aca="false">_xlfn.ORG.LIBREOFFICE.REGEX(_xlfn.ORG.LIBREOFFICE.REGEX(SPRINTERMUVEHICLES, _xlfn.CONCAT(B436, ",?"), ""), ",$", "")</f>
        <v>class_141,class_150,class_151,class_153,class_153_mail,super_sprinter,express_sprinter_2car,sprinter_hybrid,class_170,class_170_3car</v>
      </c>
      <c r="BV436" s="26" t="n">
        <v>7</v>
      </c>
      <c r="BW436" s="26" t="n">
        <v>205</v>
      </c>
      <c r="BZ436" s="26" t="s">
        <v>148</v>
      </c>
      <c r="CA436" s="26" t="str">
        <f aca="false">VLOOKUP(J436,[2]Eras!$A$2:$C$10, 2, TRUE())</f>
        <v>lbr</v>
      </c>
      <c r="CB436" s="40" t="s">
        <v>882</v>
      </c>
      <c r="CC436" s="26" t="str">
        <f aca="false">CONCATENATE(CA436,"_",CB436)</f>
        <v>lbr_DMU (Express)</v>
      </c>
      <c r="CD436" s="26" t="str">
        <f aca="false">_xlfn.CONCAT(H436, "_",I436)</f>
        <v>diesel_RAIL</v>
      </c>
      <c r="CE436" s="41" t="str">
        <f aca="false" t="array" ref="CE436:CE436">_xlfn.CONCAT("{BLACK}Length: {GOLD}", TEXT(ROUNDUP(IF(AQ436&lt;&gt;"",SUM(VALUE(_xlfn.TEXTSPLIT(AQ436, ","))), SUM(VALUE(_xlfn.TEXTSPLIT(AN436, ",")))*IF(M436, M436, 1))/16, 1), "#,##0.0"), " tiles{}")</f>
        <v>{BLACK}Length: {GOLD}2.5 tiles{}</v>
      </c>
      <c r="CF436" s="19" t="str">
        <f aca="false">VLOOKUP($CD436, [1]Constants!$M$1:$N$1048576, 2, FALSE())</f>
        <v>{BLACK}Powered by: {GOLD}Diesel</v>
      </c>
      <c r="CG436" s="26" t="str">
        <f aca="false">IF(M436&gt;1,_xlfn.CONCAT("{BLACK}Cars: {GOLD}", M436),"")</f>
        <v>{BLACK}Cars: {GOLD}3</v>
      </c>
      <c r="CH436" s="26" t="s">
        <v>1588</v>
      </c>
      <c r="CJ436" s="19" t="str">
        <f aca="false">IF(BX436="buffet","{YELLOW}25% long distance bonus for consist{}",IF(CA436="BRAKE","{YELLOW}Speed bonus for slow wagons{}",IF(BW436&gt;190,CONCATENATE("{YELLOW}",INT((BW436-185)/1.85),"% bonus for long distance travel{}"),IF(AND(BW436&lt;180,BW436&lt;&gt;0),CONCATENATE("{YELLOW}",INT((185-BW436)/1.85),"% penalty for long distance travel{}"),""))))</f>
        <v>{YELLOW}10% bonus for long distance travel{}</v>
      </c>
      <c r="CK436" s="19" t="str">
        <f aca="false">_xlfn.CONCAT(CF436,IF(CF436 &lt;&gt; "", " ", ""),CG436,IF(OR(CG436&lt;&gt;"", CF436&lt;&gt;""), "{}",""), CE436, CJ436,"{SILVER}", CH436)</f>
        <v>{BLACK}Powered by: {GOLD}Diesel {BLACK}Cars: {GOLD}3{}{BLACK}Length: {GOLD}2.5 tiles{}{YELLOW}10% bonus for long distance travel{}{SILVER}The Class 158 has many improvements over earlier generation Sprinters, including air conditioning and a more comfortable ride.</v>
      </c>
    </row>
    <row r="437" s="26" customFormat="true" ht="14.25" hidden="false" customHeight="false" outlineLevel="0" collapsed="false">
      <c r="A437" s="26" t="s">
        <v>1592</v>
      </c>
      <c r="B437" s="32" t="s">
        <v>1593</v>
      </c>
      <c r="C437" s="21" t="n">
        <v>3048</v>
      </c>
      <c r="D437" s="26" t="n">
        <v>3046</v>
      </c>
      <c r="E437" s="26" t="n">
        <v>160</v>
      </c>
      <c r="F437" s="26" t="s">
        <v>143</v>
      </c>
      <c r="G437" s="26" t="s">
        <v>827</v>
      </c>
      <c r="H437" s="26" t="s">
        <v>670</v>
      </c>
      <c r="I437" s="26" t="s">
        <v>92</v>
      </c>
      <c r="J437" s="26" t="n">
        <v>1989</v>
      </c>
      <c r="K437" s="26" t="n">
        <v>1992</v>
      </c>
      <c r="M437" s="26" t="n">
        <v>2</v>
      </c>
      <c r="N437" s="26" t="n">
        <f aca="false">350+285</f>
        <v>635</v>
      </c>
      <c r="O437" s="33"/>
      <c r="P437" s="34"/>
      <c r="Q437" s="34"/>
      <c r="R437" s="34"/>
      <c r="S437" s="34"/>
      <c r="T437" s="34"/>
      <c r="U437" s="34"/>
      <c r="V437" s="34"/>
      <c r="W437" s="26" t="n">
        <f aca="false">38.5+36.1</f>
        <v>74.6</v>
      </c>
      <c r="X437" s="33"/>
      <c r="Y437" s="26" t="n">
        <v>5</v>
      </c>
      <c r="Z437" s="26" t="n">
        <v>120</v>
      </c>
      <c r="AA437" s="35" t="n">
        <f aca="false">IF(AND(W437&gt;0,Z437&gt;0),(Z437/((W437+X437)*10)),"")</f>
        <v>0.160857908847185</v>
      </c>
      <c r="AB437" s="26" t="n">
        <v>75</v>
      </c>
      <c r="AC437" s="26" t="n">
        <f aca="false">ROUND(AB437*1.6, 0)</f>
        <v>120</v>
      </c>
      <c r="AF437" s="26" t="n">
        <v>23.2</v>
      </c>
      <c r="AG437" s="26" t="n">
        <v>23</v>
      </c>
      <c r="AH437" s="26" t="n">
        <v>2.7</v>
      </c>
      <c r="AJ437" s="36" t="n">
        <v>69</v>
      </c>
      <c r="AK437" s="26" t="str">
        <f aca="false">CONCATENATE(VLOOKUP(AL437, '[2]Voxel Sizes'!$A$2:$B$18,2,FALSE()),"x",INT(AH437*15), "x", INT(AI437*15))</f>
        <v>214x40x0</v>
      </c>
      <c r="AL437" s="26" t="n">
        <f aca="false">ROUND(15*((AG437*10)/256),0)</f>
        <v>13</v>
      </c>
      <c r="AN437" s="26" t="str">
        <f aca="false">CONCATENATE(VLOOKUP(AL437,[2]Constants!$A$2:$C$16,IF(AM437&lt;&gt;"", 3, 2), FALSE()),IF(AM437&lt;&gt;"",CONCATENATE(",",VLOOKUP(AM437,$B:$AN,39,FALSE())),""))</f>
        <v>4,5,4</v>
      </c>
      <c r="AP437" s="37"/>
      <c r="AQ437" s="37"/>
      <c r="AR437" s="26" t="s">
        <v>1594</v>
      </c>
      <c r="AT437" s="26" t="s">
        <v>1486</v>
      </c>
      <c r="AU437" s="26" t="s">
        <v>1587</v>
      </c>
      <c r="AX437" s="26" t="n">
        <v>33</v>
      </c>
      <c r="AY437" s="38" t="str">
        <f aca="false">IF(L437&lt;&gt;"",MAX(16,(L437-J437)+8),"")</f>
        <v/>
      </c>
      <c r="AZ437" s="26" t="n">
        <v>-10</v>
      </c>
      <c r="BA437" s="26" t="n">
        <v>-15</v>
      </c>
      <c r="BB437" s="26" t="n">
        <f aca="false">MIN(AB437/150, 1)*30</f>
        <v>15</v>
      </c>
      <c r="BC437" s="26" t="n">
        <f aca="false">MIN(N437/4000, 1)*20</f>
        <v>3.175</v>
      </c>
      <c r="BD437" s="26" t="n">
        <f aca="false">MIN(Z437/400,1)*20</f>
        <v>6</v>
      </c>
      <c r="BE437" s="35" t="n">
        <f aca="false">1-(MAX(J437-1900, 0)/750)</f>
        <v>0.881333333333333</v>
      </c>
      <c r="BF437" s="26" t="n">
        <f aca="false">((MAX($M437,1)*MIN($AJ437/300,1)))*IF(G437="Wagon",50,10)</f>
        <v>4.6</v>
      </c>
      <c r="BG437" s="19" t="n">
        <f aca="false">VLOOKUP($H437,[1]Constants!$I$1:$K$1048576, 2, FALSE())</f>
        <v>1</v>
      </c>
      <c r="BH437" s="19" t="n">
        <f aca="false">VLOOKUP($H437,[1]Constants!$I$1:$K$1048576, 3, FALSE())*IF(AND(G437="multiple_unit",AB437&lt;110),0.75,1)</f>
        <v>1.5</v>
      </c>
      <c r="BI437" s="19" t="n">
        <f aca="false">INT(POWER((([1]Constants!$G$2+$BB437+$BC437+$BD437+$BF437)*$BE437)*$BH437, 1.05))+$BA437</f>
        <v>38</v>
      </c>
      <c r="BJ437" s="19" t="n">
        <f aca="false">INT(POWER(((([1]Constants!$G$1+$BB437+$BC437+$BD437+$BF437)*($BE437))*$BG437),IF($G437="wagon",1,1.2)))+$AZ437</f>
        <v>70</v>
      </c>
      <c r="BK437" s="39" t="n">
        <f aca="false">BI437*IF($G437="wagon",62.5,781.25)</f>
        <v>29687.5</v>
      </c>
      <c r="BL437" s="39" t="n">
        <f aca="false">BJ437*IF($G437="wagon",2.73,81.25)</f>
        <v>5687.5</v>
      </c>
      <c r="BR437" s="26" t="str">
        <f aca="false">_xlfn.ORG.LIBREOFFICE.REGEX(_xlfn.ORG.LIBREOFFICE.REGEX(SPRINTERMUVEHICLES, _xlfn.CONCAT(B437, ",?"), ""), ",$", "")</f>
        <v>class_141,class_150,class_151,class_153,class_153_mail,super_sprinter,express_sprinter_2car,express_sprinter_3car,class_170,class_170_3car</v>
      </c>
      <c r="BV437" s="26" t="n">
        <v>9</v>
      </c>
      <c r="BW437" s="26" t="n">
        <v>185</v>
      </c>
      <c r="BZ437" s="26" t="s">
        <v>148</v>
      </c>
      <c r="CA437" s="26" t="str">
        <f aca="false">VLOOKUP(J437,[2]Eras!$A$2:$C$10, 2, TRUE())</f>
        <v>lbr</v>
      </c>
      <c r="CB437" s="40" t="s">
        <v>834</v>
      </c>
      <c r="CC437" s="26" t="str">
        <f aca="false">CONCATENATE(CA437,"_",CB437)</f>
        <v>lbr_DMU</v>
      </c>
      <c r="CD437" s="26" t="str">
        <f aca="false">_xlfn.CONCAT(H437, "_",I437)</f>
        <v>diesel_RAIL</v>
      </c>
      <c r="CE437" s="41" t="str">
        <f aca="false" t="array" ref="CE437:CE437">_xlfn.CONCAT("{BLACK}Length: {GOLD}", TEXT(ROUNDUP(IF(AQ437&lt;&gt;"",SUM(VALUE(_xlfn.TEXTSPLIT(AQ437, ","))), SUM(VALUE(_xlfn.TEXTSPLIT(AN437, ",")))*IF(M437, M437, 1))/16, 1), "#,##0.0"), " tiles{}")</f>
        <v>{BLACK}Length: {GOLD}1.7 tiles{}</v>
      </c>
      <c r="CF437" s="19" t="str">
        <f aca="false">VLOOKUP($CD437, [1]Constants!$M$1:$N$1048576, 2, FALSE())</f>
        <v>{BLACK}Powered by: {GOLD}Diesel</v>
      </c>
      <c r="CG437" s="26" t="str">
        <f aca="false">IF(M437&gt;1,_xlfn.CONCAT("{BLACK}Cars: {GOLD}", M437),"")</f>
        <v>{BLACK}Cars: {GOLD}2</v>
      </c>
      <c r="CH437" s="26" t="s">
        <v>1595</v>
      </c>
      <c r="CJ437" s="19" t="str">
        <f aca="false">IF(BX437="buffet","{YELLOW}25% long distance bonus for consist{}",IF(CA437="BRAKE","{YELLOW}Speed bonus for slow wagons{}",IF(BW437&gt;190,CONCATENATE("{YELLOW}",INT((BW437-185)/1.85),"% bonus for long distance travel{}"),IF(AND(BW437&lt;180,BW437&lt;&gt;0),CONCATENATE("{YELLOW}",INT((185-BW437)/1.85),"% penalty for long distance travel{}"),""))))</f>
        <v/>
      </c>
      <c r="CK437" s="19" t="str">
        <f aca="false">_xlfn.CONCAT(CF437,IF(CF437 &lt;&gt; "", " ", ""),CG437,IF(OR(CG437&lt;&gt;"", CF437&lt;&gt;""), "{}",""), CE437, CJ437,"{SILVER}", CH437)</f>
        <v>{BLACK}Powered by: {GOLD}Diesel {BLACK}Cars: {GOLD}2{}{BLACK}Length: {GOLD}1.7 tiles{}{SILVER}When both Class 158 and Class 156 vehicles are unavailable, it’s possible to run hybrid units of the type, and these have been documented in passenger service on many occasions.</v>
      </c>
    </row>
    <row r="438" s="26" customFormat="true" ht="14.25" hidden="false" customHeight="false" outlineLevel="0" collapsed="false">
      <c r="A438" s="26" t="s">
        <v>1596</v>
      </c>
      <c r="B438" s="32" t="s">
        <v>1597</v>
      </c>
      <c r="C438" s="21" t="n">
        <v>3049</v>
      </c>
      <c r="E438" s="26" t="n">
        <v>161</v>
      </c>
      <c r="F438" s="26" t="s">
        <v>143</v>
      </c>
      <c r="G438" s="26" t="s">
        <v>827</v>
      </c>
      <c r="H438" s="26" t="s">
        <v>670</v>
      </c>
      <c r="I438" s="26" t="s">
        <v>92</v>
      </c>
      <c r="J438" s="26" t="n">
        <v>1998</v>
      </c>
      <c r="K438" s="26" t="n">
        <v>2005</v>
      </c>
      <c r="M438" s="26" t="n">
        <v>2</v>
      </c>
      <c r="N438" s="26" t="n">
        <v>1266</v>
      </c>
      <c r="O438" s="33"/>
      <c r="P438" s="34"/>
      <c r="Q438" s="34"/>
      <c r="R438" s="34"/>
      <c r="S438" s="34"/>
      <c r="T438" s="34"/>
      <c r="U438" s="34"/>
      <c r="V438" s="34"/>
      <c r="W438" s="26" t="n">
        <v>135</v>
      </c>
      <c r="X438" s="33"/>
      <c r="Y438" s="26" t="n">
        <v>5</v>
      </c>
      <c r="Z438" s="26" t="n">
        <v>180</v>
      </c>
      <c r="AA438" s="35" t="n">
        <f aca="false">IF(AND(W438&gt;0,Z438&gt;0),(Z438/((W438+X438)*10)),"")</f>
        <v>0.133333333333333</v>
      </c>
      <c r="AB438" s="26" t="n">
        <v>100</v>
      </c>
      <c r="AC438" s="26" t="n">
        <f aca="false">ROUND(AB438*1.6, 0)</f>
        <v>160</v>
      </c>
      <c r="AF438" s="26" t="n">
        <v>23.62</v>
      </c>
      <c r="AG438" s="26" t="n">
        <v>21</v>
      </c>
      <c r="AH438" s="26" t="n">
        <v>2.69</v>
      </c>
      <c r="AI438" s="26" t="n">
        <v>3.77</v>
      </c>
      <c r="AJ438" s="36" t="n">
        <v>63</v>
      </c>
      <c r="AK438" s="26" t="str">
        <f aca="false">CONCATENATE(VLOOKUP(AL438, '[2]Voxel Sizes'!$A$2:$B$18,2,FALSE()),"x",INT(AH438*15), "x", INT(AI438*15))</f>
        <v>198x40x56</v>
      </c>
      <c r="AL438" s="26" t="n">
        <f aca="false">ROUND(15*((AG438*10)/256),0)</f>
        <v>12</v>
      </c>
      <c r="AN438" s="26" t="str">
        <f aca="false">CONCATENATE(VLOOKUP(AL438,[2]Constants!$A$2:$C$16,IF(AM438&lt;&gt;"", 3, 2), FALSE()),IF(AM438&lt;&gt;"",CONCATENATE(",",VLOOKUP(AM438,$B:$AN,39,FALSE())),""))</f>
        <v>4,4,4</v>
      </c>
      <c r="AP438" s="37"/>
      <c r="AQ438" s="37"/>
      <c r="AR438" s="26" t="s">
        <v>1598</v>
      </c>
      <c r="AT438" s="26" t="s">
        <v>833</v>
      </c>
      <c r="AU438" s="26" t="s">
        <v>1599</v>
      </c>
      <c r="AX438" s="26" t="n">
        <v>29</v>
      </c>
      <c r="AY438" s="38" t="str">
        <f aca="false">IF(L438&lt;&gt;"",MAX(16,(L438-J438)+8),"")</f>
        <v/>
      </c>
      <c r="AZ438" s="26" t="n">
        <v>-15</v>
      </c>
      <c r="BA438" s="26" t="n">
        <v>-25</v>
      </c>
      <c r="BB438" s="26" t="n">
        <f aca="false">MIN(AB438/150, 1)*30</f>
        <v>20</v>
      </c>
      <c r="BC438" s="26" t="n">
        <f aca="false">MIN(N438/4000, 1)*20</f>
        <v>6.33</v>
      </c>
      <c r="BD438" s="26" t="n">
        <f aca="false">MIN(Z438/400,1)*20</f>
        <v>9</v>
      </c>
      <c r="BE438" s="35" t="n">
        <f aca="false">1-(MAX(J438-1900, 0)/750)</f>
        <v>0.869333333333333</v>
      </c>
      <c r="BF438" s="26" t="n">
        <f aca="false">((MAX($M438,1)*MIN($AJ438/300,1)))*IF(G438="Wagon",50,10)</f>
        <v>4.2</v>
      </c>
      <c r="BG438" s="19" t="n">
        <f aca="false">VLOOKUP($H438,[1]Constants!$I$1:$K$1048576, 2, FALSE())</f>
        <v>1</v>
      </c>
      <c r="BH438" s="19" t="n">
        <f aca="false">VLOOKUP($H438,[1]Constants!$I$1:$K$1048576, 3, FALSE())*IF(AND(G438="multiple_unit",AB438&lt;110),0.75,1)</f>
        <v>1.5</v>
      </c>
      <c r="BI438" s="26" t="n">
        <f aca="false">INT(POWER((([2]Constants!$G$2+$BB438+$BC438+$BD438+$BF438)*$BE438)*$BH438, 1.05))+$BA438</f>
        <v>46</v>
      </c>
      <c r="BJ438" s="26" t="n">
        <f aca="false">INT(POWER(((([2]Constants!$G$1+$BB438+$BC438+$BD438+$BF438)*($BE438))*$BG438),IF($G438="wagon",1,1.2)))+$AZ438</f>
        <v>87</v>
      </c>
      <c r="BK438" s="39" t="n">
        <f aca="false">BI438*IF($G438="wagon",62.5,781.25)</f>
        <v>35937.5</v>
      </c>
      <c r="BL438" s="39" t="n">
        <f aca="false">BJ438*IF($G438="wagon",2.73,81.25)</f>
        <v>7068.75</v>
      </c>
      <c r="BR438" s="26" t="str">
        <f aca="false">_xlfn.ORG.LIBREOFFICE.REGEX(_xlfn.ORG.LIBREOFFICE.REGEX(SPRINTERMUVEHICLES, _xlfn.CONCAT(B438, ",?"), ""), ",$", "")</f>
        <v>class_141,class_150,class_151,class_153,class_153_mail,super_sprinter,express_sprinter_2car,express_sprinter_3car,sprinter_hybrid,class_170_3car</v>
      </c>
      <c r="BV438" s="26" t="n">
        <v>3</v>
      </c>
      <c r="BW438" s="26" t="n">
        <v>185</v>
      </c>
      <c r="BZ438" s="26" t="s">
        <v>148</v>
      </c>
      <c r="CA438" s="26" t="str">
        <f aca="false">VLOOKUP(J438,[2]Eras!$A$2:$C$10, 2, TRUE())</f>
        <v>prv</v>
      </c>
      <c r="CB438" s="40" t="s">
        <v>834</v>
      </c>
      <c r="CC438" s="26" t="str">
        <f aca="false">CONCATENATE(CA438,"_",CB438)</f>
        <v>prv_DMU</v>
      </c>
      <c r="CD438" s="26" t="str">
        <f aca="false">_xlfn.CONCAT(H438, "_",I438)</f>
        <v>diesel_RAIL</v>
      </c>
      <c r="CE438" s="41" t="str">
        <f aca="false" t="array" ref="CE438:CE438">_xlfn.CONCAT("{BLACK}Length: {GOLD}", TEXT(ROUNDUP(IF(AQ438&lt;&gt;"",SUM(VALUE(_xlfn.TEXTSPLIT(AQ438, ","))), SUM(VALUE(_xlfn.TEXTSPLIT(AN438, ",")))*IF(M438, M438, 1))/16, 1), "#,##0.0"), " tiles{}")</f>
        <v>{BLACK}Length: {GOLD}1.5 tiles{}</v>
      </c>
      <c r="CF438" s="19" t="str">
        <f aca="false">VLOOKUP($CD438, [1]Constants!$M$1:$N$1048576, 2, FALSE())</f>
        <v>{BLACK}Powered by: {GOLD}Diesel</v>
      </c>
      <c r="CG438" s="26" t="str">
        <f aca="false">IF(M438&gt;1,_xlfn.CONCAT("{BLACK}Cars: {GOLD}", M438),"")</f>
        <v>{BLACK}Cars: {GOLD}2</v>
      </c>
      <c r="CH438" s="26" t="s">
        <v>1600</v>
      </c>
      <c r="CJ438" s="19" t="str">
        <f aca="false">IF(BX438="buffet","{YELLOW}25% long distance bonus for consist{}",IF(CA438="BRAKE","{YELLOW}Speed bonus for slow wagons{}",IF(BW438&gt;190,CONCATENATE("{YELLOW}",INT((BW438-185)/1.85),"% bonus for long distance travel{}"),IF(AND(BW438&lt;180,BW438&lt;&gt;0),CONCATENATE("{YELLOW}",INT((185-BW438)/1.85),"% penalty for long distance travel{}"),""))))</f>
        <v/>
      </c>
      <c r="CK438" s="19" t="str">
        <f aca="false">_xlfn.CONCAT(CF438,IF(CF438 &lt;&gt; "", " ", ""),CG438,IF(OR(CG438&lt;&gt;"", CF438&lt;&gt;""), "{}",""), CE438, CJ438,"{SILVER}", CH438)</f>
        <v>{BLACK}Powered by: {GOLD}Diesel {BLACK}Cars: {GOLD}2{}{BLACK}Length: {GOLD}1.5 tiles{}{SILVER}The Turbostar is a further development of the BR "Networker" units. It is used for regional and long distance services.</v>
      </c>
    </row>
    <row r="439" s="26" customFormat="true" ht="14.25" hidden="false" customHeight="false" outlineLevel="0" collapsed="false">
      <c r="A439" s="26" t="s">
        <v>1596</v>
      </c>
      <c r="B439" s="32" t="s">
        <v>1601</v>
      </c>
      <c r="C439" s="21" t="n">
        <v>3050</v>
      </c>
      <c r="D439" s="26" t="n">
        <v>3049</v>
      </c>
      <c r="E439" s="26" t="n">
        <v>162</v>
      </c>
      <c r="F439" s="26" t="s">
        <v>143</v>
      </c>
      <c r="G439" s="26" t="s">
        <v>827</v>
      </c>
      <c r="H439" s="26" t="s">
        <v>670</v>
      </c>
      <c r="I439" s="26" t="s">
        <v>92</v>
      </c>
      <c r="J439" s="26" t="n">
        <v>1998</v>
      </c>
      <c r="K439" s="26" t="n">
        <v>2005</v>
      </c>
      <c r="M439" s="26" t="n">
        <v>3</v>
      </c>
      <c r="N439" s="26" t="n">
        <v>1266</v>
      </c>
      <c r="O439" s="33"/>
      <c r="P439" s="34"/>
      <c r="Q439" s="34"/>
      <c r="R439" s="34"/>
      <c r="S439" s="34"/>
      <c r="T439" s="34"/>
      <c r="U439" s="34"/>
      <c r="V439" s="34"/>
      <c r="W439" s="26" t="n">
        <v>135</v>
      </c>
      <c r="X439" s="33"/>
      <c r="Y439" s="26" t="n">
        <v>5</v>
      </c>
      <c r="Z439" s="26" t="n">
        <v>180</v>
      </c>
      <c r="AA439" s="35" t="n">
        <f aca="false">IF(AND(W439&gt;0,Z439&gt;0),(Z439/((W439+X439)*10)),"")</f>
        <v>0.133333333333333</v>
      </c>
      <c r="AB439" s="26" t="n">
        <v>100</v>
      </c>
      <c r="AC439" s="26" t="n">
        <f aca="false">ROUND(AB439*1.6, 0)</f>
        <v>160</v>
      </c>
      <c r="AF439" s="26" t="n">
        <v>23.62</v>
      </c>
      <c r="AG439" s="26" t="n">
        <v>21</v>
      </c>
      <c r="AH439" s="26" t="n">
        <v>2.69</v>
      </c>
      <c r="AI439" s="26" t="n">
        <v>3.77</v>
      </c>
      <c r="AJ439" s="36" t="n">
        <v>63</v>
      </c>
      <c r="AK439" s="26" t="str">
        <f aca="false">CONCATENATE(VLOOKUP(AL439, '[2]Voxel Sizes'!$A$2:$B$18,2,FALSE()),"x",INT(AH439*15), "x", INT(AI439*15))</f>
        <v>198x40x56</v>
      </c>
      <c r="AL439" s="26" t="n">
        <f aca="false">ROUND(15*((AG439*10)/256),0)</f>
        <v>12</v>
      </c>
      <c r="AN439" s="26" t="str">
        <f aca="false">CONCATENATE(VLOOKUP(AL439,[2]Constants!$A$2:$C$16,IF(AM439&lt;&gt;"", 3, 2), FALSE()),IF(AM439&lt;&gt;"",CONCATENATE(",",VLOOKUP(AM439,$B:$AN,39,FALSE())),""))</f>
        <v>4,4,4</v>
      </c>
      <c r="AP439" s="37"/>
      <c r="AQ439" s="37"/>
      <c r="AR439" s="26" t="s">
        <v>1602</v>
      </c>
      <c r="AT439" s="26" t="s">
        <v>1591</v>
      </c>
      <c r="AU439" s="26" t="s">
        <v>1599</v>
      </c>
      <c r="AX439" s="26" t="n">
        <v>29</v>
      </c>
      <c r="AY439" s="38" t="str">
        <f aca="false">IF(L439&lt;&gt;"",MAX(16,(L439-J439)+8),"")</f>
        <v/>
      </c>
      <c r="AZ439" s="26" t="n">
        <v>-15</v>
      </c>
      <c r="BA439" s="26" t="n">
        <v>-25</v>
      </c>
      <c r="BB439" s="26" t="n">
        <f aca="false">MIN(AB439/150, 1)*30</f>
        <v>20</v>
      </c>
      <c r="BC439" s="26" t="n">
        <f aca="false">MIN(N439/4000, 1)*20</f>
        <v>6.33</v>
      </c>
      <c r="BD439" s="26" t="n">
        <f aca="false">MIN(Z439/400,1)*20</f>
        <v>9</v>
      </c>
      <c r="BE439" s="35" t="n">
        <f aca="false">1-(MAX(J439-1900, 0)/750)</f>
        <v>0.869333333333333</v>
      </c>
      <c r="BF439" s="26" t="n">
        <f aca="false">((MAX($M439,1)*MIN($AJ439/300,1)))*IF(G439="Wagon",50,10)</f>
        <v>6.3</v>
      </c>
      <c r="BG439" s="19" t="n">
        <f aca="false">VLOOKUP($H439,[1]Constants!$I$1:$K$1048576, 2, FALSE())</f>
        <v>1</v>
      </c>
      <c r="BH439" s="19" t="n">
        <f aca="false">VLOOKUP($H439,[1]Constants!$I$1:$K$1048576, 3, FALSE())*IF(AND(G439="multiple_unit",AB439&lt;110),0.75,1)</f>
        <v>1.5</v>
      </c>
      <c r="BI439" s="26" t="n">
        <f aca="false">INT(POWER((([2]Constants!$G$2+$BB439+$BC439+$BD439+$BF439)*$BE439)*$BH439, 1.05))+$BA439</f>
        <v>49</v>
      </c>
      <c r="BJ439" s="26" t="n">
        <f aca="false">INT(POWER(((([2]Constants!$G$1+$BB439+$BC439+$BD439+$BF439)*($BE439))*$BG439),IF($G439="wagon",1,1.2)))+$AZ439</f>
        <v>92</v>
      </c>
      <c r="BK439" s="39" t="n">
        <f aca="false">BI439*IF($G439="wagon",62.5,781.25)</f>
        <v>38281.25</v>
      </c>
      <c r="BL439" s="39" t="n">
        <f aca="false">BJ439*IF($G439="wagon",2.73,81.25)</f>
        <v>7475</v>
      </c>
      <c r="BR439" s="26" t="str">
        <f aca="false">_xlfn.ORG.LIBREOFFICE.REGEX(_xlfn.ORG.LIBREOFFICE.REGEX(SPRINTERMUVEHICLES, _xlfn.CONCAT(B439, ",?"), ""), ",$", "")</f>
        <v>class_141,class_150,class_151,class_153,class_153_mail,super_sprinter,express_sprinter_2car,express_sprinter_3car,sprinter_hybrid,class_170</v>
      </c>
      <c r="BV439" s="26" t="n">
        <v>3</v>
      </c>
      <c r="BW439" s="26" t="n">
        <v>185</v>
      </c>
      <c r="BZ439" s="26" t="s">
        <v>148</v>
      </c>
      <c r="CA439" s="26" t="str">
        <f aca="false">VLOOKUP(J439,[2]Eras!$A$2:$C$10, 2, TRUE())</f>
        <v>prv</v>
      </c>
      <c r="CB439" s="40" t="s">
        <v>834</v>
      </c>
      <c r="CC439" s="26" t="str">
        <f aca="false">CONCATENATE(CA439,"_",CB439)</f>
        <v>prv_DMU</v>
      </c>
      <c r="CD439" s="26" t="str">
        <f aca="false">_xlfn.CONCAT(H439, "_",I439)</f>
        <v>diesel_RAIL</v>
      </c>
      <c r="CE439" s="41" t="str">
        <f aca="false" t="array" ref="CE439:CE439">_xlfn.CONCAT("{BLACK}Length: {GOLD}", TEXT(ROUNDUP(IF(AQ439&lt;&gt;"",SUM(VALUE(_xlfn.TEXTSPLIT(AQ439, ","))), SUM(VALUE(_xlfn.TEXTSPLIT(AN439, ",")))*IF(M439, M439, 1))/16, 1), "#,##0.0"), " tiles{}")</f>
        <v>{BLACK}Length: {GOLD}2.3 tiles{}</v>
      </c>
      <c r="CF439" s="19" t="str">
        <f aca="false">VLOOKUP($CD439, [1]Constants!$M$1:$N$1048576, 2, FALSE())</f>
        <v>{BLACK}Powered by: {GOLD}Diesel</v>
      </c>
      <c r="CG439" s="26" t="str">
        <f aca="false">IF(M439&gt;1,_xlfn.CONCAT("{BLACK}Cars: {GOLD}", M439),"")</f>
        <v>{BLACK}Cars: {GOLD}3</v>
      </c>
      <c r="CH439" s="26" t="s">
        <v>1600</v>
      </c>
      <c r="CJ439" s="19" t="str">
        <f aca="false">IF(BX439="buffet","{YELLOW}25% long distance bonus for consist{}",IF(CA439="BRAKE","{YELLOW}Speed bonus for slow wagons{}",IF(BW439&gt;190,CONCATENATE("{YELLOW}",INT((BW439-185)/1.85),"% bonus for long distance travel{}"),IF(AND(BW439&lt;180,BW439&lt;&gt;0),CONCATENATE("{YELLOW}",INT((185-BW439)/1.85),"% penalty for long distance travel{}"),""))))</f>
        <v/>
      </c>
      <c r="CK439" s="19" t="str">
        <f aca="false">_xlfn.CONCAT(CF439,IF(CF439 &lt;&gt; "", " ", ""),CG439,IF(OR(CG439&lt;&gt;"", CF439&lt;&gt;""), "{}",""), CE439, CJ439,"{SILVER}", CH439)</f>
        <v>{BLACK}Powered by: {GOLD}Diesel {BLACK}Cars: {GOLD}3{}{BLACK}Length: {GOLD}2.3 tiles{}{SILVER}The Turbostar is a further development of the BR "Networker" units. It is used for regional and long distance services.</v>
      </c>
    </row>
    <row r="440" s="19" customFormat="true" ht="14.25" hidden="false" customHeight="false" outlineLevel="0" collapsed="false">
      <c r="A440" s="30" t="s">
        <v>1603</v>
      </c>
      <c r="B440" s="49" t="s">
        <v>1604</v>
      </c>
      <c r="C440" s="21" t="n">
        <v>3051</v>
      </c>
      <c r="D440" s="19" t="n">
        <v>3053</v>
      </c>
      <c r="E440" s="30" t="n">
        <v>372</v>
      </c>
      <c r="F440" s="30" t="s">
        <v>143</v>
      </c>
      <c r="G440" s="30" t="s">
        <v>827</v>
      </c>
      <c r="H440" s="30" t="s">
        <v>791</v>
      </c>
      <c r="I440" s="30" t="s">
        <v>92</v>
      </c>
      <c r="J440" s="30" t="n">
        <v>1979</v>
      </c>
      <c r="K440" s="30" t="n">
        <v>1986</v>
      </c>
      <c r="L440" s="30" t="n">
        <v>1988</v>
      </c>
      <c r="M440" s="30" t="n">
        <v>6</v>
      </c>
      <c r="N440" s="30" t="n">
        <v>10</v>
      </c>
      <c r="O440" s="22"/>
      <c r="P440" s="23"/>
      <c r="Q440" s="23"/>
      <c r="R440" s="23"/>
      <c r="S440" s="23"/>
      <c r="T440" s="23"/>
      <c r="U440" s="23"/>
      <c r="V440" s="23"/>
      <c r="W440" s="30" t="n">
        <v>164.8</v>
      </c>
      <c r="X440" s="22"/>
      <c r="Y440" s="30" t="n">
        <v>4</v>
      </c>
      <c r="Z440" s="30" t="n">
        <v>5</v>
      </c>
      <c r="AA440" s="24" t="n">
        <f aca="false">IF(AND(W440&gt;0,Z440&gt;0),(Z440/((W440+X440)*10)),"")</f>
        <v>0.00303398058252427</v>
      </c>
      <c r="AB440" s="30" t="n">
        <v>155</v>
      </c>
      <c r="AC440" s="30" t="n">
        <f aca="false">ROUND(AB440*1.6, 0)</f>
        <v>248</v>
      </c>
      <c r="AD440" s="30"/>
      <c r="AE440" s="30"/>
      <c r="AF440" s="30" t="n">
        <v>20.9</v>
      </c>
      <c r="AG440" s="30" t="n">
        <v>20.9</v>
      </c>
      <c r="AH440" s="30" t="n">
        <v>2.7</v>
      </c>
      <c r="AI440" s="30" t="n">
        <v>3.5</v>
      </c>
      <c r="AJ440" s="25" t="n">
        <v>44</v>
      </c>
      <c r="AK440" s="26" t="str">
        <f aca="false">CONCATENATE(VLOOKUP(AL440, '[1]Voxel Sizes'!$A$2:$B$18,2,FALSE()),"x",INT(AH440*15), "x", INT(AI440*15))</f>
        <v>198x40x52</v>
      </c>
      <c r="AL440" s="30" t="n">
        <f aca="false">ROUND(15*((AG440*10)/256),0)</f>
        <v>12</v>
      </c>
      <c r="AM440" s="30"/>
      <c r="AN440" s="19" t="str">
        <f aca="false">CONCATENATE(VLOOKUP(AL440,[1]Constants!$A$2:$C$16,IF(AM440&lt;&gt;"", 3, 2), FALSE()),IF(AM440&lt;&gt;"",CONCATENATE(",",VLOOKUP(AM440,$B:$AN,38,FALSE())),""))</f>
        <v>4,4,4</v>
      </c>
      <c r="AO440" s="30"/>
      <c r="AP440" s="27"/>
      <c r="AQ440" s="27"/>
      <c r="AR440" s="30" t="s">
        <v>1605</v>
      </c>
      <c r="AS440" s="30"/>
      <c r="AT440" s="30" t="s">
        <v>995</v>
      </c>
      <c r="AU440" s="30" t="s">
        <v>1606</v>
      </c>
      <c r="AV440" s="30"/>
      <c r="AW440" s="30"/>
      <c r="AX440" s="30" t="n">
        <v>12</v>
      </c>
      <c r="AY440" s="28" t="n">
        <f aca="false">IF(L440&lt;&gt;"",MAX(16,(L440-J440)+8),"")</f>
        <v>17</v>
      </c>
      <c r="AZ440" s="30"/>
      <c r="BA440" s="30" t="n">
        <v>-20</v>
      </c>
      <c r="BB440" s="19" t="n">
        <f aca="false">MIN(AB440/150, 1)*30</f>
        <v>30</v>
      </c>
      <c r="BC440" s="19" t="n">
        <f aca="false">MIN(N440/4000, 1)*20</f>
        <v>0.05</v>
      </c>
      <c r="BD440" s="19" t="n">
        <f aca="false">MIN(Z440/400,1)*20</f>
        <v>0.25</v>
      </c>
      <c r="BE440" s="24" t="n">
        <f aca="false">1-(MAX(J440-1900, 0)/750)</f>
        <v>0.894666666666667</v>
      </c>
      <c r="BF440" s="19" t="n">
        <f aca="false">((MAX($M440,1)*MIN($AJ440/300,1)))*IF(G440="Wagon",50,10)</f>
        <v>8.8</v>
      </c>
      <c r="BG440" s="19" t="n">
        <f aca="false">VLOOKUP($H440,[1]Constants!$I$1:$K$1048576, 2, FALSE())</f>
        <v>0.85</v>
      </c>
      <c r="BH440" s="19" t="n">
        <f aca="false">VLOOKUP($H440,[1]Constants!$I$1:$K$1048576, 3, FALSE())*IF(AND(G440="multiple_unit",AB440&lt;110),0.75,1)</f>
        <v>2.3</v>
      </c>
      <c r="BI440" s="19" t="n">
        <f aca="false">INT(POWER((([1]Constants!$G$2+$BB440+$BC440+$BD440+$BF440)*$BE440)*$BH440, 1.05))+$BA440</f>
        <v>93</v>
      </c>
      <c r="BJ440" s="19" t="n">
        <f aca="false">INT(POWER(((([1]Constants!$G$1+$BB440+$BC440+$BD440+$BF440)*($BE440))*$BG440),IF($G440="wagon",1,1.2)))+$AZ440</f>
        <v>86</v>
      </c>
      <c r="BK440" s="29" t="n">
        <f aca="false">BI440*IF($G440="wagon",62.5,781.25)</f>
        <v>72656.25</v>
      </c>
      <c r="BL440" s="29" t="n">
        <f aca="false">BJ440*IF($G440="wagon",2.73,81.25)</f>
        <v>6987.5</v>
      </c>
      <c r="BQ440" s="30" t="n">
        <v>1</v>
      </c>
      <c r="BR440" s="30" t="str">
        <f aca="false">_xlfn.ORG.LIBREOFFICE.REGEX(_xlfn.ORG.LIBREOFFICE.REGEX(APTMUVehicles, _xlfn.CONCAT(B440, ",?"), ""), ",$", "")</f>
        <v>apt_half_6_rev,apt_powercar,apt_half_2,apt_half_2_rev,apt_q_dvt,apt_s_dm,apt_s_10,apt_s_6</v>
      </c>
      <c r="BS440" s="30"/>
      <c r="BT440" s="30"/>
      <c r="BU440" s="30" t="s">
        <v>952</v>
      </c>
      <c r="BV440" s="30" t="n">
        <v>8</v>
      </c>
      <c r="BW440" s="30" t="n">
        <v>222</v>
      </c>
      <c r="BZ440" s="30" t="s">
        <v>148</v>
      </c>
      <c r="CA440" s="19" t="str">
        <f aca="false">VLOOKUP(J440,[1]Eras!$A$2:$C$10, 2, TRUE())</f>
        <v>lbr</v>
      </c>
      <c r="CB440" s="30" t="s">
        <v>850</v>
      </c>
      <c r="CC440" s="30" t="str">
        <f aca="false">CONCATENATE(CA440,"_",CB440)</f>
        <v>lbr_EMU (Express)</v>
      </c>
      <c r="CD440" s="30" t="str">
        <f aca="false">_xlfn.CONCAT(H440, "_",I440)</f>
        <v>none_RAIL</v>
      </c>
      <c r="CE440" s="31" t="s">
        <v>1607</v>
      </c>
      <c r="CF440" s="19" t="str">
        <f aca="false">VLOOKUP($CD440, [1]Constants!$M$1:$N$1048576, 2, FALSE())</f>
        <v/>
      </c>
      <c r="CG440" s="19" t="str">
        <f aca="false">IF(M440&gt;1,_xlfn.CONCAT("{BLACK}Cars: {GOLD}", M440),"")</f>
        <v>{BLACK}Cars: {GOLD}6</v>
      </c>
      <c r="CH440" s="30" t="s">
        <v>1608</v>
      </c>
      <c r="CI440" s="30"/>
      <c r="CJ440" s="19" t="str">
        <f aca="false">IF(BX440="buffet","{YELLOW}25% long distance bonus for consist{}",IF(CA440="BRAKE","{YELLOW}Speed bonus for slow wagons{}",IF(BW440&gt;190,CONCATENATE("{YELLOW}",INT((BW440-185)/1.85),"% bonus for long distance travel{}"),IF(AND(BW440&lt;180,BW440&lt;&gt;0),CONCATENATE("{YELLOW}",INT((185-BW440)/1.85),"% penalty for long distance travel{}"),""))))</f>
        <v>{YELLOW}20% bonus for long distance travel{}</v>
      </c>
      <c r="CK440" s="30" t="str">
        <f aca="false">_xlfn.CONCAT(CF440,IF(CF440 &lt;&gt; "", " ", ""),CG440,IF(OR(CG440&lt;&gt;"", CF440&lt;&gt;""), "{}",""), CE440, CJ440,"{SILVER}", CH440)</f>
        <v>{BLACK}Cars: {GOLD}6{}{BLACK}Length: {GOLD}0.9 tiles{}{YELLOW}20% bonus for long distance travel{}{SILVER}A 6-car unpowered half-rake of APT-P vehicles. Pair with the Non-Driving power car and a reversed set for a complete unit.</v>
      </c>
      <c r="CL440" s="30"/>
      <c r="CM440" s="30"/>
    </row>
    <row r="441" s="19" customFormat="true" ht="14.25" hidden="false" customHeight="false" outlineLevel="0" collapsed="false">
      <c r="A441" s="19" t="s">
        <v>1609</v>
      </c>
      <c r="B441" s="20" t="s">
        <v>1610</v>
      </c>
      <c r="C441" s="21" t="n">
        <v>3052</v>
      </c>
      <c r="D441" s="19" t="n">
        <v>3053</v>
      </c>
      <c r="E441" s="19" t="n">
        <v>373</v>
      </c>
      <c r="F441" s="19" t="s">
        <v>143</v>
      </c>
      <c r="G441" s="19" t="s">
        <v>1611</v>
      </c>
      <c r="H441" s="19" t="s">
        <v>791</v>
      </c>
      <c r="I441" s="19" t="s">
        <v>92</v>
      </c>
      <c r="J441" s="19" t="n">
        <v>1979</v>
      </c>
      <c r="K441" s="19" t="n">
        <v>1986</v>
      </c>
      <c r="L441" s="19" t="n">
        <v>1988</v>
      </c>
      <c r="M441" s="19" t="n">
        <v>6</v>
      </c>
      <c r="N441" s="19" t="n">
        <v>10</v>
      </c>
      <c r="O441" s="22"/>
      <c r="P441" s="23"/>
      <c r="Q441" s="23"/>
      <c r="R441" s="23"/>
      <c r="S441" s="23"/>
      <c r="T441" s="23"/>
      <c r="U441" s="23"/>
      <c r="V441" s="23"/>
      <c r="W441" s="19" t="n">
        <v>164.8</v>
      </c>
      <c r="X441" s="22"/>
      <c r="Y441" s="19" t="n">
        <v>4</v>
      </c>
      <c r="Z441" s="19" t="n">
        <v>5</v>
      </c>
      <c r="AA441" s="24" t="n">
        <f aca="false">IF(AND(W441&gt;0,Z441&gt;0),(Z441/((W441+X441)*10)),"")</f>
        <v>0.00303398058252427</v>
      </c>
      <c r="AB441" s="19" t="n">
        <v>155</v>
      </c>
      <c r="AC441" s="19" t="n">
        <f aca="false">ROUND(AB441*1.6, 0)</f>
        <v>248</v>
      </c>
      <c r="AF441" s="19" t="n">
        <v>20.9</v>
      </c>
      <c r="AG441" s="19" t="n">
        <v>20.9</v>
      </c>
      <c r="AH441" s="19" t="n">
        <v>2.7</v>
      </c>
      <c r="AI441" s="19" t="n">
        <v>3.5</v>
      </c>
      <c r="AJ441" s="25" t="n">
        <v>44</v>
      </c>
      <c r="AK441" s="26" t="str">
        <f aca="false">CONCATENATE(VLOOKUP(AL441, '[1]Voxel Sizes'!$A$2:$B$18,2,FALSE()),"x",INT(AH441*15), "x", INT(AI441*15))</f>
        <v>198x40x52</v>
      </c>
      <c r="AL441" s="19" t="n">
        <f aca="false">ROUND(15*((AG441*10)/256),0)</f>
        <v>12</v>
      </c>
      <c r="AN441" s="19" t="str">
        <f aca="false">CONCATENATE(VLOOKUP(AL441,[1]Constants!$A$2:$C$16,IF(AM441&lt;&gt;"", 3, 2), FALSE()),IF(AM441&lt;&gt;"",CONCATENATE(",",VLOOKUP(AM441,$B:$AN,38,FALSE())),""))</f>
        <v>4,4,4</v>
      </c>
      <c r="AP441" s="27"/>
      <c r="AQ441" s="27"/>
      <c r="AR441" s="19" t="s">
        <v>1612</v>
      </c>
      <c r="AT441" s="19" t="s">
        <v>1613</v>
      </c>
      <c r="AU441" s="19" t="s">
        <v>1614</v>
      </c>
      <c r="AX441" s="19" t="n">
        <v>12</v>
      </c>
      <c r="AY441" s="28" t="n">
        <f aca="false">IF(L441&lt;&gt;"",MAX(16,(L441-J441)+8),"")</f>
        <v>17</v>
      </c>
      <c r="AZ441" s="19" t="n">
        <v>-20</v>
      </c>
      <c r="BA441" s="19" t="n">
        <v>-20</v>
      </c>
      <c r="BB441" s="19" t="n">
        <f aca="false">MIN(AB441/150, 1)*30</f>
        <v>30</v>
      </c>
      <c r="BC441" s="19" t="n">
        <f aca="false">MIN(N441/4000, 1)*20</f>
        <v>0.05</v>
      </c>
      <c r="BD441" s="19" t="n">
        <f aca="false">MIN(Z441/400,1)*20</f>
        <v>0.25</v>
      </c>
      <c r="BE441" s="24" t="n">
        <f aca="false">1-(MAX(J441-1900, 0)/750)</f>
        <v>0.894666666666667</v>
      </c>
      <c r="BF441" s="19" t="n">
        <f aca="false">((MAX($M441,1)*MIN($AJ441/300,1)))*IF(G441="Wagon",50,10)</f>
        <v>8.8</v>
      </c>
      <c r="BG441" s="19" t="n">
        <f aca="false">VLOOKUP($H441,[1]Constants!$I$1:$K$1048576, 2, FALSE())</f>
        <v>0.85</v>
      </c>
      <c r="BH441" s="19" t="n">
        <f aca="false">VLOOKUP($H441,[1]Constants!$I$1:$K$1048576, 3, FALSE())*IF(AND(G441="multiple_unit",AB441&lt;110),0.75,1)</f>
        <v>2.3</v>
      </c>
      <c r="BI441" s="19" t="n">
        <f aca="false">INT(POWER((([1]Constants!$G$2+$BB441+$BC441+$BD441+$BF441)*$BE441)*$BH441, 1.05))+$BA441</f>
        <v>93</v>
      </c>
      <c r="BJ441" s="19" t="n">
        <f aca="false">INT(POWER(((([1]Constants!$G$1+$BB441+$BC441+$BD441+$BF441)*($BE441))*$BG441),IF($G441="wagon",1,1.2)))+$AZ441</f>
        <v>66</v>
      </c>
      <c r="BK441" s="29" t="n">
        <f aca="false">BI441*IF($G441="wagon",62.5,781.25)</f>
        <v>72656.25</v>
      </c>
      <c r="BL441" s="29" t="n">
        <f aca="false">BJ441*IF($G441="wagon",2.73,81.25)</f>
        <v>5362.5</v>
      </c>
      <c r="BP441" s="19" t="n">
        <v>1</v>
      </c>
      <c r="BQ441" s="19" t="n">
        <v>1</v>
      </c>
      <c r="BR441" s="19" t="str">
        <f aca="false">_xlfn.ORG.LIBREOFFICE.REGEX(_xlfn.ORG.LIBREOFFICE.REGEX(APTMUVehicles, _xlfn.CONCAT(B441, ",?"), ""), ",$", "")</f>
        <v>apt_half_6,apt_powercar,apt_half_2,apt_half_2_rev,apt_q_dvt,apt_s_dm,apt_s_10,apt_s_6</v>
      </c>
      <c r="BU441" s="19" t="s">
        <v>952</v>
      </c>
      <c r="BV441" s="19" t="n">
        <v>8</v>
      </c>
      <c r="BW441" s="19" t="n">
        <v>222</v>
      </c>
      <c r="BZ441" s="19" t="s">
        <v>148</v>
      </c>
      <c r="CA441" s="19" t="str">
        <f aca="false">VLOOKUP(J441,[1]Eras!$A$2:$C$10, 2, TRUE())</f>
        <v>lbr</v>
      </c>
      <c r="CB441" s="30" t="s">
        <v>850</v>
      </c>
      <c r="CC441" s="19" t="str">
        <f aca="false">CONCATENATE(CA441,"_",CB441)</f>
        <v>lbr_EMU (Express)</v>
      </c>
      <c r="CD441" s="19" t="str">
        <f aca="false">_xlfn.CONCAT(H441, "_",I441)</f>
        <v>none_RAIL</v>
      </c>
      <c r="CE441" s="31" t="s">
        <v>1607</v>
      </c>
      <c r="CF441" s="19" t="str">
        <f aca="false">VLOOKUP($CD441, [1]Constants!$M$1:$N$1048576, 2, FALSE())</f>
        <v/>
      </c>
      <c r="CG441" s="19" t="str">
        <f aca="false">IF(M441&gt;1,_xlfn.CONCAT("{BLACK}Cars: {GOLD}", M441),"")</f>
        <v>{BLACK}Cars: {GOLD}6</v>
      </c>
      <c r="CH441" s="19" t="s">
        <v>1615</v>
      </c>
      <c r="CJ441" s="19" t="str">
        <f aca="false">IF(BX441="buffet","{YELLOW}25% long distance bonus for consist{}",IF(CA441="BRAKE","{YELLOW}Speed bonus for slow wagons{}",IF(BW441&gt;190,CONCATENATE("{YELLOW}",INT((BW441-185)/1.85),"% bonus for long distance travel{}"),IF(AND(BW441&lt;180,BW441&lt;&gt;0),CONCATENATE("{YELLOW}",INT((185-BW441)/1.85),"% penalty for long distance travel{}"),""))))</f>
        <v>{YELLOW}20% bonus for long distance travel{}</v>
      </c>
      <c r="CK441" s="19" t="str">
        <f aca="false">_xlfn.CONCAT(CF441,IF(CF441 &lt;&gt; "", " ", ""),CG441,IF(OR(CG441&lt;&gt;"", CF441&lt;&gt;""), "{}",""), CE441, CJ441,"{SILVER}", CH441)</f>
        <v>{BLACK}Cars: {GOLD}6{}{BLACK}Length: {GOLD}0.9 tiles{}{YELLOW}20% bonus for long distance travel{}{SILVER}A 6-car half-rake of APT-P vehicles. This is the rear half of a formation.</v>
      </c>
    </row>
    <row r="442" s="19" customFormat="true" ht="14.25" hidden="false" customHeight="false" outlineLevel="0" collapsed="false">
      <c r="A442" s="19" t="s">
        <v>1616</v>
      </c>
      <c r="B442" s="20" t="s">
        <v>1617</v>
      </c>
      <c r="C442" s="21" t="n">
        <v>3053</v>
      </c>
      <c r="E442" s="19" t="n">
        <v>374</v>
      </c>
      <c r="F442" s="19" t="s">
        <v>143</v>
      </c>
      <c r="G442" s="19" t="s">
        <v>827</v>
      </c>
      <c r="H442" s="19" t="s">
        <v>791</v>
      </c>
      <c r="I442" s="19" t="s">
        <v>92</v>
      </c>
      <c r="J442" s="19" t="n">
        <v>1979</v>
      </c>
      <c r="K442" s="19" t="n">
        <v>1986</v>
      </c>
      <c r="L442" s="19" t="n">
        <v>1988</v>
      </c>
      <c r="M442" s="19" t="n">
        <v>2</v>
      </c>
      <c r="N442" s="19" t="n">
        <v>10</v>
      </c>
      <c r="O442" s="22"/>
      <c r="P442" s="23"/>
      <c r="Q442" s="23"/>
      <c r="R442" s="23"/>
      <c r="S442" s="23"/>
      <c r="T442" s="23"/>
      <c r="U442" s="23"/>
      <c r="V442" s="23"/>
      <c r="W442" s="19" t="n">
        <v>65.6</v>
      </c>
      <c r="X442" s="22"/>
      <c r="Y442" s="19" t="n">
        <v>4</v>
      </c>
      <c r="Z442" s="19" t="n">
        <v>5</v>
      </c>
      <c r="AA442" s="24" t="n">
        <f aca="false">IF(AND(W442&gt;0,Z442&gt;0),(Z442/((W442+X442)*10)),"")</f>
        <v>0.0076219512195122</v>
      </c>
      <c r="AB442" s="19" t="n">
        <v>155</v>
      </c>
      <c r="AC442" s="19" t="n">
        <f aca="false">ROUND(AB442*1.6, 0)</f>
        <v>248</v>
      </c>
      <c r="AF442" s="19" t="n">
        <v>20.9</v>
      </c>
      <c r="AG442" s="19" t="n">
        <v>20.9</v>
      </c>
      <c r="AH442" s="19" t="n">
        <v>2.7</v>
      </c>
      <c r="AI442" s="19" t="n">
        <v>3.5</v>
      </c>
      <c r="AJ442" s="25" t="n">
        <v>39</v>
      </c>
      <c r="AK442" s="26" t="str">
        <f aca="false">CONCATENATE(VLOOKUP(AL442, '[1]Voxel Sizes'!$A$2:$B$18,2,FALSE()),"x",INT(AH442*15), "x", INT(AI442*15))</f>
        <v>198x40x52</v>
      </c>
      <c r="AL442" s="19" t="n">
        <f aca="false">ROUND(15*((AG442*10)/256),0)</f>
        <v>12</v>
      </c>
      <c r="AN442" s="19" t="str">
        <f aca="false">CONCATENATE(VLOOKUP(AL442,[1]Constants!$A$2:$C$16,IF(AM442&lt;&gt;"", 3, 2), FALSE()),IF(AM442&lt;&gt;"",CONCATENATE(",",VLOOKUP(AM442,$B:$AN,38,FALSE())),""))</f>
        <v>4,4,4</v>
      </c>
      <c r="AP442" s="27"/>
      <c r="AQ442" s="27"/>
      <c r="AR442" s="19" t="s">
        <v>1618</v>
      </c>
      <c r="AT442" s="19" t="s">
        <v>1486</v>
      </c>
      <c r="AU442" s="19" t="s">
        <v>1606</v>
      </c>
      <c r="AX442" s="19" t="n">
        <v>12</v>
      </c>
      <c r="AY442" s="28" t="n">
        <f aca="false">IF(L442&lt;&gt;"",MAX(16,(L442-J442)+8),"")</f>
        <v>17</v>
      </c>
      <c r="AZ442" s="19" t="n">
        <v>-45</v>
      </c>
      <c r="BA442" s="19" t="n">
        <v>-65</v>
      </c>
      <c r="BB442" s="19" t="n">
        <f aca="false">MIN(AB442/150, 1)*30</f>
        <v>30</v>
      </c>
      <c r="BC442" s="19" t="n">
        <f aca="false">MIN(N442/4000, 1)*20</f>
        <v>0.05</v>
      </c>
      <c r="BD442" s="19" t="n">
        <f aca="false">MIN(Z442/400,1)*20</f>
        <v>0.25</v>
      </c>
      <c r="BE442" s="24" t="n">
        <f aca="false">1-(MAX(J442-1900, 0)/750)</f>
        <v>0.894666666666667</v>
      </c>
      <c r="BF442" s="19" t="n">
        <f aca="false">((MAX($M442,1)*MIN($AJ442/300,1)))*IF(G442="Wagon",50,10)</f>
        <v>2.6</v>
      </c>
      <c r="BG442" s="19" t="n">
        <f aca="false">VLOOKUP($H442,[1]Constants!$I$1:$K$1048576, 2, FALSE())</f>
        <v>0.85</v>
      </c>
      <c r="BH442" s="19" t="n">
        <f aca="false">VLOOKUP($H442,[1]Constants!$I$1:$K$1048576, 3, FALSE())*IF(AND(G442="multiple_unit",AB442&lt;110),0.75,1)</f>
        <v>2.3</v>
      </c>
      <c r="BI442" s="19" t="n">
        <f aca="false">INT(POWER((([1]Constants!$G$2+$BB442+$BC442+$BD442+$BF442)*$BE442)*$BH442, 1.05))+$BA442</f>
        <v>31</v>
      </c>
      <c r="BJ442" s="19" t="n">
        <f aca="false">INT(POWER(((([1]Constants!$G$1+$BB442+$BC442+$BD442+$BF442)*($BE442))*$BG442),IF($G442="wagon",1,1.2)))+$AZ442</f>
        <v>29</v>
      </c>
      <c r="BK442" s="29" t="n">
        <f aca="false">BI442*IF($G442="wagon",62.5,781.25)</f>
        <v>24218.75</v>
      </c>
      <c r="BL442" s="29" t="n">
        <f aca="false">BJ442*IF($G442="wagon",2.73,81.25)</f>
        <v>2356.25</v>
      </c>
      <c r="BQ442" s="19" t="n">
        <v>1</v>
      </c>
      <c r="BR442" s="19" t="str">
        <f aca="false">_xlfn.ORG.LIBREOFFICE.REGEX(_xlfn.ORG.LIBREOFFICE.REGEX(APTMUVehicles, _xlfn.CONCAT(B442, ",?"), ""), ",$", "")</f>
        <v>apt_half_6,apt_half_6_rev,apt_powercar,apt_half_2_rev,apt_q_dvt,apt_s_dm,apt_s_10,apt_s_6</v>
      </c>
      <c r="BV442" s="19" t="n">
        <v>8</v>
      </c>
      <c r="BW442" s="19" t="n">
        <v>185</v>
      </c>
      <c r="BZ442" s="19" t="s">
        <v>148</v>
      </c>
      <c r="CA442" s="19" t="str">
        <f aca="false">VLOOKUP(J442,[1]Eras!$A$2:$C$10, 2, TRUE())</f>
        <v>lbr</v>
      </c>
      <c r="CB442" s="30" t="s">
        <v>850</v>
      </c>
      <c r="CC442" s="19" t="str">
        <f aca="false">CONCATENATE(CA442,"_",CB442)</f>
        <v>lbr_EMU (Express)</v>
      </c>
      <c r="CD442" s="19" t="str">
        <f aca="false">_xlfn.CONCAT(H442, "_",I442)</f>
        <v>none_RAIL</v>
      </c>
      <c r="CE442" s="31" t="str">
        <f aca="false">_xlfn.CONCAT("{BLACK}Length: {GOLD}", TEXT(ROUNDUP(IF(AQ442&lt;&gt;"",SUM(VALUE(_xlfn.TEXTSPLIT(AQ442, ","))), SUM(VALUE(_xlfn.TEXTSPLIT(AN442, ",")))*IF(M442, M442, 1))/16, 1), "#,##0.0"), " tiles{}")</f>
        <v>{BLACK}Length: {GOLD}1.5 tiles{}</v>
      </c>
      <c r="CF442" s="19" t="str">
        <f aca="false">VLOOKUP($CD442, [1]Constants!$M$1:$N$1048576, 2, FALSE())</f>
        <v/>
      </c>
      <c r="CG442" s="19" t="str">
        <f aca="false">IF(M442&gt;1,_xlfn.CONCAT("{BLACK}Cars: {GOLD}", M442),"")</f>
        <v>{BLACK}Cars: {GOLD}2</v>
      </c>
      <c r="CH442" s="19" t="s">
        <v>1619</v>
      </c>
      <c r="CJ442" s="19" t="str">
        <f aca="false">IF(BX442="buffet","{YELLOW}25% long distance bonus for consist{}",IF(CA442="BRAKE","{YELLOW}Speed bonus for slow wagons{}",IF(BW442&gt;190,CONCATENATE("{YELLOW}",INT((BW442-185)/1.85),"% bonus for long distance travel{}"),IF(AND(BW442&lt;180,BW442&lt;&gt;0),CONCATENATE("{YELLOW}",INT((185-BW442)/1.85),"% penalty for long distance travel{}"),""))))</f>
        <v/>
      </c>
      <c r="CK442" s="19" t="str">
        <f aca="false">_xlfn.CONCAT(CF442,IF(CF442 &lt;&gt; "", " ", ""),CG442,IF(OR(CG442&lt;&gt;"", CF442&lt;&gt;""), "{}",""), CE442, CJ442,"{SILVER}", CH442)</f>
        <v>{BLACK}Cars: {GOLD}2{}{BLACK}Length: {GOLD}1.5 tiles{}{SILVER}A minimal 2-car half-rake of APT-P Vehicles. Lack of dining facilities makes this much less attractive for passengers. Pair with the Non-Driving power car and a reversed set for a complete unit.</v>
      </c>
    </row>
    <row r="443" s="19" customFormat="true" ht="14.25" hidden="false" customHeight="false" outlineLevel="0" collapsed="false">
      <c r="A443" s="19" t="s">
        <v>1620</v>
      </c>
      <c r="B443" s="20" t="s">
        <v>1621</v>
      </c>
      <c r="C443" s="21" t="n">
        <v>3054</v>
      </c>
      <c r="D443" s="19" t="n">
        <v>3053</v>
      </c>
      <c r="E443" s="19" t="n">
        <v>375</v>
      </c>
      <c r="F443" s="19" t="s">
        <v>143</v>
      </c>
      <c r="G443" s="19" t="s">
        <v>1611</v>
      </c>
      <c r="H443" s="19" t="s">
        <v>791</v>
      </c>
      <c r="I443" s="19" t="s">
        <v>92</v>
      </c>
      <c r="J443" s="19" t="n">
        <v>1979</v>
      </c>
      <c r="K443" s="19" t="n">
        <v>1986</v>
      </c>
      <c r="L443" s="19" t="n">
        <v>1988</v>
      </c>
      <c r="M443" s="19" t="n">
        <v>2</v>
      </c>
      <c r="N443" s="19" t="n">
        <v>10</v>
      </c>
      <c r="O443" s="22"/>
      <c r="P443" s="23"/>
      <c r="Q443" s="23"/>
      <c r="R443" s="23"/>
      <c r="S443" s="23"/>
      <c r="T443" s="23"/>
      <c r="U443" s="23"/>
      <c r="V443" s="23"/>
      <c r="W443" s="19" t="n">
        <v>65.6</v>
      </c>
      <c r="X443" s="22"/>
      <c r="Y443" s="19" t="n">
        <v>4</v>
      </c>
      <c r="Z443" s="19" t="n">
        <v>5</v>
      </c>
      <c r="AA443" s="24" t="n">
        <f aca="false">IF(AND(W443&gt;0,Z443&gt;0),(Z443/((W443+X443)*10)),"")</f>
        <v>0.0076219512195122</v>
      </c>
      <c r="AB443" s="19" t="n">
        <v>155</v>
      </c>
      <c r="AC443" s="19" t="n">
        <f aca="false">ROUND(AB443*1.6, 0)</f>
        <v>248</v>
      </c>
      <c r="AF443" s="19" t="n">
        <v>20.9</v>
      </c>
      <c r="AG443" s="19" t="n">
        <v>20.9</v>
      </c>
      <c r="AH443" s="19" t="n">
        <v>2.7</v>
      </c>
      <c r="AI443" s="19" t="n">
        <v>3.5</v>
      </c>
      <c r="AJ443" s="25" t="n">
        <v>39</v>
      </c>
      <c r="AK443" s="26" t="str">
        <f aca="false">CONCATENATE(VLOOKUP(AL443, '[1]Voxel Sizes'!$A$2:$B$18,2,FALSE()),"x",INT(AH443*15), "x", INT(AI443*15))</f>
        <v>198x40x52</v>
      </c>
      <c r="AL443" s="19" t="n">
        <f aca="false">ROUND(15*((AG443*10)/256),0)</f>
        <v>12</v>
      </c>
      <c r="AN443" s="19" t="str">
        <f aca="false">CONCATENATE(VLOOKUP(AL443,[1]Constants!$A$2:$C$16,IF(AM443&lt;&gt;"", 3, 2), FALSE()),IF(AM443&lt;&gt;"",CONCATENATE(",",VLOOKUP(AM443,$B:$AN,38,FALSE())),""))</f>
        <v>4,4,4</v>
      </c>
      <c r="AP443" s="27"/>
      <c r="AQ443" s="27"/>
      <c r="AR443" s="19" t="s">
        <v>1622</v>
      </c>
      <c r="AT443" s="19" t="s">
        <v>1486</v>
      </c>
      <c r="AU443" s="19" t="s">
        <v>1614</v>
      </c>
      <c r="AX443" s="19" t="n">
        <v>12</v>
      </c>
      <c r="AY443" s="28" t="n">
        <f aca="false">IF(L443&lt;&gt;"",MAX(16,(L443-J443)+8),"")</f>
        <v>17</v>
      </c>
      <c r="AZ443" s="19" t="n">
        <v>-60</v>
      </c>
      <c r="BA443" s="19" t="n">
        <v>-65</v>
      </c>
      <c r="BB443" s="19" t="n">
        <f aca="false">MIN(AB443/150, 1)*30</f>
        <v>30</v>
      </c>
      <c r="BC443" s="19" t="n">
        <f aca="false">MIN(N443/4000, 1)*20</f>
        <v>0.05</v>
      </c>
      <c r="BD443" s="19" t="n">
        <f aca="false">MIN(Z443/400,1)*20</f>
        <v>0.25</v>
      </c>
      <c r="BE443" s="24" t="n">
        <f aca="false">1-(MAX(J443-1900, 0)/750)</f>
        <v>0.894666666666667</v>
      </c>
      <c r="BF443" s="19" t="n">
        <f aca="false">((MAX($M443,1)*MIN($AJ443/300,1)))*IF(G443="Wagon",50,10)</f>
        <v>2.6</v>
      </c>
      <c r="BG443" s="19" t="n">
        <f aca="false">VLOOKUP($H443,[1]Constants!$I$1:$K$1048576, 2, FALSE())</f>
        <v>0.85</v>
      </c>
      <c r="BH443" s="19" t="n">
        <f aca="false">VLOOKUP($H443,[1]Constants!$I$1:$K$1048576, 3, FALSE())*IF(AND(G443="multiple_unit",AB443&lt;110),0.75,1)</f>
        <v>2.3</v>
      </c>
      <c r="BI443" s="19" t="n">
        <f aca="false">INT(POWER((([1]Constants!$G$2+$BB443+$BC443+$BD443+$BF443)*$BE443)*$BH443, 1.05))+$BA443</f>
        <v>31</v>
      </c>
      <c r="BJ443" s="19" t="n">
        <f aca="false">INT(POWER(((([1]Constants!$G$1+$BB443+$BC443+$BD443+$BF443)*($BE443))*$BG443),IF($G443="wagon",1,1.2)))+$AZ443</f>
        <v>14</v>
      </c>
      <c r="BK443" s="29" t="n">
        <f aca="false">BI443*IF($G443="wagon",62.5,781.25)</f>
        <v>24218.75</v>
      </c>
      <c r="BL443" s="29" t="n">
        <f aca="false">BJ443*IF($G443="wagon",2.73,81.25)</f>
        <v>1137.5</v>
      </c>
      <c r="BP443" s="19" t="n">
        <v>1</v>
      </c>
      <c r="BQ443" s="19" t="n">
        <v>1</v>
      </c>
      <c r="BR443" s="19" t="str">
        <f aca="false">_xlfn.ORG.LIBREOFFICE.REGEX(_xlfn.ORG.LIBREOFFICE.REGEX(APTMUVehicles, _xlfn.CONCAT(B443, ",?"), ""), ",$", "")</f>
        <v>apt_half_6,apt_half_6_rev,apt_powercar,apt_half_2,apt_q_dvt,apt_s_dm,apt_s_10,apt_s_6</v>
      </c>
      <c r="BV443" s="19" t="n">
        <v>8</v>
      </c>
      <c r="BW443" s="19" t="n">
        <v>185</v>
      </c>
      <c r="BZ443" s="19" t="s">
        <v>148</v>
      </c>
      <c r="CA443" s="19" t="str">
        <f aca="false">VLOOKUP(J443,[1]Eras!$A$2:$C$10, 2, TRUE())</f>
        <v>lbr</v>
      </c>
      <c r="CB443" s="30" t="s">
        <v>850</v>
      </c>
      <c r="CC443" s="19" t="str">
        <f aca="false">CONCATENATE(CA443,"_",CB443)</f>
        <v>lbr_EMU (Express)</v>
      </c>
      <c r="CD443" s="19" t="str">
        <f aca="false">_xlfn.CONCAT(H443, "_",I443)</f>
        <v>none_RAIL</v>
      </c>
      <c r="CE443" s="31" t="str">
        <f aca="false">_xlfn.CONCAT("{BLACK}Length: {GOLD}", TEXT(ROUNDUP(IF(AQ443&lt;&gt;"",SUM(VALUE(_xlfn.TEXTSPLIT(AQ443, ","))), SUM(VALUE(_xlfn.TEXTSPLIT(AN443, ",")))*IF(M443, M443, 1))/16, 1), "#,##0.0"), " tiles{}")</f>
        <v>{BLACK}Length: {GOLD}1.5 tiles{}</v>
      </c>
      <c r="CF443" s="19" t="str">
        <f aca="false">VLOOKUP($CD443, [1]Constants!$M$1:$N$1048576, 2, FALSE())</f>
        <v/>
      </c>
      <c r="CG443" s="19" t="str">
        <f aca="false">IF(M443&gt;1,_xlfn.CONCAT("{BLACK}Cars: {GOLD}", M443),"")</f>
        <v>{BLACK}Cars: {GOLD}2</v>
      </c>
      <c r="CH443" s="19" t="s">
        <v>1623</v>
      </c>
      <c r="CJ443" s="19" t="str">
        <f aca="false">IF(BX443="buffet","{YELLOW}25% long distance bonus for consist{}",IF(CA443="BRAKE","{YELLOW}Speed bonus for slow wagons{}",IF(BW443&gt;190,CONCATENATE("{YELLOW}",INT((BW443-185)/1.85),"% bonus for long distance travel{}"),IF(AND(BW443&lt;180,BW443&lt;&gt;0),CONCATENATE("{YELLOW}",INT((185-BW443)/1.85),"% penalty for long distance travel{}"),""))))</f>
        <v/>
      </c>
      <c r="CK443" s="19" t="str">
        <f aca="false">_xlfn.CONCAT(CF443,IF(CF443 &lt;&gt; "", " ", ""),CG443,IF(OR(CG443&lt;&gt;"", CF443&lt;&gt;""), "{}",""), CE443, CJ443,"{SILVER}", CH443)</f>
        <v>{BLACK}Cars: {GOLD}2{}{BLACK}Length: {GOLD}1.5 tiles{}{SILVER}A minimal 2-car half-rake of APT-P Vehicles. Lack of dining facilities makes this much less attractive for passengers. This is the rear half of a formation.</v>
      </c>
    </row>
    <row r="444" s="19" customFormat="true" ht="14.25" hidden="false" customHeight="false" outlineLevel="0" collapsed="false">
      <c r="A444" s="19" t="s">
        <v>1624</v>
      </c>
      <c r="B444" s="20" t="s">
        <v>1625</v>
      </c>
      <c r="C444" s="21" t="n">
        <v>3055</v>
      </c>
      <c r="D444" s="19" t="n">
        <v>3053</v>
      </c>
      <c r="E444" s="19" t="n">
        <v>376</v>
      </c>
      <c r="F444" s="19" t="s">
        <v>143</v>
      </c>
      <c r="G444" s="30" t="s">
        <v>445</v>
      </c>
      <c r="H444" s="19" t="s">
        <v>529</v>
      </c>
      <c r="I444" s="19" t="s">
        <v>530</v>
      </c>
      <c r="J444" s="19" t="n">
        <v>1979</v>
      </c>
      <c r="K444" s="19" t="n">
        <v>1986</v>
      </c>
      <c r="L444" s="19" t="n">
        <v>1988</v>
      </c>
      <c r="N444" s="19" t="n">
        <v>4000</v>
      </c>
      <c r="O444" s="22"/>
      <c r="P444" s="23"/>
      <c r="Q444" s="23"/>
      <c r="R444" s="23"/>
      <c r="S444" s="23"/>
      <c r="T444" s="23"/>
      <c r="U444" s="23"/>
      <c r="V444" s="23"/>
      <c r="W444" s="19" t="n">
        <v>67.5</v>
      </c>
      <c r="X444" s="22"/>
      <c r="Y444" s="19" t="n">
        <v>4</v>
      </c>
      <c r="Z444" s="19" t="n">
        <v>210</v>
      </c>
      <c r="AA444" s="24" t="n">
        <f aca="false">IF(AND(W444&gt;0,Z444&gt;0),(Z444/((W444+X444)*10)),"")</f>
        <v>0.311111111111111</v>
      </c>
      <c r="AB444" s="19" t="n">
        <v>155</v>
      </c>
      <c r="AC444" s="19" t="n">
        <f aca="false">ROUND(AB444*1.6, 0)</f>
        <v>248</v>
      </c>
      <c r="AF444" s="19" t="n">
        <v>20.9</v>
      </c>
      <c r="AG444" s="19" t="n">
        <v>20.9</v>
      </c>
      <c r="AH444" s="19" t="n">
        <v>2.7</v>
      </c>
      <c r="AI444" s="19" t="n">
        <v>3.5</v>
      </c>
      <c r="AJ444" s="25" t="n">
        <v>0</v>
      </c>
      <c r="AK444" s="26" t="str">
        <f aca="false">CONCATENATE(VLOOKUP(AL444, '[1]Voxel Sizes'!$A$2:$B$18,2,FALSE()),"x",INT(AH444*15), "x", INT(AI444*15))</f>
        <v>198x40x52</v>
      </c>
      <c r="AL444" s="19" t="n">
        <f aca="false">ROUND(15*((AG444*10)/256),0)</f>
        <v>12</v>
      </c>
      <c r="AN444" s="19" t="str">
        <f aca="false">CONCATENATE(VLOOKUP(AL444,[1]Constants!$A$2:$C$16,IF(AM444&lt;&gt;"", 3, 2), FALSE()),IF(AM444&lt;&gt;"",CONCATENATE(",",VLOOKUP(AM444,$B:$AN,38,FALSE())),""))</f>
        <v>4,4,4</v>
      </c>
      <c r="AP444" s="27"/>
      <c r="AQ444" s="27"/>
      <c r="AX444" s="19" t="n">
        <v>12</v>
      </c>
      <c r="AY444" s="28" t="n">
        <f aca="false">IF(L444&lt;&gt;"",MAX(16,(L444-J444)+8),"")</f>
        <v>17</v>
      </c>
      <c r="AZ444" s="19" t="n">
        <v>25</v>
      </c>
      <c r="BA444" s="19" t="n">
        <v>-90</v>
      </c>
      <c r="BB444" s="19" t="n">
        <f aca="false">MIN(AB444/150, 1)*30</f>
        <v>30</v>
      </c>
      <c r="BC444" s="19" t="n">
        <f aca="false">MIN(N444/4000, 1)*20</f>
        <v>20</v>
      </c>
      <c r="BD444" s="19" t="n">
        <f aca="false">MIN(Z444/400,1)*20</f>
        <v>10.5</v>
      </c>
      <c r="BE444" s="24" t="n">
        <f aca="false">1-(MAX(J444-1900, 0)/750)</f>
        <v>0.894666666666667</v>
      </c>
      <c r="BF444" s="19" t="n">
        <f aca="false">((MAX($M444,1)*MIN($AJ444/300,1)))*IF(G444="Wagon",50,10)</f>
        <v>0</v>
      </c>
      <c r="BG444" s="19" t="n">
        <f aca="false">VLOOKUP($H444,[1]Constants!$I$1:$K$1048576, 2, FALSE())</f>
        <v>0.85</v>
      </c>
      <c r="BH444" s="19" t="n">
        <f aca="false">VLOOKUP($H444,[1]Constants!$I$1:$K$1048576, 3, FALSE())*IF(AND(G444="multiple_unit",AB444&lt;110),0.75,1)</f>
        <v>2.3</v>
      </c>
      <c r="BI444" s="19" t="n">
        <f aca="false">INT(POWER((([1]Constants!$G$2+$BB444+$BC444+$BD444+$BF444)*$BE444)*$BH444, 1.05))+$BA444</f>
        <v>82</v>
      </c>
      <c r="BJ444" s="19" t="n">
        <f aca="false">INT(POWER(((([1]Constants!$G$1+$BB444+$BC444+$BD444+$BF444)*($BE444))*$BG444),IF($G444="wagon",1,1.2)))+$AZ444</f>
        <v>154</v>
      </c>
      <c r="BK444" s="29" t="n">
        <f aca="false">BI444*IF($G444="wagon",62.5,781.25)</f>
        <v>64062.5</v>
      </c>
      <c r="BL444" s="29" t="n">
        <f aca="false">BJ444*IF($G444="wagon",2.73,81.25)</f>
        <v>12512.5</v>
      </c>
      <c r="BM444" s="19" t="n">
        <v>2</v>
      </c>
      <c r="BP444" s="19" t="n">
        <v>1</v>
      </c>
      <c r="BQ444" s="19" t="n">
        <v>1</v>
      </c>
      <c r="BR444" s="19" t="str">
        <f aca="false">_xlfn.ORG.LIBREOFFICE.REGEX(_xlfn.ORG.LIBREOFFICE.REGEX(APTMUVehicles, _xlfn.CONCAT(B444, ",?"), ""), ",$", "")</f>
        <v>apt_half_6,apt_half_6_rev,apt_half_2,apt_half_2_rev,apt_q_dvt,apt_s_dm,apt_s_10,apt_s_6</v>
      </c>
      <c r="BV444" s="19" t="n">
        <v>8</v>
      </c>
      <c r="CA444" s="19" t="str">
        <f aca="false">VLOOKUP(J444,[1]Eras!$A$2:$C$10, 2, TRUE())</f>
        <v>lbr</v>
      </c>
      <c r="CB444" s="30" t="s">
        <v>850</v>
      </c>
      <c r="CC444" s="19" t="str">
        <f aca="false">CONCATENATE(CA444,"_",CB444)</f>
        <v>lbr_EMU (Express)</v>
      </c>
      <c r="CD444" s="19" t="str">
        <f aca="false">_xlfn.CONCAT(H444, "_",I444)</f>
        <v>electric_ELRL</v>
      </c>
      <c r="CE444" s="31" t="str">
        <f aca="false">_xlfn.CONCAT("{BLACK}Length: {GOLD}", TEXT(ROUNDUP(IF(AQ444&lt;&gt;"",SUM(VALUE(_xlfn.TEXTSPLIT(AQ444, ","))), SUM(VALUE(_xlfn.TEXTSPLIT(AN444, ",")))*IF(M444, M444, 1))/16, 1), "#,##0.0"), " tiles{}")</f>
        <v>{BLACK}Length: {GOLD}0.8 tiles{}</v>
      </c>
      <c r="CF444" s="19" t="str">
        <f aca="false">VLOOKUP($CD444, [1]Constants!$M$1:$N$1048576, 2, FALSE())</f>
        <v>{BLACK}Powered by: {GOLD}25kV AC</v>
      </c>
      <c r="CG444" s="19" t="str">
        <f aca="false">IF(M444&gt;1,_xlfn.CONCAT("{BLACK}Cars: {GOLD}", M444),"")</f>
        <v/>
      </c>
      <c r="CH444" s="19" t="s">
        <v>1626</v>
      </c>
      <c r="CJ444" s="19" t="str">
        <f aca="false">IF(BX444="buffet","{YELLOW}25% long distance bonus for consist{}",IF(CA444="BRAKE","{YELLOW}Speed bonus for slow wagons{}",IF(BW444&gt;190,CONCATENATE("{YELLOW}",INT((BW444-185)/1.85),"% bonus for long distance travel{}"),IF(AND(BW444&lt;180,BW444&lt;&gt;0),CONCATENATE("{YELLOW}",INT((185-BW444)/1.85),"% penalty for long distance travel{}"),""))))</f>
        <v/>
      </c>
      <c r="CK444" s="19" t="str">
        <f aca="false">_xlfn.CONCAT(CF444,IF(CF444 &lt;&gt; "", " ", ""),CG444,IF(OR(CG444&lt;&gt;"", CF444&lt;&gt;""), "{}",""), CE444, CJ444,"{SILVER}", CH444)</f>
        <v>{BLACK}Powered by: {GOLD}25kV AC {}{BLACK}Length: {GOLD}0.8 tiles{}{SILVER}An APT-P centre power car</v>
      </c>
    </row>
    <row r="445" s="19" customFormat="true" ht="14.25" hidden="false" customHeight="false" outlineLevel="0" collapsed="false">
      <c r="A445" s="30" t="s">
        <v>1627</v>
      </c>
      <c r="B445" s="49" t="s">
        <v>1628</v>
      </c>
      <c r="C445" s="21" t="n">
        <v>3056</v>
      </c>
      <c r="D445" s="30" t="n">
        <v>3057</v>
      </c>
      <c r="E445" s="30" t="n">
        <v>382</v>
      </c>
      <c r="F445" s="30" t="s">
        <v>143</v>
      </c>
      <c r="G445" s="30" t="s">
        <v>445</v>
      </c>
      <c r="H445" s="30" t="s">
        <v>529</v>
      </c>
      <c r="I445" s="30" t="s">
        <v>530</v>
      </c>
      <c r="J445" s="30" t="n">
        <v>1986</v>
      </c>
      <c r="K445" s="30" t="n">
        <v>1991</v>
      </c>
      <c r="L445" s="30" t="n">
        <v>1994</v>
      </c>
      <c r="M445" s="30"/>
      <c r="N445" s="30" t="n">
        <v>4000</v>
      </c>
      <c r="O445" s="22"/>
      <c r="P445" s="23"/>
      <c r="Q445" s="23"/>
      <c r="R445" s="23"/>
      <c r="S445" s="23"/>
      <c r="T445" s="23"/>
      <c r="U445" s="23"/>
      <c r="V445" s="23"/>
      <c r="W445" s="19" t="n">
        <v>76.8</v>
      </c>
      <c r="X445" s="22"/>
      <c r="Y445" s="19" t="n">
        <v>4</v>
      </c>
      <c r="Z445" s="19" t="n">
        <v>210</v>
      </c>
      <c r="AA445" s="24" t="n">
        <f aca="false">IF(AND(W445&gt;0,Z445&gt;0),(Z445/((W445+X445)*10)),"")</f>
        <v>0.2734375</v>
      </c>
      <c r="AB445" s="19" t="n">
        <v>140</v>
      </c>
      <c r="AC445" s="19" t="n">
        <f aca="false">ROUND(AB445*1.6, 0)</f>
        <v>224</v>
      </c>
      <c r="AF445" s="19" t="n">
        <v>22</v>
      </c>
      <c r="AG445" s="19" t="n">
        <v>22</v>
      </c>
      <c r="AH445" s="19" t="n">
        <v>2.7</v>
      </c>
      <c r="AI445" s="19" t="n">
        <v>3.5</v>
      </c>
      <c r="AJ445" s="25" t="n">
        <v>0</v>
      </c>
      <c r="AK445" s="26" t="str">
        <f aca="false">CONCATENATE(VLOOKUP(AL445, '[1]Voxel Sizes'!$A$2:$B$18,2,FALSE()),"x",INT(AH445*15), "x", INT(AI445*15))</f>
        <v>214x40x52</v>
      </c>
      <c r="AL445" s="19" t="n">
        <f aca="false">ROUND(15*((AG445*10)/256),0)</f>
        <v>13</v>
      </c>
      <c r="AN445" s="19" t="str">
        <f aca="false">CONCATENATE(VLOOKUP(AL445,[1]Constants!$A$2:$C$16,IF(AM445&lt;&gt;"", 3, 2), FALSE()),IF(AM445&lt;&gt;"",CONCATENATE(",",VLOOKUP(AM445,$B:$AN,38,FALSE())),""))</f>
        <v>4,5,4</v>
      </c>
      <c r="AP445" s="27"/>
      <c r="AQ445" s="27"/>
      <c r="AX445" s="19" t="n">
        <v>20</v>
      </c>
      <c r="AY445" s="28" t="n">
        <f aca="false">IF(L445&lt;&gt;"",MAX(16,(L445-J445)+8),"")</f>
        <v>16</v>
      </c>
      <c r="AZ445" s="19" t="n">
        <v>-35</v>
      </c>
      <c r="BA445" s="19" t="n">
        <v>-60</v>
      </c>
      <c r="BB445" s="19" t="n">
        <f aca="false">MIN(AB445/150, 1)*30</f>
        <v>28</v>
      </c>
      <c r="BC445" s="19" t="n">
        <f aca="false">MIN(N445/4000, 1)*20</f>
        <v>20</v>
      </c>
      <c r="BD445" s="19" t="n">
        <f aca="false">MIN(Z445/400,1)*20</f>
        <v>10.5</v>
      </c>
      <c r="BE445" s="24" t="n">
        <f aca="false">1-(MAX(J445-1900, 0)/750)</f>
        <v>0.885333333333333</v>
      </c>
      <c r="BF445" s="19" t="n">
        <f aca="false">((MAX($M445,1)*MIN($AJ445/300,1)))*IF(G445="Wagon",50,10)</f>
        <v>0</v>
      </c>
      <c r="BG445" s="19" t="n">
        <f aca="false">VLOOKUP($H445,[1]Constants!$I$1:$K$1048576, 2, FALSE())</f>
        <v>0.85</v>
      </c>
      <c r="BH445" s="19" t="n">
        <f aca="false">VLOOKUP($H445,[1]Constants!$I$1:$K$1048576, 3, FALSE())*IF(AND(G445="multiple_unit",AB445&lt;110),0.75,1)</f>
        <v>2.3</v>
      </c>
      <c r="BI445" s="19" t="n">
        <f aca="false">INT(POWER((([1]Constants!$G$2+$BB445+$BC445+$BD445+$BF445)*$BE445)*$BH445, 1.05))+$BA445</f>
        <v>104</v>
      </c>
      <c r="BJ445" s="19" t="n">
        <f aca="false">INT(POWER(((([1]Constants!$G$1+$BB445+$BC445+$BD445+$BF445)*($BE445))*$BG445),IF($G445="wagon",1,1.2)))+$AZ445</f>
        <v>88</v>
      </c>
      <c r="BK445" s="29" t="n">
        <f aca="false">BI445*IF($G445="wagon",62.5,781.25)</f>
        <v>81250</v>
      </c>
      <c r="BL445" s="29" t="n">
        <f aca="false">BJ445*IF($G445="wagon",2.73,81.25)</f>
        <v>7150</v>
      </c>
      <c r="BM445" s="19" t="n">
        <v>1</v>
      </c>
      <c r="BN445" s="19" t="n">
        <v>1</v>
      </c>
      <c r="BQ445" s="19" t="n">
        <v>1</v>
      </c>
      <c r="BR445" s="19" t="str">
        <f aca="false">_xlfn.ORG.LIBREOFFICE.REGEX(_xlfn.ORG.LIBREOFFICE.REGEX(APTMUVehicles, _xlfn.CONCAT(B445, ",?"), ""), ",$", "")</f>
        <v>apt_half_6,apt_half_6_rev,apt_powercar,apt_half_2,apt_half_2_rev,apt_q_dvt,apt_s_10,apt_s_6</v>
      </c>
      <c r="BU445" s="19" t="s">
        <v>1578</v>
      </c>
      <c r="BV445" s="19" t="n">
        <v>7</v>
      </c>
      <c r="CA445" s="19" t="str">
        <f aca="false">VLOOKUP(J445,[1]Eras!$A$2:$C$10, 2, TRUE())</f>
        <v>lbr</v>
      </c>
      <c r="CB445" s="30" t="s">
        <v>689</v>
      </c>
      <c r="CC445" s="19" t="str">
        <f aca="false">CONCATENATE(CA445,"_",CB445)</f>
        <v>lbr_Express (Electric)</v>
      </c>
      <c r="CD445" s="19" t="str">
        <f aca="false">_xlfn.CONCAT(H445, "_",I445)</f>
        <v>electric_ELRL</v>
      </c>
      <c r="CE445" s="31" t="s">
        <v>1629</v>
      </c>
      <c r="CF445" s="19" t="str">
        <f aca="false">VLOOKUP($CD445, [1]Constants!$M$1:$N$1048576, 2, FALSE())</f>
        <v>{BLACK}Powered by: {GOLD}25kV AC</v>
      </c>
      <c r="CG445" s="19" t="str">
        <f aca="false">IF(M445&gt;1,_xlfn.CONCAT("{BLACK}Cars: {GOLD}", M445),"")</f>
        <v/>
      </c>
      <c r="CH445" s="19" t="s">
        <v>1630</v>
      </c>
      <c r="CJ445" s="19" t="str">
        <f aca="false">IF(BX445="buffet","{YELLOW}25% long distance bonus for consist{}",IF(CA445="BRAKE","{YELLOW}Speed bonus for slow wagons{}",IF(BW445&gt;190,CONCATENATE("{YELLOW}",INT((BW445-185)/1.85),"% bonus for long distance travel{}"),IF(AND(BW445&lt;180,BW445&lt;&gt;0),CONCATENATE("{YELLOW}",INT((185-BW445)/1.85),"% penalty for long distance travel{}"),""))))</f>
        <v/>
      </c>
      <c r="CK445" s="19" t="str">
        <f aca="false">_xlfn.CONCAT(CF445,IF(CF445 &lt;&gt; "", " ", ""),CG445,IF(OR(CG445&lt;&gt;"", CF445&lt;&gt;""), "{}",""), CE445, CJ445,"{SILVER}", CH445)</f>
        <v>{BLACK}Powered by: {GOLD}25kV AC {}{BLACK}Length: {GOLD}0.8 tiles{}{SILVER}The APT-S was a rework of the APT concept towards more conventional rolling stock, with a driving motor car, articulated trailers and a DVT.</v>
      </c>
    </row>
    <row r="446" s="19" customFormat="true" ht="14.25" hidden="false" customHeight="false" outlineLevel="0" collapsed="false">
      <c r="A446" s="30" t="s">
        <v>1631</v>
      </c>
      <c r="B446" s="49" t="s">
        <v>1632</v>
      </c>
      <c r="C446" s="21" t="n">
        <v>3057</v>
      </c>
      <c r="E446" s="30" t="n">
        <v>384</v>
      </c>
      <c r="F446" s="30" t="s">
        <v>143</v>
      </c>
      <c r="G446" s="30" t="s">
        <v>445</v>
      </c>
      <c r="H446" s="30" t="s">
        <v>791</v>
      </c>
      <c r="I446" s="30" t="s">
        <v>92</v>
      </c>
      <c r="J446" s="30" t="n">
        <v>1986</v>
      </c>
      <c r="K446" s="30" t="n">
        <v>1991</v>
      </c>
      <c r="L446" s="30" t="n">
        <v>1994</v>
      </c>
      <c r="M446" s="30"/>
      <c r="N446" s="30" t="n">
        <v>100</v>
      </c>
      <c r="O446" s="22"/>
      <c r="P446" s="23"/>
      <c r="Q446" s="23"/>
      <c r="R446" s="23"/>
      <c r="S446" s="23"/>
      <c r="T446" s="23"/>
      <c r="U446" s="23"/>
      <c r="V446" s="23"/>
      <c r="W446" s="19" t="n">
        <v>38.4</v>
      </c>
      <c r="X446" s="22"/>
      <c r="Y446" s="19" t="n">
        <v>4</v>
      </c>
      <c r="Z446" s="19" t="n">
        <v>5</v>
      </c>
      <c r="AA446" s="24" t="n">
        <f aca="false">IF(AND(W446&gt;0,Z446&gt;0),(Z446/((W446+X446)*10)),"")</f>
        <v>0.0130208333333333</v>
      </c>
      <c r="AB446" s="19" t="n">
        <v>140</v>
      </c>
      <c r="AC446" s="19" t="n">
        <f aca="false">ROUND(AB446*1.6, 0)</f>
        <v>224</v>
      </c>
      <c r="AF446" s="19" t="n">
        <v>22</v>
      </c>
      <c r="AG446" s="19" t="n">
        <v>22</v>
      </c>
      <c r="AH446" s="19" t="n">
        <v>2.7</v>
      </c>
      <c r="AI446" s="19" t="n">
        <v>3.5</v>
      </c>
      <c r="AJ446" s="25" t="n">
        <v>36</v>
      </c>
      <c r="AK446" s="26" t="str">
        <f aca="false">CONCATENATE(VLOOKUP(AL446, '[1]Voxel Sizes'!$A$2:$B$18,2,FALSE()),"x",INT(AH446*15), "x", INT(AI446*15))</f>
        <v>214x40x52</v>
      </c>
      <c r="AL446" s="19" t="n">
        <f aca="false">ROUND(15*((AG446*10)/256),0)</f>
        <v>13</v>
      </c>
      <c r="AN446" s="19" t="str">
        <f aca="false">CONCATENATE(VLOOKUP(AL446,[1]Constants!$A$2:$C$16,IF(AM446&lt;&gt;"", 3, 2), FALSE()),IF(AM446&lt;&gt;"",CONCATENATE(",",VLOOKUP(AM446,$B:$AN,38,FALSE())),""))</f>
        <v>4,5,4</v>
      </c>
      <c r="AP446" s="27"/>
      <c r="AQ446" s="27"/>
      <c r="AX446" s="19" t="n">
        <v>20</v>
      </c>
      <c r="AY446" s="28" t="n">
        <f aca="false">IF(L446&lt;&gt;"",MAX(16,(L446-J446)+8),"")</f>
        <v>16</v>
      </c>
      <c r="AZ446" s="19" t="n">
        <v>-35</v>
      </c>
      <c r="BA446" s="19" t="n">
        <v>-60</v>
      </c>
      <c r="BB446" s="19" t="n">
        <f aca="false">MIN(AB446/150, 1)*30</f>
        <v>28</v>
      </c>
      <c r="BC446" s="19" t="n">
        <f aca="false">MIN(N446/4000, 1)*20</f>
        <v>0.5</v>
      </c>
      <c r="BD446" s="19" t="n">
        <f aca="false">MIN(Z446/400,1)*20</f>
        <v>0.25</v>
      </c>
      <c r="BE446" s="24" t="n">
        <f aca="false">1-(MAX(J446-1900, 0)/750)</f>
        <v>0.885333333333333</v>
      </c>
      <c r="BF446" s="19" t="n">
        <f aca="false">((MAX($M446,1)*MIN($AJ446/300,1)))*IF(G446="Wagon",50,10)</f>
        <v>1.2</v>
      </c>
      <c r="BG446" s="19" t="n">
        <f aca="false">VLOOKUP($H446,[1]Constants!$I$1:$K$1048576, 2, FALSE())</f>
        <v>0.85</v>
      </c>
      <c r="BH446" s="19" t="n">
        <f aca="false">VLOOKUP($H446,[1]Constants!$I$1:$K$1048576, 3, FALSE())*IF(AND(G446="multiple_unit",AB446&lt;110),0.75,1)</f>
        <v>2.3</v>
      </c>
      <c r="BI446" s="19" t="n">
        <f aca="false">INT(POWER((([1]Constants!$G$2+$BB446+$BC446+$BD446+$BF446)*$BE446)*$BH446, 1.05))+$BA446</f>
        <v>28</v>
      </c>
      <c r="BJ446" s="19" t="n">
        <f aca="false">INT(POWER(((([1]Constants!$G$1+$BB446+$BC446+$BD446+$BF446)*($BE446))*$BG446),IF($G446="wagon",1,1.2)))+$AZ446</f>
        <v>33</v>
      </c>
      <c r="BK446" s="29" t="n">
        <f aca="false">BI446*IF($G446="wagon",62.5,781.25)</f>
        <v>21875</v>
      </c>
      <c r="BL446" s="29" t="n">
        <f aca="false">BJ446*IF($G446="wagon",2.73,81.25)</f>
        <v>2681.25</v>
      </c>
      <c r="BM446" s="19" t="n">
        <v>1</v>
      </c>
      <c r="BN446" s="19" t="n">
        <v>1</v>
      </c>
      <c r="BQ446" s="19" t="n">
        <v>1</v>
      </c>
      <c r="BR446" s="19" t="str">
        <f aca="false">_xlfn.ORG.LIBREOFFICE.REGEX(_xlfn.ORG.LIBREOFFICE.REGEX(APTMUVehicles, _xlfn.CONCAT(B446, ",?"), ""), ",$", "")</f>
        <v>apt_half_6,apt_half_6_rev,apt_powercar,apt_half_2,apt_half_2_rev,apt_s_dm,apt_s_10,apt_s_6</v>
      </c>
      <c r="BU446" s="19" t="s">
        <v>1578</v>
      </c>
      <c r="BV446" s="19" t="n">
        <v>7</v>
      </c>
      <c r="BW446" s="19" t="n">
        <v>185</v>
      </c>
      <c r="BZ446" s="19" t="s">
        <v>220</v>
      </c>
      <c r="CA446" s="19" t="str">
        <f aca="false">VLOOKUP(J446,[1]Eras!$A$2:$C$10, 2, TRUE())</f>
        <v>lbr</v>
      </c>
      <c r="CB446" s="30" t="s">
        <v>689</v>
      </c>
      <c r="CC446" s="19" t="str">
        <f aca="false">CONCATENATE(CA446,"_",CB446)</f>
        <v>lbr_Express (Electric)</v>
      </c>
      <c r="CD446" s="19" t="str">
        <f aca="false">_xlfn.CONCAT(H446, "_",I446)</f>
        <v>none_RAIL</v>
      </c>
      <c r="CE446" s="31" t="s">
        <v>1629</v>
      </c>
      <c r="CF446" s="19" t="str">
        <f aca="false">VLOOKUP($CD446, [1]Constants!$M$1:$N$1048576, 2, FALSE())</f>
        <v/>
      </c>
      <c r="CG446" s="19" t="str">
        <f aca="false">IF(M446&gt;1,_xlfn.CONCAT("{BLACK}Cars: {GOLD}", M446),"")</f>
        <v/>
      </c>
      <c r="CH446" s="19" t="s">
        <v>1633</v>
      </c>
      <c r="CJ446" s="19" t="str">
        <f aca="false">IF(BX446="buffet","{YELLOW}25% long distance bonus for consist{}",IF(CA446="BRAKE","{YELLOW}Speed bonus for slow wagons{}",IF(BW446&gt;190,CONCATENATE("{YELLOW}",INT((BW446-185)/1.85),"% bonus for long distance travel{}"),IF(AND(BW446&lt;180,BW446&lt;&gt;0),CONCATENATE("{YELLOW}",INT((185-BW446)/1.85),"% penalty for long distance travel{}"),""))))</f>
        <v/>
      </c>
      <c r="CK446" s="19" t="str">
        <f aca="false">_xlfn.CONCAT(CF446,IF(CF446 &lt;&gt; "", " ", ""),CG446,IF(OR(CG446&lt;&gt;"", CF446&lt;&gt;""), "{}",""), CE446, CJ446,"{SILVER}", CH446)</f>
        <v>{BLACK}Length: {GOLD}0.8 tiles{}{SILVER}The APT-Q was proposed to rationalise existing APT-P stock into usable 6-car tains, with a single non-driving power car and a new-build DVT.</v>
      </c>
    </row>
    <row r="447" s="19" customFormat="true" ht="14.25" hidden="false" customHeight="false" outlineLevel="0" collapsed="false">
      <c r="A447" s="19" t="s">
        <v>1634</v>
      </c>
      <c r="B447" s="20" t="s">
        <v>1635</v>
      </c>
      <c r="C447" s="21" t="n">
        <v>3058</v>
      </c>
      <c r="D447" s="19" t="n">
        <v>3059</v>
      </c>
      <c r="E447" s="19" t="n">
        <v>386</v>
      </c>
      <c r="F447" s="19" t="s">
        <v>143</v>
      </c>
      <c r="G447" s="19" t="s">
        <v>1611</v>
      </c>
      <c r="H447" s="19" t="s">
        <v>791</v>
      </c>
      <c r="I447" s="19" t="s">
        <v>92</v>
      </c>
      <c r="J447" s="19" t="n">
        <v>1986</v>
      </c>
      <c r="K447" s="19" t="n">
        <v>1991</v>
      </c>
      <c r="L447" s="19" t="n">
        <v>1994</v>
      </c>
      <c r="M447" s="19" t="n">
        <v>10</v>
      </c>
      <c r="N447" s="19" t="n">
        <v>10</v>
      </c>
      <c r="O447" s="22"/>
      <c r="P447" s="23"/>
      <c r="Q447" s="23"/>
      <c r="R447" s="23"/>
      <c r="S447" s="23"/>
      <c r="T447" s="23"/>
      <c r="U447" s="23"/>
      <c r="V447" s="23"/>
      <c r="W447" s="30" t="n">
        <v>258.2</v>
      </c>
      <c r="X447" s="22"/>
      <c r="Y447" s="19" t="n">
        <v>4</v>
      </c>
      <c r="Z447" s="19" t="n">
        <v>5</v>
      </c>
      <c r="AA447" s="24" t="n">
        <f aca="false">IF(AND(W447&gt;0,Z447&gt;0),(Z447/((W447+X447)*10)),"")</f>
        <v>0.00193648334624322</v>
      </c>
      <c r="AB447" s="19" t="n">
        <v>140</v>
      </c>
      <c r="AC447" s="19" t="n">
        <f aca="false">ROUND(AB447*1.6, 0)</f>
        <v>224</v>
      </c>
      <c r="AF447" s="19" t="n">
        <v>20.9</v>
      </c>
      <c r="AG447" s="19" t="n">
        <v>20.9</v>
      </c>
      <c r="AH447" s="19" t="n">
        <v>2.7</v>
      </c>
      <c r="AI447" s="19" t="n">
        <v>3.5</v>
      </c>
      <c r="AJ447" s="25" t="n">
        <v>49</v>
      </c>
      <c r="AK447" s="26" t="str">
        <f aca="false">CONCATENATE(VLOOKUP(AL447, '[1]Voxel Sizes'!$A$2:$B$18,2,FALSE()),"x",INT(AH447*15), "x", INT(AI447*15))</f>
        <v>198x40x52</v>
      </c>
      <c r="AL447" s="19" t="n">
        <f aca="false">ROUND(15*((AG447*10)/256),0)</f>
        <v>12</v>
      </c>
      <c r="AN447" s="19" t="str">
        <f aca="false">CONCATENATE(VLOOKUP(AL447,[1]Constants!$A$2:$C$16,IF(AM447&lt;&gt;"", 3, 2), FALSE()),IF(AM447&lt;&gt;"",CONCATENATE(",",VLOOKUP(AM447,$B:$AN,38,FALSE())),""))</f>
        <v>4,4,4</v>
      </c>
      <c r="AP447" s="27"/>
      <c r="AQ447" s="27"/>
      <c r="AR447" s="19" t="s">
        <v>1636</v>
      </c>
      <c r="AT447" s="19" t="s">
        <v>1637</v>
      </c>
      <c r="AU447" s="19" t="s">
        <v>1638</v>
      </c>
      <c r="AX447" s="19" t="n">
        <v>20</v>
      </c>
      <c r="AY447" s="28" t="n">
        <f aca="false">IF(L447&lt;&gt;"",MAX(16,(L447-J447)+8),"")</f>
        <v>16</v>
      </c>
      <c r="AZ447" s="19" t="n">
        <v>-45</v>
      </c>
      <c r="BA447" s="19" t="n">
        <v>-65</v>
      </c>
      <c r="BB447" s="19" t="n">
        <f aca="false">MIN(AB447/150, 1)*30</f>
        <v>28</v>
      </c>
      <c r="BC447" s="19" t="n">
        <f aca="false">MIN(N447/4000, 1)*20</f>
        <v>0.05</v>
      </c>
      <c r="BD447" s="19" t="n">
        <f aca="false">MIN(Z447/400,1)*20</f>
        <v>0.25</v>
      </c>
      <c r="BE447" s="24" t="n">
        <f aca="false">1-(MAX(J447-1900, 0)/750)</f>
        <v>0.885333333333333</v>
      </c>
      <c r="BF447" s="19" t="n">
        <f aca="false">((MAX($M447,1)*MIN($AJ447/300,1)))*IF(G447="Wagon",50,10)</f>
        <v>16.3333333333333</v>
      </c>
      <c r="BG447" s="19" t="n">
        <f aca="false">VLOOKUP($H447,[1]Constants!$I$1:$K$1048576, 2, FALSE())</f>
        <v>0.85</v>
      </c>
      <c r="BH447" s="19" t="n">
        <f aca="false">VLOOKUP($H447,[1]Constants!$I$1:$K$1048576, 3, FALSE())*IF(AND(G447="multiple_unit",AB447&lt;110),0.75,1)</f>
        <v>2.3</v>
      </c>
      <c r="BI447" s="19" t="n">
        <f aca="false">INT(POWER((([1]Constants!$G$2+$BB447+$BC447+$BD447+$BF447)*$BE447)*$BH447, 1.05))+$BA447</f>
        <v>62</v>
      </c>
      <c r="BJ447" s="19" t="n">
        <f aca="false">INT(POWER(((([1]Constants!$G$1+$BB447+$BC447+$BD447+$BF447)*($BE447))*$BG447),IF($G447="wagon",1,1.2)))+$AZ447</f>
        <v>51</v>
      </c>
      <c r="BK447" s="29" t="n">
        <f aca="false">BI447*IF($G447="wagon",62.5,781.25)</f>
        <v>48437.5</v>
      </c>
      <c r="BL447" s="29" t="n">
        <f aca="false">BJ447*IF($G447="wagon",2.73,81.25)</f>
        <v>4143.75</v>
      </c>
      <c r="BP447" s="19" t="n">
        <v>1</v>
      </c>
      <c r="BQ447" s="19" t="n">
        <v>1</v>
      </c>
      <c r="BR447" s="19" t="str">
        <f aca="false">_xlfn.ORG.LIBREOFFICE.REGEX(_xlfn.ORG.LIBREOFFICE.REGEX(APTMUVehicles, _xlfn.CONCAT(B447, ",?"), ""), ",$", "")</f>
        <v>apt_half_6,apt_half_6_rev,apt_powercar,apt_half_2,apt_half_2_rev,apt_q_dvt,apt_s_dm,apt_s_6</v>
      </c>
      <c r="BU447" s="30" t="s">
        <v>1639</v>
      </c>
      <c r="BV447" s="19" t="n">
        <v>7</v>
      </c>
      <c r="BW447" s="19" t="n">
        <v>222</v>
      </c>
      <c r="BZ447" s="19" t="s">
        <v>148</v>
      </c>
      <c r="CA447" s="19" t="str">
        <f aca="false">VLOOKUP(J447,[1]Eras!$A$2:$C$10, 2, TRUE())</f>
        <v>lbr</v>
      </c>
      <c r="CB447" s="30" t="s">
        <v>850</v>
      </c>
      <c r="CC447" s="19" t="str">
        <f aca="false">CONCATENATE(CA447,"_",CB447)</f>
        <v>lbr_EMU (Express)</v>
      </c>
      <c r="CD447" s="19" t="str">
        <f aca="false">_xlfn.CONCAT(H447, "_",I447)</f>
        <v>none_RAIL</v>
      </c>
      <c r="CE447" s="31" t="s">
        <v>1629</v>
      </c>
      <c r="CF447" s="19" t="str">
        <f aca="false">VLOOKUP($CD447, [1]Constants!$M$1:$N$1048576, 2, FALSE())</f>
        <v/>
      </c>
      <c r="CG447" s="19" t="str">
        <f aca="false">IF(M447&gt;1,_xlfn.CONCAT("{BLACK}Cars: {GOLD}", M447),"")</f>
        <v>{BLACK}Cars: {GOLD}10</v>
      </c>
      <c r="CH447" s="19" t="s">
        <v>1640</v>
      </c>
      <c r="CJ447" s="19" t="str">
        <f aca="false">IF(BX447="buffet","{YELLOW}25% long distance bonus for consist{}",IF(CA447="BRAKE","{YELLOW}Speed bonus for slow wagons{}",IF(BW447&gt;190,CONCATENATE("{YELLOW}",INT((BW447-185)/1.85),"% bonus for long distance travel{}"),IF(AND(BW447&lt;180,BW447&lt;&gt;0),CONCATENATE("{YELLOW}",INT((185-BW447)/1.85),"% penalty for long distance travel{}"),""))))</f>
        <v>{YELLOW}20% bonus for long distance travel{}</v>
      </c>
      <c r="CK447" s="19" t="str">
        <f aca="false">_xlfn.CONCAT(CF447,IF(CF447 &lt;&gt; "", " ", ""),CG447,IF(OR(CG447&lt;&gt;"", CF447&lt;&gt;""), "{}",""), CE447, CJ447,"{SILVER}", CH447)</f>
        <v>{BLACK}Cars: {GOLD}10{}{BLACK}Length: {GOLD}0.8 tiles{}{YELLOW}20% bonus for long distance travel{}{SILVER}An articulated trailer rake of APT-S Vehicles, intended to run with a Driving Motor and a DVT but also usable in other weird combinations.</v>
      </c>
    </row>
    <row r="448" s="19" customFormat="true" ht="14.25" hidden="false" customHeight="false" outlineLevel="0" collapsed="false">
      <c r="A448" s="19" t="s">
        <v>1641</v>
      </c>
      <c r="B448" s="20" t="s">
        <v>1642</v>
      </c>
      <c r="C448" s="21" t="n">
        <v>3059</v>
      </c>
      <c r="E448" s="19" t="n">
        <v>388</v>
      </c>
      <c r="F448" s="19" t="s">
        <v>143</v>
      </c>
      <c r="G448" s="19" t="s">
        <v>1611</v>
      </c>
      <c r="H448" s="19" t="s">
        <v>791</v>
      </c>
      <c r="I448" s="19" t="s">
        <v>92</v>
      </c>
      <c r="J448" s="19" t="n">
        <v>1986</v>
      </c>
      <c r="K448" s="19" t="n">
        <v>1991</v>
      </c>
      <c r="L448" s="19" t="n">
        <v>1994</v>
      </c>
      <c r="M448" s="19" t="n">
        <v>6</v>
      </c>
      <c r="N448" s="19" t="n">
        <v>10</v>
      </c>
      <c r="O448" s="22"/>
      <c r="P448" s="23"/>
      <c r="Q448" s="23"/>
      <c r="R448" s="23"/>
      <c r="S448" s="23"/>
      <c r="T448" s="23"/>
      <c r="U448" s="23"/>
      <c r="V448" s="23"/>
      <c r="W448" s="19" t="n">
        <v>209.6</v>
      </c>
      <c r="X448" s="22"/>
      <c r="Y448" s="19" t="n">
        <v>4</v>
      </c>
      <c r="Z448" s="19" t="n">
        <v>5</v>
      </c>
      <c r="AA448" s="24" t="n">
        <f aca="false">IF(AND(W448&gt;0,Z448&gt;0),(Z448/((W448+X448)*10)),"")</f>
        <v>0.00238549618320611</v>
      </c>
      <c r="AB448" s="19" t="n">
        <v>140</v>
      </c>
      <c r="AC448" s="19" t="n">
        <f aca="false">ROUND(AB448*1.6, 0)</f>
        <v>224</v>
      </c>
      <c r="AF448" s="19" t="n">
        <v>20.9</v>
      </c>
      <c r="AG448" s="19" t="n">
        <v>20.9</v>
      </c>
      <c r="AH448" s="19" t="n">
        <v>2.7</v>
      </c>
      <c r="AI448" s="19" t="n">
        <v>3.5</v>
      </c>
      <c r="AJ448" s="25" t="n">
        <v>50</v>
      </c>
      <c r="AK448" s="26" t="str">
        <f aca="false">CONCATENATE(VLOOKUP(AL448, '[1]Voxel Sizes'!$A$2:$B$18,2,FALSE()),"x",INT(AH448*15), "x", INT(AI448*15))</f>
        <v>198x40x52</v>
      </c>
      <c r="AL448" s="19" t="n">
        <f aca="false">ROUND(15*((AG448*10)/256),0)</f>
        <v>12</v>
      </c>
      <c r="AN448" s="19" t="str">
        <f aca="false">CONCATENATE(VLOOKUP(AL448,[1]Constants!$A$2:$C$16,IF(AM448&lt;&gt;"", 3, 2), FALSE()),IF(AM448&lt;&gt;"",CONCATENATE(",",VLOOKUP(AM448,$B:$AN,38,FALSE())),""))</f>
        <v>4,4,4</v>
      </c>
      <c r="AP448" s="27"/>
      <c r="AQ448" s="27"/>
      <c r="AR448" s="19" t="s">
        <v>1643</v>
      </c>
      <c r="AT448" s="19" t="s">
        <v>956</v>
      </c>
      <c r="AU448" s="19" t="s">
        <v>1638</v>
      </c>
      <c r="AX448" s="19" t="n">
        <v>20</v>
      </c>
      <c r="AY448" s="28" t="n">
        <f aca="false">IF(L448&lt;&gt;"",MAX(16,(L448-J448)+8),"")</f>
        <v>16</v>
      </c>
      <c r="AZ448" s="19" t="n">
        <v>-45</v>
      </c>
      <c r="BA448" s="19" t="n">
        <v>-65</v>
      </c>
      <c r="BB448" s="19" t="n">
        <f aca="false">MIN(AB448/150, 1)*30</f>
        <v>28</v>
      </c>
      <c r="BC448" s="19" t="n">
        <f aca="false">MIN(N448/4000, 1)*20</f>
        <v>0.05</v>
      </c>
      <c r="BD448" s="19" t="n">
        <f aca="false">MIN(Z448/400,1)*20</f>
        <v>0.25</v>
      </c>
      <c r="BE448" s="24" t="n">
        <f aca="false">1-(MAX(J448-1900, 0)/750)</f>
        <v>0.885333333333333</v>
      </c>
      <c r="BF448" s="19" t="n">
        <f aca="false">((MAX($M448,1)*MIN($AJ448/300,1)))*IF(G448="Wagon",50,10)</f>
        <v>10</v>
      </c>
      <c r="BG448" s="19" t="n">
        <f aca="false">VLOOKUP($H448,[1]Constants!$I$1:$K$1048576, 2, FALSE())</f>
        <v>0.85</v>
      </c>
      <c r="BH448" s="19" t="n">
        <f aca="false">VLOOKUP($H448,[1]Constants!$I$1:$K$1048576, 3, FALSE())*IF(AND(G448="multiple_unit",AB448&lt;110),0.75,1)</f>
        <v>2.3</v>
      </c>
      <c r="BI448" s="19" t="n">
        <f aca="false">INT(POWER((([1]Constants!$G$2+$BB448+$BC448+$BD448+$BF448)*$BE448)*$BH448, 1.05))+$BA448</f>
        <v>45</v>
      </c>
      <c r="BJ448" s="19" t="n">
        <f aca="false">INT(POWER(((([1]Constants!$G$1+$BB448+$BC448+$BD448+$BF448)*($BE448))*$BG448),IF($G448="wagon",1,1.2)))+$AZ448</f>
        <v>38</v>
      </c>
      <c r="BK448" s="29" t="n">
        <f aca="false">BI448*IF($G448="wagon",62.5,781.25)</f>
        <v>35156.25</v>
      </c>
      <c r="BL448" s="29" t="n">
        <f aca="false">BJ448*IF($G448="wagon",2.73,81.25)</f>
        <v>3087.5</v>
      </c>
      <c r="BP448" s="19" t="n">
        <v>1</v>
      </c>
      <c r="BQ448" s="19" t="n">
        <v>1</v>
      </c>
      <c r="BR448" s="19" t="str">
        <f aca="false">_xlfn.ORG.LIBREOFFICE.REGEX(_xlfn.ORG.LIBREOFFICE.REGEX(APTMUVehicles, _xlfn.CONCAT(B448, ",?"), ""), ",$", "")</f>
        <v>apt_half_6,apt_half_6_rev,apt_powercar,apt_half_2,apt_half_2_rev,apt_q_dvt,apt_s_dm,apt_s_10</v>
      </c>
      <c r="BU448" s="30" t="s">
        <v>1644</v>
      </c>
      <c r="BV448" s="19" t="n">
        <v>7</v>
      </c>
      <c r="BW448" s="19" t="n">
        <v>222</v>
      </c>
      <c r="BZ448" s="19" t="s">
        <v>148</v>
      </c>
      <c r="CA448" s="19" t="str">
        <f aca="false">VLOOKUP(J448,[1]Eras!$A$2:$C$10, 2, TRUE())</f>
        <v>lbr</v>
      </c>
      <c r="CB448" s="30" t="s">
        <v>850</v>
      </c>
      <c r="CC448" s="19" t="str">
        <f aca="false">CONCATENATE(CA448,"_",CB448)</f>
        <v>lbr_EMU (Express)</v>
      </c>
      <c r="CD448" s="19" t="str">
        <f aca="false">_xlfn.CONCAT(H448, "_",I448)</f>
        <v>none_RAIL</v>
      </c>
      <c r="CE448" s="31" t="s">
        <v>1629</v>
      </c>
      <c r="CF448" s="19" t="str">
        <f aca="false">VLOOKUP($CD448, [1]Constants!$M$1:$N$1048576, 2, FALSE())</f>
        <v/>
      </c>
      <c r="CG448" s="19" t="str">
        <f aca="false">IF(M448&gt;1,_xlfn.CONCAT("{BLACK}Cars: {GOLD}", M448),"")</f>
        <v>{BLACK}Cars: {GOLD}6</v>
      </c>
      <c r="CH448" s="19" t="s">
        <v>1640</v>
      </c>
      <c r="CJ448" s="19" t="str">
        <f aca="false">IF(BX448="buffet","{YELLOW}25% long distance bonus for consist{}",IF(CA448="BRAKE","{YELLOW}Speed bonus for slow wagons{}",IF(BW448&gt;190,CONCATENATE("{YELLOW}",INT((BW448-185)/1.85),"% bonus for long distance travel{}"),IF(AND(BW448&lt;180,BW448&lt;&gt;0),CONCATENATE("{YELLOW}",INT((185-BW448)/1.85),"% penalty for long distance travel{}"),""))))</f>
        <v>{YELLOW}20% bonus for long distance travel{}</v>
      </c>
      <c r="CK448" s="19" t="str">
        <f aca="false">_xlfn.CONCAT(CF448,IF(CF448 &lt;&gt; "", " ", ""),CG448,IF(OR(CG448&lt;&gt;"", CF448&lt;&gt;""), "{}",""), CE448, CJ448,"{SILVER}", CH448)</f>
        <v>{BLACK}Cars: {GOLD}6{}{BLACK}Length: {GOLD}0.8 tiles{}{YELLOW}20% bonus for long distance travel{}{SILVER}An articulated trailer rake of APT-S Vehicles, intended to run with a Driving Motor and a DVT but also usable in other weird combinations.</v>
      </c>
    </row>
    <row r="449" s="19" customFormat="true" ht="14.25" hidden="false" customHeight="false" outlineLevel="0" collapsed="false">
      <c r="A449" s="19" t="s">
        <v>1645</v>
      </c>
      <c r="B449" s="20" t="s">
        <v>1646</v>
      </c>
      <c r="C449" s="21" t="n">
        <v>3060</v>
      </c>
      <c r="E449" s="19" t="n">
        <v>392</v>
      </c>
      <c r="F449" s="19" t="s">
        <v>143</v>
      </c>
      <c r="G449" s="19" t="s">
        <v>445</v>
      </c>
      <c r="H449" s="19" t="s">
        <v>670</v>
      </c>
      <c r="I449" s="19" t="s">
        <v>92</v>
      </c>
      <c r="J449" s="19" t="n">
        <v>1986</v>
      </c>
      <c r="K449" s="19" t="n">
        <v>2026</v>
      </c>
      <c r="L449" s="19" t="n">
        <v>2031</v>
      </c>
      <c r="N449" s="19" t="n">
        <v>2250</v>
      </c>
      <c r="O449" s="22"/>
      <c r="P449" s="23"/>
      <c r="Q449" s="23"/>
      <c r="R449" s="23"/>
      <c r="S449" s="23"/>
      <c r="T449" s="23"/>
      <c r="U449" s="23"/>
      <c r="V449" s="23"/>
      <c r="W449" s="19" t="n">
        <v>71.5</v>
      </c>
      <c r="X449" s="22"/>
      <c r="Z449" s="19" t="n">
        <v>180</v>
      </c>
      <c r="AA449" s="24" t="n">
        <f aca="false">IF(AND(W449&gt;0,Z449&gt;0),(Z449/((W449+X449)*10)),"")</f>
        <v>0.251748251748252</v>
      </c>
      <c r="AB449" s="19" t="n">
        <v>125</v>
      </c>
      <c r="AC449" s="19" t="n">
        <f aca="false">ROUND(AB449*1.6, 0)</f>
        <v>200</v>
      </c>
      <c r="AF449" s="19" t="n">
        <v>17.79</v>
      </c>
      <c r="AG449" s="19" t="n">
        <v>17.79</v>
      </c>
      <c r="AJ449" s="25" t="n">
        <v>0</v>
      </c>
      <c r="AK449" s="26" t="str">
        <f aca="false">CONCATENATE(VLOOKUP(AL449, '[1]Voxel Sizes'!$A$2:$B$18,2,FALSE()),"x",INT(AH449*15), "x", INT(AI449*15))</f>
        <v>164x0x0</v>
      </c>
      <c r="AL449" s="19" t="n">
        <f aca="false">ROUND(15*((AG449*10)/256),0)</f>
        <v>10</v>
      </c>
      <c r="AN449" s="19" t="str">
        <f aca="false">CONCATENATE(VLOOKUP(AL449,[1]Constants!$A$2:$C$16,IF(AM449&lt;&gt;"", 3, 2), FALSE()),IF(AM449&lt;&gt;"",CONCATENATE(",",VLOOKUP(AM449,$B:$AN,38,FALSE())),""))</f>
        <v>4,2,4</v>
      </c>
      <c r="AP449" s="27"/>
      <c r="AQ449" s="27"/>
      <c r="AX449" s="19" t="n">
        <v>35</v>
      </c>
      <c r="AY449" s="28" t="n">
        <f aca="false">IF(L449&lt;&gt;"",MAX(16,(L449-J449)+8),"")</f>
        <v>53</v>
      </c>
      <c r="BB449" s="19" t="n">
        <f aca="false">MIN(AB449/150, 1)*30</f>
        <v>25</v>
      </c>
      <c r="BC449" s="19" t="n">
        <f aca="false">MIN(N449/4000, 1)*20</f>
        <v>11.25</v>
      </c>
      <c r="BD449" s="19" t="n">
        <f aca="false">MIN(Z449/400,1)*20</f>
        <v>9</v>
      </c>
      <c r="BE449" s="24" t="n">
        <f aca="false">1-(MAX(J449-1900, 0)/750)</f>
        <v>0.885333333333333</v>
      </c>
      <c r="BF449" s="19" t="n">
        <f aca="false">((MAX($M449,1)*MIN($AJ449/300,1)))*IF(G449="Wagon",50,10)</f>
        <v>0</v>
      </c>
      <c r="BG449" s="19" t="n">
        <f aca="false">VLOOKUP($H449,[1]Constants!$I$1:$K$1048576, 2, FALSE())</f>
        <v>1</v>
      </c>
      <c r="BH449" s="19" t="n">
        <f aca="false">VLOOKUP($H449,[1]Constants!$I$1:$K$1048576, 3, FALSE())*IF(AND(G449="multiple_unit",AB449&lt;110),0.75,1)</f>
        <v>2</v>
      </c>
      <c r="BI449" s="19" t="n">
        <f aca="false">INT(POWER((([1]Constants!$G$2+$BB449+$BC449+$BD449+$BF449)*$BE449)*$BH449, 1.05))+$BA449</f>
        <v>111</v>
      </c>
      <c r="BJ449" s="19" t="n">
        <f aca="false">INT(POWER(((([1]Constants!$G$1+$BB449+$BC449+$BD449+$BF449)*($BE449))*$BG449),IF($G449="wagon",1,1.2)))+$AZ449</f>
        <v>118</v>
      </c>
      <c r="BK449" s="29" t="n">
        <f aca="false">BI449*IF($G449="wagon",62.5,781.25)</f>
        <v>86718.75</v>
      </c>
      <c r="BL449" s="29" t="n">
        <f aca="false">BJ449*IF($G449="wagon",2.73,81.25)</f>
        <v>9587.5</v>
      </c>
      <c r="BM449" s="19" t="n">
        <v>1</v>
      </c>
      <c r="BN449" s="19" t="n">
        <v>1</v>
      </c>
      <c r="BV449" s="19" t="n">
        <v>2</v>
      </c>
      <c r="CA449" s="19" t="str">
        <f aca="false">VLOOKUP(J449,[1]Eras!$A$2:$C$10, 2, TRUE())</f>
        <v>lbr</v>
      </c>
      <c r="CB449" s="30" t="s">
        <v>474</v>
      </c>
      <c r="CC449" s="19" t="str">
        <f aca="false">CONCATENATE(CA449,"_",CB449)</f>
        <v>lbr_Express</v>
      </c>
      <c r="CD449" s="19" t="str">
        <f aca="false">_xlfn.CONCAT(H449, "_",I449)</f>
        <v>diesel_RAIL</v>
      </c>
      <c r="CE449" s="31" t="s">
        <v>1629</v>
      </c>
      <c r="CF449" s="19" t="str">
        <f aca="false">VLOOKUP($CD449, [1]Constants!$M$1:$N$1048576, 2, FALSE())</f>
        <v>{BLACK}Powered by: {GOLD}Diesel</v>
      </c>
      <c r="CG449" s="19" t="str">
        <f aca="false">IF(M449&gt;1,_xlfn.CONCAT("{BLACK}Cars: {GOLD}", M449),"")</f>
        <v/>
      </c>
      <c r="CH449" s="19" t="s">
        <v>1647</v>
      </c>
      <c r="CJ449" s="19" t="str">
        <f aca="false">IF(BX449="buffet","{YELLOW}25% long distance bonus for consist{}",IF(CA449="BRAKE","{YELLOW}Speed bonus for slow wagons{}",IF(BW449&gt;190,CONCATENATE("{YELLOW}",INT((BW449-185)/1.85),"% bonus for long distance travel{}"),IF(AND(BW449&lt;180,BW449&lt;&gt;0),CONCATENATE("{YELLOW}",INT((185-BW449)/1.85),"% penalty for long distance travel{}"),""))))</f>
        <v/>
      </c>
      <c r="CK449" s="19" t="str">
        <f aca="false">_xlfn.CONCAT(CF449,IF(CF449 &lt;&gt; "", " ", ""),CG449,IF(OR(CG449&lt;&gt;"", CF449&lt;&gt;""), "{}",""), CE449, CJ449,"{SILVER}", CH449)</f>
        <v>{BLACK}Powered by: {GOLD}Diesel {}{BLACK}Length: {GOLD}0.8 tiles{}{SILVER}To facilitate the testing and introduction of the Class 91 fleet prior to the availability of Mark 4 Driving Van Trailers, 8 HST Power Cars were converted to act as control vehicles for electric locomotives.</v>
      </c>
    </row>
    <row r="450" s="19" customFormat="true" ht="14.25" hidden="false" customHeight="false" outlineLevel="0" collapsed="false">
      <c r="A450" s="19" t="s">
        <v>1648</v>
      </c>
      <c r="B450" s="20" t="s">
        <v>1649</v>
      </c>
      <c r="C450" s="21" t="n">
        <v>3061</v>
      </c>
      <c r="E450" s="19" t="n">
        <v>394</v>
      </c>
      <c r="F450" s="19" t="s">
        <v>143</v>
      </c>
      <c r="G450" s="19" t="s">
        <v>445</v>
      </c>
      <c r="H450" s="19" t="s">
        <v>791</v>
      </c>
      <c r="I450" s="19" t="s">
        <v>92</v>
      </c>
      <c r="J450" s="19" t="n">
        <v>1986</v>
      </c>
      <c r="K450" s="19" t="n">
        <v>1991</v>
      </c>
      <c r="N450" s="19" t="n">
        <v>100</v>
      </c>
      <c r="O450" s="22"/>
      <c r="P450" s="23"/>
      <c r="Q450" s="23"/>
      <c r="R450" s="23"/>
      <c r="S450" s="23"/>
      <c r="T450" s="23"/>
      <c r="U450" s="23"/>
      <c r="V450" s="23"/>
      <c r="W450" s="19" t="n">
        <v>35</v>
      </c>
      <c r="X450" s="22"/>
      <c r="Y450" s="19" t="n">
        <v>4</v>
      </c>
      <c r="Z450" s="19" t="n">
        <v>5</v>
      </c>
      <c r="AA450" s="24" t="n">
        <f aca="false">IF(AND(W450&gt;0,Z450&gt;0),(Z450/((W450+X450)*10)),"")</f>
        <v>0.0142857142857143</v>
      </c>
      <c r="AB450" s="19" t="n">
        <v>125</v>
      </c>
      <c r="AC450" s="19" t="n">
        <f aca="false">ROUND(AB450*1.6, 0)</f>
        <v>200</v>
      </c>
      <c r="AF450" s="19" t="n">
        <v>23</v>
      </c>
      <c r="AG450" s="19" t="n">
        <v>23</v>
      </c>
      <c r="AJ450" s="25" t="n">
        <v>45</v>
      </c>
      <c r="AK450" s="26" t="str">
        <f aca="false">CONCATENATE(VLOOKUP(AL450, '[1]Voxel Sizes'!$A$2:$B$18,2,FALSE()),"x",INT(AH450*15), "x", INT(AI450*15))</f>
        <v>214x0x0</v>
      </c>
      <c r="AL450" s="19" t="n">
        <f aca="false">ROUND(15*((AG450*10)/256),0)</f>
        <v>13</v>
      </c>
      <c r="AN450" s="19" t="str">
        <f aca="false">CONCATENATE(VLOOKUP(AL450,[1]Constants!$A$2:$C$16,IF(AM450&lt;&gt;"", 3, 2), FALSE()),IF(AM450&lt;&gt;"",CONCATENATE(",",VLOOKUP(AM450,$B:$AN,38,FALSE())),""))</f>
        <v>4,5,4</v>
      </c>
      <c r="AP450" s="27"/>
      <c r="AQ450" s="27"/>
      <c r="AX450" s="19" t="n">
        <v>27</v>
      </c>
      <c r="AY450" s="28" t="str">
        <f aca="false">IF(L450&lt;&gt;"",MAX(16,(L450-J450)+8),"")</f>
        <v/>
      </c>
      <c r="AZ450" s="19" t="n">
        <v>-15</v>
      </c>
      <c r="BA450" s="19" t="n">
        <v>-60</v>
      </c>
      <c r="BB450" s="19" t="n">
        <f aca="false">MIN(AB450/150, 1)*30</f>
        <v>25</v>
      </c>
      <c r="BC450" s="19" t="n">
        <f aca="false">MIN(N450/4000, 1)*20</f>
        <v>0.5</v>
      </c>
      <c r="BD450" s="19" t="n">
        <f aca="false">MIN(Z450/400,1)*20</f>
        <v>0.25</v>
      </c>
      <c r="BE450" s="24" t="n">
        <f aca="false">1-(MAX(J450-1900, 0)/750)</f>
        <v>0.885333333333333</v>
      </c>
      <c r="BF450" s="19" t="n">
        <f aca="false">((MAX($M450,1)*MIN($AJ450/300,1)))*IF(G450="Wagon",50,10)</f>
        <v>1.5</v>
      </c>
      <c r="BG450" s="19" t="n">
        <f aca="false">VLOOKUP($H450,[1]Constants!$I$1:$K$1048576, 2, FALSE())</f>
        <v>0.85</v>
      </c>
      <c r="BH450" s="19" t="n">
        <f aca="false">VLOOKUP($H450,[1]Constants!$I$1:$K$1048576, 3, FALSE())*IF(AND(G450="multiple_unit",AB450&lt;110),0.75,1)</f>
        <v>2.3</v>
      </c>
      <c r="BI450" s="19" t="n">
        <v>20</v>
      </c>
      <c r="BJ450" s="19" t="n">
        <f aca="false">INT(POWER(((([1]Constants!$G$1+$BB450+$BC450+$BD450+$BF450)*($BE450))*$BG450),IF($G450="wagon",1,1.2)))+$AZ450</f>
        <v>48</v>
      </c>
      <c r="BK450" s="29" t="n">
        <f aca="false">BI450*IF($G450="wagon",62.5,781.25)</f>
        <v>15625</v>
      </c>
      <c r="BL450" s="29" t="n">
        <f aca="false">BJ450*IF($G450="wagon",2.73,81.25)</f>
        <v>3900</v>
      </c>
      <c r="BM450" s="19" t="n">
        <v>1</v>
      </c>
      <c r="BN450" s="19" t="n">
        <v>1</v>
      </c>
      <c r="BU450" s="19" t="s">
        <v>1578</v>
      </c>
      <c r="BV450" s="19" t="n">
        <v>7</v>
      </c>
      <c r="BW450" s="19" t="n">
        <v>205</v>
      </c>
      <c r="BY450" s="19" t="s">
        <v>147</v>
      </c>
      <c r="BZ450" s="19" t="s">
        <v>148</v>
      </c>
      <c r="CA450" s="19" t="str">
        <f aca="false">VLOOKUP(J450,[1]Eras!$A$2:$C$10, 2, TRUE())</f>
        <v>lbr</v>
      </c>
      <c r="CB450" s="30" t="s">
        <v>474</v>
      </c>
      <c r="CC450" s="19" t="str">
        <f aca="false">CONCATENATE(CA450,"_",CB450)</f>
        <v>lbr_Express</v>
      </c>
      <c r="CD450" s="19" t="str">
        <f aca="false">_xlfn.CONCAT(H450, "_",I450)</f>
        <v>none_RAIL</v>
      </c>
      <c r="CE450" s="31" t="s">
        <v>1629</v>
      </c>
      <c r="CG450" s="19" t="str">
        <f aca="false">IF(M450&gt;1,_xlfn.CONCAT("{BLACK}Cars: {GOLD}", M450),"")</f>
        <v/>
      </c>
      <c r="CH450" s="19" t="s">
        <v>1650</v>
      </c>
      <c r="CJ450" s="19" t="str">
        <f aca="false">IF(BX450="buffet","{YELLOW}25% long distance bonus for consist{}",IF(CA450="BRAKE","{YELLOW}Speed bonus for slow wagons{}",IF(BW450&gt;190,CONCATENATE("{YELLOW}",INT((BW450-185)/1.85),"% bonus for long distance travel{}"),IF(AND(BW450&lt;180,BW450&lt;&gt;0),CONCATENATE("{YELLOW}",INT((185-BW450)/1.85),"% penalty for long distance travel{}"),""))))</f>
        <v>{YELLOW}10% bonus for long distance travel{}</v>
      </c>
      <c r="CK450" s="19" t="str">
        <f aca="false">_xlfn.CONCAT(CF450,IF(CF450 &lt;&gt; "", " ", ""),CG450,IF(OR(CG450&lt;&gt;"", CF450&lt;&gt;""), "{}",""), CE450, CJ450,"{SILVER}", CH450)</f>
        <v>{BLACK}Length: {GOLD}0.8 tiles{}{YELLOW}10% bonus for long distance travel{}{SILVER}A conversion of the Mk3 coach to incorporate a driving cab was proposed before the Polmont derailment put a stop to the idea of having passengers in the leading vehicle of locomotive-propelled trains.</v>
      </c>
    </row>
    <row r="451" s="19" customFormat="true" ht="14.25" hidden="false" customHeight="false" outlineLevel="0" collapsed="false">
      <c r="A451" s="19" t="s">
        <v>1651</v>
      </c>
      <c r="B451" s="20" t="s">
        <v>1652</v>
      </c>
      <c r="C451" s="21" t="n">
        <v>3062</v>
      </c>
      <c r="D451" s="19" t="n">
        <v>3061</v>
      </c>
      <c r="E451" s="19" t="n">
        <v>396</v>
      </c>
      <c r="F451" s="19" t="s">
        <v>143</v>
      </c>
      <c r="G451" s="19" t="s">
        <v>445</v>
      </c>
      <c r="H451" s="19" t="s">
        <v>791</v>
      </c>
      <c r="I451" s="19" t="s">
        <v>92</v>
      </c>
      <c r="J451" s="19" t="n">
        <v>1986</v>
      </c>
      <c r="K451" s="19" t="n">
        <v>1991</v>
      </c>
      <c r="N451" s="19" t="n">
        <v>100</v>
      </c>
      <c r="O451" s="22"/>
      <c r="P451" s="23"/>
      <c r="Q451" s="23"/>
      <c r="R451" s="23"/>
      <c r="S451" s="23"/>
      <c r="T451" s="23"/>
      <c r="U451" s="23"/>
      <c r="V451" s="23"/>
      <c r="W451" s="19" t="n">
        <v>40</v>
      </c>
      <c r="X451" s="22"/>
      <c r="Z451" s="19" t="n">
        <v>5</v>
      </c>
      <c r="AA451" s="24" t="n">
        <f aca="false">IF(AND(W451&gt;0,Z451&gt;0),(Z451/((W451+X451)*10)),"")</f>
        <v>0.0125</v>
      </c>
      <c r="AB451" s="19" t="n">
        <v>125</v>
      </c>
      <c r="AC451" s="19" t="n">
        <f aca="false">ROUND(AB451*1.6, 0)</f>
        <v>200</v>
      </c>
      <c r="AF451" s="19" t="n">
        <v>17.79</v>
      </c>
      <c r="AG451" s="19" t="n">
        <v>17.79</v>
      </c>
      <c r="AJ451" s="25" t="n">
        <v>36</v>
      </c>
      <c r="AK451" s="26" t="str">
        <f aca="false">CONCATENATE(VLOOKUP(AL451, '[1]Voxel Sizes'!$A$2:$B$18,2,FALSE()),"x",INT(AH451*15), "x", INT(AI451*15))</f>
        <v>164x0x0</v>
      </c>
      <c r="AL451" s="19" t="n">
        <f aca="false">ROUND(15*((AG451*10)/256),0)</f>
        <v>10</v>
      </c>
      <c r="AN451" s="19" t="str">
        <f aca="false">CONCATENATE(VLOOKUP(AL451,[1]Constants!$A$2:$C$16,IF(AM451&lt;&gt;"", 3, 2), FALSE()),IF(AM451&lt;&gt;"",CONCATENATE(",",VLOOKUP(AM451,$B:$AN,38,FALSE())),""))</f>
        <v>4,2,4</v>
      </c>
      <c r="AP451" s="27"/>
      <c r="AQ451" s="27"/>
      <c r="AX451" s="19" t="n">
        <v>27</v>
      </c>
      <c r="AY451" s="28" t="str">
        <f aca="false">IF(L451&lt;&gt;"",MAX(16,(L451-J451)+8),"")</f>
        <v/>
      </c>
      <c r="AZ451" s="19" t="n">
        <v>-15</v>
      </c>
      <c r="BA451" s="19" t="n">
        <v>-55</v>
      </c>
      <c r="BB451" s="19" t="n">
        <f aca="false">MIN(AB451/150, 1)*30</f>
        <v>25</v>
      </c>
      <c r="BC451" s="19" t="n">
        <f aca="false">MIN(N451/4000, 1)*20</f>
        <v>0.5</v>
      </c>
      <c r="BD451" s="19" t="n">
        <f aca="false">MIN(Z451/400,1)*20</f>
        <v>0.25</v>
      </c>
      <c r="BE451" s="24" t="n">
        <f aca="false">1-(MAX(J451-1900, 0)/750)</f>
        <v>0.885333333333333</v>
      </c>
      <c r="BF451" s="19" t="n">
        <f aca="false">((MAX($M451,1)*MIN($AJ451/300,1)))*IF(G451="Wagon",50,10)</f>
        <v>1.2</v>
      </c>
      <c r="BG451" s="19" t="n">
        <f aca="false">VLOOKUP($H451,[1]Constants!$I$1:$K$1048576, 2, FALSE())</f>
        <v>0.85</v>
      </c>
      <c r="BH451" s="19" t="n">
        <f aca="false">VLOOKUP($H451,[1]Constants!$I$1:$K$1048576, 3, FALSE())*IF(AND(G451="multiple_unit",AB451&lt;110),0.75,1)</f>
        <v>2.3</v>
      </c>
      <c r="BI451" s="19" t="n">
        <v>25</v>
      </c>
      <c r="BJ451" s="19" t="n">
        <f aca="false">INT(POWER(((([1]Constants!$G$1+$BB451+$BC451+$BD451+$BF451)*($BE451))*$BG451),IF($G451="wagon",1,1.2)))+$AZ451</f>
        <v>47</v>
      </c>
      <c r="BK451" s="29" t="n">
        <f aca="false">BI451*IF($G451="wagon",62.5,781.25)</f>
        <v>19531.25</v>
      </c>
      <c r="BL451" s="29" t="n">
        <f aca="false">BJ451*IF($G451="wagon",2.73,81.25)</f>
        <v>3818.75</v>
      </c>
      <c r="BM451" s="19" t="n">
        <v>1</v>
      </c>
      <c r="BN451" s="19" t="n">
        <v>1</v>
      </c>
      <c r="BU451" s="19" t="s">
        <v>1578</v>
      </c>
      <c r="BV451" s="19" t="n">
        <v>7</v>
      </c>
      <c r="BY451" s="19" t="s">
        <v>219</v>
      </c>
      <c r="BZ451" s="19" t="s">
        <v>220</v>
      </c>
      <c r="CA451" s="19" t="str">
        <f aca="false">VLOOKUP(J451,[1]Eras!$A$2:$C$10, 2, TRUE())</f>
        <v>lbr</v>
      </c>
      <c r="CB451" s="30" t="s">
        <v>474</v>
      </c>
      <c r="CC451" s="19" t="str">
        <f aca="false">CONCATENATE(CA451,"_",CB451)</f>
        <v>lbr_Express</v>
      </c>
      <c r="CD451" s="19" t="str">
        <f aca="false">_xlfn.CONCAT(H451, "_",I451)</f>
        <v>none_RAIL</v>
      </c>
      <c r="CE451" s="31" t="s">
        <v>1629</v>
      </c>
      <c r="CG451" s="19" t="str">
        <f aca="false">IF(M451&gt;1,_xlfn.CONCAT("{BLACK}Cars: {GOLD}", M451),"")</f>
        <v/>
      </c>
      <c r="CH451" s="19" t="s">
        <v>1653</v>
      </c>
      <c r="CJ451" s="19" t="str">
        <f aca="false">IF(BX451="buffet","{YELLOW}25% long distance bonus for consist{}",IF(CA451="BRAKE","{YELLOW}Speed bonus for slow wagons{}",IF(BW451&gt;190,CONCATENATE("{YELLOW}",INT((BW451-185)/1.85),"% bonus for long distance travel{}"),IF(AND(BW451&lt;180,BW451&lt;&gt;0),CONCATENATE("{YELLOW}",INT((185-BW451)/1.85),"% penalty for long distance travel{}"),""))))</f>
        <v/>
      </c>
      <c r="CK451" s="19" t="str">
        <f aca="false">_xlfn.CONCAT(CF451,IF(CF451 &lt;&gt; "", " ", ""),CG451,IF(OR(CG451&lt;&gt;"", CF451&lt;&gt;""), "{}",""), CE451, CJ451,"{SILVER}", CH451)</f>
        <v>{BLACK}Length: {GOLD}0.8 tiles{}{SILVER}A depowered Class 43, proposed as a conversion from surplus power cars and now suitable for carrying baggage.</v>
      </c>
    </row>
    <row r="452" s="19" customFormat="true" ht="14.25" hidden="false" customHeight="false" outlineLevel="0" collapsed="false">
      <c r="A452" s="19" t="s">
        <v>1654</v>
      </c>
      <c r="B452" s="20" t="s">
        <v>1655</v>
      </c>
      <c r="C452" s="21" t="n">
        <v>3063</v>
      </c>
      <c r="E452" s="19" t="n">
        <v>398</v>
      </c>
      <c r="F452" s="19" t="s">
        <v>143</v>
      </c>
      <c r="G452" s="19" t="s">
        <v>445</v>
      </c>
      <c r="H452" s="19" t="s">
        <v>801</v>
      </c>
      <c r="I452" s="19" t="s">
        <v>530</v>
      </c>
      <c r="J452" s="19" t="n">
        <v>1986</v>
      </c>
      <c r="K452" s="19" t="n">
        <v>2026</v>
      </c>
      <c r="L452" s="19" t="n">
        <v>2031</v>
      </c>
      <c r="N452" s="19" t="n">
        <v>2750</v>
      </c>
      <c r="O452" s="22"/>
      <c r="P452" s="23"/>
      <c r="Q452" s="23"/>
      <c r="R452" s="23"/>
      <c r="S452" s="23"/>
      <c r="T452" s="23"/>
      <c r="U452" s="23"/>
      <c r="V452" s="23"/>
      <c r="W452" s="19" t="n">
        <v>74</v>
      </c>
      <c r="X452" s="22"/>
      <c r="Z452" s="19" t="n">
        <v>180</v>
      </c>
      <c r="AA452" s="24" t="n">
        <f aca="false">IF(AND(W452&gt;0,Z452&gt;0),(Z452/((W452+X452)*10)),"")</f>
        <v>0.243243243243243</v>
      </c>
      <c r="AB452" s="19" t="n">
        <v>125</v>
      </c>
      <c r="AC452" s="19" t="n">
        <f aca="false">ROUND(AB452*1.6, 0)</f>
        <v>200</v>
      </c>
      <c r="AF452" s="19" t="n">
        <v>17.79</v>
      </c>
      <c r="AG452" s="19" t="n">
        <v>17.79</v>
      </c>
      <c r="AJ452" s="25" t="n">
        <v>0</v>
      </c>
      <c r="AK452" s="26" t="str">
        <f aca="false">CONCATENATE(VLOOKUP(AL452, '[1]Voxel Sizes'!$A$2:$B$18,2,FALSE()),"x",INT(AH452*15), "x", INT(AI452*15))</f>
        <v>164x0x0</v>
      </c>
      <c r="AL452" s="19" t="n">
        <f aca="false">ROUND(15*((AG452*10)/256),0)</f>
        <v>10</v>
      </c>
      <c r="AN452" s="19" t="str">
        <f aca="false">CONCATENATE(VLOOKUP(AL452,[1]Constants!$A$2:$C$16,IF(AM452&lt;&gt;"", 3, 2), FALSE()),IF(AM452&lt;&gt;"",CONCATENATE(",",VLOOKUP(AM452,$B:$AN,38,FALSE())),""))</f>
        <v>4,2,4</v>
      </c>
      <c r="AP452" s="27"/>
      <c r="AQ452" s="27"/>
      <c r="AS452" s="19" t="s">
        <v>1655</v>
      </c>
      <c r="AX452" s="19" t="n">
        <v>35</v>
      </c>
      <c r="AY452" s="28" t="n">
        <f aca="false">IF(L452&lt;&gt;"",MAX(16,(L452-J452)+8),"")</f>
        <v>53</v>
      </c>
      <c r="BB452" s="19" t="n">
        <f aca="false">MIN(AB452/150, 1)*30</f>
        <v>25</v>
      </c>
      <c r="BC452" s="19" t="n">
        <f aca="false">MIN(N452/4000, 1)*20</f>
        <v>13.75</v>
      </c>
      <c r="BD452" s="19" t="n">
        <f aca="false">MIN(Z452/400,1)*20</f>
        <v>9</v>
      </c>
      <c r="BE452" s="24" t="n">
        <f aca="false">1-(MAX(J452-1900, 0)/750)</f>
        <v>0.885333333333333</v>
      </c>
      <c r="BF452" s="19" t="n">
        <f aca="false">((MAX($M452,1)*MIN($AJ452/300,1)))*IF(G452="Wagon",50,10)</f>
        <v>0</v>
      </c>
      <c r="BG452" s="19" t="n">
        <f aca="false">VLOOKUP($H452,[1]Constants!$I$1:$K$1048576, 2, FALSE())</f>
        <v>0.85</v>
      </c>
      <c r="BH452" s="19" t="n">
        <f aca="false">VLOOKUP($H452,[1]Constants!$I$1:$K$1048576, 3, FALSE())*IF(AND(G452="multiple_unit",AB452&lt;110),0.75,1)</f>
        <v>2.4</v>
      </c>
      <c r="BI452" s="19" t="n">
        <f aca="false">INT(POWER((([1]Constants!$G$2+$BB452+$BC452+$BD452+$BF452)*$BE452)*$BH452, 1.05))+$BA452</f>
        <v>141</v>
      </c>
      <c r="BJ452" s="19" t="n">
        <f aca="false">INT(POWER(((([1]Constants!$G$1+$BB452+$BC452+$BD452+$BF452)*($BE452))*$BG452),IF($G452="wagon",1,1.2)))+$AZ452</f>
        <v>102</v>
      </c>
      <c r="BK452" s="29" t="n">
        <f aca="false">BI452*IF($G452="wagon",62.5,781.25)</f>
        <v>110156.25</v>
      </c>
      <c r="BL452" s="29" t="n">
        <f aca="false">BJ452*IF($G452="wagon",2.73,81.25)</f>
        <v>8287.5</v>
      </c>
      <c r="BM452" s="19" t="n">
        <v>1</v>
      </c>
      <c r="BN452" s="19" t="n">
        <v>1</v>
      </c>
      <c r="BU452" s="19" t="s">
        <v>1578</v>
      </c>
      <c r="BV452" s="19" t="n">
        <v>2</v>
      </c>
      <c r="CA452" s="19" t="str">
        <f aca="false">VLOOKUP(J452,[1]Eras!$A$2:$C$10, 2, TRUE())</f>
        <v>lbr</v>
      </c>
      <c r="CB452" s="30" t="s">
        <v>689</v>
      </c>
      <c r="CC452" s="19" t="str">
        <f aca="false">CONCATENATE(CA452,"_",CB452)</f>
        <v>lbr_Express (Electric)</v>
      </c>
      <c r="CD452" s="19" t="str">
        <f aca="false">_xlfn.CONCAT(H452, "_",I452)</f>
        <v>dual_electric_ELRL</v>
      </c>
      <c r="CE452" s="31" t="s">
        <v>1629</v>
      </c>
      <c r="CF452" s="19" t="str">
        <f aca="false">VLOOKUP($CD452, [1]Constants!$M$1:$N$1048576, 2, FALSE())</f>
        <v>{BLACK}Powered by: {GOLD}25kV AC</v>
      </c>
      <c r="CG452" s="19" t="str">
        <f aca="false">IF(M452&gt;1,_xlfn.CONCAT("{BLACK}Cars: {GOLD}", M452),"")</f>
        <v/>
      </c>
      <c r="CH452" s="19" t="s">
        <v>1656</v>
      </c>
      <c r="CJ452" s="19" t="str">
        <f aca="false">IF(BX452="buffet","{YELLOW}25% long distance bonus for consist{}",IF(CA452="BRAKE","{YELLOW}Speed bonus for slow wagons{}",IF(BW452&gt;190,CONCATENATE("{YELLOW}",INT((BW452-185)/1.85),"% bonus for long distance travel{}"),IF(AND(BW452&lt;180,BW452&lt;&gt;0),CONCATENATE("{YELLOW}",INT((185-BW452)/1.85),"% penalty for long distance travel{}"),""))))</f>
        <v/>
      </c>
      <c r="CK452" s="19" t="str">
        <f aca="false">_xlfn.CONCAT(CF452,IF(CF452 &lt;&gt; "", " ", ""),CG452,IF(OR(CG452&lt;&gt;"", CF452&lt;&gt;""), "{}",""), CE452, CJ452,"{SILVER}", CH452)</f>
        <v>{BLACK}Powered by: {GOLD}25kV AC {}{BLACK}Length: {GOLD}0.8 tiles{}{SILVER}A proposed electric version of the Class 43 ‘HST’ Power Car was oft-discussed after the failure of the APT program.</v>
      </c>
    </row>
    <row r="453" s="19" customFormat="true" ht="14.25" hidden="false" customHeight="false" outlineLevel="0" collapsed="false">
      <c r="A453" s="30" t="s">
        <v>1657</v>
      </c>
      <c r="B453" s="49" t="s">
        <v>1658</v>
      </c>
      <c r="C453" s="21" t="n">
        <v>3064</v>
      </c>
      <c r="D453" s="30"/>
      <c r="E453" s="30" t="n">
        <v>390</v>
      </c>
      <c r="F453" s="30" t="s">
        <v>143</v>
      </c>
      <c r="G453" s="30" t="s">
        <v>445</v>
      </c>
      <c r="H453" s="30" t="s">
        <v>529</v>
      </c>
      <c r="I453" s="30" t="s">
        <v>530</v>
      </c>
      <c r="J453" s="30" t="n">
        <v>1985</v>
      </c>
      <c r="K453" s="30" t="n">
        <v>1999</v>
      </c>
      <c r="L453" s="30"/>
      <c r="M453" s="30"/>
      <c r="N453" s="30" t="n">
        <v>5400</v>
      </c>
      <c r="O453" s="22"/>
      <c r="P453" s="23"/>
      <c r="Q453" s="23"/>
      <c r="R453" s="23"/>
      <c r="S453" s="23"/>
      <c r="T453" s="23"/>
      <c r="U453" s="23"/>
      <c r="V453" s="23"/>
      <c r="W453" s="30" t="n">
        <v>109</v>
      </c>
      <c r="X453" s="22"/>
      <c r="Y453" s="30"/>
      <c r="Z453" s="30" t="n">
        <v>267</v>
      </c>
      <c r="AA453" s="24" t="n">
        <v>0.205384615384615</v>
      </c>
      <c r="AB453" s="30" t="n">
        <v>75</v>
      </c>
      <c r="AC453" s="30" t="n">
        <v>128</v>
      </c>
      <c r="AD453" s="30"/>
      <c r="AE453" s="30"/>
      <c r="AF453" s="30" t="n">
        <v>19.13</v>
      </c>
      <c r="AG453" s="30" t="n">
        <v>19.13</v>
      </c>
      <c r="AH453" s="30"/>
      <c r="AI453" s="30" t="n">
        <v>3.91</v>
      </c>
      <c r="AJ453" s="25" t="n">
        <v>0</v>
      </c>
      <c r="AK453" s="26" t="str">
        <f aca="false">CONCATENATE(VLOOKUP(AL453, '[1]Voxel Sizes'!$A$2:$B$18,2,FALSE()),"x",INT(AH453*15), "x", INT(AI453*15))</f>
        <v>186x0x58</v>
      </c>
      <c r="AL453" s="30" t="n">
        <v>11</v>
      </c>
      <c r="AM453" s="30"/>
      <c r="AN453" s="19" t="str">
        <f aca="false">CONCATENATE(VLOOKUP(AL453,[1]Constants!$A$2:$C$16,IF(AM453&lt;&gt;"", 3, 2), FALSE()),IF(AM453&lt;&gt;"",CONCATENATE(",",VLOOKUP(AM453,$B:$AN,38,FALSE())),""))</f>
        <v>4,3,4</v>
      </c>
      <c r="AO453" s="30"/>
      <c r="AP453" s="27"/>
      <c r="AQ453" s="27"/>
      <c r="AR453" s="30"/>
      <c r="AS453" s="30"/>
      <c r="AT453" s="30"/>
      <c r="AU453" s="30"/>
      <c r="AV453" s="30"/>
      <c r="AW453" s="30"/>
      <c r="AX453" s="30" t="n">
        <v>30</v>
      </c>
      <c r="AY453" s="28"/>
      <c r="AZ453" s="30" t="n">
        <v>15</v>
      </c>
      <c r="BA453" s="30" t="n">
        <v>-10</v>
      </c>
      <c r="BB453" s="30" t="n">
        <v>16</v>
      </c>
      <c r="BC453" s="30" t="n">
        <v>16.5</v>
      </c>
      <c r="BD453" s="30" t="n">
        <v>13.35</v>
      </c>
      <c r="BE453" s="24" t="n">
        <v>0.889333333333333</v>
      </c>
      <c r="BF453" s="30" t="n">
        <v>0</v>
      </c>
      <c r="BG453" s="19" t="n">
        <f aca="false">VLOOKUP($H453,[1]Constants!$I$1:$K$1048576, 2, FALSE())</f>
        <v>0.85</v>
      </c>
      <c r="BH453" s="19" t="n">
        <f aca="false">VLOOKUP($H453,[1]Constants!$I$1:$K$1048576, 3, FALSE())*IF(AND(G453="multiple_unit",AB453&lt;110),0.75,1)</f>
        <v>2.3</v>
      </c>
      <c r="BI453" s="19" t="n">
        <f aca="false">INT(POWER((([1]Constants!$G$2+$BB453+$BC453+$BD453+$BF453)*$BE453)*$BH453, 1.05))+$BA453</f>
        <v>121</v>
      </c>
      <c r="BJ453" s="19" t="n">
        <f aca="false">INT(POWER(((([1]Constants!$G$1+$BB453+$BC453+$BD453+$BF453)*($BE453))*$BG453),IF($G453="wagon",1,1.2)))+$AZ453</f>
        <v>113</v>
      </c>
      <c r="BK453" s="29" t="n">
        <f aca="false">BI453*IF($G453="wagon",62.5,781.25)</f>
        <v>94531.25</v>
      </c>
      <c r="BL453" s="29" t="n">
        <f aca="false">BJ453*IF($G453="wagon",2.73,81.25)</f>
        <v>9181.25</v>
      </c>
      <c r="BM453" s="30"/>
      <c r="BN453" s="30"/>
      <c r="BO453" s="30"/>
      <c r="BP453" s="30"/>
      <c r="BQ453" s="30"/>
      <c r="BR453" s="30"/>
      <c r="BS453" s="30"/>
      <c r="BT453" s="30"/>
      <c r="BU453" s="19" t="s">
        <v>1578</v>
      </c>
      <c r="BV453" s="19" t="n">
        <v>4</v>
      </c>
      <c r="CA453" s="19" t="str">
        <f aca="false">VLOOKUP(J453,[1]Eras!$A$2:$C$10, 2, TRUE())</f>
        <v>lbr</v>
      </c>
      <c r="CB453" s="30" t="s">
        <v>478</v>
      </c>
      <c r="CC453" s="19" t="s">
        <v>1659</v>
      </c>
      <c r="CD453" s="19" t="str">
        <f aca="false">_xlfn.CONCAT(H453, "_",I453)</f>
        <v>electric_ELRL</v>
      </c>
      <c r="CE453" s="55" t="s">
        <v>1629</v>
      </c>
      <c r="CF453" s="19" t="str">
        <f aca="false">VLOOKUP($CD453, [1]Constants!$M$1:$N$1048576, 2, FALSE())</f>
        <v>{BLACK}Powered by: {GOLD}25kV AC</v>
      </c>
      <c r="CG453" s="19" t="str">
        <f aca="false">IF(M453&gt;1,_xlfn.CONCAT("{BLACK}Cars: {GOLD}", M453),"")</f>
        <v/>
      </c>
      <c r="CH453" s="19" t="s">
        <v>1660</v>
      </c>
      <c r="CJ453" s="19" t="str">
        <f aca="false">IF(BX453="buffet","{YELLOW}25% long distance bonus for consist{}",IF(CA453="BRAKE","{YELLOW}Speed bonus for slow wagons{}",IF(BW453&gt;190,CONCATENATE("{YELLOW}",INT((BW453-185)/1.85),"% bonus for long distance travel{}"),IF(AND(BW453&lt;180,BW453&lt;&gt;0),CONCATENATE("{YELLOW}",INT((185-BW453)/1.85),"% penalty for long distance travel{}"),""))))</f>
        <v/>
      </c>
      <c r="CK453" s="19" t="str">
        <f aca="false">_xlfn.CONCAT(CF453,IF(CF453 &lt;&gt; "", " ", ""),CG453,IF(OR(CG453&lt;&gt;"", CF453&lt;&gt;""), "{}",""), CE453, CJ453,"{SILVER}", CH453)</f>
        <v>{BLACK}Powered by: {GOLD}25kV AC {}{BLACK}Length: {GOLD}0.8 tiles{}{SILVER}The Class 88 was a proposed re-use of the Class 58 design, dropping the diesel engine for a 25kv Overhead power supply.</v>
      </c>
    </row>
    <row r="454" s="19" customFormat="true" ht="14.25" hidden="false" customHeight="false" outlineLevel="0" collapsed="false">
      <c r="A454" s="30" t="s">
        <v>1661</v>
      </c>
      <c r="B454" s="49" t="s">
        <v>1662</v>
      </c>
      <c r="C454" s="21" t="n">
        <v>3065</v>
      </c>
      <c r="D454" s="30"/>
      <c r="E454" s="30" t="n">
        <v>400</v>
      </c>
      <c r="F454" s="30" t="s">
        <v>143</v>
      </c>
      <c r="G454" s="30" t="s">
        <v>445</v>
      </c>
      <c r="H454" s="30" t="s">
        <v>670</v>
      </c>
      <c r="I454" s="30" t="s">
        <v>92</v>
      </c>
      <c r="J454" s="30" t="n">
        <v>1985</v>
      </c>
      <c r="K454" s="30" t="n">
        <v>1994</v>
      </c>
      <c r="L454" s="30"/>
      <c r="M454" s="30"/>
      <c r="N454" s="30" t="n">
        <v>2100</v>
      </c>
      <c r="O454" s="22"/>
      <c r="P454" s="23"/>
      <c r="Q454" s="23"/>
      <c r="R454" s="23"/>
      <c r="S454" s="23"/>
      <c r="T454" s="23"/>
      <c r="U454" s="23"/>
      <c r="V454" s="23"/>
      <c r="W454" s="30" t="n">
        <v>120</v>
      </c>
      <c r="X454" s="22"/>
      <c r="Y454" s="30"/>
      <c r="Z454" s="30" t="n">
        <v>192</v>
      </c>
      <c r="AA454" s="24" t="n">
        <f aca="false">IF(AND(W454&gt;0,Z454&gt;0),(Z454/((W454+X454)*10)),"")</f>
        <v>0.16</v>
      </c>
      <c r="AB454" s="30" t="n">
        <v>75</v>
      </c>
      <c r="AC454" s="30" t="n">
        <f aca="false">ROUND(AB454*1.6, 0)</f>
        <v>120</v>
      </c>
      <c r="AD454" s="30"/>
      <c r="AE454" s="30"/>
      <c r="AF454" s="30" t="n">
        <v>18</v>
      </c>
      <c r="AG454" s="30" t="n">
        <v>17</v>
      </c>
      <c r="AH454" s="30"/>
      <c r="AI454" s="30" t="n">
        <v>3.91</v>
      </c>
      <c r="AJ454" s="25" t="n">
        <v>0</v>
      </c>
      <c r="AK454" s="26" t="str">
        <f aca="false">CONCATENATE(VLOOKUP(AL454, '[1]Voxel Sizes'!$A$2:$B$18,2,FALSE()),"x",INT(AH454*15), "x", INT(AI454*15))</f>
        <v>164x0x58</v>
      </c>
      <c r="AL454" s="30" t="n">
        <f aca="false">ROUND(15*((AG454*10)/256),0)</f>
        <v>10</v>
      </c>
      <c r="AM454" s="30"/>
      <c r="AN454" s="19" t="str">
        <f aca="false">CONCATENATE(VLOOKUP(AL454,[1]Constants!$A$2:$C$16,IF(AM454&lt;&gt;"", 3, 2), FALSE()),IF(AM454&lt;&gt;"",CONCATENATE(",",VLOOKUP(AM454,$B:$AN,38,FALSE())),""))</f>
        <v>4,2,4</v>
      </c>
      <c r="AO454" s="30"/>
      <c r="AP454" s="27"/>
      <c r="AQ454" s="27"/>
      <c r="AR454" s="30"/>
      <c r="AS454" s="30"/>
      <c r="AT454" s="30"/>
      <c r="AU454" s="30"/>
      <c r="AV454" s="30"/>
      <c r="AW454" s="30"/>
      <c r="AX454" s="30" t="n">
        <v>30</v>
      </c>
      <c r="AY454" s="28" t="str">
        <f aca="false">IF(L454&lt;&gt;"",MAX(16,(L454-J454)+8),"")</f>
        <v/>
      </c>
      <c r="AZ454" s="30" t="n">
        <v>15</v>
      </c>
      <c r="BA454" s="30" t="n">
        <v>-10</v>
      </c>
      <c r="BB454" s="30" t="n">
        <f aca="false">MIN(AB454/150, 1)*30</f>
        <v>15</v>
      </c>
      <c r="BC454" s="30" t="n">
        <f aca="false">MIN(N454/4000, 1)*20</f>
        <v>10.5</v>
      </c>
      <c r="BD454" s="30" t="n">
        <f aca="false">MIN(Z454/400,1)*20</f>
        <v>9.6</v>
      </c>
      <c r="BE454" s="24" t="n">
        <f aca="false">1-(MAX(J454-1900, 0)/750)</f>
        <v>0.886666666666667</v>
      </c>
      <c r="BF454" s="30" t="n">
        <f aca="false">((MAX($M454,1)*MIN($AJ454/300,1)))*IF(G454="Wagon",50,10)</f>
        <v>0</v>
      </c>
      <c r="BG454" s="19" t="n">
        <f aca="false">VLOOKUP($H454,[1]Constants!$I$1:$K$1048576, 2, FALSE())</f>
        <v>1</v>
      </c>
      <c r="BH454" s="19" t="n">
        <f aca="false">VLOOKUP($H454,[1]Constants!$I$1:$K$1048576, 3, FALSE())*IF(AND(G454="multiple_unit",AB454&lt;110),0.75,1)</f>
        <v>2</v>
      </c>
      <c r="BI454" s="19" t="n">
        <f aca="false">INT(POWER((([1]Constants!$G$2+$BB454+$BC454+$BD454+$BF454)*$BE454)*$BH454, 1.05))+$BA454</f>
        <v>78</v>
      </c>
      <c r="BJ454" s="19" t="n">
        <f aca="false">INT(POWER(((([1]Constants!$G$1+$BB454+$BC454+$BD454+$BF454)*($BE454))*$BG454),IF($G454="wagon",1,1.2)))+$AZ454</f>
        <v>109</v>
      </c>
      <c r="BK454" s="29" t="n">
        <f aca="false">BI454*IF($G454="wagon",62.5,781.25)</f>
        <v>60937.5</v>
      </c>
      <c r="BL454" s="29" t="n">
        <f aca="false">BJ454*IF($G454="wagon",2.73,81.25)</f>
        <v>8856.25</v>
      </c>
      <c r="BM454" s="30"/>
      <c r="BN454" s="30"/>
      <c r="BO454" s="30"/>
      <c r="BP454" s="30"/>
      <c r="BQ454" s="30"/>
      <c r="BR454" s="30"/>
      <c r="BS454" s="30"/>
      <c r="BT454" s="30"/>
      <c r="BU454" s="19" t="s">
        <v>1578</v>
      </c>
      <c r="BV454" s="19" t="n">
        <v>6</v>
      </c>
      <c r="CA454" s="19" t="s">
        <v>1320</v>
      </c>
      <c r="CB454" s="30" t="s">
        <v>478</v>
      </c>
      <c r="CC454" s="19" t="str">
        <f aca="false">CONCATENATE(CA454,"_",CB454)</f>
        <v>lbr_Freight</v>
      </c>
      <c r="CD454" s="19" t="str">
        <f aca="false">_xlfn.CONCAT(H454, "_",I454)</f>
        <v>diesel_RAIL</v>
      </c>
      <c r="CE454" s="55" t="s">
        <v>1629</v>
      </c>
      <c r="CF454" s="19" t="str">
        <f aca="false">VLOOKUP($CD454, [1]Constants!$M$1:$N$1048576, 2, FALSE())</f>
        <v>{BLACK}Powered by: {GOLD}Diesel</v>
      </c>
      <c r="CG454" s="19" t="str">
        <f aca="false">IF(M454&gt;1,_xlfn.CONCAT("{BLACK}Cars: {GOLD}", M454),"")</f>
        <v/>
      </c>
      <c r="CH454" s="19" t="s">
        <v>1663</v>
      </c>
      <c r="CJ454" s="19" t="str">
        <f aca="false">IF(BX454="buffet","{YELLOW}25% long distance bonus for consist{}",IF(CA454="BRAKE","{YELLOW}Speed bonus for slow wagons{}",IF(BW454&gt;190,CONCATENATE("{YELLOW}",INT((BW454-185)/1.85),"% bonus for long distance travel{}"),IF(AND(BW454&lt;180,BW454&lt;&gt;0),CONCATENATE("{YELLOW}",INT((185-BW454)/1.85),"% penalty for long distance travel{}"),""))))</f>
        <v/>
      </c>
      <c r="CK454" s="19" t="str">
        <f aca="false">_xlfn.CONCAT(CF454,IF(CF454 &lt;&gt; "", " ", ""),CG454,IF(OR(CG454&lt;&gt;"", CF454&lt;&gt;""), "{}",""), CE454, CJ454,"{SILVER}", CH454)</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row>
    <row r="455" s="26" customFormat="true" ht="14.25" hidden="false" customHeight="false" outlineLevel="0" collapsed="false">
      <c r="A455" s="26" t="s">
        <v>1664</v>
      </c>
      <c r="B455" s="32" t="s">
        <v>1665</v>
      </c>
      <c r="C455" s="21" t="n">
        <v>3066</v>
      </c>
      <c r="E455" s="26" t="n">
        <v>405</v>
      </c>
      <c r="F455" s="26" t="s">
        <v>143</v>
      </c>
      <c r="G455" s="26" t="s">
        <v>827</v>
      </c>
      <c r="H455" s="26" t="s">
        <v>529</v>
      </c>
      <c r="I455" s="26" t="s">
        <v>641</v>
      </c>
      <c r="J455" s="26" t="n">
        <v>1988</v>
      </c>
      <c r="M455" s="26" t="n">
        <v>5</v>
      </c>
      <c r="N455" s="26" t="n">
        <v>1610</v>
      </c>
      <c r="O455" s="33"/>
      <c r="P455" s="34"/>
      <c r="Q455" s="34"/>
      <c r="R455" s="34"/>
      <c r="S455" s="34"/>
      <c r="T455" s="34"/>
      <c r="U455" s="34"/>
      <c r="V455" s="34"/>
      <c r="W455" s="26" t="n">
        <v>202.8</v>
      </c>
      <c r="X455" s="33"/>
      <c r="Y455" s="26" t="n">
        <v>5</v>
      </c>
      <c r="Z455" s="26" t="n">
        <v>190</v>
      </c>
      <c r="AA455" s="35" t="n">
        <f aca="false">IF(AND(W455&gt;0,Z455&gt;0),(Z455/((W455+X455)*10)),"")</f>
        <v>0.0936883629191322</v>
      </c>
      <c r="AB455" s="26" t="n">
        <v>108</v>
      </c>
      <c r="AC455" s="26" t="n">
        <f aca="false">ROUND(AB455*1.6, 0)</f>
        <v>173</v>
      </c>
      <c r="AF455" s="26" t="n">
        <v>23</v>
      </c>
      <c r="AG455" s="26" t="n">
        <v>23</v>
      </c>
      <c r="AH455" s="26" t="n">
        <v>2.74</v>
      </c>
      <c r="AI455" s="26" t="n">
        <v>3.81</v>
      </c>
      <c r="AJ455" s="36" t="n">
        <v>66</v>
      </c>
      <c r="AK455" s="26" t="str">
        <f aca="false">CONCATENATE(VLOOKUP(AL455, '[2]Voxel Sizes'!$A$2:$B$18,2,FALSE()),"x",INT(AH455*15), "x", INT(AI455*15))</f>
        <v>214x41x57</v>
      </c>
      <c r="AL455" s="26" t="n">
        <f aca="false">ROUND(15*((AG455*10)/256),0)</f>
        <v>13</v>
      </c>
      <c r="AN455" s="26" t="str">
        <f aca="false">CONCATENATE(VLOOKUP(AL455,[2]Constants!$A$2:$C$16,IF(AM455&lt;&gt;"", 3, 2), FALSE()),IF(AM455&lt;&gt;"",CONCATENATE(",",VLOOKUP(AM455,$B:$AN,39,FALSE())),""))</f>
        <v>4,5,4</v>
      </c>
      <c r="AP455" s="37"/>
      <c r="AQ455" s="37"/>
      <c r="AR455" s="26" t="s">
        <v>1666</v>
      </c>
      <c r="AT455" s="26" t="s">
        <v>1003</v>
      </c>
      <c r="AU455" s="26" t="s">
        <v>1667</v>
      </c>
      <c r="AX455" s="26" t="n">
        <v>35</v>
      </c>
      <c r="AY455" s="38" t="str">
        <f aca="false">IF(L455&lt;&gt;"",MAX(16,(L455-J455)+8),"")</f>
        <v/>
      </c>
      <c r="AZ455" s="26" t="n">
        <v>-10</v>
      </c>
      <c r="BA455" s="26" t="n">
        <v>-25</v>
      </c>
      <c r="BB455" s="26" t="n">
        <f aca="false">MIN(AB455/150, 1)*30</f>
        <v>21.6</v>
      </c>
      <c r="BC455" s="26" t="n">
        <f aca="false">MIN(N455/4000, 1)*20</f>
        <v>8.05</v>
      </c>
      <c r="BD455" s="26" t="n">
        <f aca="false">MIN(Z455/400,1)*20</f>
        <v>9.5</v>
      </c>
      <c r="BE455" s="35" t="n">
        <f aca="false">1-(MAX(J455-1900, 0)/750)</f>
        <v>0.882666666666667</v>
      </c>
      <c r="BF455" s="26" t="n">
        <f aca="false">((MAX($M455,1)*MIN($AJ455/300,1)))*IF(G455="Wagon",50,10)</f>
        <v>11</v>
      </c>
      <c r="BG455" s="26" t="n">
        <f aca="false">VLOOKUP($H455,[2]Constants!$I$1:$K$1048576, 2, FALSE())</f>
        <v>0.85</v>
      </c>
      <c r="BH455" s="26" t="n">
        <f aca="false">VLOOKUP($H455,[2]Constants!$I$1:$K$1048576, 3, FALSE())*IF(AND(G455="multiple_unit",AB455&lt;110),0.75,1)</f>
        <v>1.725</v>
      </c>
      <c r="BI455" s="26" t="n">
        <f aca="false">INT(POWER((([2]Constants!$G$2+$BB455+$BC455+$BD455+$BF455)*$BE455)*$BH455, 1.05))+$BA455</f>
        <v>79</v>
      </c>
      <c r="BJ455" s="26" t="n">
        <f aca="false">INT(POWER(((([2]Constants!$G$1+$BB455+$BC455+$BD455+$BF455)*($BE455))*$BG455),IF($G455="wagon",1,1.2)))+$AZ455</f>
        <v>96</v>
      </c>
      <c r="BK455" s="39" t="n">
        <f aca="false">BI455*IF($G455="wagon",62.5,781.25)</f>
        <v>61718.75</v>
      </c>
      <c r="BL455" s="39" t="n">
        <f aca="false">BJ455*IF($G455="wagon",2.73,81.25)</f>
        <v>7800</v>
      </c>
      <c r="BV455" s="26" t="n">
        <v>5</v>
      </c>
      <c r="BW455" s="26" t="n">
        <v>205</v>
      </c>
      <c r="BZ455" s="26" t="s">
        <v>148</v>
      </c>
      <c r="CA455" s="26" t="str">
        <f aca="false">VLOOKUP(J455,[2]Eras!$A$2:$C$10, 2, TRUE())</f>
        <v>lbr</v>
      </c>
      <c r="CB455" s="40" t="s">
        <v>850</v>
      </c>
      <c r="CC455" s="26" t="str">
        <f aca="false">CONCATENATE(CA455,"_",CB455)</f>
        <v>lbr_EMU (Express)</v>
      </c>
      <c r="CD455" s="26" t="str">
        <f aca="false">_xlfn.CONCAT(H455, "_",I455)</f>
        <v>electric_THIRD_RAIL</v>
      </c>
      <c r="CE455" s="41" t="str">
        <f aca="false" t="array" ref="CE455:CE455">_xlfn.CONCAT("{BLACK}Length: {GOLD}", TEXT(ROUNDUP(IF(AQ455&lt;&gt;"",SUM(VALUE(_xlfn.TEXTSPLIT(AQ455, ","))), SUM(VALUE(_xlfn.TEXTSPLIT(AN455, ",")))*IF(M455, M455, 1))/16, 1), "#,##0.0"), " tiles{}")</f>
        <v>{BLACK}Length: {GOLD}4.1 tiles{}</v>
      </c>
      <c r="CF455" s="19" t="str">
        <f aca="false">VLOOKUP($CD455, [1]Constants!$M$1:$N$1048576, 2, FALSE())</f>
        <v>{BLACK}Powered by: {GOLD}750V DC</v>
      </c>
      <c r="CG455" s="26" t="str">
        <f aca="false">IF(M455&gt;1,_xlfn.CONCAT("{BLACK}Cars: {GOLD}", M455),"")</f>
        <v>{BLACK}Cars: {GOLD}5</v>
      </c>
      <c r="CH455" s="26" t="s">
        <v>1668</v>
      </c>
      <c r="CJ455" s="19" t="str">
        <f aca="false">IF(BX455="buffet","{YELLOW}25% long distance bonus for consist{}",IF(CA455="BRAKE","{YELLOW}Speed bonus for slow wagons{}",IF(BW455&gt;190,CONCATENATE("{YELLOW}",INT((BW455-185)/1.85),"% bonus for long distance travel{}"),IF(AND(BW455&lt;180,BW455&lt;&gt;0),CONCATENATE("{YELLOW}",INT((185-BW455)/1.85),"% penalty for long distance travel{}"),""))))</f>
        <v>{YELLOW}10% bonus for long distance travel{}</v>
      </c>
      <c r="CK455" s="19" t="str">
        <f aca="false">_xlfn.CONCAT(CF455,IF(CF455 &lt;&gt; "", " ", ""),CG455,IF(OR(CG455&lt;&gt;"", CF455&lt;&gt;""), "{}",""), CE455, CJ455,"{SILVER}", CH455)</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456" s="26" customFormat="true" ht="14.25" hidden="false" customHeight="false" outlineLevel="0" collapsed="false">
      <c r="A456" s="26" t="s">
        <v>1669</v>
      </c>
      <c r="B456" s="32" t="s">
        <v>1667</v>
      </c>
      <c r="C456" s="21" t="n">
        <v>3067</v>
      </c>
      <c r="D456" s="26" t="n">
        <v>3066</v>
      </c>
      <c r="E456" s="26" t="n">
        <v>406</v>
      </c>
      <c r="F456" s="26" t="s">
        <v>143</v>
      </c>
      <c r="G456" s="26" t="s">
        <v>827</v>
      </c>
      <c r="H456" s="26" t="s">
        <v>801</v>
      </c>
      <c r="I456" s="30" t="s">
        <v>802</v>
      </c>
      <c r="J456" s="26" t="n">
        <v>1988</v>
      </c>
      <c r="M456" s="26" t="n">
        <v>5</v>
      </c>
      <c r="N456" s="26" t="n">
        <v>2250</v>
      </c>
      <c r="O456" s="33" t="n">
        <v>1610</v>
      </c>
      <c r="P456" s="34"/>
      <c r="Q456" s="34"/>
      <c r="R456" s="34"/>
      <c r="S456" s="34"/>
      <c r="T456" s="34"/>
      <c r="U456" s="34"/>
      <c r="V456" s="34"/>
      <c r="W456" s="26" t="n">
        <v>208.8</v>
      </c>
      <c r="X456" s="33"/>
      <c r="Y456" s="26" t="n">
        <v>5</v>
      </c>
      <c r="Z456" s="26" t="n">
        <v>190</v>
      </c>
      <c r="AA456" s="35" t="n">
        <f aca="false">IF(AND(W456&gt;0,Z456&gt;0),(Z456/((W456+X456)*10)),"")</f>
        <v>0.0909961685823755</v>
      </c>
      <c r="AB456" s="26" t="n">
        <v>108</v>
      </c>
      <c r="AC456" s="26" t="n">
        <f aca="false">ROUND(AB456*1.6, 0)</f>
        <v>173</v>
      </c>
      <c r="AF456" s="26" t="n">
        <v>23</v>
      </c>
      <c r="AG456" s="26" t="n">
        <v>23</v>
      </c>
      <c r="AH456" s="26" t="n">
        <v>2.74</v>
      </c>
      <c r="AI456" s="26" t="n">
        <v>3.81</v>
      </c>
      <c r="AJ456" s="36" t="n">
        <v>66</v>
      </c>
      <c r="AK456" s="26" t="str">
        <f aca="false">CONCATENATE(VLOOKUP(AL456, '[2]Voxel Sizes'!$A$2:$B$18,2,FALSE()),"x",INT(AH456*15), "x", INT(AI456*15))</f>
        <v>214x41x57</v>
      </c>
      <c r="AL456" s="26" t="n">
        <f aca="false">ROUND(15*((AG456*10)/256),0)</f>
        <v>13</v>
      </c>
      <c r="AN456" s="26" t="str">
        <f aca="false">CONCATENATE(VLOOKUP(AL456,[2]Constants!$A$2:$C$16,IF(AM456&lt;&gt;"", 3, 2), FALSE()),IF(AM456&lt;&gt;"",CONCATENATE(",",VLOOKUP(AM456,$B:$AN,39,FALSE())),""))</f>
        <v>4,5,4</v>
      </c>
      <c r="AP456" s="37"/>
      <c r="AQ456" s="37"/>
      <c r="AR456" s="26" t="s">
        <v>1670</v>
      </c>
      <c r="AS456" s="26" t="s">
        <v>1671</v>
      </c>
      <c r="AT456" s="26" t="s">
        <v>1454</v>
      </c>
      <c r="AX456" s="26" t="n">
        <v>35</v>
      </c>
      <c r="AY456" s="38" t="str">
        <f aca="false">IF(L456&lt;&gt;"",MAX(16,(L456-J456)+8),"")</f>
        <v/>
      </c>
      <c r="AZ456" s="26" t="n">
        <v>-10</v>
      </c>
      <c r="BA456" s="26" t="n">
        <v>-25</v>
      </c>
      <c r="BB456" s="26" t="n">
        <f aca="false">MIN(AB456/150, 1)*30</f>
        <v>21.6</v>
      </c>
      <c r="BC456" s="26" t="n">
        <f aca="false">MIN(N456/4000, 1)*20</f>
        <v>11.25</v>
      </c>
      <c r="BD456" s="26" t="n">
        <f aca="false">MIN(Z456/400,1)*20</f>
        <v>9.5</v>
      </c>
      <c r="BE456" s="35" t="n">
        <f aca="false">1-(MAX(J456-1900, 0)/750)</f>
        <v>0.882666666666667</v>
      </c>
      <c r="BF456" s="26" t="n">
        <f aca="false">((MAX($M456,1)*MIN($AJ456/300,1)))*IF(G456="Wagon",50,10)</f>
        <v>11</v>
      </c>
      <c r="BG456" s="26" t="n">
        <f aca="false">VLOOKUP($H456,[2]Constants!$I$1:$K$1048576, 2, FALSE())</f>
        <v>0.85</v>
      </c>
      <c r="BH456" s="26" t="n">
        <f aca="false">VLOOKUP($H456,[2]Constants!$I$1:$K$1048576, 3, FALSE())*IF(AND(G456="multiple_unit",AB456&lt;110),0.75,1)</f>
        <v>1.8</v>
      </c>
      <c r="BI456" s="26" t="n">
        <f aca="false">INT(POWER((([2]Constants!$G$2+$BB456+$BC456+$BD456+$BF456)*$BE456)*$BH456, 1.05))+$BA456</f>
        <v>91</v>
      </c>
      <c r="BJ456" s="26" t="n">
        <f aca="false">INT(POWER(((([2]Constants!$G$1+$BB456+$BC456+$BD456+$BF456)*($BE456))*$BG456),IF($G456="wagon",1,1.2)))+$AZ456</f>
        <v>102</v>
      </c>
      <c r="BK456" s="39" t="n">
        <f aca="false">BI456*IF($G456="wagon",62.5,781.25)</f>
        <v>71093.75</v>
      </c>
      <c r="BL456" s="39" t="n">
        <f aca="false">BJ456*IF($G456="wagon",2.73,81.25)</f>
        <v>8287.5</v>
      </c>
      <c r="BU456" s="26" t="s">
        <v>1578</v>
      </c>
      <c r="BV456" s="26" t="n">
        <v>5</v>
      </c>
      <c r="BW456" s="26" t="n">
        <v>205</v>
      </c>
      <c r="BZ456" s="26" t="s">
        <v>148</v>
      </c>
      <c r="CA456" s="26" t="str">
        <f aca="false">VLOOKUP(J456,[2]Eras!$A$2:$C$10, 2, TRUE())</f>
        <v>lbr</v>
      </c>
      <c r="CB456" s="40" t="s">
        <v>850</v>
      </c>
      <c r="CC456" s="26" t="str">
        <f aca="false">CONCATENATE(CA456,"_",CB456)</f>
        <v>lbr_EMU (Express)</v>
      </c>
      <c r="CD456" s="26" t="str">
        <f aca="false">_xlfn.CONCAT(H456, "_",I456)</f>
        <v>dual_electric_DUAL_POWER</v>
      </c>
      <c r="CE456" s="41" t="str">
        <f aca="false" t="array" ref="CE456:CE456">_xlfn.CONCAT("{BLACK}Length: {GOLD}", TEXT(ROUNDUP(IF(AQ456&lt;&gt;"",SUM(VALUE(_xlfn.TEXTSPLIT(AQ456, ","))), SUM(VALUE(_xlfn.TEXTSPLIT(AN456, ",")))*IF(M456, M456, 1))/16, 1), "#,##0.0"), " tiles{}")</f>
        <v>{BLACK}Length: {GOLD}4.1 tiles{}</v>
      </c>
      <c r="CF456" s="19" t="str">
        <f aca="false">VLOOKUP($CD456, [1]Constants!$M$1:$N$1048576, 2, FALSE())</f>
        <v>{BLACK}Powered by: {GOLD}25kV AC / 750V DC</v>
      </c>
      <c r="CG456" s="26" t="str">
        <f aca="false">IF(M456&gt;1,_xlfn.CONCAT("{BLACK}Cars: {GOLD}", M456),"")</f>
        <v>{BLACK}Cars: {GOLD}5</v>
      </c>
      <c r="CH456" s="40" t="s">
        <v>1672</v>
      </c>
      <c r="CJ456" s="19" t="str">
        <f aca="false">IF(BX456="buffet","{YELLOW}25% long distance bonus for consist{}",IF(CA456="BRAKE","{YELLOW}Speed bonus for slow wagons{}",IF(BW456&gt;190,CONCATENATE("{YELLOW}",INT((BW456-185)/1.85),"% bonus for long distance travel{}"),IF(AND(BW456&lt;180,BW456&lt;&gt;0),CONCATENATE("{YELLOW}",INT((185-BW456)/1.85),"% penalty for long distance travel{}"),""))))</f>
        <v>{YELLOW}10% bonus for long distance travel{}</v>
      </c>
      <c r="CK456" s="19" t="str">
        <f aca="false">_xlfn.CONCAT(CF456,IF(CF456 &lt;&gt; "", " ", ""),CG456,IF(OR(CG456&lt;&gt;"", CF456&lt;&gt;""), "{}",""), CE456, CJ456,"{SILVER}", CH456)</f>
        <v>{BLACK}Powered by: {GOLD}25kV AC / 750V DC {BLACK}Cars: {GOLD}5{}{BLACK}Length: {GOLD}4.1 tiles{}{YELLOW}10% bonus for long distance travel{}{SILVER}What if the Class 442 had a dual-voltage conversion to allow through-running expresses and an end to 3rd rail power supply?</v>
      </c>
    </row>
    <row r="457" s="30" customFormat="true" ht="14.25" hidden="false" customHeight="false" outlineLevel="0" collapsed="false">
      <c r="A457" s="30" t="s">
        <v>1673</v>
      </c>
      <c r="B457" s="49" t="s">
        <v>1674</v>
      </c>
      <c r="C457" s="21" t="n">
        <v>3068</v>
      </c>
      <c r="E457" s="30" t="n">
        <v>410</v>
      </c>
      <c r="F457" s="30" t="s">
        <v>143</v>
      </c>
      <c r="G457" s="30" t="s">
        <v>827</v>
      </c>
      <c r="H457" s="30" t="s">
        <v>801</v>
      </c>
      <c r="I457" s="30" t="s">
        <v>802</v>
      </c>
      <c r="J457" s="30" t="n">
        <v>1992</v>
      </c>
      <c r="M457" s="30" t="n">
        <v>20</v>
      </c>
      <c r="N457" s="30" t="n">
        <v>16400</v>
      </c>
      <c r="O457" s="22" t="n">
        <v>4600</v>
      </c>
      <c r="P457" s="23"/>
      <c r="Q457" s="23"/>
      <c r="R457" s="23"/>
      <c r="S457" s="23"/>
      <c r="T457" s="23"/>
      <c r="U457" s="23"/>
      <c r="V457" s="23"/>
      <c r="W457" s="30" t="n">
        <v>752</v>
      </c>
      <c r="X457" s="22"/>
      <c r="Y457" s="30" t="n">
        <v>4</v>
      </c>
      <c r="Z457" s="30" t="n">
        <v>220</v>
      </c>
      <c r="AA457" s="24" t="n">
        <f aca="false">IF(AND(W457&gt;0,Z457&gt;0),(Z457/((W457+X457)*10)),"")</f>
        <v>0.0292553191489362</v>
      </c>
      <c r="AB457" s="30" t="n">
        <v>186</v>
      </c>
      <c r="AC457" s="30" t="n">
        <f aca="false">ROUND(AB457*1.6, 0)</f>
        <v>298</v>
      </c>
      <c r="AF457" s="30" t="n">
        <v>22.15</v>
      </c>
      <c r="AG457" s="30" t="n">
        <v>22.15</v>
      </c>
      <c r="AH457" s="30" t="n">
        <v>2.81</v>
      </c>
      <c r="AJ457" s="25" t="n">
        <v>35</v>
      </c>
      <c r="AK457" s="26" t="str">
        <f aca="false">CONCATENATE(VLOOKUP(AL457, '[1]Voxel Sizes'!$A$2:$B$18,2,FALSE()),"x",INT(AH457*15), "x", INT(AI457*15))</f>
        <v>214x42x0</v>
      </c>
      <c r="AL457" s="30" t="n">
        <f aca="false">ROUND(15*((AG457*10)/256),0)</f>
        <v>13</v>
      </c>
      <c r="AN457" s="19" t="str">
        <f aca="false">CONCATENATE(VLOOKUP(AL457,[1]Constants!$A$2:$C$16,IF(AM457&lt;&gt;"", 3, 2), FALSE()),IF(AM457&lt;&gt;"",CONCATENATE(",",VLOOKUP(AM457,$B:$AN,38,FALSE())),""))</f>
        <v>4,5,4</v>
      </c>
      <c r="AP457" s="56" t="s">
        <v>1675</v>
      </c>
      <c r="AQ457" s="56" t="s">
        <v>1676</v>
      </c>
      <c r="AR457" s="30" t="s">
        <v>1677</v>
      </c>
      <c r="AS457" s="30" t="s">
        <v>1678</v>
      </c>
      <c r="AT457" s="30" t="s">
        <v>1679</v>
      </c>
      <c r="AX457" s="30" t="n">
        <v>25</v>
      </c>
      <c r="AY457" s="28" t="str">
        <f aca="false">IF(L457&lt;&gt;"",MAX(16,(L457-J457)+8),"")</f>
        <v/>
      </c>
      <c r="BB457" s="30" t="n">
        <f aca="false">MIN(AB457/150, 1)*30</f>
        <v>30</v>
      </c>
      <c r="BC457" s="30" t="n">
        <f aca="false">MIN(N457/4000, 1)*20</f>
        <v>20</v>
      </c>
      <c r="BD457" s="30" t="n">
        <f aca="false">MIN(Z457/400,1)*20</f>
        <v>11</v>
      </c>
      <c r="BE457" s="24" t="n">
        <f aca="false">1-(MAX(J457-1900, 0)/750)</f>
        <v>0.877333333333333</v>
      </c>
      <c r="BF457" s="30" t="n">
        <f aca="false">((MAX($M457,1)*MIN($AJ457/300,1)))*IF(G457="Wagon",50,10)</f>
        <v>23.3333333333333</v>
      </c>
      <c r="BG457" s="19" t="n">
        <f aca="false">VLOOKUP($H457,[1]Constants!$I$1:$K$1048576, 2, FALSE())</f>
        <v>0.85</v>
      </c>
      <c r="BH457" s="19" t="n">
        <f aca="false">VLOOKUP($H457,[1]Constants!$I$1:$K$1048576, 3, FALSE())*IF(AND(G457="multiple_unit",AB457&lt;110),0.75,1)</f>
        <v>2.4</v>
      </c>
      <c r="BI457" s="19" t="n">
        <f aca="false">INT(POWER((([1]Constants!$G$2+$BB457+$BC457+$BD457+$BF457)*$BE457)*$BH457, 1.05))+$BA457</f>
        <v>244</v>
      </c>
      <c r="BJ457" s="19" t="n">
        <f aca="false">INT(POWER(((([1]Constants!$G$1+$BB457+$BC457+$BD457+$BF457)*($BE457))*$BG457),IF($G457="wagon",1,1.2)))+$AZ457</f>
        <v>175</v>
      </c>
      <c r="BK457" s="29" t="n">
        <f aca="false">BI457*IF($G457="wagon",62.5,781.25)</f>
        <v>190625</v>
      </c>
      <c r="BL457" s="29" t="n">
        <f aca="false">BJ457*IF($G457="wagon",2.73,81.25)</f>
        <v>14218.75</v>
      </c>
      <c r="BU457" s="30" t="s">
        <v>952</v>
      </c>
      <c r="BV457" s="30" t="n">
        <v>11</v>
      </c>
      <c r="BW457" s="30" t="n">
        <v>232</v>
      </c>
      <c r="BZ457" s="30" t="s">
        <v>148</v>
      </c>
      <c r="CA457" s="30" t="s">
        <v>1320</v>
      </c>
      <c r="CB457" s="30" t="s">
        <v>850</v>
      </c>
      <c r="CC457" s="30" t="str">
        <f aca="false">CONCATENATE(CA457,"_",CB457)</f>
        <v>lbr_EMU (Express)</v>
      </c>
      <c r="CD457" s="30" t="str">
        <f aca="false">_xlfn.CONCAT(H457, "_",I457)</f>
        <v>dual_electric_DUAL_POWER</v>
      </c>
      <c r="CE457" s="31" t="str">
        <f aca="false">_xlfn.CONCAT("{BLACK}Length: {GOLD}", TEXT(ROUNDUP(IF(AQ457&lt;&gt;"",SUM(VALUE(_xlfn.TEXTSPLIT(AQ457, ","))), SUM(VALUE(_xlfn.TEXTSPLIT(AN457, ",")))*IF(M457, M457, 1))/16, 1), "#,##0.0"), " tiles{}")</f>
        <v>{BLACK}Length: {GOLD}14.5 tiles{}</v>
      </c>
      <c r="CF457" s="19" t="str">
        <f aca="false">VLOOKUP($CD457, [1]Constants!$M$1:$N$1048576, 2, FALSE())</f>
        <v>{BLACK}Powered by: {GOLD}25kV AC / 750V DC</v>
      </c>
      <c r="CG457" s="19" t="str">
        <f aca="false">IF(M457&gt;1,_xlfn.CONCAT("{BLACK}Cars: {GOLD}", M457),"")</f>
        <v>{BLACK}Cars: {GOLD}20</v>
      </c>
      <c r="CH457" s="30" t="s">
        <v>1680</v>
      </c>
      <c r="CJ457" s="19" t="str">
        <f aca="false">IF(BX457="buffet","{YELLOW}25% long distance bonus for consist{}",IF(CA457="BRAKE","{YELLOW}Speed bonus for slow wagons{}",IF(BW457&gt;190,CONCATENATE("{YELLOW}",INT((BW457-185)/1.85),"% bonus for long distance travel{}"),IF(AND(BW457&lt;180,BW457&lt;&gt;0),CONCATENATE("{YELLOW}",INT((185-BW457)/1.85),"% penalty for long distance travel{}"),""))))</f>
        <v>{YELLOW}25% bonus for long distance travel{}</v>
      </c>
      <c r="CK457" s="19" t="str">
        <f aca="false">_xlfn.CONCAT(CF457,IF(CF457 &lt;&gt; "", " ", ""),CG457,IF(OR(CG457&lt;&gt;"", CF457&lt;&gt;""), "{}",""), CE457, CJ457,"{SILVER}", CH457)</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58" s="30" customFormat="true" ht="14.25" hidden="false" customHeight="false" outlineLevel="0" collapsed="false">
      <c r="A458" s="30" t="s">
        <v>1681</v>
      </c>
      <c r="B458" s="49" t="s">
        <v>1682</v>
      </c>
      <c r="C458" s="21" t="n">
        <v>3069</v>
      </c>
      <c r="D458" s="30" t="n">
        <v>3068</v>
      </c>
      <c r="E458" s="30" t="n">
        <v>411</v>
      </c>
      <c r="F458" s="30" t="s">
        <v>143</v>
      </c>
      <c r="G458" s="30" t="s">
        <v>827</v>
      </c>
      <c r="H458" s="30" t="s">
        <v>801</v>
      </c>
      <c r="I458" s="30" t="s">
        <v>802</v>
      </c>
      <c r="J458" s="30" t="n">
        <v>1992</v>
      </c>
      <c r="M458" s="30" t="n">
        <v>16</v>
      </c>
      <c r="N458" s="30" t="n">
        <v>16400</v>
      </c>
      <c r="O458" s="22" t="n">
        <v>4600</v>
      </c>
      <c r="P458" s="23"/>
      <c r="Q458" s="23"/>
      <c r="R458" s="23"/>
      <c r="S458" s="23"/>
      <c r="T458" s="23"/>
      <c r="U458" s="23"/>
      <c r="V458" s="23"/>
      <c r="W458" s="30" t="n">
        <v>665</v>
      </c>
      <c r="X458" s="22"/>
      <c r="Y458" s="30" t="n">
        <v>4</v>
      </c>
      <c r="Z458" s="30" t="n">
        <v>220</v>
      </c>
      <c r="AA458" s="24" t="n">
        <f aca="false">IF(AND(W458&gt;0,Z458&gt;0),(Z458/((W458+X458)*10)),"")</f>
        <v>0.0330827067669173</v>
      </c>
      <c r="AB458" s="30" t="n">
        <v>186</v>
      </c>
      <c r="AC458" s="30" t="n">
        <f aca="false">ROUND(AB458*1.6, 0)</f>
        <v>298</v>
      </c>
      <c r="AF458" s="30" t="n">
        <v>22.15</v>
      </c>
      <c r="AG458" s="30" t="n">
        <v>22.15</v>
      </c>
      <c r="AH458" s="30" t="n">
        <v>2.81</v>
      </c>
      <c r="AJ458" s="25" t="n">
        <v>35</v>
      </c>
      <c r="AK458" s="26" t="str">
        <f aca="false">CONCATENATE(VLOOKUP(AL458, '[1]Voxel Sizes'!$A$2:$B$18,2,FALSE()),"x",INT(AH458*15), "x", INT(AI458*15))</f>
        <v>214x42x0</v>
      </c>
      <c r="AL458" s="30" t="n">
        <f aca="false">ROUND(15*((AG458*10)/256),0)</f>
        <v>13</v>
      </c>
      <c r="AN458" s="19" t="str">
        <f aca="false">CONCATENATE(VLOOKUP(AL458,[1]Constants!$A$2:$C$16,IF(AM458&lt;&gt;"", 3, 2), FALSE()),IF(AM458&lt;&gt;"",CONCATENATE(",",VLOOKUP(AM458,$B:$AN,38,FALSE())),""))</f>
        <v>4,5,4</v>
      </c>
      <c r="AP458" s="56" t="s">
        <v>1683</v>
      </c>
      <c r="AQ458" s="56" t="s">
        <v>1684</v>
      </c>
      <c r="AR458" s="30" t="s">
        <v>1685</v>
      </c>
      <c r="AS458" s="30" t="s">
        <v>1686</v>
      </c>
      <c r="AT458" s="30" t="s">
        <v>1687</v>
      </c>
      <c r="AX458" s="30" t="n">
        <v>25</v>
      </c>
      <c r="AY458" s="28" t="str">
        <f aca="false">IF(L458&lt;&gt;"",MAX(16,(L458-J458)+8),"")</f>
        <v/>
      </c>
      <c r="BB458" s="30" t="n">
        <f aca="false">MIN(AB458/150, 1)*30</f>
        <v>30</v>
      </c>
      <c r="BC458" s="30" t="n">
        <f aca="false">MIN(N458/4000, 1)*20</f>
        <v>20</v>
      </c>
      <c r="BD458" s="30" t="n">
        <f aca="false">MIN(Z458/400,1)*20</f>
        <v>11</v>
      </c>
      <c r="BE458" s="24" t="n">
        <f aca="false">1-(MAX(J458-1900, 0)/750)</f>
        <v>0.877333333333333</v>
      </c>
      <c r="BF458" s="30" t="n">
        <f aca="false">((MAX($M458,1)*MIN($AJ458/300,1)))*IF(G458="Wagon",50,10)</f>
        <v>18.6666666666667</v>
      </c>
      <c r="BG458" s="19" t="n">
        <f aca="false">VLOOKUP($H458,[1]Constants!$I$1:$K$1048576, 2, FALSE())</f>
        <v>0.85</v>
      </c>
      <c r="BH458" s="19" t="n">
        <f aca="false">VLOOKUP($H458,[1]Constants!$I$1:$K$1048576, 3, FALSE())*IF(AND(G458="multiple_unit",AB458&lt;110),0.75,1)</f>
        <v>2.4</v>
      </c>
      <c r="BI458" s="19" t="n">
        <f aca="false">INT(POWER((([1]Constants!$G$2+$BB458+$BC458+$BD458+$BF458)*$BE458)*$BH458, 1.05))+$BA458</f>
        <v>231</v>
      </c>
      <c r="BJ458" s="19" t="n">
        <f aca="false">INT(POWER(((([1]Constants!$G$1+$BB458+$BC458+$BD458+$BF458)*($BE458))*$BG458),IF($G458="wagon",1,1.2)))+$AZ458</f>
        <v>165</v>
      </c>
      <c r="BK458" s="29" t="n">
        <f aca="false">BI458*IF($G458="wagon",62.5,781.25)</f>
        <v>180468.75</v>
      </c>
      <c r="BL458" s="29" t="n">
        <f aca="false">BJ458*IF($G458="wagon",2.73,81.25)</f>
        <v>13406.25</v>
      </c>
      <c r="BU458" s="30" t="s">
        <v>952</v>
      </c>
      <c r="BV458" s="30" t="n">
        <v>11</v>
      </c>
      <c r="BW458" s="30" t="n">
        <v>232</v>
      </c>
      <c r="BZ458" s="30" t="s">
        <v>148</v>
      </c>
      <c r="CA458" s="30" t="s">
        <v>1320</v>
      </c>
      <c r="CB458" s="30" t="s">
        <v>850</v>
      </c>
      <c r="CC458" s="30" t="str">
        <f aca="false">CONCATENATE(CA458,"_",CB458)</f>
        <v>lbr_EMU (Express)</v>
      </c>
      <c r="CD458" s="30" t="str">
        <f aca="false">_xlfn.CONCAT(H458, "_",I458)</f>
        <v>dual_electric_DUAL_POWER</v>
      </c>
      <c r="CE458" s="31" t="str">
        <f aca="false">_xlfn.CONCAT("{BLACK}Length: {GOLD}", TEXT(ROUNDUP(IF(AQ458&lt;&gt;"",SUM(VALUE(_xlfn.TEXTSPLIT(AQ458, ","))), SUM(VALUE(_xlfn.TEXTSPLIT(AN458, ",")))*IF(M458, M458, 1))/16, 1), "#,##0.0"), " tiles{}")</f>
        <v>{BLACK}Length: {GOLD}11.8 tiles{}</v>
      </c>
      <c r="CF458" s="19" t="str">
        <f aca="false">VLOOKUP($CD458, [1]Constants!$M$1:$N$1048576, 2, FALSE())</f>
        <v>{BLACK}Powered by: {GOLD}25kV AC / 750V DC</v>
      </c>
      <c r="CG458" s="19" t="str">
        <f aca="false">IF(M458&gt;1,_xlfn.CONCAT("{BLACK}Cars: {GOLD}", M458),"")</f>
        <v>{BLACK}Cars: {GOLD}16</v>
      </c>
      <c r="CH458" s="30" t="s">
        <v>1688</v>
      </c>
      <c r="CJ458" s="19" t="str">
        <f aca="false">IF(BX458="buffet","{YELLOW}25% long distance bonus for consist{}",IF(CA458="BRAKE","{YELLOW}Speed bonus for slow wagons{}",IF(BW458&gt;190,CONCATENATE("{YELLOW}",INT((BW458-185)/1.85),"% bonus for long distance travel{}"),IF(AND(BW458&lt;180,BW458&lt;&gt;0),CONCATENATE("{YELLOW}",INT((185-BW458)/1.85),"% penalty for long distance travel{}"),""))))</f>
        <v>{YELLOW}25% bonus for long distance travel{}</v>
      </c>
      <c r="CK458" s="19" t="str">
        <f aca="false">_xlfn.CONCAT(CF458,IF(CF458 &lt;&gt; "", " ", ""),CG458,IF(OR(CG458&lt;&gt;"", CF458&lt;&gt;""), "{}",""), CE458, CJ458,"{SILVER}", CH458)</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59" s="30" customFormat="true" ht="14.25" hidden="false" customHeight="false" outlineLevel="0" collapsed="false">
      <c r="A459" s="30" t="s">
        <v>1689</v>
      </c>
      <c r="B459" s="49" t="s">
        <v>1690</v>
      </c>
      <c r="C459" s="21" t="n">
        <v>3070</v>
      </c>
      <c r="D459" s="30" t="n">
        <v>3068</v>
      </c>
      <c r="E459" s="30" t="n">
        <v>412</v>
      </c>
      <c r="F459" s="30" t="s">
        <v>143</v>
      </c>
      <c r="G459" s="30" t="s">
        <v>827</v>
      </c>
      <c r="H459" s="30" t="s">
        <v>801</v>
      </c>
      <c r="I459" s="30" t="s">
        <v>802</v>
      </c>
      <c r="J459" s="30" t="n">
        <v>1992</v>
      </c>
      <c r="M459" s="30" t="n">
        <v>20</v>
      </c>
      <c r="N459" s="30" t="n">
        <v>16400</v>
      </c>
      <c r="O459" s="22" t="n">
        <v>4600</v>
      </c>
      <c r="P459" s="23"/>
      <c r="Q459" s="23"/>
      <c r="R459" s="23"/>
      <c r="S459" s="23"/>
      <c r="T459" s="23"/>
      <c r="U459" s="23"/>
      <c r="V459" s="23"/>
      <c r="W459" s="30" t="n">
        <v>752</v>
      </c>
      <c r="X459" s="22"/>
      <c r="Y459" s="30" t="n">
        <v>4</v>
      </c>
      <c r="Z459" s="30" t="n">
        <v>220</v>
      </c>
      <c r="AA459" s="24" t="n">
        <f aca="false">IF(AND(W459&gt;0,Z459&gt;0),(Z459/((W459+X459)*10)),"")</f>
        <v>0.0292553191489362</v>
      </c>
      <c r="AB459" s="30" t="n">
        <v>186</v>
      </c>
      <c r="AC459" s="30" t="n">
        <f aca="false">ROUND(AB459*1.6, 0)</f>
        <v>298</v>
      </c>
      <c r="AF459" s="30" t="n">
        <v>22.15</v>
      </c>
      <c r="AG459" s="30" t="n">
        <v>22.15</v>
      </c>
      <c r="AH459" s="30" t="n">
        <v>2.81</v>
      </c>
      <c r="AJ459" s="25" t="n">
        <v>35</v>
      </c>
      <c r="AK459" s="26" t="str">
        <f aca="false">CONCATENATE(VLOOKUP(AL459, '[1]Voxel Sizes'!$A$2:$B$18,2,FALSE()),"x",INT(AH459*15), "x", INT(AI459*15))</f>
        <v>214x42x0</v>
      </c>
      <c r="AL459" s="30" t="n">
        <f aca="false">ROUND(15*((AG459*10)/256),0)</f>
        <v>13</v>
      </c>
      <c r="AN459" s="19" t="str">
        <f aca="false">CONCATENATE(VLOOKUP(AL459,[1]Constants!$A$2:$C$16,IF(AM459&lt;&gt;"", 3, 2), FALSE()),IF(AM459&lt;&gt;"",CONCATENATE(",",VLOOKUP(AM459,$B:$AN,38,FALSE())),""))</f>
        <v>4,5,4</v>
      </c>
      <c r="AP459" s="56" t="s">
        <v>1675</v>
      </c>
      <c r="AQ459" s="56" t="s">
        <v>1676</v>
      </c>
      <c r="AR459" s="30" t="s">
        <v>1691</v>
      </c>
      <c r="AS459" s="30" t="s">
        <v>1690</v>
      </c>
      <c r="AT459" s="30" t="s">
        <v>1692</v>
      </c>
      <c r="AU459" s="26"/>
      <c r="AX459" s="30" t="n">
        <v>25</v>
      </c>
      <c r="AY459" s="28" t="str">
        <f aca="false">IF(L459&lt;&gt;"",MAX(16,(L459-J459)+8),"")</f>
        <v/>
      </c>
      <c r="BB459" s="30" t="n">
        <f aca="false">MIN(AB459/150, 1)*30</f>
        <v>30</v>
      </c>
      <c r="BC459" s="30" t="n">
        <f aca="false">MIN(N459/4000, 1)*20</f>
        <v>20</v>
      </c>
      <c r="BD459" s="30" t="n">
        <f aca="false">MIN(Z459/400,1)*20</f>
        <v>11</v>
      </c>
      <c r="BE459" s="24" t="n">
        <f aca="false">1-(MAX(J459-1900, 0)/750)</f>
        <v>0.877333333333333</v>
      </c>
      <c r="BF459" s="30" t="n">
        <f aca="false">((MAX($M459,1)*MIN($AJ459/300,1)))*IF(G459="Wagon",50,10)</f>
        <v>23.3333333333333</v>
      </c>
      <c r="BG459" s="19" t="n">
        <f aca="false">VLOOKUP($H459,[1]Constants!$I$1:$K$1048576, 2, FALSE())</f>
        <v>0.85</v>
      </c>
      <c r="BH459" s="19" t="n">
        <f aca="false">VLOOKUP($H459,[1]Constants!$I$1:$K$1048576, 3, FALSE())*IF(AND(G459="multiple_unit",AB459&lt;110),0.75,1)</f>
        <v>2.4</v>
      </c>
      <c r="BI459" s="19" t="n">
        <f aca="false">INT(POWER((([1]Constants!$G$2+$BB459+$BC459+$BD459+$BF459)*$BE459)*$BH459, 1.05))+$BA459</f>
        <v>244</v>
      </c>
      <c r="BJ459" s="19" t="n">
        <f aca="false">INT(POWER(((([1]Constants!$G$1+$BB459+$BC459+$BD459+$BF459)*($BE459))*$BG459),IF($G459="wagon",1,1.2)))+$AZ459</f>
        <v>175</v>
      </c>
      <c r="BK459" s="29" t="n">
        <f aca="false">BI459*IF($G459="wagon",62.5,781.25)</f>
        <v>190625</v>
      </c>
      <c r="BL459" s="29" t="n">
        <f aca="false">BJ459*IF($G459="wagon",2.73,81.25)</f>
        <v>14218.75</v>
      </c>
      <c r="BU459" s="30" t="s">
        <v>952</v>
      </c>
      <c r="BV459" s="30" t="n">
        <v>11</v>
      </c>
      <c r="BW459" s="30" t="n">
        <v>232</v>
      </c>
      <c r="BZ459" s="30" t="s">
        <v>148</v>
      </c>
      <c r="CA459" s="30" t="s">
        <v>1320</v>
      </c>
      <c r="CB459" s="30" t="s">
        <v>850</v>
      </c>
      <c r="CC459" s="30" t="str">
        <f aca="false">CONCATENATE(CA459,"_",CB459)</f>
        <v>lbr_EMU (Express)</v>
      </c>
      <c r="CD459" s="30" t="str">
        <f aca="false">_xlfn.CONCAT(H459, "_",I459)</f>
        <v>dual_electric_DUAL_POWER</v>
      </c>
      <c r="CE459" s="31" t="str">
        <f aca="false">_xlfn.CONCAT("{BLACK}Length: {GOLD}", TEXT(ROUNDUP(IF(AQ459&lt;&gt;"",SUM(VALUE(_xlfn.TEXTSPLIT(AQ459, ","))), SUM(VALUE(_xlfn.TEXTSPLIT(AN459, ",")))*IF(M459, M459, 1))/16, 1), "#,##0.0"), " tiles{}")</f>
        <v>{BLACK}Length: {GOLD}14.5 tiles{}</v>
      </c>
      <c r="CF459" s="19" t="str">
        <f aca="false">VLOOKUP($CD459, [1]Constants!$M$1:$N$1048576, 2, FALSE())</f>
        <v>{BLACK}Powered by: {GOLD}25kV AC / 750V DC</v>
      </c>
      <c r="CG459" s="19" t="str">
        <f aca="false">IF(M459&gt;1,_xlfn.CONCAT("{BLACK}Cars: {GOLD}", M459),"")</f>
        <v>{BLACK}Cars: {GOLD}20</v>
      </c>
      <c r="CH459" s="30" t="s">
        <v>1680</v>
      </c>
      <c r="CJ459" s="19" t="str">
        <f aca="false">IF(BX459="buffet","{YELLOW}25% long distance bonus for consist{}",IF(CA459="BRAKE","{YELLOW}Speed bonus for slow wagons{}",IF(BW459&gt;190,CONCATENATE("{YELLOW}",INT((BW459-185)/1.85),"% bonus for long distance travel{}"),IF(AND(BW459&lt;180,BW459&lt;&gt;0),CONCATENATE("{YELLOW}",INT((185-BW459)/1.85),"% penalty for long distance travel{}"),""))))</f>
        <v>{YELLOW}25% bonus for long distance travel{}</v>
      </c>
      <c r="CK459" s="19" t="str">
        <f aca="false">_xlfn.CONCAT(CF459,IF(CF459 &lt;&gt; "", " ", ""),CG459,IF(OR(CG459&lt;&gt;"", CF459&lt;&gt;""), "{}",""), CE459, CJ459,"{SILVER}", CH459)</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60" s="30" customFormat="true" ht="14.25" hidden="false" customHeight="false" outlineLevel="0" collapsed="false">
      <c r="A460" s="30" t="s">
        <v>1689</v>
      </c>
      <c r="B460" s="49" t="s">
        <v>1693</v>
      </c>
      <c r="C460" s="21" t="n">
        <v>3071</v>
      </c>
      <c r="D460" s="30" t="n">
        <v>3068</v>
      </c>
      <c r="E460" s="30" t="n">
        <v>413</v>
      </c>
      <c r="F460" s="30" t="s">
        <v>143</v>
      </c>
      <c r="G460" s="30" t="s">
        <v>827</v>
      </c>
      <c r="H460" s="30" t="s">
        <v>801</v>
      </c>
      <c r="I460" s="30" t="s">
        <v>802</v>
      </c>
      <c r="J460" s="30" t="n">
        <v>1992</v>
      </c>
      <c r="M460" s="30" t="n">
        <v>16</v>
      </c>
      <c r="N460" s="30" t="n">
        <v>16400</v>
      </c>
      <c r="O460" s="22" t="n">
        <v>4600</v>
      </c>
      <c r="P460" s="23"/>
      <c r="Q460" s="23"/>
      <c r="R460" s="23"/>
      <c r="S460" s="23"/>
      <c r="T460" s="23"/>
      <c r="U460" s="23"/>
      <c r="V460" s="23"/>
      <c r="W460" s="30" t="n">
        <v>665</v>
      </c>
      <c r="X460" s="22"/>
      <c r="Y460" s="30" t="n">
        <v>4</v>
      </c>
      <c r="Z460" s="30" t="n">
        <v>220</v>
      </c>
      <c r="AA460" s="24" t="n">
        <f aca="false">IF(AND(W460&gt;0,Z460&gt;0),(Z460/((W460+X460)*10)),"")</f>
        <v>0.0330827067669173</v>
      </c>
      <c r="AB460" s="30" t="n">
        <v>186</v>
      </c>
      <c r="AC460" s="30" t="n">
        <f aca="false">ROUND(AB460*1.6, 0)</f>
        <v>298</v>
      </c>
      <c r="AF460" s="30" t="n">
        <v>22.15</v>
      </c>
      <c r="AG460" s="30" t="n">
        <v>22.15</v>
      </c>
      <c r="AH460" s="30" t="n">
        <v>2.81</v>
      </c>
      <c r="AJ460" s="25" t="n">
        <v>35</v>
      </c>
      <c r="AK460" s="26" t="str">
        <f aca="false">CONCATENATE(VLOOKUP(AL460, '[1]Voxel Sizes'!$A$2:$B$18,2,FALSE()),"x",INT(AH460*15), "x", INT(AI460*15))</f>
        <v>214x42x0</v>
      </c>
      <c r="AL460" s="30" t="n">
        <f aca="false">ROUND(15*((AG460*10)/256),0)</f>
        <v>13</v>
      </c>
      <c r="AN460" s="19" t="str">
        <f aca="false">CONCATENATE(VLOOKUP(AL460,[1]Constants!$A$2:$C$16,IF(AM460&lt;&gt;"", 3, 2), FALSE()),IF(AM460&lt;&gt;"",CONCATENATE(",",VLOOKUP(AM460,$B:$AN,38,FALSE())),""))</f>
        <v>4,5,4</v>
      </c>
      <c r="AP460" s="56" t="s">
        <v>1683</v>
      </c>
      <c r="AQ460" s="56" t="s">
        <v>1684</v>
      </c>
      <c r="AR460" s="30" t="s">
        <v>1694</v>
      </c>
      <c r="AS460" s="30" t="s">
        <v>1690</v>
      </c>
      <c r="AT460" s="30" t="s">
        <v>1695</v>
      </c>
      <c r="AU460" s="26" t="s">
        <v>1690</v>
      </c>
      <c r="AX460" s="30" t="n">
        <v>25</v>
      </c>
      <c r="AY460" s="28" t="str">
        <f aca="false">IF(L460&lt;&gt;"",MAX(16,(L460-J460)+8),"")</f>
        <v/>
      </c>
      <c r="BB460" s="30" t="n">
        <f aca="false">MIN(AB460/150, 1)*30</f>
        <v>30</v>
      </c>
      <c r="BC460" s="30" t="n">
        <f aca="false">MIN(N460/4000, 1)*20</f>
        <v>20</v>
      </c>
      <c r="BD460" s="30" t="n">
        <f aca="false">MIN(Z460/400,1)*20</f>
        <v>11</v>
      </c>
      <c r="BE460" s="24" t="n">
        <f aca="false">1-(MAX(J460-1900, 0)/750)</f>
        <v>0.877333333333333</v>
      </c>
      <c r="BF460" s="30" t="n">
        <f aca="false">((MAX($M460,1)*MIN($AJ460/300,1)))*IF(G460="Wagon",50,10)</f>
        <v>18.6666666666667</v>
      </c>
      <c r="BG460" s="19" t="n">
        <f aca="false">VLOOKUP($H460,[1]Constants!$I$1:$K$1048576, 2, FALSE())</f>
        <v>0.85</v>
      </c>
      <c r="BH460" s="19" t="n">
        <f aca="false">VLOOKUP($H460,[1]Constants!$I$1:$K$1048576, 3, FALSE())*IF(AND(G460="multiple_unit",AB460&lt;110),0.75,1)</f>
        <v>2.4</v>
      </c>
      <c r="BI460" s="19" t="n">
        <f aca="false">INT(POWER((([1]Constants!$G$2+$BB460+$BC460+$BD460+$BF460)*$BE460)*$BH460, 1.05))+$BA460</f>
        <v>231</v>
      </c>
      <c r="BJ460" s="19" t="n">
        <f aca="false">INT(POWER(((([1]Constants!$G$1+$BB460+$BC460+$BD460+$BF460)*($BE460))*$BG460),IF($G460="wagon",1,1.2)))+$AZ460</f>
        <v>165</v>
      </c>
      <c r="BK460" s="29" t="n">
        <f aca="false">BI460*IF($G460="wagon",62.5,781.25)</f>
        <v>180468.75</v>
      </c>
      <c r="BL460" s="29" t="n">
        <f aca="false">BJ460*IF($G460="wagon",2.73,81.25)</f>
        <v>13406.25</v>
      </c>
      <c r="BU460" s="30" t="s">
        <v>952</v>
      </c>
      <c r="BV460" s="30" t="n">
        <v>11</v>
      </c>
      <c r="BW460" s="30" t="n">
        <v>232</v>
      </c>
      <c r="BZ460" s="30" t="s">
        <v>148</v>
      </c>
      <c r="CA460" s="30" t="s">
        <v>1320</v>
      </c>
      <c r="CB460" s="30" t="s">
        <v>850</v>
      </c>
      <c r="CC460" s="30" t="str">
        <f aca="false">CONCATENATE(CA460,"_",CB460)</f>
        <v>lbr_EMU (Express)</v>
      </c>
      <c r="CD460" s="30" t="str">
        <f aca="false">_xlfn.CONCAT(H460, "_",I460)</f>
        <v>dual_electric_DUAL_POWER</v>
      </c>
      <c r="CE460" s="31" t="str">
        <f aca="false">_xlfn.CONCAT("{BLACK}Length: {GOLD}", TEXT(ROUNDUP(IF(AQ460&lt;&gt;"",SUM(VALUE(_xlfn.TEXTSPLIT(AQ460, ","))), SUM(VALUE(_xlfn.TEXTSPLIT(AN460, ",")))*IF(M460, M460, 1))/16, 1), "#,##0.0"), " tiles{}")</f>
        <v>{BLACK}Length: {GOLD}11.8 tiles{}</v>
      </c>
      <c r="CF460" s="19" t="str">
        <f aca="false">VLOOKUP($CD460, [1]Constants!$M$1:$N$1048576, 2, FALSE())</f>
        <v>{BLACK}Powered by: {GOLD}25kV AC / 750V DC</v>
      </c>
      <c r="CG460" s="19" t="str">
        <f aca="false">IF(M460&gt;1,_xlfn.CONCAT("{BLACK}Cars: {GOLD}", M460),"")</f>
        <v>{BLACK}Cars: {GOLD}16</v>
      </c>
      <c r="CH460" s="30" t="s">
        <v>1688</v>
      </c>
      <c r="CJ460" s="19" t="str">
        <f aca="false">IF(BX460="buffet","{YELLOW}25% long distance bonus for consist{}",IF(CA460="BRAKE","{YELLOW}Speed bonus for slow wagons{}",IF(BW460&gt;190,CONCATENATE("{YELLOW}",INT((BW460-185)/1.85),"% bonus for long distance travel{}"),IF(AND(BW460&lt;180,BW460&lt;&gt;0),CONCATENATE("{YELLOW}",INT((185-BW460)/1.85),"% penalty for long distance travel{}"),""))))</f>
        <v>{YELLOW}25% bonus for long distance travel{}</v>
      </c>
      <c r="CK460" s="19" t="str">
        <f aca="false">_xlfn.CONCAT(CF460,IF(CF460 &lt;&gt; "", " ", ""),CG460,IF(OR(CG460&lt;&gt;"", CF460&lt;&gt;""), "{}",""), CE460, CJ460,"{SILVER}", CH460)</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61" s="26" customFormat="true" ht="14.25" hidden="false" customHeight="false" outlineLevel="0" collapsed="false">
      <c r="A461" s="26" t="s">
        <v>1696</v>
      </c>
      <c r="B461" s="32" t="s">
        <v>1697</v>
      </c>
      <c r="C461" s="21" t="n">
        <v>3072</v>
      </c>
      <c r="E461" s="26" t="n">
        <v>420</v>
      </c>
      <c r="F461" s="26" t="s">
        <v>143</v>
      </c>
      <c r="G461" s="26" t="s">
        <v>827</v>
      </c>
      <c r="H461" s="26" t="s">
        <v>801</v>
      </c>
      <c r="I461" s="30" t="s">
        <v>802</v>
      </c>
      <c r="J461" s="26" t="n">
        <v>1994</v>
      </c>
      <c r="L461" s="26" t="n">
        <v>2022</v>
      </c>
      <c r="M461" s="26" t="n">
        <v>4</v>
      </c>
      <c r="N461" s="26" t="n">
        <v>1684</v>
      </c>
      <c r="O461" s="33"/>
      <c r="P461" s="34"/>
      <c r="Q461" s="34"/>
      <c r="R461" s="34"/>
      <c r="S461" s="34"/>
      <c r="T461" s="34"/>
      <c r="U461" s="34"/>
      <c r="V461" s="34"/>
      <c r="W461" s="26" t="n">
        <v>136</v>
      </c>
      <c r="X461" s="33"/>
      <c r="Y461" s="26" t="n">
        <v>5</v>
      </c>
      <c r="Z461" s="26" t="n">
        <v>165</v>
      </c>
      <c r="AA461" s="35" t="n">
        <f aca="false">IF(AND(W461&gt;0,Z461&gt;0),(Z461/((W461+X461)*10)),"")</f>
        <v>0.121323529411765</v>
      </c>
      <c r="AB461" s="26" t="n">
        <v>100</v>
      </c>
      <c r="AC461" s="26" t="n">
        <f aca="false">ROUND(AB461*1.6, 0)</f>
        <v>160</v>
      </c>
      <c r="AF461" s="26" t="n">
        <v>20.89</v>
      </c>
      <c r="AG461" s="26" t="n">
        <v>20.89</v>
      </c>
      <c r="AI461" s="26" t="n">
        <v>3.77</v>
      </c>
      <c r="AJ461" s="36" t="n">
        <v>66</v>
      </c>
      <c r="AK461" s="26" t="str">
        <f aca="false">CONCATENATE(VLOOKUP(AL461, '[1]Voxel Sizes'!$A$2:$B$18,2,FALSE()),"x",INT(AH461*15), "x", INT(AI461*15))</f>
        <v>198x0x56</v>
      </c>
      <c r="AL461" s="26" t="n">
        <f aca="false">ROUND(15*((AG461*10)/256),0)</f>
        <v>12</v>
      </c>
      <c r="AN461" s="26" t="str">
        <f aca="false">CONCATENATE(VLOOKUP(AL461,[2]Constants!$A$2:$C$16,IF(AM461&lt;&gt;"", 3, 2), FALSE()),IF(AM461&lt;&gt;"",CONCATENATE(",",VLOOKUP(AM461,$B:$AN,39,FALSE())),""))</f>
        <v>4,4,4</v>
      </c>
      <c r="AO461" s="26" t="n">
        <v>7</v>
      </c>
      <c r="AP461" s="37"/>
      <c r="AQ461" s="37"/>
      <c r="AR461" s="26" t="s">
        <v>1698</v>
      </c>
      <c r="AS461" s="26" t="s">
        <v>1699</v>
      </c>
      <c r="AT461" s="26" t="s">
        <v>881</v>
      </c>
      <c r="AU461" s="19"/>
      <c r="AX461" s="26" t="n">
        <v>32</v>
      </c>
      <c r="AY461" s="38" t="n">
        <f aca="false">IF(L461&lt;&gt;"",MAX(16,(L461-J461)+8),"")</f>
        <v>36</v>
      </c>
      <c r="BB461" s="26" t="n">
        <f aca="false">MIN(AB461/150, 1)*30</f>
        <v>20</v>
      </c>
      <c r="BC461" s="26" t="n">
        <f aca="false">MIN(N461/4000, 1)*20</f>
        <v>8.42</v>
      </c>
      <c r="BD461" s="26" t="n">
        <f aca="false">MIN(Z461/400,1)*20</f>
        <v>8.25</v>
      </c>
      <c r="BE461" s="35" t="n">
        <f aca="false">1-(MAX(J461-1900, 0)/750)</f>
        <v>0.874666666666667</v>
      </c>
      <c r="BF461" s="26" t="n">
        <f aca="false">((MAX($M461,1)*MIN($AJ461/300,1)))*IF(G461="Wagon",50,10)</f>
        <v>8.8</v>
      </c>
      <c r="BG461" s="19" t="n">
        <f aca="false">VLOOKUP($H461,[1]Constants!$I$1:$K$1048576, 2, FALSE())</f>
        <v>0.85</v>
      </c>
      <c r="BH461" s="19" t="n">
        <f aca="false">VLOOKUP($H461,[1]Constants!$I$1:$K$1048576, 3, FALSE())*IF(AND(G461="multiple_unit",AB461&lt;110),0.75,1)</f>
        <v>1.8</v>
      </c>
      <c r="BI461" s="26" t="n">
        <f aca="false">INT(POWER((([2]Constants!$G$2+$BB461+$BC461+$BD461+$BF461)*$BE461)*$BH461, 1.05))+$BA461</f>
        <v>98</v>
      </c>
      <c r="BJ461" s="26" t="n">
        <f aca="false">INT(POWER(((([2]Constants!$G$1+$BB461+$BC461+$BD461+$BF461)*($BE461))*$BG461),IF($G461="wagon",1,1.2)))+$AZ461</f>
        <v>96</v>
      </c>
      <c r="BK461" s="39" t="n">
        <f aca="false">BI461*IF($G461="wagon",62.5,781.25)</f>
        <v>76562.5</v>
      </c>
      <c r="BL461" s="39" t="n">
        <f aca="false">BJ461*IF($G461="wagon",2.73,81.25)</f>
        <v>7800</v>
      </c>
      <c r="BV461" s="26" t="n">
        <v>4</v>
      </c>
      <c r="BW461" s="26" t="n">
        <v>185</v>
      </c>
      <c r="BZ461" s="26" t="s">
        <v>148</v>
      </c>
      <c r="CA461" s="26" t="str">
        <f aca="false">VLOOKUP(J461,[2]Eras!$A$2:$C$10, 2, TRUE())</f>
        <v>lbr</v>
      </c>
      <c r="CB461" s="30" t="s">
        <v>844</v>
      </c>
      <c r="CC461" s="26" t="str">
        <f aca="false">CONCATENATE(CA461,"_",CB461)</f>
        <v>lbr_EMU</v>
      </c>
      <c r="CD461" s="26" t="str">
        <f aca="false">_xlfn.CONCAT(H461, "_",I461)</f>
        <v>dual_electric_DUAL_POWER</v>
      </c>
      <c r="CE461" s="41" t="str">
        <f aca="false">_xlfn.CONCAT("{BLACK}Length: {GOLD}", TEXT(ROUNDUP(IF(AQ461&lt;&gt;"",SUM(VALUE(_xlfn.TEXTSPLIT(AQ461, ","))), SUM(VALUE(_xlfn.TEXTSPLIT(AN461, ",")))*IF(M461, M461, 1))/16, 1), "#,##0.0"), " tiles{}")</f>
        <v>{BLACK}Length: {GOLD}3.0 tiles{}</v>
      </c>
      <c r="CF461" s="19" t="str">
        <f aca="false">VLOOKUP($CD461, [1]Constants!$M$1:$N$1048576, 2, FALSE())</f>
        <v>{BLACK}Powered by: {GOLD}25kV AC / 750V DC</v>
      </c>
      <c r="CG461" s="26" t="str">
        <f aca="false">IF(M461&gt;1,_xlfn.CONCAT("{BLACK}Cars: {GOLD}", M461),"")</f>
        <v>{BLACK}Cars: {GOLD}4</v>
      </c>
      <c r="CH461" s="26" t="s">
        <v>1700</v>
      </c>
      <c r="CJ461" s="19" t="str">
        <f aca="false">IF(BX461="buffet","{YELLOW}25% long distance bonus for consist{}",IF(CA461="BRAKE","{YELLOW}Speed bonus for slow wagons{}",IF(BW461&gt;190,CONCATENATE("{YELLOW}",INT((BW461-185)/1.85),"% bonus for long distance travel{}"),IF(AND(BW461&lt;180,BW461&lt;&gt;0),CONCATENATE("{YELLOW}",INT((185-BW461)/1.85),"% penalty for long distance travel{}"),""))))</f>
        <v/>
      </c>
      <c r="CK461" s="19" t="str">
        <f aca="false">_xlfn.CONCAT(CF461,IF(CF461 &lt;&gt; "", " ", ""),CG461,IF(OR(CG461&lt;&gt;"", CF461&lt;&gt;""), "{}",""), CE461, CJ461,"{SILVER}", CH461)</f>
        <v>{BLACK}Powered by: {GOLD}25kV AC / 750V DC {BLACK}Cars: {GOLD}4{}{BLACK}Length: {GOLD}3.0 tiles{}{SILVER}Amongst the last passenger vehicles built at the former BREL Holgate Road works, the Class 365s began to be delivered at the very end of British Rail operations.</v>
      </c>
    </row>
    <row r="462" s="26" customFormat="true" ht="14.25" hidden="false" customHeight="false" outlineLevel="0" collapsed="false">
      <c r="A462" s="26" t="s">
        <v>1701</v>
      </c>
      <c r="B462" s="32" t="s">
        <v>1702</v>
      </c>
      <c r="C462" s="21" t="n">
        <v>3073</v>
      </c>
      <c r="E462" s="26" t="n">
        <v>420</v>
      </c>
      <c r="F462" s="26" t="s">
        <v>143</v>
      </c>
      <c r="G462" s="26" t="s">
        <v>827</v>
      </c>
      <c r="H462" s="26" t="s">
        <v>529</v>
      </c>
      <c r="I462" s="26" t="s">
        <v>641</v>
      </c>
      <c r="J462" s="26" t="n">
        <v>1992</v>
      </c>
      <c r="K462" s="26" t="n">
        <v>1994</v>
      </c>
      <c r="M462" s="26" t="n">
        <v>4</v>
      </c>
      <c r="N462" s="26" t="n">
        <v>1608</v>
      </c>
      <c r="O462" s="33"/>
      <c r="P462" s="34"/>
      <c r="Q462" s="34"/>
      <c r="R462" s="34"/>
      <c r="S462" s="34"/>
      <c r="T462" s="34"/>
      <c r="U462" s="34"/>
      <c r="V462" s="34"/>
      <c r="W462" s="26" t="n">
        <v>136</v>
      </c>
      <c r="X462" s="33"/>
      <c r="Y462" s="26" t="n">
        <v>5</v>
      </c>
      <c r="Z462" s="26" t="n">
        <v>165</v>
      </c>
      <c r="AA462" s="35" t="n">
        <f aca="false">IF(AND(W462&gt;0,Z462&gt;0),(Z462/((W462+X462)*10)),"")</f>
        <v>0.121323529411765</v>
      </c>
      <c r="AB462" s="26" t="n">
        <v>75</v>
      </c>
      <c r="AC462" s="26" t="n">
        <f aca="false">ROUND(AB462*1.6, 0)</f>
        <v>120</v>
      </c>
      <c r="AF462" s="26" t="n">
        <v>20.89</v>
      </c>
      <c r="AG462" s="26" t="n">
        <v>20.89</v>
      </c>
      <c r="AI462" s="26" t="n">
        <v>3.77</v>
      </c>
      <c r="AJ462" s="36" t="n">
        <v>81</v>
      </c>
      <c r="AK462" s="26" t="str">
        <f aca="false">CONCATENATE(VLOOKUP(AL462, '[1]Voxel Sizes'!$A$2:$B$18,2,FALSE()),"x",INT(AH462*15), "x", INT(AI462*15))</f>
        <v>198x0x56</v>
      </c>
      <c r="AL462" s="26" t="n">
        <f aca="false">ROUND(15*((AG462*10)/256),0)</f>
        <v>12</v>
      </c>
      <c r="AN462" s="26" t="str">
        <f aca="false">CONCATENATE(VLOOKUP(AL462,[2]Constants!$A$2:$C$16,IF(AM462&lt;&gt;"", 3, 2), FALSE()),IF(AM462&lt;&gt;"",CONCATENATE(",",VLOOKUP(AM462,$B:$AN,39,FALSE())),""))</f>
        <v>4,4,4</v>
      </c>
      <c r="AO462" s="26" t="n">
        <v>0</v>
      </c>
      <c r="AP462" s="37"/>
      <c r="AQ462" s="37"/>
      <c r="AR462" s="26" t="s">
        <v>1703</v>
      </c>
      <c r="AT462" s="26" t="s">
        <v>855</v>
      </c>
      <c r="AU462" s="19" t="s">
        <v>1704</v>
      </c>
      <c r="AX462" s="26" t="n">
        <v>32</v>
      </c>
      <c r="AY462" s="38" t="str">
        <f aca="false">IF(L462&lt;&gt;"",MAX(16,(L462-J462)+8),"")</f>
        <v/>
      </c>
      <c r="AZ462" s="26" t="n">
        <v>-10</v>
      </c>
      <c r="BA462" s="26" t="n">
        <v>-20</v>
      </c>
      <c r="BB462" s="26" t="n">
        <f aca="false">MIN(AB462/150, 1)*30</f>
        <v>15</v>
      </c>
      <c r="BC462" s="26" t="n">
        <f aca="false">MIN(N462/4000, 1)*20</f>
        <v>8.04</v>
      </c>
      <c r="BD462" s="26" t="n">
        <f aca="false">MIN(Z462/400,1)*20</f>
        <v>8.25</v>
      </c>
      <c r="BE462" s="35" t="n">
        <f aca="false">1-(MAX(J462-1900, 0)/750)</f>
        <v>0.877333333333333</v>
      </c>
      <c r="BF462" s="26" t="n">
        <f aca="false">((MAX($M462,1)*MIN($AJ462/300,1)))*IF(G462="Wagon",50,10)</f>
        <v>10.8</v>
      </c>
      <c r="BG462" s="26" t="n">
        <f aca="false">VLOOKUP($H462,[2]Constants!$I$1:$K$1048576, 2, FALSE())</f>
        <v>0.85</v>
      </c>
      <c r="BH462" s="19" t="n">
        <f aca="false">VLOOKUP($H462,[1]Constants!$I$1:$K$1048576, 3, FALSE())*IF(AND(G462="multiple_unit",AB462&lt;110),0.75,1)</f>
        <v>1.725</v>
      </c>
      <c r="BI462" s="26" t="n">
        <f aca="false">INT(POWER((([2]Constants!$G$2+$BB462+$BC462+$BD462+$BF462)*$BE462)*$BH462, 1.05))+$BA462</f>
        <v>68</v>
      </c>
      <c r="BJ462" s="26" t="n">
        <f aca="false">INT(POWER(((([2]Constants!$G$1+$BB462+$BC462+$BD462+$BF462)*($BE462))*$BG462),IF($G462="wagon",1,1.2)))+$AZ462</f>
        <v>80</v>
      </c>
      <c r="BK462" s="39" t="n">
        <f aca="false">BI462*IF($G462="wagon",62.5,781.25)</f>
        <v>53125</v>
      </c>
      <c r="BL462" s="39" t="n">
        <f aca="false">BJ462*IF($G462="wagon",2.73,81.25)</f>
        <v>6500</v>
      </c>
      <c r="BR462" s="26" t="s">
        <v>1705</v>
      </c>
      <c r="BV462" s="26" t="n">
        <v>10</v>
      </c>
      <c r="BW462" s="26" t="n">
        <v>205</v>
      </c>
      <c r="BZ462" s="26" t="s">
        <v>148</v>
      </c>
      <c r="CA462" s="26" t="str">
        <f aca="false">VLOOKUP(J462,[2]Eras!$A$2:$C$10, 2, TRUE())</f>
        <v>lbr</v>
      </c>
      <c r="CB462" s="40" t="s">
        <v>844</v>
      </c>
      <c r="CC462" s="26" t="str">
        <f aca="false">CONCATENATE(CA462,"_",CB462)</f>
        <v>lbr_EMU</v>
      </c>
      <c r="CD462" s="26" t="str">
        <f aca="false">_xlfn.CONCAT(H462, "_",I462)</f>
        <v>electric_THIRD_RAIL</v>
      </c>
      <c r="CE462" s="41" t="str">
        <f aca="false" t="array" ref="CE462:CE462">_xlfn.CONCAT("{BLACK}Length: {GOLD}", TEXT(ROUNDUP(IF(AQ462&lt;&gt;"",SUM(VALUE(_xlfn.TEXTSPLIT(AQ462, ","))), SUM(VALUE(_xlfn.TEXTSPLIT(AN462, ",")))*IF(M462, M462, 1))/16, 1), "#,##0.0"), " tiles{}")</f>
        <v>{BLACK}Length: {GOLD}3.0 tiles{}</v>
      </c>
      <c r="CF462" s="26" t="str">
        <f aca="false">VLOOKUP($CD462, [2]Constants!$M$1:$N$1048576, 2, FALSE())</f>
        <v>{BLACK}Powered by: {GOLD}750V DC</v>
      </c>
      <c r="CG462" s="26" t="str">
        <f aca="false">IF(M462&gt;1,_xlfn.CONCAT("{BLACK}Cars: {GOLD}", M462),"")</f>
        <v>{BLACK}Cars: {GOLD}4</v>
      </c>
      <c r="CH462" s="26" t="s">
        <v>1706</v>
      </c>
      <c r="CJ462" s="19" t="str">
        <f aca="false">IF(BX462="buffet","{YELLOW}25% long distance bonus for consist{}",IF(CA462="BRAKE","{YELLOW}Speed bonus for slow wagons{}",IF(BW462&gt;190,CONCATENATE("{YELLOW}",INT((BW462-185)/1.85),"% bonus for long distance travel{}"),IF(AND(BW462&lt;180,BW462&lt;&gt;0),CONCATENATE("{YELLOW}",INT((185-BW462)/1.85),"% penalty for long distance travel{}"),""))))</f>
        <v>{YELLOW}10% bonus for long distance travel{}</v>
      </c>
      <c r="CK462" s="19" t="str">
        <f aca="false">_xlfn.CONCAT(CF462,IF(CF462 &lt;&gt; "", " ", ""),CG462,IF(OR(CG462&lt;&gt;"", CF462&lt;&gt;""), "{}",""), CE462, CJ462,"{SILVER}", CH462)</f>
        <v>{BLACK}Powered by: {GOLD}750V DC {BLACK}Cars: {GOLD}4{}{BLACK}Length: {GOLD}3.0 tiles{}{YELLOW}10% bonus for long distance travel{}{SILVER}The BREL Networker was built by three different companies (ABB, Metro-Cammell and BREL) with minor detail differences between each manufacturer's output.</v>
      </c>
    </row>
    <row r="463" s="19" customFormat="true" ht="14.25" hidden="false" customHeight="false" outlineLevel="0" collapsed="false">
      <c r="A463" s="30" t="s">
        <v>1707</v>
      </c>
      <c r="B463" s="49" t="s">
        <v>1705</v>
      </c>
      <c r="C463" s="21" t="n">
        <v>3074</v>
      </c>
      <c r="D463" s="19" t="n">
        <v>3073</v>
      </c>
      <c r="E463" s="19" t="n">
        <v>421</v>
      </c>
      <c r="F463" s="19" t="s">
        <v>143</v>
      </c>
      <c r="G463" s="19" t="s">
        <v>827</v>
      </c>
      <c r="H463" s="19" t="s">
        <v>529</v>
      </c>
      <c r="I463" s="19" t="s">
        <v>641</v>
      </c>
      <c r="J463" s="19" t="n">
        <v>1993</v>
      </c>
      <c r="K463" s="19" t="n">
        <v>2025</v>
      </c>
      <c r="L463" s="19" t="n">
        <v>2028</v>
      </c>
      <c r="M463" s="19" t="n">
        <v>2</v>
      </c>
      <c r="N463" s="19" t="n">
        <v>1500</v>
      </c>
      <c r="O463" s="22"/>
      <c r="P463" s="23"/>
      <c r="Q463" s="23"/>
      <c r="R463" s="23"/>
      <c r="S463" s="23"/>
      <c r="T463" s="23"/>
      <c r="U463" s="23"/>
      <c r="V463" s="23"/>
      <c r="W463" s="19" t="n">
        <v>72</v>
      </c>
      <c r="X463" s="22"/>
      <c r="Y463" s="19" t="n">
        <v>5</v>
      </c>
      <c r="Z463" s="19" t="n">
        <v>83</v>
      </c>
      <c r="AA463" s="24" t="n">
        <f aca="false">IF(AND(W463&gt;0,Z463&gt;0),(Z463/((W463+X463)*10)),"")</f>
        <v>0.115277777777778</v>
      </c>
      <c r="AB463" s="19" t="n">
        <v>75</v>
      </c>
      <c r="AC463" s="19" t="n">
        <f aca="false">ROUND(AB463*1.6, 0)</f>
        <v>120</v>
      </c>
      <c r="AF463" s="19" t="n">
        <v>20.89</v>
      </c>
      <c r="AG463" s="19" t="n">
        <v>20.89</v>
      </c>
      <c r="AI463" s="19" t="n">
        <v>3.77</v>
      </c>
      <c r="AJ463" s="25" t="n">
        <v>84</v>
      </c>
      <c r="AK463" s="26" t="str">
        <f aca="false">CONCATENATE(VLOOKUP(AL463, '[1]Voxel Sizes'!$A$2:$B$18,2,FALSE()),"x",INT(AH463*15), "x", INT(AI463*15))</f>
        <v>198x0x56</v>
      </c>
      <c r="AL463" s="19" t="n">
        <f aca="false">ROUND(15*((AG463*10)/256),0)</f>
        <v>12</v>
      </c>
      <c r="AN463" s="19" t="str">
        <f aca="false">CONCATENATE(VLOOKUP(AL463,[1]Constants!$A$2:$C$16,IF(AM463&lt;&gt;"", 3, 2), FALSE()),IF(AM463&lt;&gt;"",CONCATENATE(",",VLOOKUP(AM463,$B:$AN,38,FALSE())),""))</f>
        <v>4,4,4</v>
      </c>
      <c r="AO463" s="19" t="n">
        <v>0</v>
      </c>
      <c r="AP463" s="27"/>
      <c r="AQ463" s="27"/>
      <c r="AR463" s="19" t="s">
        <v>1708</v>
      </c>
      <c r="AT463" s="19" t="s">
        <v>1486</v>
      </c>
      <c r="AU463" s="19" t="s">
        <v>1704</v>
      </c>
      <c r="AX463" s="19" t="n">
        <v>32</v>
      </c>
      <c r="AY463" s="28" t="n">
        <f aca="false">IF(L463&lt;&gt;"",MAX(16,(L463-J463)+8),"")</f>
        <v>43</v>
      </c>
      <c r="AZ463" s="19" t="n">
        <v>-10</v>
      </c>
      <c r="BA463" s="19" t="n">
        <v>-20</v>
      </c>
      <c r="BB463" s="19" t="n">
        <f aca="false">MIN(AB463/150, 1)*30</f>
        <v>15</v>
      </c>
      <c r="BC463" s="19" t="n">
        <f aca="false">MIN(N463/4000, 1)*20</f>
        <v>7.5</v>
      </c>
      <c r="BD463" s="19" t="n">
        <f aca="false">MIN(Z463/400,1)*20</f>
        <v>4.15</v>
      </c>
      <c r="BE463" s="24" t="n">
        <f aca="false">1-(MAX(J463-1900, 0)/750)</f>
        <v>0.876</v>
      </c>
      <c r="BF463" s="19" t="n">
        <f aca="false">((MAX($M463,1)*MIN($AJ463/300,1)))*IF(G463="Wagon",50,10)</f>
        <v>5.6</v>
      </c>
      <c r="BG463" s="19" t="n">
        <f aca="false">VLOOKUP($H463,[1]Constants!$I$1:$K$1048576, 2, FALSE())</f>
        <v>0.85</v>
      </c>
      <c r="BH463" s="19" t="n">
        <f aca="false">VLOOKUP($H463,[1]Constants!$I$1:$K$1048576, 3, FALSE())*IF(AND(G463="multiple_unit",AB463&lt;110),0.75,1)</f>
        <v>1.725</v>
      </c>
      <c r="BI463" s="19" t="n">
        <f aca="false">INT(POWER((([1]Constants!$G$2+$BB463+$BC463+$BD463+$BF463)*$BE463)*$BH463, 1.05))+$BA463</f>
        <v>48</v>
      </c>
      <c r="BJ463" s="19" t="n">
        <f aca="false">INT(POWER(((([1]Constants!$G$1+$BB463+$BC463+$BD463+$BF463)*($BE463))*$BG463),IF($G463="wagon",1,1.2)))+$AZ463</f>
        <v>61</v>
      </c>
      <c r="BK463" s="29" t="n">
        <f aca="false">BI463*IF($G463="wagon",62.5,781.25)</f>
        <v>37500</v>
      </c>
      <c r="BL463" s="29" t="n">
        <f aca="false">BJ463*IF($G463="wagon",2.73,81.25)</f>
        <v>4956.25</v>
      </c>
      <c r="BR463" s="19" t="s">
        <v>1702</v>
      </c>
      <c r="BV463" s="19" t="n">
        <v>6</v>
      </c>
      <c r="BW463" s="19" t="n">
        <v>185</v>
      </c>
      <c r="BZ463" s="19" t="s">
        <v>148</v>
      </c>
      <c r="CA463" s="19" t="s">
        <v>1320</v>
      </c>
      <c r="CB463" s="30" t="s">
        <v>850</v>
      </c>
      <c r="CC463" s="19" t="str">
        <f aca="false">CONCATENATE(CA463,"_",CB463)</f>
        <v>lbr_EMU (Express)</v>
      </c>
      <c r="CD463" s="19" t="str">
        <f aca="false">_xlfn.CONCAT(H463, "_",I463)</f>
        <v>electric_THIRD_RAIL</v>
      </c>
      <c r="CE463" s="31" t="str">
        <f aca="false">_xlfn.CONCAT("{BLACK}Length: {GOLD}", TEXT(ROUNDUP(IF(AQ463&lt;&gt;"",SUM(VALUE(_xlfn.TEXTSPLIT(AQ463, ","))), SUM(VALUE(_xlfn.TEXTSPLIT(AN463, ",")))*IF(M463, M463, 1))/16, 1), "#,##0.0"), " tiles{}")</f>
        <v>{BLACK}Length: {GOLD}1.5 tiles{}</v>
      </c>
      <c r="CF463" s="19" t="str">
        <f aca="false">VLOOKUP($CD463, [1]Constants!$M$1:$N$1048576, 2, FALSE())</f>
        <v>{BLACK}Powered by: {GOLD}750V DC</v>
      </c>
      <c r="CG463" s="19" t="str">
        <f aca="false">IF(M463&gt;1,_xlfn.CONCAT("{BLACK}Cars: {GOLD}", M463),"")</f>
        <v>{BLACK}Cars: {GOLD}2</v>
      </c>
      <c r="CH463" s="26" t="s">
        <v>1709</v>
      </c>
      <c r="CI463" s="26"/>
      <c r="CJ463" s="19" t="str">
        <f aca="false">IF(BX463="buffet","{YELLOW}25% long distance bonus for consist{}",IF(CA463="BRAKE","{YELLOW}Speed bonus for slow wagons{}",IF(BW463&gt;190,CONCATENATE("{YELLOW}",INT((BW463-185)/1.85),"% bonus for long distance travel{}"),IF(AND(BW463&lt;180,BW463&lt;&gt;0),CONCATENATE("{YELLOW}",INT((185-BW463)/1.85),"% penalty for long distance travel{}"),""))))</f>
        <v/>
      </c>
      <c r="CK463" s="19" t="str">
        <f aca="false">_xlfn.CONCAT(CF463,IF(CF463 &lt;&gt; "", " ", ""),CG463,IF(OR(CG463&lt;&gt;"", CF463&lt;&gt;""), "{}",""), CE463, CJ463,"{SILVER}", CH463)</f>
        <v>{BLACK}Powered by: {GOLD}750V DC {BLACK}Cars: {GOLD}2{}{BLACK}Length: {GOLD}1.5 tiles{}{SILVER}The Class 466 was a shorter Class 465, used for small branch line service and to strengthen peak services up to 10 cars as needed.</v>
      </c>
      <c r="CO463" s="30"/>
      <c r="CP463" s="30"/>
      <c r="CQ463" s="30"/>
      <c r="CR463" s="30"/>
      <c r="CS463" s="30"/>
      <c r="CT463" s="30"/>
      <c r="CU463" s="30"/>
      <c r="CV463" s="30"/>
      <c r="CW463" s="30"/>
      <c r="CX463" s="30"/>
      <c r="CY463" s="30"/>
      <c r="CZ463" s="30"/>
      <c r="DA463" s="30"/>
      <c r="DB463" s="30"/>
      <c r="DC463" s="30"/>
      <c r="DD463" s="30"/>
      <c r="DE463" s="30"/>
      <c r="DF463" s="30"/>
      <c r="DG463" s="30"/>
      <c r="DH463" s="30"/>
      <c r="DI463" s="30"/>
      <c r="DJ463" s="30"/>
      <c r="DK463" s="30"/>
      <c r="DL463" s="30"/>
      <c r="DM463" s="30"/>
      <c r="DN463" s="30"/>
      <c r="DO463" s="30"/>
      <c r="DP463" s="30"/>
      <c r="DQ463" s="30"/>
      <c r="DR463" s="30"/>
      <c r="DS463" s="30"/>
      <c r="DT463" s="30"/>
      <c r="DU463" s="30"/>
      <c r="DV463" s="30"/>
      <c r="DW463" s="30"/>
      <c r="DX463" s="30"/>
      <c r="DY463" s="30"/>
      <c r="DZ463" s="30"/>
      <c r="EA463" s="30"/>
      <c r="EB463" s="30"/>
      <c r="EC463" s="30"/>
      <c r="ED463" s="30"/>
      <c r="EE463" s="30"/>
      <c r="EF463" s="30"/>
      <c r="EG463" s="30"/>
      <c r="EH463" s="30"/>
      <c r="EI463" s="30"/>
      <c r="EJ463" s="30"/>
      <c r="EK463" s="30"/>
      <c r="EL463" s="30"/>
      <c r="EM463" s="30"/>
      <c r="EN463" s="30"/>
      <c r="EO463" s="30"/>
      <c r="EP463" s="30"/>
      <c r="EQ463" s="30"/>
      <c r="ER463" s="30"/>
      <c r="ES463" s="30"/>
      <c r="ET463" s="30"/>
      <c r="EU463" s="30"/>
      <c r="EV463" s="30"/>
      <c r="EW463" s="30"/>
      <c r="EX463" s="30"/>
      <c r="EY463" s="30"/>
      <c r="EZ463" s="30"/>
      <c r="FA463" s="30"/>
      <c r="FB463" s="30"/>
      <c r="FC463" s="30"/>
      <c r="FD463" s="30"/>
      <c r="FE463" s="30"/>
      <c r="FF463" s="30"/>
      <c r="FG463" s="30"/>
      <c r="FH463" s="30"/>
      <c r="FI463" s="30"/>
      <c r="FJ463" s="30"/>
      <c r="FK463" s="30"/>
      <c r="FL463" s="30"/>
      <c r="FM463" s="30"/>
      <c r="FN463" s="30"/>
      <c r="FO463" s="30"/>
      <c r="FP463" s="30"/>
      <c r="FQ463" s="30"/>
      <c r="FR463" s="30"/>
      <c r="FS463" s="30"/>
      <c r="FT463" s="30"/>
      <c r="FU463" s="30"/>
      <c r="FV463" s="30"/>
      <c r="FW463" s="30"/>
      <c r="FX463" s="30"/>
      <c r="FY463" s="30"/>
      <c r="FZ463" s="30"/>
      <c r="GA463" s="30"/>
      <c r="GB463" s="30"/>
      <c r="GC463" s="30"/>
      <c r="GD463" s="30"/>
      <c r="GE463" s="30"/>
      <c r="GF463" s="30"/>
      <c r="GG463" s="30"/>
      <c r="GH463" s="30"/>
      <c r="GI463" s="30"/>
      <c r="GJ463" s="30"/>
      <c r="GK463" s="30"/>
      <c r="GL463" s="30"/>
      <c r="GM463" s="30"/>
      <c r="GN463" s="30"/>
      <c r="GO463" s="30"/>
      <c r="GP463" s="30"/>
      <c r="GQ463" s="30"/>
      <c r="GR463" s="30"/>
      <c r="GS463" s="30"/>
      <c r="GT463" s="30"/>
      <c r="GU463" s="30"/>
      <c r="GV463" s="30"/>
      <c r="GW463" s="30"/>
      <c r="GX463" s="30"/>
      <c r="GY463" s="30"/>
      <c r="GZ463" s="30"/>
      <c r="HA463" s="30"/>
      <c r="HB463" s="30"/>
      <c r="HC463" s="30"/>
      <c r="HD463" s="30"/>
      <c r="HE463" s="30"/>
      <c r="HF463" s="30"/>
      <c r="HG463" s="30"/>
      <c r="HH463" s="30"/>
      <c r="HI463" s="30"/>
      <c r="HJ463" s="30"/>
      <c r="HK463" s="30"/>
      <c r="HL463" s="30"/>
      <c r="HM463" s="30"/>
      <c r="HN463" s="30"/>
      <c r="HO463" s="30"/>
      <c r="HP463" s="30"/>
      <c r="HQ463" s="30"/>
      <c r="HR463" s="30"/>
      <c r="HS463" s="30"/>
      <c r="HT463" s="30"/>
      <c r="HU463" s="30"/>
      <c r="HV463" s="30"/>
      <c r="HW463" s="30"/>
      <c r="HX463" s="30"/>
      <c r="HY463" s="30"/>
      <c r="HZ463" s="30"/>
      <c r="IA463" s="30"/>
      <c r="IB463" s="30"/>
      <c r="IC463" s="30"/>
      <c r="ID463" s="30"/>
      <c r="IE463" s="30"/>
      <c r="IF463" s="30"/>
      <c r="IG463" s="30"/>
      <c r="IH463" s="30"/>
      <c r="II463" s="30"/>
      <c r="IJ463" s="30"/>
      <c r="IK463" s="30"/>
      <c r="IL463" s="30"/>
      <c r="IM463" s="30"/>
      <c r="IN463" s="30"/>
      <c r="IO463" s="30"/>
      <c r="IP463" s="30"/>
      <c r="IQ463" s="30"/>
      <c r="IR463" s="30"/>
      <c r="IS463" s="30"/>
      <c r="IT463" s="30"/>
      <c r="IU463" s="30"/>
      <c r="IV463" s="30"/>
      <c r="IW463" s="30"/>
      <c r="IX463" s="30"/>
      <c r="IY463" s="30"/>
      <c r="IZ463" s="30"/>
      <c r="JA463" s="30"/>
      <c r="JB463" s="30"/>
      <c r="JC463" s="30"/>
      <c r="JD463" s="30"/>
      <c r="JE463" s="30"/>
      <c r="JF463" s="30"/>
      <c r="JG463" s="30"/>
      <c r="JH463" s="30"/>
      <c r="JI463" s="30"/>
      <c r="JJ463" s="30"/>
      <c r="JK463" s="30"/>
      <c r="JL463" s="30"/>
      <c r="JM463" s="30"/>
      <c r="JN463" s="30"/>
      <c r="JO463" s="30"/>
      <c r="JP463" s="30"/>
      <c r="JQ463" s="30"/>
      <c r="JR463" s="30"/>
      <c r="JS463" s="30"/>
      <c r="JT463" s="30"/>
      <c r="JU463" s="30"/>
      <c r="JV463" s="30"/>
      <c r="JW463" s="30"/>
      <c r="JX463" s="30"/>
      <c r="JY463" s="30"/>
      <c r="JZ463" s="30"/>
      <c r="KA463" s="30"/>
      <c r="KB463" s="30"/>
      <c r="KC463" s="30"/>
      <c r="KD463" s="30"/>
      <c r="KE463" s="30"/>
      <c r="KF463" s="30"/>
      <c r="KG463" s="30"/>
      <c r="KH463" s="30"/>
      <c r="KI463" s="30"/>
      <c r="KJ463" s="30"/>
      <c r="KK463" s="30"/>
      <c r="KL463" s="30"/>
      <c r="KM463" s="30"/>
      <c r="KN463" s="30"/>
      <c r="KO463" s="30"/>
      <c r="KP463" s="30"/>
      <c r="KQ463" s="30"/>
      <c r="KR463" s="30"/>
      <c r="KS463" s="30"/>
      <c r="KT463" s="30"/>
      <c r="KU463" s="30"/>
      <c r="KV463" s="30"/>
      <c r="KW463" s="30"/>
      <c r="KX463" s="30"/>
      <c r="KY463" s="30"/>
      <c r="KZ463" s="30"/>
      <c r="LA463" s="30"/>
      <c r="LB463" s="30"/>
      <c r="LC463" s="30"/>
      <c r="LD463" s="30"/>
      <c r="LE463" s="30"/>
      <c r="LF463" s="30"/>
      <c r="LG463" s="30"/>
      <c r="LH463" s="30"/>
      <c r="LI463" s="30"/>
      <c r="LJ463" s="30"/>
      <c r="LK463" s="30"/>
      <c r="LL463" s="30"/>
      <c r="LM463" s="30"/>
      <c r="LN463" s="30"/>
      <c r="LO463" s="30"/>
      <c r="LP463" s="30"/>
      <c r="LQ463" s="30"/>
      <c r="LR463" s="30"/>
      <c r="LS463" s="30"/>
      <c r="LT463" s="30"/>
      <c r="LU463" s="30"/>
      <c r="LV463" s="30"/>
      <c r="LW463" s="30"/>
      <c r="LX463" s="30"/>
      <c r="LY463" s="30"/>
      <c r="LZ463" s="30"/>
      <c r="MA463" s="30"/>
      <c r="MB463" s="30"/>
      <c r="MC463" s="30"/>
      <c r="MD463" s="30"/>
      <c r="ME463" s="30"/>
      <c r="MF463" s="30"/>
      <c r="MG463" s="30"/>
      <c r="MH463" s="30"/>
      <c r="MI463" s="30"/>
      <c r="MJ463" s="30"/>
      <c r="MK463" s="30"/>
      <c r="ML463" s="30"/>
      <c r="MM463" s="30"/>
      <c r="MN463" s="30"/>
      <c r="MO463" s="30"/>
      <c r="MP463" s="30"/>
      <c r="MQ463" s="30"/>
      <c r="MR463" s="30"/>
      <c r="MS463" s="30"/>
      <c r="MT463" s="30"/>
      <c r="MU463" s="30"/>
      <c r="MV463" s="30"/>
      <c r="MW463" s="30"/>
      <c r="MX463" s="30"/>
      <c r="MY463" s="30"/>
      <c r="MZ463" s="30"/>
      <c r="NA463" s="30"/>
      <c r="NB463" s="30"/>
      <c r="NC463" s="30"/>
      <c r="ND463" s="30"/>
      <c r="NE463" s="30"/>
      <c r="NF463" s="30"/>
      <c r="NG463" s="30"/>
      <c r="NH463" s="30"/>
      <c r="NI463" s="30"/>
      <c r="NJ463" s="30"/>
      <c r="NK463" s="30"/>
      <c r="NL463" s="30"/>
      <c r="NM463" s="30"/>
      <c r="NN463" s="30"/>
      <c r="NO463" s="30"/>
      <c r="NP463" s="30"/>
      <c r="NQ463" s="30"/>
      <c r="NR463" s="30"/>
      <c r="NS463" s="30"/>
      <c r="NT463" s="30"/>
      <c r="NU463" s="30"/>
      <c r="NV463" s="30"/>
      <c r="NW463" s="30"/>
      <c r="NX463" s="30"/>
      <c r="NY463" s="30"/>
      <c r="NZ463" s="30"/>
      <c r="OA463" s="30"/>
      <c r="OB463" s="30"/>
      <c r="OC463" s="30"/>
      <c r="OD463" s="30"/>
      <c r="OE463" s="30"/>
      <c r="OF463" s="30"/>
      <c r="OG463" s="30"/>
      <c r="OH463" s="30"/>
      <c r="OI463" s="30"/>
      <c r="OJ463" s="30"/>
      <c r="OK463" s="30"/>
      <c r="OL463" s="30"/>
      <c r="OM463" s="30"/>
      <c r="ON463" s="30"/>
      <c r="OO463" s="30"/>
      <c r="OP463" s="30"/>
      <c r="OQ463" s="30"/>
      <c r="OR463" s="30"/>
      <c r="OS463" s="30"/>
      <c r="OT463" s="30"/>
      <c r="OU463" s="30"/>
      <c r="OV463" s="30"/>
      <c r="OW463" s="30"/>
      <c r="OX463" s="30"/>
      <c r="OY463" s="30"/>
      <c r="OZ463" s="30"/>
      <c r="PA463" s="30"/>
      <c r="PB463" s="30"/>
      <c r="PC463" s="30"/>
      <c r="PD463" s="30"/>
      <c r="PE463" s="30"/>
      <c r="PF463" s="30"/>
      <c r="PG463" s="30"/>
      <c r="PH463" s="30"/>
      <c r="PI463" s="30"/>
      <c r="PJ463" s="30"/>
      <c r="PK463" s="30"/>
      <c r="PL463" s="30"/>
      <c r="PM463" s="30"/>
      <c r="PN463" s="30"/>
      <c r="PO463" s="30"/>
      <c r="PP463" s="30"/>
      <c r="PQ463" s="30"/>
      <c r="PR463" s="30"/>
      <c r="PS463" s="30"/>
      <c r="PT463" s="30"/>
      <c r="PU463" s="30"/>
      <c r="PV463" s="30"/>
      <c r="PW463" s="30"/>
      <c r="PX463" s="30"/>
      <c r="PY463" s="30"/>
      <c r="PZ463" s="30"/>
      <c r="QA463" s="30"/>
      <c r="QB463" s="30"/>
      <c r="QC463" s="30"/>
      <c r="QD463" s="30"/>
      <c r="QE463" s="30"/>
      <c r="QF463" s="30"/>
      <c r="QG463" s="30"/>
      <c r="QH463" s="30"/>
      <c r="QI463" s="30"/>
      <c r="QJ463" s="30"/>
      <c r="QK463" s="30"/>
      <c r="QL463" s="30"/>
      <c r="QM463" s="30"/>
      <c r="QN463" s="30"/>
      <c r="QO463" s="30"/>
      <c r="QP463" s="30"/>
      <c r="QQ463" s="30"/>
      <c r="QR463" s="30"/>
      <c r="QS463" s="30"/>
      <c r="QT463" s="30"/>
      <c r="QU463" s="30"/>
      <c r="QV463" s="30"/>
      <c r="QW463" s="30"/>
      <c r="QX463" s="30"/>
      <c r="QY463" s="30"/>
      <c r="QZ463" s="30"/>
      <c r="RA463" s="30"/>
      <c r="RB463" s="30"/>
      <c r="RC463" s="30"/>
      <c r="RD463" s="30"/>
      <c r="RE463" s="30"/>
      <c r="RF463" s="30"/>
      <c r="RG463" s="30"/>
      <c r="RH463" s="30"/>
      <c r="RI463" s="30"/>
      <c r="RJ463" s="30"/>
      <c r="RK463" s="30"/>
      <c r="RL463" s="30"/>
      <c r="RM463" s="30"/>
      <c r="RN463" s="30"/>
      <c r="RO463" s="30"/>
      <c r="RP463" s="30"/>
      <c r="RQ463" s="30"/>
      <c r="RR463" s="30"/>
      <c r="RS463" s="30"/>
      <c r="RT463" s="30"/>
      <c r="RU463" s="30"/>
      <c r="RV463" s="30"/>
      <c r="RW463" s="30"/>
      <c r="RX463" s="30"/>
      <c r="RY463" s="30"/>
      <c r="RZ463" s="30"/>
      <c r="SA463" s="30"/>
      <c r="SB463" s="30"/>
      <c r="SC463" s="30"/>
      <c r="SD463" s="30"/>
      <c r="SE463" s="30"/>
      <c r="SF463" s="30"/>
      <c r="SG463" s="30"/>
      <c r="SH463" s="30"/>
      <c r="SI463" s="30"/>
      <c r="SJ463" s="30"/>
      <c r="SK463" s="30"/>
      <c r="SL463" s="30"/>
      <c r="SM463" s="30"/>
      <c r="SN463" s="30"/>
      <c r="SO463" s="30"/>
      <c r="SP463" s="30"/>
      <c r="SQ463" s="30"/>
      <c r="SR463" s="30"/>
      <c r="SS463" s="30"/>
      <c r="ST463" s="30"/>
      <c r="SU463" s="30"/>
      <c r="SV463" s="30"/>
      <c r="SW463" s="30"/>
      <c r="SX463" s="30"/>
      <c r="SY463" s="30"/>
      <c r="SZ463" s="30"/>
      <c r="TA463" s="30"/>
      <c r="TB463" s="30"/>
      <c r="TC463" s="30"/>
      <c r="TD463" s="30"/>
      <c r="TE463" s="30"/>
      <c r="TF463" s="30"/>
      <c r="TG463" s="30"/>
      <c r="TH463" s="30"/>
      <c r="TI463" s="30"/>
      <c r="TJ463" s="30"/>
      <c r="TK463" s="30"/>
      <c r="TL463" s="30"/>
      <c r="TM463" s="30"/>
      <c r="TN463" s="30"/>
      <c r="TO463" s="30"/>
      <c r="TP463" s="30"/>
      <c r="TQ463" s="30"/>
      <c r="TR463" s="30"/>
      <c r="TS463" s="30"/>
      <c r="TT463" s="30"/>
      <c r="TU463" s="30"/>
      <c r="TV463" s="30"/>
      <c r="TW463" s="30"/>
      <c r="TX463" s="30"/>
      <c r="TY463" s="30"/>
      <c r="TZ463" s="30"/>
      <c r="UA463" s="30"/>
      <c r="UB463" s="30"/>
      <c r="UC463" s="30"/>
      <c r="UD463" s="30"/>
      <c r="UE463" s="30"/>
      <c r="UF463" s="30"/>
      <c r="UG463" s="30"/>
      <c r="UH463" s="30"/>
      <c r="UI463" s="30"/>
      <c r="UJ463" s="30"/>
      <c r="UK463" s="30"/>
      <c r="UL463" s="30"/>
      <c r="UM463" s="30"/>
      <c r="UN463" s="30"/>
      <c r="UO463" s="30"/>
      <c r="UP463" s="30"/>
      <c r="UQ463" s="30"/>
      <c r="UR463" s="30"/>
      <c r="US463" s="30"/>
      <c r="UT463" s="30"/>
      <c r="UU463" s="30"/>
      <c r="UV463" s="30"/>
      <c r="UW463" s="30"/>
      <c r="UX463" s="30"/>
      <c r="UY463" s="30"/>
      <c r="UZ463" s="30"/>
      <c r="VA463" s="30"/>
      <c r="VB463" s="30"/>
      <c r="VC463" s="30"/>
      <c r="VD463" s="30"/>
      <c r="VE463" s="30"/>
      <c r="VF463" s="30"/>
      <c r="VG463" s="30"/>
      <c r="VH463" s="30"/>
      <c r="VI463" s="30"/>
      <c r="VJ463" s="30"/>
      <c r="VK463" s="30"/>
      <c r="VL463" s="30"/>
      <c r="VM463" s="30"/>
      <c r="VN463" s="30"/>
      <c r="VO463" s="30"/>
      <c r="VP463" s="30"/>
      <c r="VQ463" s="30"/>
      <c r="VR463" s="30"/>
      <c r="VS463" s="30"/>
      <c r="VT463" s="30"/>
      <c r="VU463" s="30"/>
      <c r="VV463" s="30"/>
      <c r="VW463" s="30"/>
      <c r="VX463" s="30"/>
      <c r="VY463" s="30"/>
      <c r="VZ463" s="30"/>
      <c r="WA463" s="30"/>
      <c r="WB463" s="30"/>
      <c r="WC463" s="30"/>
      <c r="WD463" s="30"/>
      <c r="WE463" s="30"/>
      <c r="WF463" s="30"/>
      <c r="WG463" s="30"/>
      <c r="WH463" s="30"/>
      <c r="WI463" s="30"/>
      <c r="WJ463" s="30"/>
      <c r="WK463" s="30"/>
      <c r="WL463" s="30"/>
      <c r="WM463" s="30"/>
      <c r="WN463" s="30"/>
      <c r="WO463" s="30"/>
      <c r="WP463" s="30"/>
      <c r="WQ463" s="30"/>
      <c r="WR463" s="30"/>
      <c r="WS463" s="30"/>
      <c r="WT463" s="30"/>
      <c r="WU463" s="30"/>
      <c r="WV463" s="30"/>
      <c r="WW463" s="30"/>
      <c r="WX463" s="30"/>
      <c r="WY463" s="30"/>
      <c r="WZ463" s="30"/>
      <c r="XA463" s="30"/>
      <c r="XB463" s="30"/>
      <c r="XC463" s="30"/>
      <c r="XD463" s="30"/>
      <c r="XE463" s="30"/>
      <c r="XF463" s="30"/>
      <c r="XG463" s="30"/>
      <c r="XH463" s="30"/>
      <c r="XI463" s="30"/>
      <c r="XJ463" s="30"/>
      <c r="XK463" s="30"/>
      <c r="XL463" s="30"/>
      <c r="XM463" s="30"/>
      <c r="XN463" s="30"/>
      <c r="XO463" s="30"/>
      <c r="XP463" s="30"/>
      <c r="XQ463" s="30"/>
      <c r="XR463" s="30"/>
      <c r="XS463" s="30"/>
      <c r="XT463" s="30"/>
      <c r="XU463" s="30"/>
      <c r="XV463" s="30"/>
      <c r="XW463" s="30"/>
      <c r="XX463" s="30"/>
      <c r="XY463" s="30"/>
      <c r="XZ463" s="30"/>
      <c r="YA463" s="30"/>
      <c r="YB463" s="30"/>
      <c r="YC463" s="30"/>
      <c r="YD463" s="30"/>
      <c r="YE463" s="30"/>
      <c r="YF463" s="30"/>
      <c r="YG463" s="30"/>
      <c r="YH463" s="30"/>
      <c r="YI463" s="30"/>
      <c r="YJ463" s="30"/>
      <c r="YK463" s="30"/>
      <c r="YL463" s="30"/>
      <c r="YM463" s="30"/>
      <c r="YN463" s="30"/>
      <c r="YO463" s="30"/>
      <c r="YP463" s="30"/>
      <c r="YQ463" s="30"/>
      <c r="YR463" s="30"/>
      <c r="YS463" s="30"/>
      <c r="YT463" s="30"/>
      <c r="YU463" s="30"/>
      <c r="YV463" s="30"/>
      <c r="YW463" s="30"/>
      <c r="YX463" s="30"/>
      <c r="YY463" s="30"/>
      <c r="YZ463" s="30"/>
      <c r="ZA463" s="30"/>
      <c r="ZB463" s="30"/>
      <c r="ZC463" s="30"/>
      <c r="ZD463" s="30"/>
      <c r="ZE463" s="30"/>
      <c r="ZF463" s="30"/>
      <c r="ZG463" s="30"/>
      <c r="ZH463" s="30"/>
      <c r="ZI463" s="30"/>
      <c r="ZJ463" s="30"/>
      <c r="ZK463" s="30"/>
      <c r="ZL463" s="30"/>
      <c r="ZM463" s="30"/>
      <c r="ZN463" s="30"/>
      <c r="ZO463" s="30"/>
      <c r="ZP463" s="30"/>
      <c r="ZQ463" s="30"/>
      <c r="ZR463" s="30"/>
      <c r="ZS463" s="30"/>
      <c r="ZT463" s="30"/>
      <c r="ZU463" s="30"/>
      <c r="ZV463" s="30"/>
      <c r="ZW463" s="30"/>
      <c r="ZX463" s="30"/>
      <c r="ZY463" s="30"/>
      <c r="ZZ463" s="30"/>
      <c r="AAA463" s="30"/>
      <c r="AAB463" s="30"/>
      <c r="AAC463" s="30"/>
      <c r="AAD463" s="30"/>
      <c r="AAE463" s="30"/>
      <c r="AAF463" s="30"/>
      <c r="AAG463" s="30"/>
      <c r="AAH463" s="30"/>
      <c r="AAI463" s="30"/>
      <c r="AAJ463" s="30"/>
      <c r="AAK463" s="30"/>
      <c r="AAL463" s="30"/>
      <c r="AAM463" s="30"/>
      <c r="AAN463" s="30"/>
      <c r="AAO463" s="30"/>
      <c r="AAP463" s="30"/>
      <c r="AAQ463" s="30"/>
      <c r="AAR463" s="30"/>
      <c r="AAS463" s="30"/>
      <c r="AAT463" s="30"/>
      <c r="AAU463" s="30"/>
      <c r="AAV463" s="30"/>
      <c r="AAW463" s="30"/>
      <c r="AAX463" s="30"/>
      <c r="AAY463" s="30"/>
      <c r="AAZ463" s="30"/>
      <c r="ABA463" s="30"/>
      <c r="ABB463" s="30"/>
      <c r="ABC463" s="30"/>
      <c r="ABD463" s="30"/>
      <c r="ABE463" s="30"/>
      <c r="ABF463" s="30"/>
      <c r="ABG463" s="30"/>
      <c r="ABH463" s="30"/>
      <c r="ABI463" s="30"/>
      <c r="ABJ463" s="30"/>
      <c r="ABK463" s="30"/>
      <c r="ABL463" s="30"/>
      <c r="ABM463" s="30"/>
      <c r="ABN463" s="30"/>
      <c r="ABO463" s="30"/>
      <c r="ABP463" s="30"/>
      <c r="ABQ463" s="30"/>
      <c r="ABR463" s="30"/>
      <c r="ABS463" s="30"/>
      <c r="ABT463" s="30"/>
      <c r="ABU463" s="30"/>
      <c r="ABV463" s="30"/>
      <c r="ABW463" s="30"/>
      <c r="ABX463" s="30"/>
      <c r="ABY463" s="30"/>
      <c r="ABZ463" s="30"/>
      <c r="ACA463" s="30"/>
      <c r="ACB463" s="30"/>
      <c r="ACC463" s="30"/>
      <c r="ACD463" s="30"/>
      <c r="ACE463" s="30"/>
      <c r="ACF463" s="30"/>
      <c r="ACG463" s="30"/>
      <c r="ACH463" s="30"/>
      <c r="ACI463" s="30"/>
      <c r="ACJ463" s="30"/>
      <c r="ACK463" s="30"/>
      <c r="ACL463" s="30"/>
      <c r="ACM463" s="30"/>
      <c r="ACN463" s="30"/>
      <c r="ACO463" s="30"/>
      <c r="ACP463" s="30"/>
      <c r="ACQ463" s="30"/>
      <c r="ACR463" s="30"/>
      <c r="ACS463" s="30"/>
      <c r="ACT463" s="30"/>
      <c r="ACU463" s="30"/>
      <c r="ACV463" s="30"/>
      <c r="ACW463" s="30"/>
      <c r="ACX463" s="30"/>
      <c r="ACY463" s="30"/>
      <c r="ACZ463" s="30"/>
      <c r="ADA463" s="30"/>
      <c r="ADB463" s="30"/>
      <c r="ADC463" s="30"/>
      <c r="ADD463" s="30"/>
      <c r="ADE463" s="30"/>
      <c r="ADF463" s="30"/>
      <c r="ADG463" s="30"/>
      <c r="ADH463" s="30"/>
      <c r="ADI463" s="30"/>
      <c r="ADJ463" s="30"/>
      <c r="ADK463" s="30"/>
      <c r="ADL463" s="30"/>
      <c r="ADM463" s="30"/>
      <c r="ADN463" s="30"/>
      <c r="ADO463" s="30"/>
      <c r="ADP463" s="30"/>
      <c r="ADQ463" s="30"/>
      <c r="ADR463" s="30"/>
      <c r="ADS463" s="30"/>
      <c r="ADT463" s="30"/>
      <c r="ADU463" s="30"/>
      <c r="ADV463" s="30"/>
      <c r="ADW463" s="30"/>
      <c r="ADX463" s="30"/>
      <c r="ADY463" s="30"/>
      <c r="ADZ463" s="30"/>
      <c r="AEA463" s="30"/>
      <c r="AEB463" s="30"/>
      <c r="AEC463" s="30"/>
      <c r="AED463" s="30"/>
      <c r="AEE463" s="30"/>
      <c r="AEF463" s="30"/>
      <c r="AEG463" s="30"/>
      <c r="AEH463" s="30"/>
      <c r="AEI463" s="30"/>
      <c r="AEJ463" s="30"/>
      <c r="AEK463" s="30"/>
      <c r="AEL463" s="30"/>
      <c r="AEM463" s="30"/>
      <c r="AEN463" s="30"/>
      <c r="AEO463" s="30"/>
      <c r="AEP463" s="30"/>
      <c r="AEQ463" s="30"/>
      <c r="AER463" s="30"/>
      <c r="AES463" s="30"/>
      <c r="AET463" s="30"/>
      <c r="AEU463" s="30"/>
      <c r="AEV463" s="30"/>
      <c r="AEW463" s="30"/>
      <c r="AEX463" s="30"/>
      <c r="AEY463" s="30"/>
      <c r="AEZ463" s="30"/>
      <c r="AFA463" s="30"/>
      <c r="AFB463" s="30"/>
      <c r="AFC463" s="30"/>
      <c r="AFD463" s="30"/>
      <c r="AFE463" s="30"/>
      <c r="AFF463" s="30"/>
      <c r="AFG463" s="30"/>
      <c r="AFH463" s="30"/>
      <c r="AFI463" s="30"/>
      <c r="AFJ463" s="30"/>
      <c r="AFK463" s="30"/>
      <c r="AFL463" s="30"/>
      <c r="AFM463" s="30"/>
      <c r="AFN463" s="30"/>
      <c r="AFO463" s="30"/>
      <c r="AFP463" s="30"/>
      <c r="AFQ463" s="30"/>
      <c r="AFR463" s="30"/>
      <c r="AFS463" s="30"/>
      <c r="AFT463" s="30"/>
      <c r="AFU463" s="30"/>
      <c r="AFV463" s="30"/>
      <c r="AFW463" s="30"/>
      <c r="AFX463" s="30"/>
      <c r="AFY463" s="30"/>
      <c r="AFZ463" s="30"/>
      <c r="AGA463" s="30"/>
      <c r="AGB463" s="30"/>
      <c r="AGC463" s="30"/>
      <c r="AGD463" s="30"/>
      <c r="AGE463" s="30"/>
      <c r="AGF463" s="30"/>
      <c r="AGG463" s="30"/>
      <c r="AGH463" s="30"/>
      <c r="AGI463" s="30"/>
      <c r="AGJ463" s="30"/>
      <c r="AGK463" s="30"/>
      <c r="AGL463" s="30"/>
      <c r="AGM463" s="30"/>
      <c r="AGN463" s="30"/>
      <c r="AGO463" s="30"/>
      <c r="AGP463" s="30"/>
      <c r="AGQ463" s="30"/>
      <c r="AGR463" s="30"/>
      <c r="AGS463" s="30"/>
      <c r="AGT463" s="30"/>
      <c r="AGU463" s="30"/>
      <c r="AGV463" s="30"/>
      <c r="AGW463" s="30"/>
      <c r="AGX463" s="30"/>
      <c r="AGY463" s="30"/>
      <c r="AGZ463" s="30"/>
      <c r="AHA463" s="30"/>
      <c r="AHB463" s="30"/>
      <c r="AHC463" s="30"/>
      <c r="AHD463" s="30"/>
      <c r="AHE463" s="30"/>
      <c r="AHF463" s="30"/>
      <c r="AHG463" s="30"/>
      <c r="AHH463" s="30"/>
      <c r="AHI463" s="30"/>
      <c r="AHJ463" s="30"/>
      <c r="AHK463" s="30"/>
      <c r="AHL463" s="30"/>
      <c r="AHM463" s="30"/>
      <c r="AHN463" s="30"/>
      <c r="AHO463" s="30"/>
      <c r="AHP463" s="30"/>
      <c r="AHQ463" s="30"/>
      <c r="AHR463" s="30"/>
      <c r="AHS463" s="30"/>
      <c r="AHT463" s="30"/>
      <c r="AHU463" s="30"/>
      <c r="AHV463" s="30"/>
      <c r="AHW463" s="30"/>
      <c r="AHX463" s="30"/>
      <c r="AHY463" s="30"/>
      <c r="AHZ463" s="30"/>
      <c r="AIA463" s="30"/>
      <c r="AIB463" s="30"/>
      <c r="AIC463" s="30"/>
      <c r="AID463" s="30"/>
      <c r="AIE463" s="30"/>
      <c r="AIF463" s="30"/>
      <c r="AIG463" s="30"/>
      <c r="AIH463" s="30"/>
      <c r="AII463" s="30"/>
      <c r="AIJ463" s="30"/>
      <c r="AIK463" s="30"/>
      <c r="AIL463" s="30"/>
      <c r="AIM463" s="30"/>
      <c r="AIN463" s="30"/>
      <c r="AIO463" s="30"/>
      <c r="AIP463" s="30"/>
      <c r="AIQ463" s="30"/>
      <c r="AIR463" s="30"/>
      <c r="AIS463" s="30"/>
      <c r="AIT463" s="30"/>
      <c r="AIU463" s="30"/>
      <c r="AIV463" s="30"/>
      <c r="AIW463" s="30"/>
      <c r="AIX463" s="30"/>
      <c r="AIY463" s="30"/>
      <c r="AIZ463" s="30"/>
      <c r="AJA463" s="30"/>
      <c r="AJB463" s="30"/>
      <c r="AJC463" s="30"/>
      <c r="AJD463" s="30"/>
      <c r="AJE463" s="30"/>
      <c r="AJF463" s="30"/>
      <c r="AJG463" s="30"/>
      <c r="AJH463" s="30"/>
      <c r="AJI463" s="30"/>
      <c r="AJJ463" s="30"/>
      <c r="AJK463" s="30"/>
      <c r="AJL463" s="30"/>
      <c r="AJM463" s="30"/>
      <c r="AJN463" s="30"/>
      <c r="AJO463" s="30"/>
      <c r="AJP463" s="30"/>
      <c r="AJQ463" s="30"/>
      <c r="AJR463" s="30"/>
      <c r="AJS463" s="30"/>
      <c r="AJT463" s="30"/>
      <c r="AJU463" s="30"/>
      <c r="AJV463" s="30"/>
      <c r="AJW463" s="30"/>
      <c r="AJX463" s="30"/>
      <c r="AJY463" s="30"/>
      <c r="AJZ463" s="30"/>
      <c r="AKA463" s="30"/>
      <c r="AKB463" s="30"/>
      <c r="AKC463" s="30"/>
      <c r="AKD463" s="30"/>
      <c r="AKE463" s="30"/>
      <c r="AKF463" s="30"/>
      <c r="AKG463" s="30"/>
      <c r="AKH463" s="30"/>
      <c r="AKI463" s="30"/>
      <c r="AKJ463" s="30"/>
      <c r="AKK463" s="30"/>
      <c r="AKL463" s="30"/>
      <c r="AKM463" s="30"/>
      <c r="AKN463" s="30"/>
      <c r="AKO463" s="30"/>
      <c r="AKP463" s="30"/>
      <c r="AKQ463" s="30"/>
      <c r="AKR463" s="30"/>
      <c r="AKS463" s="30"/>
      <c r="AKT463" s="30"/>
      <c r="AKU463" s="30"/>
      <c r="AKV463" s="30"/>
      <c r="AKW463" s="30"/>
      <c r="AKX463" s="30"/>
      <c r="AKY463" s="30"/>
      <c r="AKZ463" s="30"/>
      <c r="ALA463" s="30"/>
      <c r="ALB463" s="30"/>
      <c r="ALC463" s="30"/>
      <c r="ALD463" s="30"/>
      <c r="ALE463" s="30"/>
      <c r="ALF463" s="30"/>
      <c r="ALG463" s="30"/>
      <c r="ALH463" s="30"/>
      <c r="ALI463" s="30"/>
      <c r="ALJ463" s="30"/>
      <c r="ALK463" s="30"/>
      <c r="ALL463" s="30"/>
      <c r="ALM463" s="30"/>
      <c r="ALN463" s="30"/>
      <c r="ALO463" s="30"/>
      <c r="ALP463" s="30"/>
      <c r="ALQ463" s="30"/>
      <c r="ALR463" s="30"/>
      <c r="ALS463" s="30"/>
      <c r="ALT463" s="30"/>
      <c r="ALU463" s="30"/>
      <c r="ALV463" s="30"/>
      <c r="ALW463" s="30"/>
      <c r="ALX463" s="30"/>
      <c r="ALY463" s="30"/>
      <c r="ALZ463" s="30"/>
      <c r="AMA463" s="30"/>
      <c r="AMB463" s="30"/>
      <c r="AMC463" s="30"/>
      <c r="AMD463" s="30"/>
      <c r="AME463" s="30"/>
      <c r="AMF463" s="30"/>
      <c r="AMG463" s="30"/>
      <c r="AMH463" s="30"/>
      <c r="AMI463" s="30"/>
      <c r="AMJ463" s="30"/>
      <c r="AMK463" s="30"/>
      <c r="AML463" s="30"/>
      <c r="AMM463" s="30"/>
    </row>
    <row r="464" s="30" customFormat="true" ht="14.25" hidden="false" customHeight="false" outlineLevel="0" collapsed="false">
      <c r="A464" s="30" t="s">
        <v>1710</v>
      </c>
      <c r="B464" s="49" t="s">
        <v>1711</v>
      </c>
      <c r="C464" s="21" t="n">
        <v>3075</v>
      </c>
      <c r="E464" s="30" t="n">
        <v>470</v>
      </c>
      <c r="F464" s="30" t="s">
        <v>143</v>
      </c>
      <c r="G464" s="30" t="s">
        <v>445</v>
      </c>
      <c r="H464" s="30" t="s">
        <v>670</v>
      </c>
      <c r="I464" s="30" t="s">
        <v>92</v>
      </c>
      <c r="J464" s="30" t="n">
        <v>1994</v>
      </c>
      <c r="K464" s="30" t="n">
        <v>1965</v>
      </c>
      <c r="N464" s="30" t="n">
        <v>1750</v>
      </c>
      <c r="O464" s="22"/>
      <c r="P464" s="23"/>
      <c r="Q464" s="23"/>
      <c r="R464" s="23"/>
      <c r="S464" s="23"/>
      <c r="T464" s="23"/>
      <c r="U464" s="23"/>
      <c r="V464" s="23"/>
      <c r="W464" s="30" t="n">
        <v>105</v>
      </c>
      <c r="X464" s="22"/>
      <c r="Z464" s="30" t="n">
        <v>247</v>
      </c>
      <c r="AA464" s="24" t="n">
        <f aca="false">IF(AND(W464&gt;0,Z464&gt;0),(Z464/((W464+X464)*10)),"")</f>
        <v>0.235238095238095</v>
      </c>
      <c r="AB464" s="30" t="n">
        <v>90</v>
      </c>
      <c r="AC464" s="30" t="n">
        <f aca="false">ROUND(AB464*1.6, 0)</f>
        <v>144</v>
      </c>
      <c r="AF464" s="30" t="n">
        <v>18.75</v>
      </c>
      <c r="AG464" s="30" t="n">
        <v>18.75</v>
      </c>
      <c r="AH464" s="30" t="n">
        <v>2.71</v>
      </c>
      <c r="AI464" s="30" t="n">
        <v>3.89</v>
      </c>
      <c r="AJ464" s="25" t="n">
        <v>0</v>
      </c>
      <c r="AK464" s="26" t="str">
        <f aca="false">CONCATENATE(VLOOKUP(AL464, '[1]Voxel Sizes'!$A$2:$B$18,2,FALSE()),"x",INT(AH464*15), "x", INT(AI464*15))</f>
        <v>186x40x58</v>
      </c>
      <c r="AL464" s="30" t="n">
        <f aca="false">ROUND(15*((AG464*10)/256),0)</f>
        <v>11</v>
      </c>
      <c r="AN464" s="19" t="str">
        <f aca="false">CONCATENATE(VLOOKUP(AL464,[1]Constants!$A$2:$C$16,IF(AM464&lt;&gt;"", 3, 2), FALSE()),IF(AM464&lt;&gt;"",CONCATENATE(",",VLOOKUP(AM464,$B:$AN,38,FALSE())),""))</f>
        <v>4,3,4</v>
      </c>
      <c r="AP464" s="56"/>
      <c r="AQ464" s="56"/>
      <c r="AX464" s="30" t="n">
        <v>40</v>
      </c>
      <c r="AY464" s="28" t="str">
        <f aca="false">IF(L464&lt;&gt;"",MAX(16,(L464-J464)+8),"")</f>
        <v/>
      </c>
      <c r="BA464" s="30" t="n">
        <v>-30</v>
      </c>
      <c r="BB464" s="30" t="n">
        <f aca="false">MIN(AB464/150, 1)*30</f>
        <v>18</v>
      </c>
      <c r="BC464" s="30" t="n">
        <f aca="false">MIN(N464/4000, 1)*20</f>
        <v>8.75</v>
      </c>
      <c r="BD464" s="30" t="n">
        <f aca="false">MIN(Z464/400,1)*20</f>
        <v>12.35</v>
      </c>
      <c r="BE464" s="24" t="n">
        <f aca="false">1-(MAX(J464-1900, 0)/750)</f>
        <v>0.874666666666667</v>
      </c>
      <c r="BF464" s="30" t="n">
        <f aca="false">((MAX($M464,1)*MIN($AJ464/300,1)))*IF(G464="Wagon",50,10)</f>
        <v>0</v>
      </c>
      <c r="BG464" s="19" t="n">
        <f aca="false">VLOOKUP($H464,[1]Constants!$I$1:$K$1048576, 2, FALSE())</f>
        <v>1</v>
      </c>
      <c r="BH464" s="19" t="n">
        <f aca="false">VLOOKUP($H464,[1]Constants!$I$1:$K$1048576, 3, FALSE())*IF(AND(G464="multiple_unit",AB464&lt;110),0.75,1)</f>
        <v>2</v>
      </c>
      <c r="BI464" s="19" t="n">
        <f aca="false">INT(POWER((([1]Constants!$G$2+$BB464+$BC464+$BD464+$BF464)*$BE464)*$BH464, 1.05))+$BA464</f>
        <v>65</v>
      </c>
      <c r="BJ464" s="19" t="n">
        <f aca="false">INT(POWER(((([1]Constants!$G$1+$BB464+$BC464+$BD464+$BF464)*($BE464))*$BG464),IF($G464="wagon",1,1.2)))+$AZ464</f>
        <v>102</v>
      </c>
      <c r="BK464" s="29" t="n">
        <f aca="false">BI464*IF($G464="wagon",62.5,781.25)</f>
        <v>50781.25</v>
      </c>
      <c r="BL464" s="29" t="n">
        <f aca="false">BJ464*IF($G464="wagon",2.73,81.25)</f>
        <v>8287.5</v>
      </c>
      <c r="BV464" s="30" t="n">
        <v>1</v>
      </c>
      <c r="CA464" s="30" t="s">
        <v>1320</v>
      </c>
      <c r="CB464" s="30" t="s">
        <v>478</v>
      </c>
      <c r="CC464" s="30" t="str">
        <f aca="false">CONCATENATE(CA464,"_",CB464)</f>
        <v>lbr_Freight</v>
      </c>
      <c r="CD464" s="30" t="str">
        <f aca="false">_xlfn.CONCAT(H464, "_",I464)</f>
        <v>diesel_RAIL</v>
      </c>
      <c r="CE464" s="31" t="str">
        <f aca="false">_xlfn.CONCAT("{BLACK}Length: {GOLD}", TEXT(ROUNDUP(IF(AQ464&lt;&gt;"",SUM(VALUE(_xlfn.TEXTSPLIT(AQ464, ","))), SUM(VALUE(_xlfn.TEXTSPLIT(AN464, ",")))*IF(M464, M464, 1))/16, 1), "#,##0.0"), " tiles{}")</f>
        <v>{BLACK}Length: {GOLD}0.7 tiles{}</v>
      </c>
      <c r="CF464" s="19" t="str">
        <f aca="false">VLOOKUP($CD464, [1]Constants!$M$1:$N$1048576, 2, FALSE())</f>
        <v>{BLACK}Powered by: {GOLD}Diesel</v>
      </c>
      <c r="CG464" s="19" t="str">
        <f aca="false">IF(M464&gt;1,_xlfn.CONCAT("{BLACK}Cars: {GOLD}", M464),"")</f>
        <v/>
      </c>
      <c r="CH464" s="30" t="s">
        <v>1712</v>
      </c>
      <c r="CJ464" s="19" t="str">
        <f aca="false">IF(BX464="buffet","{YELLOW}25% long distance bonus for consist{}",IF(CA464="BRAKE","{YELLOW}Speed bonus for slow wagons{}",IF(BW464&gt;190,CONCATENATE("{YELLOW}",INT((BW464-185)/1.85),"% bonus for long distance travel{}"),IF(AND(BW464&lt;180,BW464&lt;&gt;0),CONCATENATE("{YELLOW}",INT((185-BW464)/1.85),"% penalty for long distance travel{}"),""))))</f>
        <v/>
      </c>
      <c r="CK464" s="19" t="str">
        <f aca="false">_xlfn.CONCAT(CF464,IF(CF464 &lt;&gt; "", " ", ""),CG464,IF(OR(CG464&lt;&gt;"", CF464&lt;&gt;""), "{}",""), CE464, CJ464,"{SILVER}", CH464)</f>
        <v>{BLACK}Powered by: {GOLD}Diesel {}{BLACK}Length: {GOLD}0.7 tiles{}{SILVER}Originally to power the “Nightstar” european sleeper services away from electrified lines, this sub-class of 12 locomotives mostly saw use as rescue and freight locomotives with other operators.</v>
      </c>
    </row>
    <row r="465" s="19" customFormat="true" ht="14.25" hidden="false" customHeight="false" outlineLevel="0" collapsed="false">
      <c r="A465" s="30" t="s">
        <v>1713</v>
      </c>
      <c r="B465" s="49" t="s">
        <v>1714</v>
      </c>
      <c r="C465" s="21" t="n">
        <v>3076</v>
      </c>
      <c r="D465" s="19" t="n">
        <v>3077</v>
      </c>
      <c r="E465" s="19" t="n">
        <v>476</v>
      </c>
      <c r="F465" s="19" t="s">
        <v>143</v>
      </c>
      <c r="G465" s="19" t="s">
        <v>1715</v>
      </c>
      <c r="H465" s="19" t="s">
        <v>670</v>
      </c>
      <c r="I465" s="19" t="s">
        <v>92</v>
      </c>
      <c r="J465" s="19" t="n">
        <v>1999</v>
      </c>
      <c r="M465" s="19" t="n">
        <v>1</v>
      </c>
      <c r="N465" s="19" t="n">
        <v>710</v>
      </c>
      <c r="O465" s="22"/>
      <c r="P465" s="23"/>
      <c r="Q465" s="23"/>
      <c r="R465" s="23"/>
      <c r="S465" s="23"/>
      <c r="T465" s="23"/>
      <c r="U465" s="23"/>
      <c r="V465" s="23"/>
      <c r="W465" s="19" t="n">
        <v>34</v>
      </c>
      <c r="X465" s="22"/>
      <c r="Y465" s="19" t="n">
        <v>4</v>
      </c>
      <c r="Z465" s="19" t="n">
        <v>106</v>
      </c>
      <c r="AA465" s="24" t="n">
        <f aca="false">IF(AND(W465&gt;0,Z465&gt;0),(Z465/((W465+X465)*10)),"")</f>
        <v>0.311764705882353</v>
      </c>
      <c r="AB465" s="19" t="n">
        <v>75</v>
      </c>
      <c r="AC465" s="19" t="n">
        <f aca="false">ROUND(AB465*1.6, 0)</f>
        <v>120</v>
      </c>
      <c r="AF465" s="19" t="n">
        <v>20.2</v>
      </c>
      <c r="AG465" s="19" t="n">
        <v>20</v>
      </c>
      <c r="AH465" s="19" t="n">
        <v>2.82</v>
      </c>
      <c r="AI465" s="19" t="n">
        <v>3.97</v>
      </c>
      <c r="AJ465" s="25" t="n">
        <v>40</v>
      </c>
      <c r="AK465" s="26" t="str">
        <f aca="false">CONCATENATE(VLOOKUP(AL465, '[1]Voxel Sizes'!$A$2:$B$18,2,FALSE()),"x",INT(AH465*15), "x", INT(AI465*15))</f>
        <v>198x42x59</v>
      </c>
      <c r="AL465" s="19" t="n">
        <f aca="false">ROUND(15*((AG465*10)/256),0)</f>
        <v>12</v>
      </c>
      <c r="AN465" s="19" t="str">
        <f aca="false">CONCATENATE(VLOOKUP(AL465,[1]Constants!$A$2:$C$16,IF(AM465&lt;&gt;"", 3, 2), FALSE()),IF(AM465&lt;&gt;"",CONCATENATE(",",VLOOKUP(AM465,$B:$AN,38,FALSE())),""))</f>
        <v>4,4,4</v>
      </c>
      <c r="AO465" s="19" t="n">
        <v>0</v>
      </c>
      <c r="AP465" s="27"/>
      <c r="AQ465" s="27"/>
      <c r="AR465" s="19" t="s">
        <v>1716</v>
      </c>
      <c r="AT465" s="19" t="s">
        <v>833</v>
      </c>
      <c r="AU465" s="19" t="s">
        <v>1716</v>
      </c>
      <c r="AX465" s="19" t="n">
        <v>35</v>
      </c>
      <c r="AY465" s="28" t="str">
        <f aca="false">IF(L465&lt;&gt;"",MAX(16,(L465-J465)+8),"")</f>
        <v/>
      </c>
      <c r="BB465" s="19" t="n">
        <f aca="false">MIN(AB465/150, 1)*30</f>
        <v>15</v>
      </c>
      <c r="BC465" s="19" t="n">
        <f aca="false">MIN(N465/4000, 1)*20</f>
        <v>3.55</v>
      </c>
      <c r="BD465" s="19" t="n">
        <f aca="false">MIN(Z465/400,1)*20</f>
        <v>5.3</v>
      </c>
      <c r="BE465" s="24" t="n">
        <f aca="false">1-(MAX(J465-1900, 0)/750)</f>
        <v>0.868</v>
      </c>
      <c r="BF465" s="19" t="n">
        <f aca="false">((MAX($M465,1)*MIN($AJ465/300,1)))*IF(G465="Wagon",50,10)</f>
        <v>1.33333333333333</v>
      </c>
      <c r="BG465" s="19" t="n">
        <f aca="false">VLOOKUP($H465,[1]Constants!$I$1:$K$1048576, 2, FALSE())</f>
        <v>1</v>
      </c>
      <c r="BH465" s="19" t="n">
        <f aca="false">VLOOKUP($H465,[1]Constants!$I$1:$K$1048576, 3, FALSE())*IF(AND(G465="multiple_unit",AB465&lt;110),0.75,1)</f>
        <v>2</v>
      </c>
      <c r="BI465" s="19" t="n">
        <f aca="false">INT(POWER((([1]Constants!$G$2+$BB465+$BC465+$BD465+$BF465)*$BE465)*$BH465, 1.05))+$BA465</f>
        <v>63</v>
      </c>
      <c r="BJ465" s="19" t="n">
        <f aca="false">INT(POWER(((([1]Constants!$G$1+$BB465+$BC465+$BD465+$BF465)*($BE465))*$BG465),IF($G465="wagon",1,1.2)))+$AZ465</f>
        <v>70</v>
      </c>
      <c r="BK465" s="29" t="n">
        <f aca="false">BI465*IF($G465="wagon",62.5,781.25)</f>
        <v>49218.75</v>
      </c>
      <c r="BL465" s="29" t="n">
        <f aca="false">BJ465*IF($G465="wagon",2.73,81.25)</f>
        <v>5687.5</v>
      </c>
      <c r="BV465" s="19" t="n">
        <v>6</v>
      </c>
      <c r="BW465" s="19" t="n">
        <v>185</v>
      </c>
      <c r="BY465" s="19" t="s">
        <v>301</v>
      </c>
      <c r="BZ465" s="19" t="s">
        <v>302</v>
      </c>
      <c r="CA465" s="19" t="s">
        <v>1717</v>
      </c>
      <c r="CB465" s="30" t="s">
        <v>478</v>
      </c>
      <c r="CC465" s="19" t="str">
        <f aca="false">CONCATENATE(CA465,"_",CB465)</f>
        <v>prv_Freight</v>
      </c>
      <c r="CD465" s="19" t="str">
        <f aca="false">_xlfn.CONCAT(H465, "_",I465)</f>
        <v>diesel_RAIL</v>
      </c>
      <c r="CE465" s="31" t="str">
        <f aca="false">_xlfn.CONCAT("{BLACK}Length: {GOLD}", TEXT(ROUNDUP(IF(AQ465&lt;&gt;"",SUM(VALUE(_xlfn.TEXTSPLIT(AQ465, ","))), SUM(VALUE(_xlfn.TEXTSPLIT(AN465, ",")))*IF(M465, M465, 1))/16, 1), "#,##0.0"), " tiles{}")</f>
        <v>{BLACK}Length: {GOLD}0.8 tiles{}</v>
      </c>
      <c r="CF465" s="19" t="str">
        <f aca="false">VLOOKUP($CD465, [1]Constants!$M$1:$N$1048576, 2, FALSE())</f>
        <v>{BLACK}Powered by: {GOLD}Diesel</v>
      </c>
      <c r="CG465" s="19" t="str">
        <f aca="false">IF(M465&gt;1,_xlfn.CONCAT("{BLACK}Cars: {GOLD}", M465),"")</f>
        <v/>
      </c>
      <c r="CH465" s="19" t="s">
        <v>1718</v>
      </c>
      <c r="CJ465" s="19" t="str">
        <f aca="false">IF(BX465="buffet","{YELLOW}25% long distance bonus for consist{}",IF(CA465="BRAKE","{YELLOW}Speed bonus for slow wagons{}",IF(BW465&gt;190,CONCATENATE("{YELLOW}",INT((BW465-185)/1.85),"% bonus for long distance travel{}"),IF(AND(BW465&lt;180,BW465&lt;&gt;0),CONCATENATE("{YELLOW}",INT((185-BW465)/1.85),"% penalty for long distance travel{}"),""))))</f>
        <v/>
      </c>
      <c r="CK465" s="19" t="str">
        <f aca="false">_xlfn.CONCAT(CF465,IF(CF465 &lt;&gt; "", " ", ""),CG465,IF(OR(CG465&lt;&gt;"", CF465&lt;&gt;""), "{}",""), CE465, CJ465,"{SILVER}", CH465)</f>
        <v>{BLACK}Powered by: {GOLD}Diesel {}{BLACK}Length: {GOLD}0.8 tiles{}{SILVER}The Windhoff MPV units were mainly used for Departmental service, notably in the iconic Rail Head Treatment trains, but trials were made in freight service.</v>
      </c>
    </row>
    <row r="466" s="19" customFormat="true" ht="14.25" hidden="false" customHeight="false" outlineLevel="0" collapsed="false">
      <c r="A466" s="30" t="s">
        <v>1719</v>
      </c>
      <c r="B466" s="49" t="s">
        <v>1720</v>
      </c>
      <c r="C466" s="21" t="n">
        <v>3077</v>
      </c>
      <c r="E466" s="19" t="n">
        <v>472</v>
      </c>
      <c r="F466" s="19" t="s">
        <v>143</v>
      </c>
      <c r="G466" s="19" t="s">
        <v>1715</v>
      </c>
      <c r="H466" s="19" t="s">
        <v>670</v>
      </c>
      <c r="I466" s="19" t="s">
        <v>92</v>
      </c>
      <c r="J466" s="19" t="n">
        <v>1999</v>
      </c>
      <c r="M466" s="19" t="n">
        <v>2</v>
      </c>
      <c r="N466" s="19" t="n">
        <v>710</v>
      </c>
      <c r="O466" s="22"/>
      <c r="P466" s="23"/>
      <c r="Q466" s="23"/>
      <c r="R466" s="23"/>
      <c r="S466" s="23"/>
      <c r="T466" s="23"/>
      <c r="U466" s="23"/>
      <c r="V466" s="23"/>
      <c r="W466" s="19" t="n">
        <v>61</v>
      </c>
      <c r="X466" s="22"/>
      <c r="Y466" s="19" t="n">
        <v>4</v>
      </c>
      <c r="Z466" s="19" t="n">
        <v>106</v>
      </c>
      <c r="AA466" s="24" t="n">
        <f aca="false">IF(AND(W466&gt;0,Z466&gt;0),(Z466/((W466+X466)*10)),"")</f>
        <v>0.173770491803279</v>
      </c>
      <c r="AB466" s="19" t="n">
        <v>75</v>
      </c>
      <c r="AC466" s="19" t="n">
        <f aca="false">ROUND(AB466*1.6, 0)</f>
        <v>120</v>
      </c>
      <c r="AF466" s="19" t="n">
        <v>20.2</v>
      </c>
      <c r="AG466" s="19" t="n">
        <v>20</v>
      </c>
      <c r="AH466" s="19" t="n">
        <v>2.82</v>
      </c>
      <c r="AI466" s="19" t="n">
        <v>3.97</v>
      </c>
      <c r="AJ466" s="25" t="n">
        <v>40</v>
      </c>
      <c r="AK466" s="26" t="str">
        <f aca="false">CONCATENATE(VLOOKUP(AL466, '[1]Voxel Sizes'!$A$2:$B$18,2,FALSE()),"x",INT(AH466*15), "x", INT(AI466*15))</f>
        <v>198x42x59</v>
      </c>
      <c r="AL466" s="19" t="n">
        <f aca="false">ROUND(15*((AG466*10)/256),0)</f>
        <v>12</v>
      </c>
      <c r="AN466" s="19" t="str">
        <f aca="false">CONCATENATE(VLOOKUP(AL466,[1]Constants!$A$2:$C$16,IF(AM466&lt;&gt;"", 3, 2), FALSE()),IF(AM466&lt;&gt;"",CONCATENATE(",",VLOOKUP(AM466,$B:$AN,38,FALSE())),""))</f>
        <v>4,4,4</v>
      </c>
      <c r="AO466" s="19" t="n">
        <v>0</v>
      </c>
      <c r="AP466" s="27"/>
      <c r="AQ466" s="27"/>
      <c r="AR466" s="19" t="s">
        <v>1721</v>
      </c>
      <c r="AT466" s="19" t="s">
        <v>833</v>
      </c>
      <c r="AU466" s="19" t="s">
        <v>1722</v>
      </c>
      <c r="AX466" s="19" t="n">
        <v>35</v>
      </c>
      <c r="AY466" s="28" t="str">
        <f aca="false">IF(L466&lt;&gt;"",MAX(16,(L466-J466)+8),"")</f>
        <v/>
      </c>
      <c r="BB466" s="19" t="n">
        <f aca="false">MIN(AB466/150, 1)*30</f>
        <v>15</v>
      </c>
      <c r="BC466" s="19" t="n">
        <f aca="false">MIN(N466/4000, 1)*20</f>
        <v>3.55</v>
      </c>
      <c r="BD466" s="19" t="n">
        <f aca="false">MIN(Z466/400,1)*20</f>
        <v>5.3</v>
      </c>
      <c r="BE466" s="24" t="n">
        <f aca="false">1-(MAX(J466-1900, 0)/750)</f>
        <v>0.868</v>
      </c>
      <c r="BF466" s="19" t="n">
        <f aca="false">((MAX($M466,1)*MIN($AJ466/300,1)))*IF(G466="Wagon",50,10)</f>
        <v>2.66666666666667</v>
      </c>
      <c r="BG466" s="19" t="n">
        <f aca="false">VLOOKUP($H466,[1]Constants!$I$1:$K$1048576, 2, FALSE())</f>
        <v>1</v>
      </c>
      <c r="BH466" s="19" t="n">
        <f aca="false">VLOOKUP($H466,[1]Constants!$I$1:$K$1048576, 3, FALSE())*IF(AND(G466="multiple_unit",AB466&lt;110),0.75,1)</f>
        <v>2</v>
      </c>
      <c r="BI466" s="19" t="n">
        <f aca="false">INT(POWER((([1]Constants!$G$2+$BB466+$BC466+$BD466+$BF466)*$BE466)*$BH466, 1.05))+$BA466</f>
        <v>66</v>
      </c>
      <c r="BJ466" s="19" t="n">
        <f aca="false">INT(POWER(((([1]Constants!$G$1+$BB466+$BC466+$BD466+$BF466)*($BE466))*$BG466),IF($G466="wagon",1,1.2)))+$AZ466</f>
        <v>73</v>
      </c>
      <c r="BK466" s="29" t="n">
        <f aca="false">BI466*IF($G466="wagon",62.5,781.25)</f>
        <v>51562.5</v>
      </c>
      <c r="BL466" s="29" t="n">
        <f aca="false">BJ466*IF($G466="wagon",2.73,81.25)</f>
        <v>5931.25</v>
      </c>
      <c r="BV466" s="19" t="n">
        <v>6</v>
      </c>
      <c r="BW466" s="19" t="n">
        <v>185</v>
      </c>
      <c r="BY466" s="19" t="s">
        <v>301</v>
      </c>
      <c r="BZ466" s="19" t="s">
        <v>302</v>
      </c>
      <c r="CA466" s="19" t="s">
        <v>1717</v>
      </c>
      <c r="CB466" s="30" t="s">
        <v>478</v>
      </c>
      <c r="CC466" s="19" t="str">
        <f aca="false">CONCATENATE(CA466,"_",CB466)</f>
        <v>prv_Freight</v>
      </c>
      <c r="CD466" s="19" t="str">
        <f aca="false">_xlfn.CONCAT(H466, "_",I466)</f>
        <v>diesel_RAIL</v>
      </c>
      <c r="CE466" s="31" t="str">
        <f aca="false">_xlfn.CONCAT("{BLACK}Length: {GOLD}", TEXT(ROUNDUP(IF(AQ466&lt;&gt;"",SUM(VALUE(_xlfn.TEXTSPLIT(AQ466, ","))), SUM(VALUE(_xlfn.TEXTSPLIT(AN466, ",")))*IF(M466, M466, 1))/16, 1), "#,##0.0"), " tiles{}")</f>
        <v>{BLACK}Length: {GOLD}1.5 tiles{}</v>
      </c>
      <c r="CF466" s="19" t="str">
        <f aca="false">VLOOKUP($CD466, [1]Constants!$M$1:$N$1048576, 2, FALSE())</f>
        <v>{BLACK}Powered by: {GOLD}Diesel</v>
      </c>
      <c r="CG466" s="19" t="str">
        <f aca="false">IF(M466&gt;1,_xlfn.CONCAT("{BLACK}Cars: {GOLD}", M466),"")</f>
        <v>{BLACK}Cars: {GOLD}2</v>
      </c>
      <c r="CH466" s="19" t="s">
        <v>1718</v>
      </c>
      <c r="CJ466" s="19" t="str">
        <f aca="false">IF(BX466="buffet","{YELLOW}25% long distance bonus for consist{}",IF(CA466="BRAKE","{YELLOW}Speed bonus for slow wagons{}",IF(BW466&gt;190,CONCATENATE("{YELLOW}",INT((BW466-185)/1.85),"% bonus for long distance travel{}"),IF(AND(BW466&lt;180,BW466&lt;&gt;0),CONCATENATE("{YELLOW}",INT((185-BW466)/1.85),"% penalty for long distance travel{}"),""))))</f>
        <v/>
      </c>
      <c r="CK466" s="19" t="str">
        <f aca="false">_xlfn.CONCAT(CF466,IF(CF466 &lt;&gt; "", " ", ""),CG466,IF(OR(CG466&lt;&gt;"", CF466&lt;&gt;""), "{}",""), CE466, CJ466,"{SILVER}", CH466)</f>
        <v>{BLACK}Powered by: {GOLD}Diesel {BLACK}Cars: {GOLD}2{}{BLACK}Length: {GOLD}1.5 tiles{}{SILVER}The Windhoff MPV units were mainly used for Departmental service, notably in the iconic Rail Head Treatment trains, but trials were made in freight service.</v>
      </c>
    </row>
    <row r="467" s="19" customFormat="true" ht="14.25" hidden="false" customHeight="false" outlineLevel="0" collapsed="false">
      <c r="A467" s="30" t="s">
        <v>1723</v>
      </c>
      <c r="B467" s="49" t="s">
        <v>1724</v>
      </c>
      <c r="C467" s="21" t="n">
        <v>3078</v>
      </c>
      <c r="D467" s="19" t="n">
        <v>3077</v>
      </c>
      <c r="E467" s="19" t="n">
        <v>473</v>
      </c>
      <c r="F467" s="19" t="s">
        <v>143</v>
      </c>
      <c r="G467" s="19" t="s">
        <v>1715</v>
      </c>
      <c r="H467" s="19" t="s">
        <v>670</v>
      </c>
      <c r="I467" s="19" t="s">
        <v>92</v>
      </c>
      <c r="J467" s="19" t="n">
        <v>1999</v>
      </c>
      <c r="M467" s="19" t="n">
        <v>3</v>
      </c>
      <c r="N467" s="19" t="n">
        <v>710</v>
      </c>
      <c r="O467" s="22"/>
      <c r="P467" s="23"/>
      <c r="Q467" s="23"/>
      <c r="R467" s="23"/>
      <c r="S467" s="23"/>
      <c r="T467" s="23"/>
      <c r="U467" s="23"/>
      <c r="V467" s="23"/>
      <c r="W467" s="19" t="n">
        <f aca="false">W466+19</f>
        <v>80</v>
      </c>
      <c r="X467" s="22"/>
      <c r="Y467" s="19" t="n">
        <v>4</v>
      </c>
      <c r="Z467" s="19" t="n">
        <v>106</v>
      </c>
      <c r="AA467" s="24" t="n">
        <f aca="false">IF(AND(W467&gt;0,Z467&gt;0),(Z467/((W467+X467)*10)),"")</f>
        <v>0.1325</v>
      </c>
      <c r="AB467" s="19" t="n">
        <v>75</v>
      </c>
      <c r="AC467" s="19" t="n">
        <f aca="false">ROUND(AB467*1.6, 0)</f>
        <v>120</v>
      </c>
      <c r="AF467" s="19" t="n">
        <v>20.2</v>
      </c>
      <c r="AG467" s="19" t="n">
        <v>20</v>
      </c>
      <c r="AH467" s="19" t="n">
        <v>2.82</v>
      </c>
      <c r="AI467" s="19" t="n">
        <v>3.97</v>
      </c>
      <c r="AJ467" s="25" t="n">
        <v>40</v>
      </c>
      <c r="AK467" s="26" t="str">
        <f aca="false">CONCATENATE(VLOOKUP(AL467, '[1]Voxel Sizes'!$A$2:$B$18,2,FALSE()),"x",INT(AH467*15), "x", INT(AI467*15))</f>
        <v>198x42x59</v>
      </c>
      <c r="AL467" s="19" t="n">
        <f aca="false">ROUND(15*((AG467*10)/256),0)</f>
        <v>12</v>
      </c>
      <c r="AN467" s="19" t="str">
        <f aca="false">CONCATENATE(VLOOKUP(AL467,[1]Constants!$A$2:$C$16,IF(AM467&lt;&gt;"", 3, 2), FALSE()),IF(AM467&lt;&gt;"",CONCATENATE(",",VLOOKUP(AM467,$B:$AN,38,FALSE())),""))</f>
        <v>4,4,4</v>
      </c>
      <c r="AO467" s="19" t="n">
        <v>0</v>
      </c>
      <c r="AP467" s="27"/>
      <c r="AQ467" s="27"/>
      <c r="AR467" s="19" t="s">
        <v>1725</v>
      </c>
      <c r="AT467" s="19" t="s">
        <v>1591</v>
      </c>
      <c r="AU467" s="19" t="s">
        <v>1722</v>
      </c>
      <c r="AX467" s="19" t="n">
        <v>35</v>
      </c>
      <c r="AY467" s="28" t="str">
        <f aca="false">IF(L467&lt;&gt;"",MAX(16,(L467-J467)+8),"")</f>
        <v/>
      </c>
      <c r="BB467" s="19" t="n">
        <f aca="false">MIN(AB467/150, 1)*30</f>
        <v>15</v>
      </c>
      <c r="BC467" s="19" t="n">
        <f aca="false">MIN(N467/4000, 1)*20</f>
        <v>3.55</v>
      </c>
      <c r="BD467" s="19" t="n">
        <f aca="false">MIN(Z467/400,1)*20</f>
        <v>5.3</v>
      </c>
      <c r="BE467" s="24" t="n">
        <f aca="false">1-(MAX(J467-1900, 0)/750)</f>
        <v>0.868</v>
      </c>
      <c r="BF467" s="19" t="n">
        <f aca="false">((MAX($M467,1)*MIN($AJ467/300,1)))*IF(G467="Wagon",50,10)</f>
        <v>4</v>
      </c>
      <c r="BG467" s="19" t="n">
        <f aca="false">VLOOKUP($H467,[1]Constants!$I$1:$K$1048576, 2, FALSE())</f>
        <v>1</v>
      </c>
      <c r="BH467" s="19" t="n">
        <f aca="false">VLOOKUP($H467,[1]Constants!$I$1:$K$1048576, 3, FALSE())*IF(AND(G467="multiple_unit",AB467&lt;110),0.75,1)</f>
        <v>2</v>
      </c>
      <c r="BI467" s="19" t="n">
        <f aca="false">INT(POWER((([1]Constants!$G$2+$BB467+$BC467+$BD467+$BF467)*$BE467)*$BH467, 1.05))+$BA467</f>
        <v>69</v>
      </c>
      <c r="BJ467" s="19" t="n">
        <f aca="false">INT(POWER(((([1]Constants!$G$1+$BB467+$BC467+$BD467+$BF467)*($BE467))*$BG467),IF($G467="wagon",1,1.2)))+$AZ467</f>
        <v>76</v>
      </c>
      <c r="BK467" s="29" t="n">
        <f aca="false">BI467*IF($G467="wagon",62.5,781.25)</f>
        <v>53906.25</v>
      </c>
      <c r="BL467" s="29" t="n">
        <f aca="false">BJ467*IF($G467="wagon",2.73,81.25)</f>
        <v>6175</v>
      </c>
      <c r="BV467" s="19" t="n">
        <v>6</v>
      </c>
      <c r="BW467" s="19" t="n">
        <v>185</v>
      </c>
      <c r="BY467" s="19" t="s">
        <v>301</v>
      </c>
      <c r="BZ467" s="19" t="s">
        <v>302</v>
      </c>
      <c r="CA467" s="19" t="s">
        <v>1717</v>
      </c>
      <c r="CB467" s="30" t="s">
        <v>478</v>
      </c>
      <c r="CC467" s="19" t="str">
        <f aca="false">CONCATENATE(CA467,"_",CB467)</f>
        <v>prv_Freight</v>
      </c>
      <c r="CD467" s="19" t="str">
        <f aca="false">_xlfn.CONCAT(H467, "_",I467)</f>
        <v>diesel_RAIL</v>
      </c>
      <c r="CE467" s="31" t="str">
        <f aca="false">_xlfn.CONCAT("{BLACK}Length: {GOLD}", TEXT(ROUNDUP(IF(AQ467&lt;&gt;"",SUM(VALUE(_xlfn.TEXTSPLIT(AQ467, ","))), SUM(VALUE(_xlfn.TEXTSPLIT(AN467, ",")))*IF(M467, M467, 1))/16, 1), "#,##0.0"), " tiles{}")</f>
        <v>{BLACK}Length: {GOLD}2.3 tiles{}</v>
      </c>
      <c r="CF467" s="19" t="str">
        <f aca="false">VLOOKUP($CD467, [1]Constants!$M$1:$N$1048576, 2, FALSE())</f>
        <v>{BLACK}Powered by: {GOLD}Diesel</v>
      </c>
      <c r="CG467" s="19" t="str">
        <f aca="false">IF(M467&gt;1,_xlfn.CONCAT("{BLACK}Cars: {GOLD}", M467),"")</f>
        <v>{BLACK}Cars: {GOLD}3</v>
      </c>
      <c r="CH467" s="19" t="s">
        <v>1718</v>
      </c>
      <c r="CJ467" s="19" t="str">
        <f aca="false">IF(BX467="buffet","{YELLOW}25% long distance bonus for consist{}",IF(CA467="BRAKE","{YELLOW}Speed bonus for slow wagons{}",IF(BW467&gt;190,CONCATENATE("{YELLOW}",INT((BW467-185)/1.85),"% bonus for long distance travel{}"),IF(AND(BW467&lt;180,BW467&lt;&gt;0),CONCATENATE("{YELLOW}",INT((185-BW467)/1.85),"% penalty for long distance travel{}"),""))))</f>
        <v/>
      </c>
      <c r="CK467" s="19" t="str">
        <f aca="false">_xlfn.CONCAT(CF467,IF(CF467 &lt;&gt; "", " ", ""),CG467,IF(OR(CG467&lt;&gt;"", CF467&lt;&gt;""), "{}",""), CE467, CJ467,"{SILVER}", CH467)</f>
        <v>{BLACK}Powered by: {GOLD}Diesel {BLACK}Cars: {GOLD}3{}{BLACK}Length: {GOLD}2.3 tiles{}{SILVER}The Windhoff MPV units were mainly used for Departmental service, notably in the iconic Rail Head Treatment trains, but trials were made in freight service.</v>
      </c>
    </row>
    <row r="468" s="19" customFormat="true" ht="14.25" hidden="false" customHeight="false" outlineLevel="0" collapsed="false">
      <c r="A468" s="30" t="s">
        <v>1726</v>
      </c>
      <c r="B468" s="49" t="s">
        <v>1727</v>
      </c>
      <c r="C468" s="21" t="n">
        <v>3079</v>
      </c>
      <c r="D468" s="19" t="n">
        <v>3077</v>
      </c>
      <c r="E468" s="19" t="n">
        <v>474</v>
      </c>
      <c r="F468" s="19" t="s">
        <v>143</v>
      </c>
      <c r="G468" s="19" t="s">
        <v>1715</v>
      </c>
      <c r="H468" s="19" t="s">
        <v>670</v>
      </c>
      <c r="I468" s="19" t="s">
        <v>92</v>
      </c>
      <c r="J468" s="19" t="n">
        <v>1999</v>
      </c>
      <c r="M468" s="19" t="n">
        <v>4</v>
      </c>
      <c r="N468" s="19" t="n">
        <v>710</v>
      </c>
      <c r="O468" s="22"/>
      <c r="P468" s="23"/>
      <c r="Q468" s="23"/>
      <c r="R468" s="23"/>
      <c r="S468" s="23"/>
      <c r="T468" s="23"/>
      <c r="U468" s="23"/>
      <c r="V468" s="23"/>
      <c r="W468" s="19" t="n">
        <f aca="false">W467+19</f>
        <v>99</v>
      </c>
      <c r="X468" s="22"/>
      <c r="Y468" s="19" t="n">
        <v>4</v>
      </c>
      <c r="Z468" s="19" t="n">
        <v>106</v>
      </c>
      <c r="AA468" s="24" t="n">
        <f aca="false">IF(AND(W468&gt;0,Z468&gt;0),(Z468/((W468+X468)*10)),"")</f>
        <v>0.107070707070707</v>
      </c>
      <c r="AB468" s="19" t="n">
        <v>75</v>
      </c>
      <c r="AC468" s="19" t="n">
        <f aca="false">ROUND(AB468*1.6, 0)</f>
        <v>120</v>
      </c>
      <c r="AF468" s="19" t="n">
        <v>20.2</v>
      </c>
      <c r="AG468" s="19" t="n">
        <v>20</v>
      </c>
      <c r="AH468" s="19" t="n">
        <v>2.82</v>
      </c>
      <c r="AI468" s="19" t="n">
        <v>3.97</v>
      </c>
      <c r="AJ468" s="25" t="n">
        <v>40</v>
      </c>
      <c r="AK468" s="26" t="str">
        <f aca="false">CONCATENATE(VLOOKUP(AL468, '[1]Voxel Sizes'!$A$2:$B$18,2,FALSE()),"x",INT(AH468*15), "x", INT(AI468*15))</f>
        <v>198x42x59</v>
      </c>
      <c r="AL468" s="19" t="n">
        <f aca="false">ROUND(15*((AG468*10)/256),0)</f>
        <v>12</v>
      </c>
      <c r="AN468" s="19" t="str">
        <f aca="false">CONCATENATE(VLOOKUP(AL468,[1]Constants!$A$2:$C$16,IF(AM468&lt;&gt;"", 3, 2), FALSE()),IF(AM468&lt;&gt;"",CONCATENATE(",",VLOOKUP(AM468,$B:$AN,38,FALSE())),""))</f>
        <v>4,4,4</v>
      </c>
      <c r="AO468" s="19" t="n">
        <v>0</v>
      </c>
      <c r="AP468" s="27"/>
      <c r="AQ468" s="27"/>
      <c r="AR468" s="19" t="s">
        <v>1728</v>
      </c>
      <c r="AT468" s="19" t="s">
        <v>947</v>
      </c>
      <c r="AU468" s="19" t="s">
        <v>1722</v>
      </c>
      <c r="AX468" s="19" t="n">
        <v>35</v>
      </c>
      <c r="AY468" s="28" t="str">
        <f aca="false">IF(L468&lt;&gt;"",MAX(16,(L468-J468)+8),"")</f>
        <v/>
      </c>
      <c r="BB468" s="19" t="n">
        <f aca="false">MIN(AB468/150, 1)*30</f>
        <v>15</v>
      </c>
      <c r="BC468" s="19" t="n">
        <f aca="false">MIN(N468/4000, 1)*20</f>
        <v>3.55</v>
      </c>
      <c r="BD468" s="19" t="n">
        <f aca="false">MIN(Z468/400,1)*20</f>
        <v>5.3</v>
      </c>
      <c r="BE468" s="24" t="n">
        <f aca="false">1-(MAX(J468-1900, 0)/750)</f>
        <v>0.868</v>
      </c>
      <c r="BF468" s="19" t="n">
        <f aca="false">((MAX($M468,1)*MIN($AJ468/300,1)))*IF(G468="Wagon",50,10)</f>
        <v>5.33333333333333</v>
      </c>
      <c r="BG468" s="19" t="n">
        <f aca="false">VLOOKUP($H468,[1]Constants!$I$1:$K$1048576, 2, FALSE())</f>
        <v>1</v>
      </c>
      <c r="BH468" s="19" t="n">
        <f aca="false">VLOOKUP($H468,[1]Constants!$I$1:$K$1048576, 3, FALSE())*IF(AND(G468="multiple_unit",AB468&lt;110),0.75,1)</f>
        <v>2</v>
      </c>
      <c r="BI468" s="19" t="n">
        <f aca="false">INT(POWER((([1]Constants!$G$2+$BB468+$BC468+$BD468+$BF468)*$BE468)*$BH468, 1.05))+$BA468</f>
        <v>72</v>
      </c>
      <c r="BJ468" s="19" t="n">
        <f aca="false">INT(POWER(((([1]Constants!$G$1+$BB468+$BC468+$BD468+$BF468)*($BE468))*$BG468),IF($G468="wagon",1,1.2)))+$AZ468</f>
        <v>79</v>
      </c>
      <c r="BK468" s="29" t="n">
        <f aca="false">BI468*IF($G468="wagon",62.5,781.25)</f>
        <v>56250</v>
      </c>
      <c r="BL468" s="29" t="n">
        <f aca="false">BJ468*IF($G468="wagon",2.73,81.25)</f>
        <v>6418.75</v>
      </c>
      <c r="BV468" s="19" t="n">
        <v>6</v>
      </c>
      <c r="BW468" s="19" t="n">
        <v>185</v>
      </c>
      <c r="BY468" s="19" t="s">
        <v>301</v>
      </c>
      <c r="BZ468" s="19" t="s">
        <v>302</v>
      </c>
      <c r="CA468" s="19" t="s">
        <v>1717</v>
      </c>
      <c r="CB468" s="30" t="s">
        <v>478</v>
      </c>
      <c r="CC468" s="19" t="str">
        <f aca="false">CONCATENATE(CA468,"_",CB468)</f>
        <v>prv_Freight</v>
      </c>
      <c r="CD468" s="19" t="str">
        <f aca="false">_xlfn.CONCAT(H468, "_",I468)</f>
        <v>diesel_RAIL</v>
      </c>
      <c r="CE468" s="31" t="str">
        <f aca="false">_xlfn.CONCAT("{BLACK}Length: {GOLD}", TEXT(ROUNDUP(IF(AQ468&lt;&gt;"",SUM(VALUE(_xlfn.TEXTSPLIT(AQ468, ","))), SUM(VALUE(_xlfn.TEXTSPLIT(AN468, ",")))*IF(M468, M468, 1))/16, 1), "#,##0.0"), " tiles{}")</f>
        <v>{BLACK}Length: {GOLD}3.0 tiles{}</v>
      </c>
      <c r="CF468" s="19" t="str">
        <f aca="false">VLOOKUP($CD468, [1]Constants!$M$1:$N$1048576, 2, FALSE())</f>
        <v>{BLACK}Powered by: {GOLD}Diesel</v>
      </c>
      <c r="CG468" s="19" t="str">
        <f aca="false">IF(M468&gt;1,_xlfn.CONCAT("{BLACK}Cars: {GOLD}", M468),"")</f>
        <v>{BLACK}Cars: {GOLD}4</v>
      </c>
      <c r="CH468" s="19" t="s">
        <v>1718</v>
      </c>
      <c r="CJ468" s="19" t="str">
        <f aca="false">IF(BX468="buffet","{YELLOW}25% long distance bonus for consist{}",IF(CA468="BRAKE","{YELLOW}Speed bonus for slow wagons{}",IF(BW468&gt;190,CONCATENATE("{YELLOW}",INT((BW468-185)/1.85),"% bonus for long distance travel{}"),IF(AND(BW468&lt;180,BW468&lt;&gt;0),CONCATENATE("{YELLOW}",INT((185-BW468)/1.85),"% penalty for long distance travel{}"),""))))</f>
        <v/>
      </c>
      <c r="CK468" s="19" t="str">
        <f aca="false">_xlfn.CONCAT(CF468,IF(CF468 &lt;&gt; "", " ", ""),CG468,IF(OR(CG468&lt;&gt;"", CF468&lt;&gt;""), "{}",""), CE468, CJ468,"{SILVER}", CH468)</f>
        <v>{BLACK}Powered by: {GOLD}Diesel {BLACK}Cars: {GOLD}4{}{BLACK}Length: {GOLD}3.0 tiles{}{SILVER}The Windhoff MPV units were mainly used for Departmental service, notably in the iconic Rail Head Treatment trains, but trials were made in freight service.</v>
      </c>
    </row>
    <row r="469" s="19" customFormat="true" ht="14.25" hidden="false" customHeight="false" outlineLevel="0" collapsed="false">
      <c r="A469" s="30" t="s">
        <v>1729</v>
      </c>
      <c r="B469" s="49" t="s">
        <v>1730</v>
      </c>
      <c r="C469" s="21" t="n">
        <v>3080</v>
      </c>
      <c r="D469" s="19" t="n">
        <v>3077</v>
      </c>
      <c r="E469" s="19" t="n">
        <v>475</v>
      </c>
      <c r="F469" s="19" t="s">
        <v>143</v>
      </c>
      <c r="G469" s="19" t="s">
        <v>1715</v>
      </c>
      <c r="H469" s="19" t="s">
        <v>670</v>
      </c>
      <c r="I469" s="19" t="s">
        <v>92</v>
      </c>
      <c r="J469" s="19" t="n">
        <v>1999</v>
      </c>
      <c r="M469" s="19" t="n">
        <v>5</v>
      </c>
      <c r="N469" s="19" t="n">
        <v>710</v>
      </c>
      <c r="O469" s="22"/>
      <c r="P469" s="23"/>
      <c r="Q469" s="23"/>
      <c r="R469" s="23"/>
      <c r="S469" s="23"/>
      <c r="T469" s="23"/>
      <c r="U469" s="23"/>
      <c r="V469" s="23"/>
      <c r="W469" s="19" t="n">
        <f aca="false">W468+19</f>
        <v>118</v>
      </c>
      <c r="X469" s="22"/>
      <c r="Y469" s="19" t="n">
        <v>4</v>
      </c>
      <c r="Z469" s="19" t="n">
        <v>106</v>
      </c>
      <c r="AA469" s="24" t="n">
        <f aca="false">IF(AND(W469&gt;0,Z469&gt;0),(Z469/((W469+X469)*10)),"")</f>
        <v>0.0898305084745763</v>
      </c>
      <c r="AB469" s="19" t="n">
        <v>75</v>
      </c>
      <c r="AC469" s="19" t="n">
        <f aca="false">ROUND(AB469*1.6, 0)</f>
        <v>120</v>
      </c>
      <c r="AF469" s="19" t="n">
        <v>20.2</v>
      </c>
      <c r="AG469" s="19" t="n">
        <v>20</v>
      </c>
      <c r="AH469" s="19" t="n">
        <v>2.82</v>
      </c>
      <c r="AI469" s="19" t="n">
        <v>3.97</v>
      </c>
      <c r="AJ469" s="25" t="n">
        <v>40</v>
      </c>
      <c r="AK469" s="26" t="str">
        <f aca="false">CONCATENATE(VLOOKUP(AL469, '[1]Voxel Sizes'!$A$2:$B$18,2,FALSE()),"x",INT(AH469*15), "x", INT(AI469*15))</f>
        <v>198x42x59</v>
      </c>
      <c r="AL469" s="19" t="n">
        <f aca="false">ROUND(15*((AG469*10)/256),0)</f>
        <v>12</v>
      </c>
      <c r="AN469" s="19" t="str">
        <f aca="false">CONCATENATE(VLOOKUP(AL469,[1]Constants!$A$2:$C$16,IF(AM469&lt;&gt;"", 3, 2), FALSE()),IF(AM469&lt;&gt;"",CONCATENATE(",",VLOOKUP(AM469,$B:$AN,38,FALSE())),""))</f>
        <v>4,4,4</v>
      </c>
      <c r="AO469" s="19" t="n">
        <v>0</v>
      </c>
      <c r="AP469" s="27"/>
      <c r="AQ469" s="27"/>
      <c r="AR469" s="19" t="s">
        <v>1731</v>
      </c>
      <c r="AT469" s="19" t="s">
        <v>931</v>
      </c>
      <c r="AU469" s="19" t="s">
        <v>1722</v>
      </c>
      <c r="AX469" s="19" t="n">
        <v>35</v>
      </c>
      <c r="AY469" s="28" t="str">
        <f aca="false">IF(L469&lt;&gt;"",MAX(16,(L469-J469)+8),"")</f>
        <v/>
      </c>
      <c r="BB469" s="19" t="n">
        <f aca="false">MIN(AB469/150, 1)*30</f>
        <v>15</v>
      </c>
      <c r="BC469" s="19" t="n">
        <f aca="false">MIN(N469/4000, 1)*20</f>
        <v>3.55</v>
      </c>
      <c r="BD469" s="19" t="n">
        <f aca="false">MIN(Z469/400,1)*20</f>
        <v>5.3</v>
      </c>
      <c r="BE469" s="24" t="n">
        <f aca="false">1-(MAX(J469-1900, 0)/750)</f>
        <v>0.868</v>
      </c>
      <c r="BF469" s="19" t="n">
        <f aca="false">((MAX($M469,1)*MIN($AJ469/300,1)))*IF(G469="Wagon",50,10)</f>
        <v>6.66666666666667</v>
      </c>
      <c r="BG469" s="19" t="n">
        <f aca="false">VLOOKUP($H469,[1]Constants!$I$1:$K$1048576, 2, FALSE())</f>
        <v>1</v>
      </c>
      <c r="BH469" s="19" t="n">
        <f aca="false">VLOOKUP($H469,[1]Constants!$I$1:$K$1048576, 3, FALSE())*IF(AND(G469="multiple_unit",AB469&lt;110),0.75,1)</f>
        <v>2</v>
      </c>
      <c r="BI469" s="19" t="n">
        <f aca="false">INT(POWER((([1]Constants!$G$2+$BB469+$BC469+$BD469+$BF469)*$BE469)*$BH469, 1.05))+$BA469</f>
        <v>75</v>
      </c>
      <c r="BJ469" s="19" t="n">
        <f aca="false">INT(POWER(((([1]Constants!$G$1+$BB469+$BC469+$BD469+$BF469)*($BE469))*$BG469),IF($G469="wagon",1,1.2)))+$AZ469</f>
        <v>82</v>
      </c>
      <c r="BK469" s="29" t="n">
        <f aca="false">BI469*IF($G469="wagon",62.5,781.25)</f>
        <v>58593.75</v>
      </c>
      <c r="BL469" s="29" t="n">
        <f aca="false">BJ469*IF($G469="wagon",2.73,81.25)</f>
        <v>6662.5</v>
      </c>
      <c r="BV469" s="19" t="n">
        <v>6</v>
      </c>
      <c r="BW469" s="19" t="n">
        <v>185</v>
      </c>
      <c r="BY469" s="19" t="s">
        <v>301</v>
      </c>
      <c r="BZ469" s="19" t="s">
        <v>302</v>
      </c>
      <c r="CA469" s="19" t="s">
        <v>1717</v>
      </c>
      <c r="CB469" s="30" t="s">
        <v>478</v>
      </c>
      <c r="CC469" s="19" t="str">
        <f aca="false">CONCATENATE(CA469,"_",CB469)</f>
        <v>prv_Freight</v>
      </c>
      <c r="CD469" s="19" t="str">
        <f aca="false">_xlfn.CONCAT(H469, "_",I469)</f>
        <v>diesel_RAIL</v>
      </c>
      <c r="CE469" s="31" t="str">
        <f aca="false">_xlfn.CONCAT("{BLACK}Length: {GOLD}", TEXT(ROUNDUP(IF(AQ469&lt;&gt;"",SUM(VALUE(_xlfn.TEXTSPLIT(AQ469, ","))), SUM(VALUE(_xlfn.TEXTSPLIT(AN469, ",")))*IF(M469, M469, 1))/16, 1), "#,##0.0"), " tiles{}")</f>
        <v>{BLACK}Length: {GOLD}3.8 tiles{}</v>
      </c>
      <c r="CF469" s="19" t="str">
        <f aca="false">VLOOKUP($CD469, [1]Constants!$M$1:$N$1048576, 2, FALSE())</f>
        <v>{BLACK}Powered by: {GOLD}Diesel</v>
      </c>
      <c r="CG469" s="19" t="str">
        <f aca="false">IF(M469&gt;1,_xlfn.CONCAT("{BLACK}Cars: {GOLD}", M469),"")</f>
        <v>{BLACK}Cars: {GOLD}5</v>
      </c>
      <c r="CH469" s="19" t="s">
        <v>1718</v>
      </c>
      <c r="CJ469" s="19" t="str">
        <f aca="false">IF(BX469="buffet","{YELLOW}25% long distance bonus for consist{}",IF(CA469="BRAKE","{YELLOW}Speed bonus for slow wagons{}",IF(BW469&gt;190,CONCATENATE("{YELLOW}",INT((BW469-185)/1.85),"% bonus for long distance travel{}"),IF(AND(BW469&lt;180,BW469&lt;&gt;0),CONCATENATE("{YELLOW}",INT((185-BW469)/1.85),"% penalty for long distance travel{}"),""))))</f>
        <v/>
      </c>
      <c r="CK469" s="19" t="str">
        <f aca="false">_xlfn.CONCAT(CF469,IF(CF469 &lt;&gt; "", " ", ""),CG469,IF(OR(CG469&lt;&gt;"", CF469&lt;&gt;""), "{}",""), CE469, CJ469,"{SILVER}", CH469)</f>
        <v>{BLACK}Powered by: {GOLD}Diesel {BLACK}Cars: {GOLD}5{}{BLACK}Length: {GOLD}3.8 tiles{}{SILVER}The Windhoff MPV units were mainly used for Departmental service, notably in the iconic Rail Head Treatment trains, but trials were made in freight service.</v>
      </c>
    </row>
    <row r="470" s="26" customFormat="true" ht="14.25" hidden="false" customHeight="false" outlineLevel="0" collapsed="false">
      <c r="A470" s="26" t="s">
        <v>1732</v>
      </c>
      <c r="B470" s="32" t="s">
        <v>1733</v>
      </c>
      <c r="C470" s="21" t="n">
        <v>3081</v>
      </c>
      <c r="E470" s="26" t="n">
        <v>480</v>
      </c>
      <c r="F470" s="26" t="s">
        <v>143</v>
      </c>
      <c r="G470" s="26" t="s">
        <v>827</v>
      </c>
      <c r="H470" s="26" t="s">
        <v>670</v>
      </c>
      <c r="I470" s="26" t="s">
        <v>92</v>
      </c>
      <c r="J470" s="26" t="n">
        <v>2003</v>
      </c>
      <c r="M470" s="26" t="n">
        <v>4</v>
      </c>
      <c r="N470" s="26" t="n">
        <f aca="false">750*M470</f>
        <v>3000</v>
      </c>
      <c r="O470" s="33"/>
      <c r="P470" s="34"/>
      <c r="Q470" s="34"/>
      <c r="R470" s="34"/>
      <c r="S470" s="34"/>
      <c r="T470" s="34"/>
      <c r="U470" s="34"/>
      <c r="V470" s="34"/>
      <c r="W470" s="26" t="n">
        <v>186.5</v>
      </c>
      <c r="X470" s="33"/>
      <c r="Y470" s="26" t="n">
        <v>5</v>
      </c>
      <c r="Z470" s="26" t="n">
        <f aca="false">54*M470</f>
        <v>216</v>
      </c>
      <c r="AA470" s="35" t="n">
        <f aca="false">IF(AND(W470&gt;0,Z470&gt;0),(Z470/((W470+X470)*10)),"")</f>
        <v>0.115817694369973</v>
      </c>
      <c r="AB470" s="26" t="n">
        <v>125</v>
      </c>
      <c r="AC470" s="26" t="n">
        <f aca="false">ROUND(AB470*1.6, 0)</f>
        <v>200</v>
      </c>
      <c r="AF470" s="26" t="n">
        <v>23.8</v>
      </c>
      <c r="AG470" s="26" t="n">
        <v>23.8</v>
      </c>
      <c r="AH470" s="26" t="n">
        <v>2.73</v>
      </c>
      <c r="AJ470" s="36" t="n">
        <v>51</v>
      </c>
      <c r="AK470" s="26" t="str">
        <f aca="false">CONCATENATE(VLOOKUP(AL470, '[1]Voxel Sizes'!$A$2:$B$18,2,FALSE()),"x",INT(AH470*15), "x", INT(AI470*15))</f>
        <v>238x40x0</v>
      </c>
      <c r="AL470" s="26" t="n">
        <f aca="false">ROUND(15*((AG470*10)/256),0)</f>
        <v>14</v>
      </c>
      <c r="AN470" s="19" t="str">
        <f aca="false">CONCATENATE(VLOOKUP(AL470,[1]Constants!$A$2:$C$16,IF(AM470&lt;&gt;"", 3, 2), FALSE()),IF(AM470&lt;&gt;"",CONCATENATE(",",VLOOKUP(AM470,$B:$AN,38,FALSE())),""))</f>
        <v>4,6,4</v>
      </c>
      <c r="AP470" s="37"/>
      <c r="AQ470" s="37"/>
      <c r="AR470" s="26" t="s">
        <v>1734</v>
      </c>
      <c r="AT470" s="26" t="s">
        <v>855</v>
      </c>
      <c r="AU470" s="26" t="s">
        <v>1735</v>
      </c>
      <c r="AX470" s="26" t="n">
        <v>29</v>
      </c>
      <c r="AY470" s="38" t="str">
        <f aca="false">IF(L470&lt;&gt;"",MAX(16,(L470-J470)+8),"")</f>
        <v/>
      </c>
      <c r="AZ470" s="26" t="n">
        <v>-15</v>
      </c>
      <c r="BA470" s="26" t="n">
        <v>-35</v>
      </c>
      <c r="BB470" s="26" t="n">
        <f aca="false">MIN(AB470/150, 1)*30</f>
        <v>25</v>
      </c>
      <c r="BC470" s="26" t="n">
        <f aca="false">MIN(N470/4000, 1)*20</f>
        <v>15</v>
      </c>
      <c r="BD470" s="26" t="n">
        <f aca="false">MIN(Z470/400,1)*20</f>
        <v>10.8</v>
      </c>
      <c r="BE470" s="35" t="n">
        <f aca="false">1-(MAX(J470-1900, 0)/750)</f>
        <v>0.862666666666667</v>
      </c>
      <c r="BF470" s="26" t="n">
        <f aca="false">((MAX($M470,1)*MIN($AJ470/300,1)))*IF(G470="Wagon",50,10)</f>
        <v>6.8</v>
      </c>
      <c r="BG470" s="19" t="n">
        <f aca="false">VLOOKUP($H470,[1]Constants!$I$1:$K$1048576, 2, FALSE())</f>
        <v>1</v>
      </c>
      <c r="BH470" s="19" t="n">
        <f aca="false">VLOOKUP($H470,[1]Constants!$I$1:$K$1048576, 3, FALSE())*IF(AND(G470="multiple_unit",AB470&lt;110),0.75,1)</f>
        <v>2</v>
      </c>
      <c r="BI470" s="19" t="n">
        <f aca="false">INT(POWER((([1]Constants!$G$2+$BB470+$BC470+$BD470+$BF470)*$BE470)*$BH470, 1.05))+$BA470</f>
        <v>101</v>
      </c>
      <c r="BJ470" s="19" t="n">
        <f aca="false">INT(POWER(((([1]Constants!$G$1+$BB470+$BC470+$BD470+$BF470)*($BE470))*$BG470),IF($G470="wagon",1,1.2)))+$AZ470</f>
        <v>128</v>
      </c>
      <c r="BK470" s="39" t="n">
        <f aca="false">BI470*IF($G470="wagon",62.5,781.25)</f>
        <v>78906.25</v>
      </c>
      <c r="BL470" s="39" t="n">
        <f aca="false">BJ470*IF($G470="wagon",2.73,81.25)</f>
        <v>10400</v>
      </c>
      <c r="BR470" s="26" t="s">
        <v>1736</v>
      </c>
      <c r="BV470" s="26" t="n">
        <v>10</v>
      </c>
      <c r="BW470" s="26" t="n">
        <v>205</v>
      </c>
      <c r="BZ470" s="26" t="s">
        <v>148</v>
      </c>
      <c r="CA470" s="19" t="s">
        <v>1717</v>
      </c>
      <c r="CB470" s="40" t="s">
        <v>882</v>
      </c>
      <c r="CC470" s="26" t="str">
        <f aca="false">CONCATENATE(CA470,"_",CB470)</f>
        <v>prv_DMU (Express)</v>
      </c>
      <c r="CD470" s="26" t="str">
        <f aca="false">_xlfn.CONCAT(H470, "_",I470)</f>
        <v>diesel_RAIL</v>
      </c>
      <c r="CE470" s="31" t="str">
        <f aca="false">_xlfn.CONCAT("{BLACK}Length: {GOLD}", TEXT(ROUNDUP(IF(AQ470&lt;&gt;"",SUM(VALUE(_xlfn.TEXTSPLIT(AQ470, ","))), SUM(VALUE(_xlfn.TEXTSPLIT(AN470, ",")))*IF(M470, M470, 1))/16, 1), "#,##0.0"), " tiles{}")</f>
        <v>{BLACK}Length: {GOLD}3.5 tiles{}</v>
      </c>
      <c r="CF470" s="19" t="str">
        <f aca="false">VLOOKUP($CD470, [1]Constants!$M$1:$N$1048576, 2, FALSE())</f>
        <v>{BLACK}Powered by: {GOLD}Diesel</v>
      </c>
      <c r="CG470" s="19" t="str">
        <f aca="false">IF(M470&gt;1,_xlfn.CONCAT("{BLACK}Cars: {GOLD}", M470),"")</f>
        <v>{BLACK}Cars: {GOLD}4</v>
      </c>
      <c r="CH470" s="26" t="s">
        <v>1737</v>
      </c>
      <c r="CJ470" s="19" t="str">
        <f aca="false">IF(BX470="buffet","{YELLOW}25% long distance bonus for consist{}",IF(CA470="BRAKE","{YELLOW}Speed bonus for slow wagons{}",IF(BW470&gt;190,CONCATENATE("{YELLOW}",INT((BW470-185)/1.85),"% bonus for long distance travel{}"),IF(AND(BW470&lt;180,BW470&lt;&gt;0),CONCATENATE("{YELLOW}",INT((185-BW470)/1.85),"% penalty for long distance travel{}"),""))))</f>
        <v>{YELLOW}10% bonus for long distance travel{}</v>
      </c>
      <c r="CK470" s="19" t="str">
        <f aca="false">_xlfn.CONCAT(CF470,IF(CF470 &lt;&gt; "", " ", ""),CG470,IF(OR(CG470&lt;&gt;"", CF470&lt;&gt;""), "{}",""), CE470, CJ470,"{SILVER}", CH470)</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471" s="26" customFormat="true" ht="14.25" hidden="false" customHeight="false" outlineLevel="0" collapsed="false">
      <c r="A471" s="26" t="s">
        <v>1732</v>
      </c>
      <c r="B471" s="32" t="s">
        <v>1738</v>
      </c>
      <c r="C471" s="21" t="n">
        <v>3082</v>
      </c>
      <c r="D471" s="26" t="n">
        <v>3081</v>
      </c>
      <c r="E471" s="26" t="n">
        <v>481</v>
      </c>
      <c r="F471" s="26" t="s">
        <v>143</v>
      </c>
      <c r="G471" s="26" t="s">
        <v>827</v>
      </c>
      <c r="H471" s="26" t="s">
        <v>670</v>
      </c>
      <c r="I471" s="26" t="s">
        <v>92</v>
      </c>
      <c r="J471" s="26" t="n">
        <v>2003</v>
      </c>
      <c r="M471" s="26" t="n">
        <v>5</v>
      </c>
      <c r="N471" s="26" t="n">
        <f aca="false">750*M471</f>
        <v>3750</v>
      </c>
      <c r="O471" s="33"/>
      <c r="P471" s="34"/>
      <c r="Q471" s="34"/>
      <c r="R471" s="34"/>
      <c r="S471" s="34"/>
      <c r="T471" s="34"/>
      <c r="U471" s="34"/>
      <c r="V471" s="34"/>
      <c r="W471" s="26" t="n">
        <f aca="false">W470+37.3</f>
        <v>223.8</v>
      </c>
      <c r="X471" s="33"/>
      <c r="Y471" s="26" t="n">
        <v>5</v>
      </c>
      <c r="Z471" s="26" t="n">
        <f aca="false">54*M471</f>
        <v>270</v>
      </c>
      <c r="AA471" s="35" t="n">
        <f aca="false">IF(AND(W471&gt;0,Z471&gt;0),(Z471/((W471+X471)*10)),"")</f>
        <v>0.120643431635389</v>
      </c>
      <c r="AB471" s="26" t="n">
        <v>125</v>
      </c>
      <c r="AC471" s="26" t="n">
        <f aca="false">ROUND(AB471*1.6, 0)</f>
        <v>200</v>
      </c>
      <c r="AF471" s="26" t="n">
        <v>23.8</v>
      </c>
      <c r="AG471" s="26" t="n">
        <v>23.8</v>
      </c>
      <c r="AH471" s="26" t="n">
        <v>2.73</v>
      </c>
      <c r="AJ471" s="36" t="n">
        <v>51</v>
      </c>
      <c r="AK471" s="26" t="str">
        <f aca="false">CONCATENATE(VLOOKUP(AL471, '[1]Voxel Sizes'!$A$2:$B$18,2,FALSE()),"x",INT(AH471*15), "x", INT(AI471*15))</f>
        <v>238x40x0</v>
      </c>
      <c r="AL471" s="26" t="n">
        <f aca="false">ROUND(15*((AG471*10)/256),0)</f>
        <v>14</v>
      </c>
      <c r="AN471" s="19" t="str">
        <f aca="false">CONCATENATE(VLOOKUP(AL471,[1]Constants!$A$2:$C$16,IF(AM471&lt;&gt;"", 3, 2), FALSE()),IF(AM471&lt;&gt;"",CONCATENATE(",",VLOOKUP(AM471,$B:$AN,38,FALSE())),""))</f>
        <v>4,6,4</v>
      </c>
      <c r="AP471" s="37"/>
      <c r="AQ471" s="37"/>
      <c r="AR471" s="26" t="s">
        <v>1739</v>
      </c>
      <c r="AT471" s="26" t="s">
        <v>931</v>
      </c>
      <c r="AU471" s="26" t="s">
        <v>1735</v>
      </c>
      <c r="AX471" s="26" t="n">
        <v>29</v>
      </c>
      <c r="AY471" s="38" t="str">
        <f aca="false">IF(L471&lt;&gt;"",MAX(16,(L471-J471)+8),"")</f>
        <v/>
      </c>
      <c r="AZ471" s="26" t="n">
        <v>-15</v>
      </c>
      <c r="BA471" s="26" t="n">
        <v>-35</v>
      </c>
      <c r="BB471" s="26" t="n">
        <f aca="false">MIN(AB471/150, 1)*30</f>
        <v>25</v>
      </c>
      <c r="BC471" s="26" t="n">
        <f aca="false">MIN(N471/4000, 1)*20</f>
        <v>18.75</v>
      </c>
      <c r="BD471" s="26" t="n">
        <f aca="false">MIN(Z471/400,1)*20</f>
        <v>13.5</v>
      </c>
      <c r="BE471" s="35" t="n">
        <f aca="false">1-(MAX(J471-1900, 0)/750)</f>
        <v>0.862666666666667</v>
      </c>
      <c r="BF471" s="26" t="n">
        <f aca="false">((MAX($M471,1)*MIN($AJ471/300,1)))*IF(G471="Wagon",50,10)</f>
        <v>8.5</v>
      </c>
      <c r="BG471" s="19" t="n">
        <f aca="false">VLOOKUP($H471,[1]Constants!$I$1:$K$1048576, 2, FALSE())</f>
        <v>1</v>
      </c>
      <c r="BH471" s="19" t="n">
        <f aca="false">VLOOKUP($H471,[1]Constants!$I$1:$K$1048576, 3, FALSE())*IF(AND(G471="multiple_unit",AB471&lt;110),0.75,1)</f>
        <v>2</v>
      </c>
      <c r="BI471" s="19" t="n">
        <f aca="false">INT(POWER((([1]Constants!$G$2+$BB471+$BC471+$BD471+$BF471)*$BE471)*$BH471, 1.05))+$BA471</f>
        <v>120</v>
      </c>
      <c r="BJ471" s="19" t="n">
        <f aca="false">INT(POWER(((([1]Constants!$G$1+$BB471+$BC471+$BD471+$BF471)*($BE471))*$BG471),IF($G471="wagon",1,1.2)))+$AZ471</f>
        <v>147</v>
      </c>
      <c r="BK471" s="39" t="n">
        <f aca="false">BI471*IF($G471="wagon",62.5,781.25)</f>
        <v>93750</v>
      </c>
      <c r="BL471" s="39" t="n">
        <f aca="false">BJ471*IF($G471="wagon",2.73,81.25)</f>
        <v>11943.75</v>
      </c>
      <c r="BR471" s="26" t="s">
        <v>1740</v>
      </c>
      <c r="BU471" s="19" t="s">
        <v>927</v>
      </c>
      <c r="BV471" s="26" t="n">
        <v>10</v>
      </c>
      <c r="BW471" s="26" t="n">
        <v>205</v>
      </c>
      <c r="BZ471" s="26" t="s">
        <v>148</v>
      </c>
      <c r="CA471" s="19" t="s">
        <v>1717</v>
      </c>
      <c r="CB471" s="40" t="s">
        <v>882</v>
      </c>
      <c r="CC471" s="26" t="str">
        <f aca="false">CONCATENATE(CA471,"_",CB471)</f>
        <v>prv_DMU (Express)</v>
      </c>
      <c r="CD471" s="26" t="str">
        <f aca="false">_xlfn.CONCAT(H471, "_",I471)</f>
        <v>diesel_RAIL</v>
      </c>
      <c r="CE471" s="31" t="str">
        <f aca="false">_xlfn.CONCAT("{BLACK}Length: {GOLD}", TEXT(ROUNDUP(IF(AQ471&lt;&gt;"",SUM(VALUE(_xlfn.TEXTSPLIT(AQ471, ","))), SUM(VALUE(_xlfn.TEXTSPLIT(AN471, ",")))*IF(M471, M471, 1))/16, 1), "#,##0.0"), " tiles{}")</f>
        <v>{BLACK}Length: {GOLD}4.4 tiles{}</v>
      </c>
      <c r="CF471" s="19" t="str">
        <f aca="false">VLOOKUP($CD471, [1]Constants!$M$1:$N$1048576, 2, FALSE())</f>
        <v>{BLACK}Powered by: {GOLD}Diesel</v>
      </c>
      <c r="CG471" s="19" t="str">
        <f aca="false">IF(M471&gt;1,_xlfn.CONCAT("{BLACK}Cars: {GOLD}", M471),"")</f>
        <v>{BLACK}Cars: {GOLD}5</v>
      </c>
      <c r="CH471" s="26" t="s">
        <v>1737</v>
      </c>
      <c r="CJ471" s="19" t="str">
        <f aca="false">IF(BX471="buffet","{YELLOW}25% long distance bonus for consist{}",IF(CA471="BRAKE","{YELLOW}Speed bonus for slow wagons{}",IF(BW471&gt;190,CONCATENATE("{YELLOW}",INT((BW471-185)/1.85),"% bonus for long distance travel{}"),IF(AND(BW471&lt;180,BW471&lt;&gt;0),CONCATENATE("{YELLOW}",INT((185-BW471)/1.85),"% penalty for long distance travel{}"),""))))</f>
        <v>{YELLOW}10% bonus for long distance travel{}</v>
      </c>
      <c r="CK471" s="19" t="str">
        <f aca="false">_xlfn.CONCAT(CF471,IF(CF471 &lt;&gt; "", " ", ""),CG471,IF(OR(CG471&lt;&gt;"", CF471&lt;&gt;""), "{}",""), CE471, CJ471,"{SILVER}", CH471)</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472" s="26" customFormat="true" ht="14.25" hidden="false" customHeight="false" outlineLevel="0" collapsed="false">
      <c r="A472" s="26" t="s">
        <v>1732</v>
      </c>
      <c r="B472" s="32" t="s">
        <v>1741</v>
      </c>
      <c r="C472" s="21" t="n">
        <v>3083</v>
      </c>
      <c r="D472" s="26" t="n">
        <v>3081</v>
      </c>
      <c r="E472" s="26" t="n">
        <v>482</v>
      </c>
      <c r="F472" s="26" t="s">
        <v>143</v>
      </c>
      <c r="G472" s="26" t="s">
        <v>827</v>
      </c>
      <c r="H472" s="26" t="s">
        <v>670</v>
      </c>
      <c r="I472" s="26" t="s">
        <v>92</v>
      </c>
      <c r="J472" s="26" t="n">
        <v>2003</v>
      </c>
      <c r="M472" s="26" t="n">
        <v>7</v>
      </c>
      <c r="N472" s="26" t="n">
        <f aca="false">750*M472</f>
        <v>5250</v>
      </c>
      <c r="O472" s="33"/>
      <c r="P472" s="34"/>
      <c r="Q472" s="34"/>
      <c r="R472" s="34"/>
      <c r="S472" s="34"/>
      <c r="T472" s="34"/>
      <c r="U472" s="34"/>
      <c r="V472" s="34"/>
      <c r="W472" s="26" t="n">
        <f aca="false">W471+(37.3*2)</f>
        <v>298.4</v>
      </c>
      <c r="X472" s="33"/>
      <c r="Y472" s="26" t="n">
        <v>5</v>
      </c>
      <c r="Z472" s="26" t="n">
        <f aca="false">54*M472</f>
        <v>378</v>
      </c>
      <c r="AA472" s="35" t="n">
        <f aca="false">IF(AND(W472&gt;0,Z472&gt;0),(Z472/((W472+X472)*10)),"")</f>
        <v>0.126675603217158</v>
      </c>
      <c r="AB472" s="26" t="n">
        <v>125</v>
      </c>
      <c r="AC472" s="26" t="n">
        <f aca="false">ROUND(AB472*1.6, 0)</f>
        <v>200</v>
      </c>
      <c r="AF472" s="26" t="n">
        <v>23.8</v>
      </c>
      <c r="AG472" s="26" t="n">
        <v>23.8</v>
      </c>
      <c r="AH472" s="26" t="n">
        <v>2.73</v>
      </c>
      <c r="AJ472" s="36" t="n">
        <v>51</v>
      </c>
      <c r="AK472" s="26" t="str">
        <f aca="false">CONCATENATE(VLOOKUP(AL472, '[1]Voxel Sizes'!$A$2:$B$18,2,FALSE()),"x",INT(AH472*15), "x", INT(AI472*15))</f>
        <v>238x40x0</v>
      </c>
      <c r="AL472" s="26" t="n">
        <f aca="false">ROUND(15*((AG472*10)/256),0)</f>
        <v>14</v>
      </c>
      <c r="AN472" s="19" t="str">
        <f aca="false">CONCATENATE(VLOOKUP(AL472,[1]Constants!$A$2:$C$16,IF(AM472&lt;&gt;"", 3, 2), FALSE()),IF(AM472&lt;&gt;"",CONCATENATE(",",VLOOKUP(AM472,$B:$AN,38,FALSE())),""))</f>
        <v>4,6,4</v>
      </c>
      <c r="AP472" s="37"/>
      <c r="AQ472" s="37"/>
      <c r="AR472" s="26" t="s">
        <v>1742</v>
      </c>
      <c r="AT472" s="26" t="s">
        <v>1048</v>
      </c>
      <c r="AU472" s="26" t="s">
        <v>1735</v>
      </c>
      <c r="AX472" s="26" t="n">
        <v>29</v>
      </c>
      <c r="AY472" s="38" t="str">
        <f aca="false">IF(L472&lt;&gt;"",MAX(16,(L472-J472)+8),"")</f>
        <v/>
      </c>
      <c r="AZ472" s="26" t="n">
        <v>-15</v>
      </c>
      <c r="BA472" s="26" t="n">
        <v>-35</v>
      </c>
      <c r="BB472" s="26" t="n">
        <f aca="false">MIN(AB472/150, 1)*30</f>
        <v>25</v>
      </c>
      <c r="BC472" s="26" t="n">
        <f aca="false">MIN(N472/4000, 1)*20</f>
        <v>20</v>
      </c>
      <c r="BD472" s="26" t="n">
        <f aca="false">MIN(Z472/400,1)*20</f>
        <v>18.9</v>
      </c>
      <c r="BE472" s="35" t="n">
        <f aca="false">1-(MAX(J472-1900, 0)/750)</f>
        <v>0.862666666666667</v>
      </c>
      <c r="BF472" s="26" t="n">
        <f aca="false">((MAX($M472,1)*MIN($AJ472/300,1)))*IF(G472="Wagon",50,10)</f>
        <v>11.9</v>
      </c>
      <c r="BG472" s="19" t="n">
        <f aca="false">VLOOKUP($H472,[1]Constants!$I$1:$K$1048576, 2, FALSE())</f>
        <v>1</v>
      </c>
      <c r="BH472" s="19" t="n">
        <f aca="false">VLOOKUP($H472,[1]Constants!$I$1:$K$1048576, 3, FALSE())*IF(AND(G472="multiple_unit",AB472&lt;110),0.75,1)</f>
        <v>2</v>
      </c>
      <c r="BI472" s="19" t="n">
        <f aca="false">INT(POWER((([1]Constants!$G$2+$BB472+$BC472+$BD472+$BF472)*$BE472)*$BH472, 1.05))+$BA472</f>
        <v>143</v>
      </c>
      <c r="BJ472" s="19" t="n">
        <f aca="false">INT(POWER(((([1]Constants!$G$1+$BB472+$BC472+$BD472+$BF472)*($BE472))*$BG472),IF($G472="wagon",1,1.2)))+$AZ472</f>
        <v>172</v>
      </c>
      <c r="BK472" s="39" t="n">
        <f aca="false">BI472*IF($G472="wagon",62.5,781.25)</f>
        <v>111718.75</v>
      </c>
      <c r="BL472" s="39" t="n">
        <f aca="false">BJ472*IF($G472="wagon",2.73,81.25)</f>
        <v>13975</v>
      </c>
      <c r="BR472" s="26" t="s">
        <v>1743</v>
      </c>
      <c r="BU472" s="19" t="s">
        <v>1744</v>
      </c>
      <c r="BV472" s="26" t="n">
        <v>10</v>
      </c>
      <c r="BW472" s="26" t="n">
        <v>205</v>
      </c>
      <c r="BZ472" s="26" t="s">
        <v>148</v>
      </c>
      <c r="CA472" s="19" t="s">
        <v>1717</v>
      </c>
      <c r="CB472" s="40" t="s">
        <v>882</v>
      </c>
      <c r="CC472" s="26" t="str">
        <f aca="false">CONCATENATE(CA472,"_",CB472)</f>
        <v>prv_DMU (Express)</v>
      </c>
      <c r="CD472" s="26" t="str">
        <f aca="false">_xlfn.CONCAT(H472, "_",I472)</f>
        <v>diesel_RAIL</v>
      </c>
      <c r="CE472" s="31" t="str">
        <f aca="false">_xlfn.CONCAT("{BLACK}Length: {GOLD}", TEXT(ROUNDUP(IF(AQ472&lt;&gt;"",SUM(VALUE(_xlfn.TEXTSPLIT(AQ472, ","))), SUM(VALUE(_xlfn.TEXTSPLIT(AN472, ",")))*IF(M472, M472, 1))/16, 1), "#,##0.0"), " tiles{}")</f>
        <v>{BLACK}Length: {GOLD}6.2 tiles{}</v>
      </c>
      <c r="CF472" s="19" t="str">
        <f aca="false">VLOOKUP($CD472, [1]Constants!$M$1:$N$1048576, 2, FALSE())</f>
        <v>{BLACK}Powered by: {GOLD}Diesel</v>
      </c>
      <c r="CG472" s="19" t="str">
        <f aca="false">IF(M472&gt;1,_xlfn.CONCAT("{BLACK}Cars: {GOLD}", M472),"")</f>
        <v>{BLACK}Cars: {GOLD}7</v>
      </c>
      <c r="CH472" s="26" t="s">
        <v>1737</v>
      </c>
      <c r="CJ472" s="19" t="str">
        <f aca="false">IF(BX472="buffet","{YELLOW}25% long distance bonus for consist{}",IF(CA472="BRAKE","{YELLOW}Speed bonus for slow wagons{}",IF(BW472&gt;190,CONCATENATE("{YELLOW}",INT((BW472-185)/1.85),"% bonus for long distance travel{}"),IF(AND(BW472&lt;180,BW472&lt;&gt;0),CONCATENATE("{YELLOW}",INT((185-BW472)/1.85),"% penalty for long distance travel{}"),""))))</f>
        <v>{YELLOW}10% bonus for long distance travel{}</v>
      </c>
      <c r="CK472" s="19" t="str">
        <f aca="false">_xlfn.CONCAT(CF472,IF(CF472 &lt;&gt; "", " ", ""),CG472,IF(OR(CG472&lt;&gt;"", CF472&lt;&gt;""), "{}",""), CE472, CJ472,"{SILVER}", CH472)</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473" s="26" customFormat="true" ht="14.25" hidden="false" customHeight="false" outlineLevel="0" collapsed="false">
      <c r="A473" s="26" t="s">
        <v>1732</v>
      </c>
      <c r="B473" s="32" t="s">
        <v>1745</v>
      </c>
      <c r="C473" s="21" t="n">
        <v>3084</v>
      </c>
      <c r="D473" s="26" t="n">
        <v>3081</v>
      </c>
      <c r="E473" s="26" t="n">
        <v>483</v>
      </c>
      <c r="F473" s="26" t="s">
        <v>143</v>
      </c>
      <c r="G473" s="26" t="s">
        <v>827</v>
      </c>
      <c r="H473" s="26" t="s">
        <v>670</v>
      </c>
      <c r="I473" s="26" t="s">
        <v>92</v>
      </c>
      <c r="J473" s="26" t="n">
        <v>2003</v>
      </c>
      <c r="M473" s="26" t="n">
        <v>9</v>
      </c>
      <c r="N473" s="26" t="n">
        <f aca="false">750*M473</f>
        <v>6750</v>
      </c>
      <c r="O473" s="33"/>
      <c r="P473" s="34"/>
      <c r="Q473" s="34"/>
      <c r="R473" s="34"/>
      <c r="S473" s="34"/>
      <c r="T473" s="34"/>
      <c r="U473" s="34"/>
      <c r="V473" s="34"/>
      <c r="W473" s="26" t="n">
        <f aca="false">W472+(37.3*2)</f>
        <v>373</v>
      </c>
      <c r="X473" s="33"/>
      <c r="Y473" s="26" t="n">
        <v>5</v>
      </c>
      <c r="Z473" s="26" t="n">
        <f aca="false">54*M473</f>
        <v>486</v>
      </c>
      <c r="AA473" s="35" t="n">
        <f aca="false">IF(AND(W473&gt;0,Z473&gt;0),(Z473/((W473+X473)*10)),"")</f>
        <v>0.13029490616622</v>
      </c>
      <c r="AB473" s="26" t="n">
        <v>125</v>
      </c>
      <c r="AC473" s="26" t="n">
        <f aca="false">ROUND(AB473*1.6, 0)</f>
        <v>200</v>
      </c>
      <c r="AF473" s="26" t="n">
        <v>23.8</v>
      </c>
      <c r="AG473" s="26" t="n">
        <v>23.8</v>
      </c>
      <c r="AH473" s="26" t="n">
        <v>2.73</v>
      </c>
      <c r="AJ473" s="36" t="n">
        <v>51</v>
      </c>
      <c r="AK473" s="26" t="str">
        <f aca="false">CONCATENATE(VLOOKUP(AL473, '[1]Voxel Sizes'!$A$2:$B$18,2,FALSE()),"x",INT(AH473*15), "x", INT(AI473*15))</f>
        <v>238x40x0</v>
      </c>
      <c r="AL473" s="26" t="n">
        <f aca="false">ROUND(15*((AG473*10)/256),0)</f>
        <v>14</v>
      </c>
      <c r="AN473" s="19" t="str">
        <f aca="false">CONCATENATE(VLOOKUP(AL473,[1]Constants!$A$2:$C$16,IF(AM473&lt;&gt;"", 3, 2), FALSE()),IF(AM473&lt;&gt;"",CONCATENATE(",",VLOOKUP(AM473,$B:$AN,38,FALSE())),""))</f>
        <v>4,6,4</v>
      </c>
      <c r="AP473" s="37"/>
      <c r="AQ473" s="37"/>
      <c r="AR473" s="26" t="s">
        <v>1746</v>
      </c>
      <c r="AT473" s="26" t="s">
        <v>1747</v>
      </c>
      <c r="AU473" s="26" t="s">
        <v>1735</v>
      </c>
      <c r="AX473" s="26" t="n">
        <v>29</v>
      </c>
      <c r="AY473" s="38" t="str">
        <f aca="false">IF(L473&lt;&gt;"",MAX(16,(L473-J473)+8),"")</f>
        <v/>
      </c>
      <c r="AZ473" s="26" t="n">
        <v>-15</v>
      </c>
      <c r="BA473" s="26" t="n">
        <v>-35</v>
      </c>
      <c r="BB473" s="26" t="n">
        <f aca="false">MIN(AB473/150, 1)*30</f>
        <v>25</v>
      </c>
      <c r="BC473" s="26" t="n">
        <f aca="false">MIN(N473/4000, 1)*20</f>
        <v>20</v>
      </c>
      <c r="BD473" s="26" t="n">
        <f aca="false">MIN(Z473/400,1)*20</f>
        <v>20</v>
      </c>
      <c r="BE473" s="35" t="n">
        <f aca="false">1-(MAX(J473-1900, 0)/750)</f>
        <v>0.862666666666667</v>
      </c>
      <c r="BF473" s="26" t="n">
        <f aca="false">((MAX($M473,1)*MIN($AJ473/300,1)))*IF(G473="Wagon",50,10)</f>
        <v>15.3</v>
      </c>
      <c r="BG473" s="19" t="n">
        <f aca="false">VLOOKUP($H473,[1]Constants!$I$1:$K$1048576, 2, FALSE())</f>
        <v>1</v>
      </c>
      <c r="BH473" s="19" t="n">
        <f aca="false">VLOOKUP($H473,[1]Constants!$I$1:$K$1048576, 3, FALSE())*IF(AND(G473="multiple_unit",AB473&lt;110),0.75,1)</f>
        <v>2</v>
      </c>
      <c r="BI473" s="19" t="n">
        <f aca="false">INT(POWER((([1]Constants!$G$2+$BB473+$BC473+$BD473+$BF473)*$BE473)*$BH473, 1.05))+$BA473</f>
        <v>153</v>
      </c>
      <c r="BJ473" s="19" t="n">
        <f aca="false">INT(POWER(((([1]Constants!$G$1+$BB473+$BC473+$BD473+$BF473)*($BE473))*$BG473),IF($G473="wagon",1,1.2)))+$AZ473</f>
        <v>183</v>
      </c>
      <c r="BK473" s="39" t="n">
        <f aca="false">BI473*IF($G473="wagon",62.5,781.25)</f>
        <v>119531.25</v>
      </c>
      <c r="BL473" s="39" t="n">
        <f aca="false">BJ473*IF($G473="wagon",2.73,81.25)</f>
        <v>14868.75</v>
      </c>
      <c r="BR473" s="26" t="s">
        <v>1748</v>
      </c>
      <c r="BU473" s="19" t="s">
        <v>1744</v>
      </c>
      <c r="BV473" s="26" t="n">
        <v>10</v>
      </c>
      <c r="BW473" s="26" t="n">
        <v>205</v>
      </c>
      <c r="BZ473" s="26" t="s">
        <v>148</v>
      </c>
      <c r="CA473" s="19" t="s">
        <v>1717</v>
      </c>
      <c r="CB473" s="40" t="s">
        <v>882</v>
      </c>
      <c r="CC473" s="26" t="str">
        <f aca="false">CONCATENATE(CA473,"_",CB473)</f>
        <v>prv_DMU (Express)</v>
      </c>
      <c r="CD473" s="26" t="str">
        <f aca="false">_xlfn.CONCAT(H473, "_",I473)</f>
        <v>diesel_RAIL</v>
      </c>
      <c r="CE473" s="31" t="str">
        <f aca="false">_xlfn.CONCAT("{BLACK}Length: {GOLD}", TEXT(ROUNDUP(IF(AQ473&lt;&gt;"",SUM(VALUE(_xlfn.TEXTSPLIT(AQ473, ","))), SUM(VALUE(_xlfn.TEXTSPLIT(AN473, ",")))*IF(M473, M473, 1))/16, 1), "#,##0.0"), " tiles{}")</f>
        <v>{BLACK}Length: {GOLD}7.9 tiles{}</v>
      </c>
      <c r="CF473" s="19" t="str">
        <f aca="false">VLOOKUP($CD473, [1]Constants!$M$1:$N$1048576, 2, FALSE())</f>
        <v>{BLACK}Powered by: {GOLD}Diesel</v>
      </c>
      <c r="CG473" s="19" t="str">
        <f aca="false">IF(M473&gt;1,_xlfn.CONCAT("{BLACK}Cars: {GOLD}", M473),"")</f>
        <v>{BLACK}Cars: {GOLD}9</v>
      </c>
      <c r="CH473" s="26" t="s">
        <v>1737</v>
      </c>
      <c r="CJ473" s="19" t="str">
        <f aca="false">IF(BX473="buffet","{YELLOW}25% long distance bonus for consist{}",IF(CA473="BRAKE","{YELLOW}Speed bonus for slow wagons{}",IF(BW473&gt;190,CONCATENATE("{YELLOW}",INT((BW473-185)/1.85),"% bonus for long distance travel{}"),IF(AND(BW473&lt;180,BW473&lt;&gt;0),CONCATENATE("{YELLOW}",INT((185-BW473)/1.85),"% penalty for long distance travel{}"),""))))</f>
        <v>{YELLOW}10% bonus for long distance travel{}</v>
      </c>
      <c r="CK473" s="19" t="str">
        <f aca="false">_xlfn.CONCAT(CF473,IF(CF473 &lt;&gt; "", " ", ""),CG473,IF(OR(CG473&lt;&gt;"", CF473&lt;&gt;""), "{}",""), CE473, CJ473,"{SILVER}", CH473)</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474" s="19" customFormat="true" ht="14.25" hidden="false" customHeight="false" outlineLevel="0" collapsed="false">
      <c r="A474" s="19" t="s">
        <v>1749</v>
      </c>
      <c r="B474" s="20" t="s">
        <v>1750</v>
      </c>
      <c r="C474" s="21" t="n">
        <v>3085</v>
      </c>
      <c r="E474" s="19" t="n">
        <v>490</v>
      </c>
      <c r="F474" s="19" t="s">
        <v>143</v>
      </c>
      <c r="G474" s="19" t="s">
        <v>445</v>
      </c>
      <c r="H474" s="19" t="s">
        <v>757</v>
      </c>
      <c r="I474" s="19" t="s">
        <v>92</v>
      </c>
      <c r="J474" s="19" t="n">
        <v>2014</v>
      </c>
      <c r="N474" s="19" t="n">
        <v>1600</v>
      </c>
      <c r="O474" s="22"/>
      <c r="P474" s="23"/>
      <c r="Q474" s="23"/>
      <c r="R474" s="23"/>
      <c r="S474" s="23"/>
      <c r="T474" s="23"/>
      <c r="U474" s="23"/>
      <c r="V474" s="23"/>
      <c r="W474" s="19" t="n">
        <v>78</v>
      </c>
      <c r="X474" s="22"/>
      <c r="Z474" s="19" t="n">
        <v>186</v>
      </c>
      <c r="AA474" s="24" t="n">
        <f aca="false">IF(AND(W474&gt;0,Z474&gt;0),(Z474/((W474+X474)*10)),"")</f>
        <v>0.238461538461538</v>
      </c>
      <c r="AB474" s="19" t="n">
        <v>90</v>
      </c>
      <c r="AC474" s="19" t="n">
        <f aca="false">ROUND(AB474*1.6, 0)</f>
        <v>144</v>
      </c>
      <c r="AF474" s="19" t="n">
        <v>16.36</v>
      </c>
      <c r="AG474" s="19" t="n">
        <v>16.36</v>
      </c>
      <c r="AJ474" s="25" t="n">
        <v>0</v>
      </c>
      <c r="AK474" s="26" t="str">
        <f aca="false">CONCATENATE(VLOOKUP(AL474, '[1]Voxel Sizes'!$A$2:$B$18,2,FALSE()),"x",INT(AH474*15), "x", INT(AI474*15))</f>
        <v>164x0x0</v>
      </c>
      <c r="AL474" s="19" t="n">
        <f aca="false">ROUND(15*((AG474*10)/256),0)</f>
        <v>10</v>
      </c>
      <c r="AN474" s="19" t="str">
        <f aca="false">CONCATENATE(VLOOKUP(AL474,[1]Constants!$A$2:$C$16,IF(AM474&lt;&gt;"", 3, 2), FALSE()),IF(AM474&lt;&gt;"",CONCATENATE(",",VLOOKUP(AM474,$B:$AN,38,FALSE())),""))</f>
        <v>4,2,4</v>
      </c>
      <c r="AP474" s="27"/>
      <c r="AQ474" s="27"/>
      <c r="AX474" s="19" t="n">
        <v>33</v>
      </c>
      <c r="AY474" s="28" t="str">
        <f aca="false">IF(L474&lt;&gt;"",MAX(16,(L474-J474)+8),"")</f>
        <v/>
      </c>
      <c r="BA474" s="19" t="n">
        <v>-30</v>
      </c>
      <c r="BB474" s="19" t="n">
        <f aca="false">MIN(AB474/150, 1)*30</f>
        <v>18</v>
      </c>
      <c r="BC474" s="19" t="n">
        <f aca="false">MIN(N474/4000, 1)*20</f>
        <v>8</v>
      </c>
      <c r="BD474" s="19" t="n">
        <f aca="false">MIN(Z474/400,1)*20</f>
        <v>9.3</v>
      </c>
      <c r="BE474" s="24" t="n">
        <f aca="false">1-(MAX(J474-1900, 0)/750)</f>
        <v>0.848</v>
      </c>
      <c r="BF474" s="19" t="n">
        <f aca="false">((MAX($M474,1)*MIN($AJ474/300,1)))*IF(G474="Wagon",50,10)</f>
        <v>0</v>
      </c>
      <c r="BG474" s="19" t="n">
        <f aca="false">VLOOKUP($H474,[1]Constants!$I$1:$K$1048576, 2, FALSE())</f>
        <v>0.9</v>
      </c>
      <c r="BH474" s="19" t="n">
        <f aca="false">VLOOKUP($H474,[1]Constants!$I$1:$K$1048576, 3, FALSE())*IF(AND(G474="multiple_unit",AB474&lt;110),0.75,1)</f>
        <v>2.5</v>
      </c>
      <c r="BI474" s="19" t="n">
        <f aca="false">INT(POWER((([1]Constants!$G$2+$BB474+$BC474+$BD474+$BF474)*$BE474)*$BH474, 1.05))+$BA474</f>
        <v>76</v>
      </c>
      <c r="BJ474" s="19" t="n">
        <f aca="false">INT(POWER(((([1]Constants!$G$1+$BB474+$BC474+$BD474+$BF474)*($BE474))*$BG474),IF($G474="wagon",1,1.2)))+$AZ474</f>
        <v>79</v>
      </c>
      <c r="BK474" s="29" t="n">
        <f aca="false">BI474*IF($G474="wagon",62.5,781.25)</f>
        <v>59375</v>
      </c>
      <c r="BL474" s="29" t="n">
        <f aca="false">BJ474*IF($G474="wagon",2.73,81.25)</f>
        <v>6418.75</v>
      </c>
      <c r="BV474" s="19" t="n">
        <v>10</v>
      </c>
      <c r="CA474" s="19" t="str">
        <f aca="false">VLOOKUP(J474,[1]Eras!$A$2:$C$10, 2, TRUE())</f>
        <v>mod</v>
      </c>
      <c r="CB474" s="30" t="s">
        <v>642</v>
      </c>
      <c r="CC474" s="19" t="str">
        <f aca="false">CONCATENATE(CA474,"_",CB474)</f>
        <v>mod_MT (Electric)</v>
      </c>
      <c r="CD474" s="19" t="str">
        <f aca="false">_xlfn.CONCAT(H474, "_",I474)</f>
        <v>dual_power_RAIL</v>
      </c>
      <c r="CE474" s="31" t="str">
        <f aca="false">_xlfn.CONCAT("{BLACK}Length: {GOLD}", TEXT(ROUNDUP(IF(AQ474&lt;&gt;"",SUM(VALUE(_xlfn.TEXTSPLIT(AQ474, ","))), SUM(VALUE(_xlfn.TEXTSPLIT(AN474, ",")))*IF(M474, M474, 1))/16, 1), "#,##0.0"), " tiles{}")</f>
        <v>{BLACK}Length: {GOLD}0.7 tiles{}</v>
      </c>
      <c r="CF474" s="19" t="str">
        <f aca="false">VLOOKUP($CD474, [1]Constants!$M$1:$N$1048576, 2, FALSE())</f>
        <v>{BLACK}Powered by: {GOLD}750V DC / Diesel</v>
      </c>
      <c r="CG474" s="19" t="str">
        <f aca="false">IF(M474&gt;1,_xlfn.CONCAT("{BLACK}Cars: {GOLD}", M474),"")</f>
        <v/>
      </c>
      <c r="CH474" s="19" t="s">
        <v>1751</v>
      </c>
      <c r="CJ474" s="19" t="str">
        <f aca="false">IF(BX474="buffet","{YELLOW}25% long distance bonus for consist{}",IF(CA474="BRAKE","{YELLOW}Speed bonus for slow wagons{}",IF(BW474&gt;190,CONCATENATE("{YELLOW}",INT((BW474-185)/1.85),"% bonus for long distance travel{}"),IF(AND(BW474&lt;180,BW474&lt;&gt;0),CONCATENATE("{YELLOW}",INT((185-BW474)/1.85),"% penalty for long distance travel{}"),""))))</f>
        <v/>
      </c>
      <c r="CK474" s="19" t="str">
        <f aca="false">_xlfn.CONCAT(CF474,IF(CF474 &lt;&gt; "", " ", ""),CG474,IF(OR(CG474&lt;&gt;"", CF474&lt;&gt;""), "{}",""), CE474, CJ474,"{SILVER}", CH474)</f>
        <v>{BLACK}Powered by: {GOLD}750V DC / Diesel {}{BLACK}Length: {GOLD}0.7 tiles{}{SILVER}These re-engined and modernized Class 73s retained their ability to run from the third rail but received diesel engines capable of operating at an equivalent power level.</v>
      </c>
    </row>
    <row r="475" s="19" customFormat="true" ht="14.25" hidden="false" customHeight="false" outlineLevel="0" collapsed="false">
      <c r="A475" s="30" t="s">
        <v>1752</v>
      </c>
      <c r="B475" s="49" t="s">
        <v>1753</v>
      </c>
      <c r="C475" s="21" t="n">
        <v>3087</v>
      </c>
      <c r="E475" s="19" t="n">
        <v>510</v>
      </c>
      <c r="F475" s="19" t="s">
        <v>143</v>
      </c>
      <c r="G475" s="19" t="s">
        <v>827</v>
      </c>
      <c r="H475" s="19" t="s">
        <v>529</v>
      </c>
      <c r="I475" s="19" t="s">
        <v>530</v>
      </c>
      <c r="J475" s="19" t="n">
        <v>2014</v>
      </c>
      <c r="M475" s="19" t="n">
        <v>16</v>
      </c>
      <c r="N475" s="19" t="n">
        <v>21000</v>
      </c>
      <c r="O475" s="22"/>
      <c r="P475" s="23"/>
      <c r="Q475" s="23"/>
      <c r="R475" s="23"/>
      <c r="S475" s="23"/>
      <c r="T475" s="23"/>
      <c r="U475" s="23"/>
      <c r="V475" s="23"/>
      <c r="W475" s="19" t="n">
        <v>171</v>
      </c>
      <c r="X475" s="22"/>
      <c r="Y475" s="19" t="n">
        <v>5</v>
      </c>
      <c r="Z475" s="19" t="n">
        <v>480</v>
      </c>
      <c r="AA475" s="24" t="n">
        <f aca="false">IF(AND(W475&gt;0,Z475&gt;0),(Z475/((W475+X475)*10)),"")</f>
        <v>0.280701754385965</v>
      </c>
      <c r="AB475" s="19" t="n">
        <v>200</v>
      </c>
      <c r="AC475" s="19" t="n">
        <f aca="false">ROUND(AB475*1.6, 0)</f>
        <v>320</v>
      </c>
      <c r="AF475" s="19" t="n">
        <v>25.7</v>
      </c>
      <c r="AG475" s="19" t="n">
        <v>25.7</v>
      </c>
      <c r="AH475" s="19" t="n">
        <v>2.92</v>
      </c>
      <c r="AI475" s="19" t="n">
        <v>4.3</v>
      </c>
      <c r="AJ475" s="25" t="n">
        <v>56</v>
      </c>
      <c r="AK475" s="26" t="str">
        <f aca="false">CONCATENATE(VLOOKUP(AL475, '[1]Voxel Sizes'!$A$2:$B$18,2,FALSE()),"x",INT(AH475*15), "x", INT(AI475*15))</f>
        <v>256x43x64</v>
      </c>
      <c r="AL475" s="19" t="n">
        <f aca="false">ROUND(15*((AG475*10)/256),0)</f>
        <v>15</v>
      </c>
      <c r="AN475" s="19" t="str">
        <f aca="false">CONCATENATE(VLOOKUP(AL475,[1]Constants!$A$2:$C$16,IF(AM475&lt;&gt;"", 3, 2), FALSE()),IF(AM475&lt;&gt;"",CONCATENATE(",",VLOOKUP(AM475,$B:$AN,38,FALSE())),""))</f>
        <v>4,7,4</v>
      </c>
      <c r="AO475" s="19" t="s">
        <v>1754</v>
      </c>
      <c r="AP475" s="27" t="str">
        <f aca="false">E320_16_ULEN</f>
        <v>4,7,4,4,6,4,4,6,4,4,6,4,4,6,4,4,6,4,4,6,4,4,6,4,4,6,4,4,6,4,4,6,4,4,6,4,4,6,4,4,6,4,4,6,4,4,7,4</v>
      </c>
      <c r="AQ475" s="27" t="str">
        <f aca="false">E320_16_VLEN</f>
        <v>15,14,14,14,14,14,14,14,14,14,14,14,14,14,14,15</v>
      </c>
      <c r="AR475" s="19"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475" s="19" t="str">
        <f aca="false">E320_16_NV</f>
        <v>1,1,1,1,0,0,0,1,0,1,1,0,0,0,1,1</v>
      </c>
      <c r="AU475" s="19" t="s">
        <v>1755</v>
      </c>
      <c r="AX475" s="19" t="n">
        <v>35</v>
      </c>
      <c r="AY475" s="28" t="str">
        <f aca="false">IF(L475&lt;&gt;"",MAX(16,(L475-J475)+8),"")</f>
        <v/>
      </c>
      <c r="AZ475" s="19" t="n">
        <v>25</v>
      </c>
      <c r="BA475" s="19" t="n">
        <v>-15</v>
      </c>
      <c r="BB475" s="19" t="n">
        <f aca="false">MIN(AB475/150, 1)*30</f>
        <v>30</v>
      </c>
      <c r="BC475" s="19" t="n">
        <f aca="false">MIN(N475/4000, 1)*20</f>
        <v>20</v>
      </c>
      <c r="BD475" s="19" t="n">
        <f aca="false">MIN(Z475/400,1)*20</f>
        <v>20</v>
      </c>
      <c r="BE475" s="24" t="n">
        <f aca="false">1-(MAX(J475-1900, 0)/750)</f>
        <v>0.848</v>
      </c>
      <c r="BF475" s="19" t="n">
        <f aca="false">((MAX($M475,1)*MIN($AJ475/300,1)))*IF(G475="Wagon",50,10)</f>
        <v>29.8666666666667</v>
      </c>
      <c r="BG475" s="19" t="n">
        <f aca="false">VLOOKUP($H475,[1]Constants!$I$1:$K$1048576, 2, FALSE())</f>
        <v>0.85</v>
      </c>
      <c r="BH475" s="19" t="n">
        <f aca="false">VLOOKUP($H475,[1]Constants!$I$1:$K$1048576, 3, FALSE())*IF(AND(G475="multiple_unit",AB475&lt;110),0.75,1)</f>
        <v>2.3</v>
      </c>
      <c r="BI475" s="19" t="n">
        <f aca="false">INT(POWER((([1]Constants!$G$2+$BB475+$BC475+$BD475+$BF475)*$BE475)*$BH475, 1.05))+$BA475</f>
        <v>251</v>
      </c>
      <c r="BJ475" s="19" t="n">
        <f aca="false">INT(POWER(((([1]Constants!$G$1+$BB475+$BC475+$BD475+$BF475)*($BE475))*$BG475),IF($G475="wagon",1,1.2)))+$AZ475</f>
        <v>225</v>
      </c>
      <c r="BK475" s="29" t="n">
        <f aca="false">BI475*IF($G475="wagon",62.5,781.25)</f>
        <v>196093.75</v>
      </c>
      <c r="BL475" s="29" t="n">
        <f aca="false">BJ475*IF($G475="wagon",2.73,81.25)</f>
        <v>18281.25</v>
      </c>
      <c r="BV475" s="19" t="n">
        <v>6</v>
      </c>
      <c r="BW475" s="19" t="n">
        <v>185</v>
      </c>
      <c r="BX475" s="30" t="s">
        <v>190</v>
      </c>
      <c r="BY475" s="19" t="s">
        <v>147</v>
      </c>
      <c r="BZ475" s="19" t="s">
        <v>148</v>
      </c>
      <c r="CA475" s="19" t="s">
        <v>938</v>
      </c>
      <c r="CB475" s="30" t="s">
        <v>850</v>
      </c>
      <c r="CC475" s="19" t="str">
        <f aca="false">CONCATENATE(CA475,"_",CB475)</f>
        <v>mod_EMU (Express)</v>
      </c>
      <c r="CD475" s="19" t="str">
        <f aca="false">_xlfn.CONCAT(H475, "_",I475)</f>
        <v>electric_ELRL</v>
      </c>
      <c r="CE475" s="31" t="str">
        <f aca="false">_xlfn.CONCAT("{BLACK}Length: {GOLD}", TEXT(ROUNDUP(IF(AQ475&lt;&gt;"",SUM(VALUE(_xlfn.TEXTSPLIT(AQ475, ","))), SUM(VALUE(_xlfn.TEXTSPLIT(AN475, ",")))*IF(M475, M475, 1))/16, 1), "#,##0.0"), " tiles{}")</f>
        <v>{BLACK}Length: {GOLD}14.2 tiles{}</v>
      </c>
      <c r="CF475" s="19" t="str">
        <f aca="false">VLOOKUP($CD475, [1]Constants!$M$1:$N$1048576, 2, FALSE())</f>
        <v>{BLACK}Powered by: {GOLD}25kV AC</v>
      </c>
      <c r="CG475" s="19" t="str">
        <f aca="false">IF(M475&gt;1,_xlfn.CONCAT("{BLACK}Cars: {GOLD}", M475),"")</f>
        <v>{BLACK}Cars: {GOLD}16</v>
      </c>
      <c r="CH475" s="19" t="s">
        <v>1756</v>
      </c>
      <c r="CJ475" s="19" t="str">
        <f aca="false">IF(BX475="buffet","{YELLOW}25% long distance bonus for consist{}",IF(CA475="BRAKE","{YELLOW}Speed bonus for slow wagons{}",IF(BW475&gt;190,CONCATENATE("{YELLOW}",INT((BW475-185)/1.85),"% bonus for long distance travel{}"),IF(AND(BW475&lt;180,BW475&lt;&gt;0),CONCATENATE("{YELLOW}",INT((185-BW475)/1.85),"% penalty for long distance travel{}"),""))))</f>
        <v>{YELLOW}25% long distance bonus for consist{}</v>
      </c>
      <c r="CK475" s="19" t="str">
        <f aca="false">_xlfn.CONCAT(CF475,IF(CF475 &lt;&gt; "", " ", ""),CG475,IF(OR(CG475&lt;&gt;"", CF475&lt;&gt;""), "{}",""), CE475, CJ475,"{SILVER}", CH475)</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476" s="19" customFormat="true" ht="14.25" hidden="false" customHeight="false" outlineLevel="0" collapsed="false">
      <c r="A476" s="30" t="s">
        <v>1752</v>
      </c>
      <c r="B476" s="49" t="s">
        <v>1757</v>
      </c>
      <c r="C476" s="21" t="n">
        <v>3088</v>
      </c>
      <c r="D476" s="19" t="n">
        <v>3087</v>
      </c>
      <c r="E476" s="19" t="n">
        <v>510</v>
      </c>
      <c r="F476" s="19" t="s">
        <v>143</v>
      </c>
      <c r="G476" s="19" t="s">
        <v>827</v>
      </c>
      <c r="H476" s="19" t="s">
        <v>529</v>
      </c>
      <c r="I476" s="19" t="s">
        <v>530</v>
      </c>
      <c r="J476" s="19" t="n">
        <v>2014</v>
      </c>
      <c r="M476" s="19" t="n">
        <v>12</v>
      </c>
      <c r="N476" s="19" t="n">
        <v>15750</v>
      </c>
      <c r="O476" s="22"/>
      <c r="P476" s="23"/>
      <c r="Q476" s="23"/>
      <c r="R476" s="23"/>
      <c r="S476" s="23"/>
      <c r="T476" s="23"/>
      <c r="U476" s="23"/>
      <c r="V476" s="23"/>
      <c r="W476" s="19" t="n">
        <v>170</v>
      </c>
      <c r="X476" s="22"/>
      <c r="Y476" s="19" t="n">
        <v>5</v>
      </c>
      <c r="Z476" s="19" t="n">
        <v>360</v>
      </c>
      <c r="AA476" s="24" t="n">
        <f aca="false">IF(AND(W476&gt;0,Z476&gt;0),(Z476/((W476+X476)*10)),"")</f>
        <v>0.211764705882353</v>
      </c>
      <c r="AB476" s="19" t="n">
        <v>200</v>
      </c>
      <c r="AC476" s="19" t="n">
        <f aca="false">ROUND(AB476*1.6, 0)</f>
        <v>320</v>
      </c>
      <c r="AF476" s="19" t="n">
        <v>25.7</v>
      </c>
      <c r="AG476" s="19" t="n">
        <v>25.7</v>
      </c>
      <c r="AH476" s="19" t="n">
        <v>2.92</v>
      </c>
      <c r="AI476" s="19" t="n">
        <v>4.3</v>
      </c>
      <c r="AJ476" s="25" t="n">
        <v>53</v>
      </c>
      <c r="AK476" s="26" t="str">
        <f aca="false">CONCATENATE(VLOOKUP(AL476, '[1]Voxel Sizes'!$A$2:$B$18,2,FALSE()),"x",INT(AH476*15), "x", INT(AI476*15))</f>
        <v>256x43x64</v>
      </c>
      <c r="AL476" s="19" t="n">
        <f aca="false">ROUND(15*((AG476*10)/256),0)</f>
        <v>15</v>
      </c>
      <c r="AN476" s="19" t="str">
        <f aca="false">CONCATENATE(VLOOKUP(AL476,[1]Constants!$A$2:$C$16,IF(AM476&lt;&gt;"", 3, 2), FALSE()),IF(AM476&lt;&gt;"",CONCATENATE(",",VLOOKUP(AM476,$B:$AN,38,FALSE())),""))</f>
        <v>4,7,4</v>
      </c>
      <c r="AO476" s="19" t="s">
        <v>1758</v>
      </c>
      <c r="AP476" s="27" t="str">
        <f aca="false">E320_12_ULEN</f>
        <v>4,7,4,4,6,4,4,6,4,4,6,4,4,6,4,4,6,4,4,6,4,4,6,4,4,6,4,4,6,4,4,6,4,4,7,4</v>
      </c>
      <c r="AQ476" s="27" t="str">
        <f aca="false">E320_12_VLEN</f>
        <v>15,14,14,14,14,14,14,14,14,14,14,15</v>
      </c>
      <c r="AR476" s="19" t="str">
        <f aca="false">E320_12_VEH</f>
        <v>eurostar_e320_front,eurostar_e320_p,eurostar_e320_pd,eurostar_e320_m,eurostar_e320_pd,eurostar_e320_mc,eurostar_e320_mc,eurostar_e320_pdr,eurostar_e320_mr,eurostar_e320_pdr,eurostar_e320_pr,eurostar_e320_rear</v>
      </c>
      <c r="AT476" s="19" t="str">
        <f aca="false">E320_12_NV</f>
        <v>0,0,0,0,0,0,0,0,0,0,0,0</v>
      </c>
      <c r="AU476" s="19" t="s">
        <v>1755</v>
      </c>
      <c r="AX476" s="19" t="n">
        <v>35</v>
      </c>
      <c r="AY476" s="28" t="str">
        <f aca="false">IF(L476&lt;&gt;"",MAX(16,(L476-J476)+8),"")</f>
        <v/>
      </c>
      <c r="AZ476" s="19" t="n">
        <v>-10</v>
      </c>
      <c r="BA476" s="19" t="n">
        <v>-30</v>
      </c>
      <c r="BB476" s="19" t="n">
        <f aca="false">MIN(AB476/150, 1)*30</f>
        <v>30</v>
      </c>
      <c r="BC476" s="19" t="n">
        <f aca="false">MIN(N476/4000, 1)*20</f>
        <v>20</v>
      </c>
      <c r="BD476" s="19" t="n">
        <f aca="false">MIN(Z476/400,1)*20</f>
        <v>18</v>
      </c>
      <c r="BE476" s="24" t="n">
        <f aca="false">1-(MAX(J476-1900, 0)/750)</f>
        <v>0.848</v>
      </c>
      <c r="BF476" s="19" t="n">
        <f aca="false">((MAX($M476,1)*MIN($AJ476/300,1)))*IF(G476="Wagon",50,10)</f>
        <v>21.2</v>
      </c>
      <c r="BG476" s="19" t="n">
        <f aca="false">VLOOKUP($H476,[1]Constants!$I$1:$K$1048576, 2, FALSE())</f>
        <v>0.85</v>
      </c>
      <c r="BH476" s="19" t="n">
        <f aca="false">VLOOKUP($H476,[1]Constants!$I$1:$K$1048576, 3, FALSE())*IF(AND(G476="multiple_unit",AB476&lt;110),0.75,1)</f>
        <v>2.3</v>
      </c>
      <c r="BI476" s="19" t="n">
        <f aca="false">INT(POWER((([1]Constants!$G$2+$BB476+$BC476+$BD476+$BF476)*$BE476)*$BH476, 1.05))+$BA476</f>
        <v>208</v>
      </c>
      <c r="BJ476" s="19" t="n">
        <f aca="false">INT(POWER(((([1]Constants!$G$1+$BB476+$BC476+$BD476+$BF476)*($BE476))*$BG476),IF($G476="wagon",1,1.2)))+$AZ476</f>
        <v>168</v>
      </c>
      <c r="BK476" s="29" t="n">
        <f aca="false">BI476*IF($G476="wagon",62.5,781.25)</f>
        <v>162500</v>
      </c>
      <c r="BL476" s="29" t="n">
        <f aca="false">BJ476*IF($G476="wagon",2.73,81.25)</f>
        <v>13650</v>
      </c>
      <c r="BV476" s="19" t="n">
        <v>6</v>
      </c>
      <c r="BW476" s="19" t="n">
        <v>185</v>
      </c>
      <c r="BX476" s="30"/>
      <c r="BY476" s="19" t="s">
        <v>147</v>
      </c>
      <c r="BZ476" s="19" t="s">
        <v>148</v>
      </c>
      <c r="CA476" s="19" t="s">
        <v>938</v>
      </c>
      <c r="CB476" s="30" t="s">
        <v>850</v>
      </c>
      <c r="CC476" s="19" t="str">
        <f aca="false">CONCATENATE(CA476,"_",CB476)</f>
        <v>mod_EMU (Express)</v>
      </c>
      <c r="CD476" s="19" t="str">
        <f aca="false">_xlfn.CONCAT(H476, "_",I476)</f>
        <v>electric_ELRL</v>
      </c>
      <c r="CE476" s="31" t="str">
        <f aca="false">_xlfn.CONCAT("{BLACK}Length: {GOLD}", TEXT(ROUNDUP(IF(AQ476&lt;&gt;"",SUM(VALUE(_xlfn.TEXTSPLIT(AQ476, ","))), SUM(VALUE(_xlfn.TEXTSPLIT(AN476, ",")))*IF(M476, M476, 1))/16, 1), "#,##0.0"), " tiles{}")</f>
        <v>{BLACK}Length: {GOLD}10.7 tiles{}</v>
      </c>
      <c r="CF476" s="19" t="str">
        <f aca="false">VLOOKUP($CD476, [1]Constants!$M$1:$N$1048576, 2, FALSE())</f>
        <v>{BLACK}Powered by: {GOLD}25kV AC</v>
      </c>
      <c r="CG476" s="19" t="str">
        <f aca="false">IF(M476&gt;1,_xlfn.CONCAT("{BLACK}Cars: {GOLD}", M476),"")</f>
        <v>{BLACK}Cars: {GOLD}12</v>
      </c>
      <c r="CH476" s="19" t="s">
        <v>1759</v>
      </c>
      <c r="CJ476" s="19" t="str">
        <f aca="false">IF(BX476="buffet","{YELLOW}25% long distance bonus for consist{}",IF(CA476="BRAKE","{YELLOW}Speed bonus for slow wagons{}",IF(BW476&gt;190,CONCATENATE("{YELLOW}",INT((BW476-185)/1.85),"% bonus for long distance travel{}"),IF(AND(BW476&lt;180,BW476&lt;&gt;0),CONCATENATE("{YELLOW}",INT((185-BW476)/1.85),"% penalty for long distance travel{}"),""))))</f>
        <v/>
      </c>
      <c r="CK476" s="19" t="str">
        <f aca="false">_xlfn.CONCAT(CF476,IF(CF476 &lt;&gt; "", " ", ""),CG476,IF(OR(CG476&lt;&gt;"", CF476&lt;&gt;""), "{}",""), CE476, CJ476,"{SILVER}", CH476)</f>
        <v>{BLACK}Powered by: {GOLD}25kV AC {BLACK}Cars: {GOLD}12{}{BLACK}Length: {GOLD}10.7 tiles{}{SILVER}A fictional shorter Class 374 variant…</v>
      </c>
    </row>
    <row r="477" s="26" customFormat="true" ht="14.25" hidden="false" customHeight="false" outlineLevel="0" collapsed="false">
      <c r="A477" s="40" t="s">
        <v>1760</v>
      </c>
      <c r="B477" s="57" t="s">
        <v>1761</v>
      </c>
      <c r="C477" s="21" t="n">
        <v>3089</v>
      </c>
      <c r="E477" s="26" t="n">
        <v>511</v>
      </c>
      <c r="F477" s="26" t="s">
        <v>143</v>
      </c>
      <c r="G477" s="26" t="s">
        <v>827</v>
      </c>
      <c r="H477" s="26" t="s">
        <v>757</v>
      </c>
      <c r="I477" s="26" t="s">
        <v>530</v>
      </c>
      <c r="J477" s="26" t="n">
        <v>2017</v>
      </c>
      <c r="M477" s="26" t="n">
        <v>5</v>
      </c>
      <c r="N477" s="26" t="n">
        <v>3200</v>
      </c>
      <c r="O477" s="33" t="n">
        <v>2250</v>
      </c>
      <c r="P477" s="34"/>
      <c r="Q477" s="34"/>
      <c r="R477" s="34"/>
      <c r="S477" s="34"/>
      <c r="T477" s="34"/>
      <c r="U477" s="34"/>
      <c r="V477" s="34"/>
      <c r="W477" s="40" t="n">
        <v>243</v>
      </c>
      <c r="X477" s="33"/>
      <c r="Y477" s="40" t="n">
        <v>5</v>
      </c>
      <c r="Z477" s="40" t="n">
        <v>195</v>
      </c>
      <c r="AA477" s="35" t="n">
        <f aca="false">IF(AND(W477&gt;0,Z477&gt;0),(Z477/((W477+X477)*10)),"")</f>
        <v>0.0802469135802469</v>
      </c>
      <c r="AB477" s="40" t="n">
        <v>140</v>
      </c>
      <c r="AC477" s="40" t="n">
        <f aca="false">ROUND(AB477*1.6, 0)</f>
        <v>224</v>
      </c>
      <c r="AD477" s="40"/>
      <c r="AE477" s="40"/>
      <c r="AF477" s="40" t="n">
        <v>26</v>
      </c>
      <c r="AG477" s="40" t="n">
        <v>24</v>
      </c>
      <c r="AH477" s="40"/>
      <c r="AI477" s="40"/>
      <c r="AJ477" s="36" t="n">
        <v>66</v>
      </c>
      <c r="AK477" s="40" t="str">
        <f aca="false">CONCATENATE(VLOOKUP(AL477, '[2]Voxel Sizes'!$A$2:$B$18,2,FALSE()),"x",INT(AH477*15), "x", INT(AI477*15))</f>
        <v>238x0x0</v>
      </c>
      <c r="AL477" s="40" t="n">
        <f aca="false">ROUND(15*((AG477*10)/256),0)</f>
        <v>14</v>
      </c>
      <c r="AM477" s="40"/>
      <c r="AN477" s="40" t="str">
        <f aca="false">CONCATENATE(VLOOKUP(AL477,[2]Constants!$A$2:$C$16,IF(AM477&lt;&gt;"", 3, 2), FALSE()),IF(AM477&lt;&gt;"",CONCATENATE(",",VLOOKUP(AM477,$B:$AN,39,FALSE())),""))</f>
        <v>4,6,4</v>
      </c>
      <c r="AO477" s="40" t="n">
        <v>12</v>
      </c>
      <c r="AP477" s="37"/>
      <c r="AQ477" s="37"/>
      <c r="AR477" s="26" t="s">
        <v>1762</v>
      </c>
      <c r="AS477" s="26" t="s">
        <v>1763</v>
      </c>
      <c r="AT477" s="26" t="s">
        <v>943</v>
      </c>
      <c r="AX477" s="26" t="n">
        <v>30</v>
      </c>
      <c r="AY477" s="38" t="str">
        <f aca="false">IF(L477&lt;&gt;"",MAX(16,(L477-J477)+8),"")</f>
        <v/>
      </c>
      <c r="AZ477" s="40" t="n">
        <v>-15</v>
      </c>
      <c r="BA477" s="40" t="n">
        <v>-30</v>
      </c>
      <c r="BB477" s="40" t="n">
        <f aca="false">MIN(AB477/150, 1)*30</f>
        <v>28</v>
      </c>
      <c r="BC477" s="40" t="n">
        <f aca="false">MIN(N477/4000, 1)*20</f>
        <v>16</v>
      </c>
      <c r="BD477" s="40" t="n">
        <f aca="false">MIN(Z477/400,1)*20</f>
        <v>9.75</v>
      </c>
      <c r="BE477" s="35" t="n">
        <f aca="false">1-(MAX(J477-1900, 0)/750)</f>
        <v>0.844</v>
      </c>
      <c r="BF477" s="40" t="n">
        <f aca="false">((MAX($M477,1)*MIN($AJ477/300,1)))*IF(G477="Wagon",50,10)</f>
        <v>11</v>
      </c>
      <c r="BG477" s="19" t="n">
        <f aca="false">VLOOKUP($H477,[1]Constants!$I$1:$K$1048576, 2, FALSE())</f>
        <v>0.9</v>
      </c>
      <c r="BH477" s="19" t="n">
        <f aca="false">VLOOKUP($H477,[1]Constants!$I$1:$K$1048576, 3, FALSE())*IF(AND(G477="multiple_unit",AB477&lt;110),0.75,1)</f>
        <v>2.5</v>
      </c>
      <c r="BI477" s="40" t="n">
        <f aca="false">INT(POWER((([2]Constants!$G$2+$BB477+$BC477+$BD477+$BF477)*$BE477)*$BH477, 1.05))+$BA477</f>
        <v>158</v>
      </c>
      <c r="BJ477" s="40" t="n">
        <f aca="false">INT(POWER(((([2]Constants!$G$1+$BB477+$BC477+$BD477+$BF477)*($BE477))*$BG477),IF($G477="wagon",1,1.2)))+$AZ477</f>
        <v>122</v>
      </c>
      <c r="BK477" s="39" t="n">
        <f aca="false">BI477*IF($G477="wagon",62.5,781.25)</f>
        <v>123437.5</v>
      </c>
      <c r="BL477" s="39" t="n">
        <f aca="false">BJ477*IF($G477="wagon",2.73,81.25)</f>
        <v>9912.5</v>
      </c>
      <c r="BM477" s="40"/>
      <c r="BN477" s="40"/>
      <c r="BO477" s="40"/>
      <c r="BP477" s="40"/>
      <c r="BQ477" s="40"/>
      <c r="BR477" s="26" t="str">
        <f aca="false">_xlfn.ORG.LIBREOFFICE.REGEX(_xlfn.ORG.LIBREOFFICE.REGEX(IETMUVEHICLES, _xlfn.CONCAT(B477, ",?"), ""), ",$", "")</f>
        <v>class_800_9,class_801_5,class_801_9,class_802_5,class_802_9</v>
      </c>
      <c r="BS477" s="40"/>
      <c r="BT477" s="40"/>
      <c r="BU477" s="40"/>
      <c r="BV477" s="40" t="n">
        <v>10</v>
      </c>
      <c r="BW477" s="40" t="n">
        <v>222</v>
      </c>
      <c r="BX477" s="40"/>
      <c r="BY477" s="40"/>
      <c r="BZ477" s="40" t="s">
        <v>148</v>
      </c>
      <c r="CA477" s="40" t="str">
        <f aca="false">VLOOKUP(J477,[2]Eras!$A$2:$C$10, 2, TRUE())</f>
        <v>mod</v>
      </c>
      <c r="CB477" s="40" t="s">
        <v>850</v>
      </c>
      <c r="CC477" s="26" t="str">
        <f aca="false">CONCATENATE(CA477,"_",CB477)</f>
        <v>mod_EMU (Express)</v>
      </c>
      <c r="CD477" s="26" t="str">
        <f aca="false">_xlfn.CONCAT(H477, "_",I477)</f>
        <v>dual_power_ELRL</v>
      </c>
      <c r="CE477" s="41" t="str">
        <f aca="false">_xlfn.CONCAT("{BLACK}Length: {GOLD}", TEXT(ROUNDUP(IF(AQ477&lt;&gt;"",SUM(VALUE(_xlfn.TEXTSPLIT(AQ477, ","))), SUM(VALUE(_xlfn.TEXTSPLIT(AN477, ",")))*IF(M477, M477, 1))/16, 1), "#,##0.0"), " tiles{}")</f>
        <v>{BLACK}Length: {GOLD}4.4 tiles{}</v>
      </c>
      <c r="CF477" s="19" t="str">
        <f aca="false">VLOOKUP($CD477, [1]Constants!$M$1:$N$1048576, 2, FALSE())</f>
        <v>{BLACK}Powered by: {GOLD}25kV AC / Diesel</v>
      </c>
      <c r="CG477" s="26" t="str">
        <f aca="false">IF(M477&gt;1,_xlfn.CONCAT("{BLACK}Cars: {GOLD}", M477),"")</f>
        <v>{BLACK}Cars: {GOLD}5</v>
      </c>
      <c r="CH477" s="26" t="s">
        <v>1764</v>
      </c>
      <c r="CJ477" s="19" t="str">
        <f aca="false">IF(BX477="buffet","{YELLOW}25% long distance bonus for consist{}",IF(CA477="BRAKE","{YELLOW}Speed bonus for slow wagons{}",IF(BW477&gt;190,CONCATENATE("{YELLOW}",INT((BW477-185)/1.85),"% bonus for long distance travel{}"),IF(AND(BW477&lt;180,BW477&lt;&gt;0),CONCATENATE("{YELLOW}",INT((185-BW477)/1.85),"% penalty for long distance travel{}"),""))))</f>
        <v>{YELLOW}20% bonus for long distance travel{}</v>
      </c>
      <c r="CK477" s="19" t="str">
        <f aca="false">_xlfn.CONCAT(CF477,IF(CF477 &lt;&gt; "", " ", ""),CG477,IF(OR(CG477&lt;&gt;"", CF477&lt;&gt;""), "{}",""), CE477, CJ477,"{SILVER}", CH477)</f>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478" s="26" customFormat="true" ht="14.25" hidden="false" customHeight="false" outlineLevel="0" collapsed="false">
      <c r="A478" s="40" t="s">
        <v>1765</v>
      </c>
      <c r="B478" s="57" t="s">
        <v>1766</v>
      </c>
      <c r="C478" s="21" t="n">
        <v>3090</v>
      </c>
      <c r="D478" s="26" t="n">
        <v>3089</v>
      </c>
      <c r="E478" s="26" t="n">
        <v>512</v>
      </c>
      <c r="F478" s="26" t="s">
        <v>143</v>
      </c>
      <c r="G478" s="26" t="s">
        <v>827</v>
      </c>
      <c r="H478" s="26" t="s">
        <v>757</v>
      </c>
      <c r="I478" s="26" t="s">
        <v>530</v>
      </c>
      <c r="J478" s="26" t="n">
        <v>2017</v>
      </c>
      <c r="M478" s="26" t="n">
        <v>9</v>
      </c>
      <c r="N478" s="26" t="n">
        <v>5400</v>
      </c>
      <c r="O478" s="33" t="n">
        <v>3750</v>
      </c>
      <c r="P478" s="34"/>
      <c r="Q478" s="34"/>
      <c r="R478" s="34"/>
      <c r="S478" s="34"/>
      <c r="T478" s="34"/>
      <c r="U478" s="34"/>
      <c r="V478" s="34"/>
      <c r="W478" s="40" t="n">
        <v>438</v>
      </c>
      <c r="X478" s="33"/>
      <c r="Y478" s="40" t="n">
        <v>5</v>
      </c>
      <c r="Z478" s="40" t="n">
        <v>195</v>
      </c>
      <c r="AA478" s="35" t="n">
        <f aca="false">IF(AND(W478&gt;0,Z478&gt;0),(Z478/((W478+X478)*10)),"")</f>
        <v>0.0445205479452055</v>
      </c>
      <c r="AB478" s="40" t="n">
        <v>140</v>
      </c>
      <c r="AC478" s="40" t="n">
        <f aca="false">ROUND(AB478*1.6, 0)</f>
        <v>224</v>
      </c>
      <c r="AD478" s="40"/>
      <c r="AE478" s="40"/>
      <c r="AF478" s="40" t="n">
        <v>26</v>
      </c>
      <c r="AG478" s="40" t="n">
        <v>24</v>
      </c>
      <c r="AH478" s="40"/>
      <c r="AI478" s="40"/>
      <c r="AJ478" s="36" t="n">
        <v>66</v>
      </c>
      <c r="AK478" s="40" t="str">
        <f aca="false">CONCATENATE(VLOOKUP(AL478, '[2]Voxel Sizes'!$A$2:$B$18,2,FALSE()),"x",INT(AH478*15), "x", INT(AI478*15))</f>
        <v>238x0x0</v>
      </c>
      <c r="AL478" s="40" t="n">
        <f aca="false">ROUND(15*((AG478*10)/256),0)</f>
        <v>14</v>
      </c>
      <c r="AM478" s="40"/>
      <c r="AN478" s="40" t="str">
        <f aca="false">CONCATENATE(VLOOKUP(AL478,[2]Constants!$A$2:$C$16,IF(AM478&lt;&gt;"", 3, 2), FALSE()),IF(AM478&lt;&gt;"",CONCATENATE(",",VLOOKUP(AM478,$B:$AN,39,FALSE())),""))</f>
        <v>4,6,4</v>
      </c>
      <c r="AO478" s="40" t="n">
        <v>24</v>
      </c>
      <c r="AP478" s="37"/>
      <c r="AQ478" s="37"/>
      <c r="AR478" s="26" t="s">
        <v>1767</v>
      </c>
      <c r="AS478" s="26" t="s">
        <v>1763</v>
      </c>
      <c r="AT478" s="26" t="s">
        <v>1747</v>
      </c>
      <c r="AU478" s="26" t="s">
        <v>1761</v>
      </c>
      <c r="AX478" s="26" t="n">
        <v>30</v>
      </c>
      <c r="AY478" s="38" t="str">
        <f aca="false">IF(L478&lt;&gt;"",MAX(16,(L478-J478)+8),"")</f>
        <v/>
      </c>
      <c r="AZ478" s="40" t="n">
        <v>-15</v>
      </c>
      <c r="BA478" s="40" t="n">
        <v>-30</v>
      </c>
      <c r="BB478" s="40" t="n">
        <f aca="false">MIN(AB478/150, 1)*30</f>
        <v>28</v>
      </c>
      <c r="BC478" s="40" t="n">
        <f aca="false">MIN(N478/4000, 1)*20</f>
        <v>20</v>
      </c>
      <c r="BD478" s="40" t="n">
        <f aca="false">MIN(Z478/400,1)*20</f>
        <v>9.75</v>
      </c>
      <c r="BE478" s="35" t="n">
        <f aca="false">1-(MAX(J478-1900, 0)/750)</f>
        <v>0.844</v>
      </c>
      <c r="BF478" s="40" t="n">
        <f aca="false">((MAX($M478,1)*MIN($AJ478/300,1)))*IF(G478="Wagon",50,10)</f>
        <v>19.8</v>
      </c>
      <c r="BG478" s="19" t="n">
        <f aca="false">VLOOKUP($H478,[1]Constants!$I$1:$K$1048576, 2, FALSE())</f>
        <v>0.9</v>
      </c>
      <c r="BH478" s="19" t="n">
        <f aca="false">VLOOKUP($H478,[1]Constants!$I$1:$K$1048576, 3, FALSE())*IF(AND(G478="multiple_unit",AB478&lt;110),0.75,1)</f>
        <v>2.5</v>
      </c>
      <c r="BI478" s="40" t="n">
        <f aca="false">INT(POWER((([2]Constants!$G$2+$BB478+$BC478+$BD478+$BF478)*$BE478)*$BH478, 1.05))+$BA478</f>
        <v>195</v>
      </c>
      <c r="BJ478" s="40" t="n">
        <f aca="false">INT(POWER(((([2]Constants!$G$1+$BB478+$BC478+$BD478+$BF478)*($BE478))*$BG478),IF($G478="wagon",1,1.2)))+$AZ478</f>
        <v>149</v>
      </c>
      <c r="BK478" s="39" t="n">
        <f aca="false">BI478*IF($G478="wagon",62.5,781.25)</f>
        <v>152343.75</v>
      </c>
      <c r="BL478" s="39" t="n">
        <f aca="false">BJ478*IF($G478="wagon",2.73,81.25)</f>
        <v>12106.25</v>
      </c>
      <c r="BM478" s="40"/>
      <c r="BN478" s="40"/>
      <c r="BO478" s="40"/>
      <c r="BP478" s="40"/>
      <c r="BQ478" s="40"/>
      <c r="BR478" s="26" t="str">
        <f aca="false">_xlfn.ORG.LIBREOFFICE.REGEX(_xlfn.ORG.LIBREOFFICE.REGEX(IETMUVEHICLES, _xlfn.CONCAT(B478, ",?"), ""), ",$", "")</f>
        <v>class_800_azuma,class_801_5,class_801_9,class_802_5,class_802_9</v>
      </c>
      <c r="BS478" s="40"/>
      <c r="BT478" s="40"/>
      <c r="BU478" s="40"/>
      <c r="BV478" s="40" t="n">
        <v>10</v>
      </c>
      <c r="BW478" s="40" t="n">
        <v>222</v>
      </c>
      <c r="BX478" s="40"/>
      <c r="BY478" s="40"/>
      <c r="BZ478" s="40" t="s">
        <v>148</v>
      </c>
      <c r="CA478" s="40" t="str">
        <f aca="false">VLOOKUP(J478,[2]Eras!$A$2:$C$10, 2, TRUE())</f>
        <v>mod</v>
      </c>
      <c r="CB478" s="40" t="s">
        <v>850</v>
      </c>
      <c r="CC478" s="26" t="str">
        <f aca="false">CONCATENATE(CA478,"_",CB478)</f>
        <v>mod_EMU (Express)</v>
      </c>
      <c r="CD478" s="26" t="str">
        <f aca="false">_xlfn.CONCAT(H478, "_",I478)</f>
        <v>dual_power_ELRL</v>
      </c>
      <c r="CE478" s="41" t="str">
        <f aca="false" t="array" ref="CE478:CE478">_xlfn.CONCAT("{BLACK}Length: {GOLD}", TEXT(ROUNDUP(IF(AQ478&lt;&gt;"",SUM(VALUE(_xlfn.TEXTSPLIT(AQ478, ","))), SUM(VALUE(_xlfn.TEXTSPLIT(AN478, ",")))*IF(M478, M478, 1))/16, 1), "#,##0.0"), " tiles{}")</f>
        <v>{BLACK}Length: {GOLD}7.9 tiles{}</v>
      </c>
      <c r="CF478" s="19" t="str">
        <f aca="false">VLOOKUP($CD478, [1]Constants!$M$1:$N$1048576, 2, FALSE())</f>
        <v>{BLACK}Powered by: {GOLD}25kV AC / Diesel</v>
      </c>
      <c r="CG478" s="26" t="str">
        <f aca="false">IF(M478&gt;1,_xlfn.CONCAT("{BLACK}Cars: {GOLD}", M478),"")</f>
        <v>{BLACK}Cars: {GOLD}9</v>
      </c>
      <c r="CH478" s="26" t="s">
        <v>1764</v>
      </c>
      <c r="CJ478" s="19" t="str">
        <f aca="false">IF(BX478="buffet","{YELLOW}25% long distance bonus for consist{}",IF(CA478="BRAKE","{YELLOW}Speed bonus for slow wagons{}",IF(BW478&gt;190,CONCATENATE("{YELLOW}",INT((BW478-185)/1.85),"% bonus for long distance travel{}"),IF(AND(BW478&lt;180,BW478&lt;&gt;0),CONCATENATE("{YELLOW}",INT((185-BW478)/1.85),"% penalty for long distance travel{}"),""))))</f>
        <v>{YELLOW}20% bonus for long distance travel{}</v>
      </c>
      <c r="CK478" s="19" t="str">
        <f aca="false">_xlfn.CONCAT(CF478,IF(CF478 &lt;&gt; "", " ", ""),CG478,IF(OR(CG478&lt;&gt;"", CF478&lt;&gt;""), "{}",""), CE478, CJ478,"{SILVER}", CH478)</f>
        <v>{BLACK}Powered by: {GOLD}25kV AC / Diesel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479" s="26" customFormat="true" ht="14.25" hidden="false" customHeight="false" outlineLevel="0" collapsed="false">
      <c r="A479" s="40" t="s">
        <v>1768</v>
      </c>
      <c r="B479" s="57" t="s">
        <v>1769</v>
      </c>
      <c r="C479" s="21" t="n">
        <v>3091</v>
      </c>
      <c r="D479" s="26" t="n">
        <v>3089</v>
      </c>
      <c r="E479" s="26" t="n">
        <v>513</v>
      </c>
      <c r="F479" s="26" t="s">
        <v>143</v>
      </c>
      <c r="G479" s="26" t="s">
        <v>827</v>
      </c>
      <c r="H479" s="30" t="s">
        <v>529</v>
      </c>
      <c r="I479" s="40" t="s">
        <v>530</v>
      </c>
      <c r="J479" s="40" t="n">
        <v>2017</v>
      </c>
      <c r="K479" s="40"/>
      <c r="L479" s="40"/>
      <c r="M479" s="40" t="n">
        <v>5</v>
      </c>
      <c r="N479" s="40" t="n">
        <v>3200</v>
      </c>
      <c r="O479" s="33"/>
      <c r="P479" s="34"/>
      <c r="Q479" s="34"/>
      <c r="R479" s="34"/>
      <c r="S479" s="34"/>
      <c r="T479" s="34"/>
      <c r="U479" s="34"/>
      <c r="V479" s="34"/>
      <c r="W479" s="40" t="n">
        <v>233</v>
      </c>
      <c r="X479" s="33"/>
      <c r="Y479" s="40" t="n">
        <v>5</v>
      </c>
      <c r="Z479" s="40" t="n">
        <v>195</v>
      </c>
      <c r="AA479" s="35" t="n">
        <f aca="false">IF(AND(W479&gt;0,Z479&gt;0),(Z479/((W479+X479)*10)),"")</f>
        <v>0.0836909871244635</v>
      </c>
      <c r="AB479" s="40" t="n">
        <v>140</v>
      </c>
      <c r="AC479" s="40" t="n">
        <f aca="false">ROUND(AB479*1.6, 0)</f>
        <v>224</v>
      </c>
      <c r="AD479" s="40"/>
      <c r="AE479" s="40"/>
      <c r="AF479" s="40" t="n">
        <v>26</v>
      </c>
      <c r="AG479" s="40" t="n">
        <v>24</v>
      </c>
      <c r="AH479" s="40"/>
      <c r="AI479" s="40"/>
      <c r="AJ479" s="36" t="n">
        <v>66</v>
      </c>
      <c r="AK479" s="40" t="str">
        <f aca="false">CONCATENATE(VLOOKUP(AL479, '[2]Voxel Sizes'!$A$2:$B$18,2,FALSE()),"x",INT(AH479*15), "x", INT(AI479*15))</f>
        <v>238x0x0</v>
      </c>
      <c r="AL479" s="40" t="n">
        <f aca="false">ROUND(15*((AG479*10)/256),0)</f>
        <v>14</v>
      </c>
      <c r="AM479" s="40"/>
      <c r="AN479" s="40" t="str">
        <f aca="false">CONCATENATE(VLOOKUP(AL479,[2]Constants!$A$2:$C$16,IF(AM479&lt;&gt;"", 3, 2), FALSE()),IF(AM479&lt;&gt;"",CONCATENATE(",",VLOOKUP(AM479,$B:$AN,39,FALSE())),""))</f>
        <v>4,6,4</v>
      </c>
      <c r="AO479" s="40" t="n">
        <v>12</v>
      </c>
      <c r="AP479" s="37"/>
      <c r="AQ479" s="37"/>
      <c r="AR479" s="26" t="s">
        <v>1762</v>
      </c>
      <c r="AS479" s="26" t="s">
        <v>1763</v>
      </c>
      <c r="AT479" s="26" t="s">
        <v>931</v>
      </c>
      <c r="AU479" s="26" t="s">
        <v>1761</v>
      </c>
      <c r="AX479" s="26" t="n">
        <v>30</v>
      </c>
      <c r="AY479" s="38" t="str">
        <f aca="false">IF(L479&lt;&gt;"",MAX(16,(L479-J479)+8),"")</f>
        <v/>
      </c>
      <c r="AZ479" s="40" t="n">
        <v>-15</v>
      </c>
      <c r="BA479" s="40" t="n">
        <v>-30</v>
      </c>
      <c r="BB479" s="40" t="n">
        <f aca="false">MIN(AB479/150, 1)*30</f>
        <v>28</v>
      </c>
      <c r="BC479" s="40" t="n">
        <f aca="false">MIN(N479/4000, 1)*20</f>
        <v>16</v>
      </c>
      <c r="BD479" s="40" t="n">
        <f aca="false">MIN(Z479/400,1)*20</f>
        <v>9.75</v>
      </c>
      <c r="BE479" s="35" t="n">
        <f aca="false">1-(MAX(J479-1900, 0)/750)</f>
        <v>0.844</v>
      </c>
      <c r="BF479" s="40" t="n">
        <f aca="false">((MAX($M479,1)*MIN($AJ479/300,1)))*IF(G479="Wagon",50,10)</f>
        <v>11</v>
      </c>
      <c r="BG479" s="19" t="n">
        <f aca="false">VLOOKUP($H479,[1]Constants!$I$1:$K$1048576, 2, FALSE())</f>
        <v>0.85</v>
      </c>
      <c r="BH479" s="19" t="n">
        <f aca="false">VLOOKUP($H479,[1]Constants!$I$1:$K$1048576, 3, FALSE())*IF(AND(G479="multiple_unit",AB479&lt;110),0.75,1)</f>
        <v>2.3</v>
      </c>
      <c r="BI479" s="40" t="n">
        <f aca="false">INT(POWER((([2]Constants!$G$2+$BB479+$BC479+$BD479+$BF479)*$BE479)*$BH479, 1.05))+$BA479</f>
        <v>143</v>
      </c>
      <c r="BJ479" s="40" t="n">
        <f aca="false">INT(POWER(((([2]Constants!$G$1+$BB479+$BC479+$BD479+$BF479)*($BE479))*$BG479),IF($G479="wagon",1,1.2)))+$AZ479</f>
        <v>113</v>
      </c>
      <c r="BK479" s="39" t="n">
        <f aca="false">BI479*IF($G479="wagon",62.5,781.25)</f>
        <v>111718.75</v>
      </c>
      <c r="BL479" s="39" t="n">
        <f aca="false">BJ479*IF($G479="wagon",2.73,81.25)</f>
        <v>9181.25</v>
      </c>
      <c r="BM479" s="40"/>
      <c r="BN479" s="40"/>
      <c r="BO479" s="40"/>
      <c r="BP479" s="40"/>
      <c r="BQ479" s="40"/>
      <c r="BR479" s="26" t="str">
        <f aca="false">_xlfn.ORG.LIBREOFFICE.REGEX(_xlfn.ORG.LIBREOFFICE.REGEX(IETMUVEHICLES, _xlfn.CONCAT(B479, ",?"), ""), ",$", "")</f>
        <v>class_800_azuma,class_800_9,class_801_9,class_802_5,class_802_9</v>
      </c>
      <c r="BS479" s="40"/>
      <c r="BT479" s="40"/>
      <c r="BU479" s="40"/>
      <c r="BV479" s="40" t="n">
        <v>10</v>
      </c>
      <c r="BW479" s="40" t="n">
        <v>222</v>
      </c>
      <c r="BX479" s="40"/>
      <c r="BY479" s="40"/>
      <c r="BZ479" s="40" t="s">
        <v>148</v>
      </c>
      <c r="CA479" s="40" t="str">
        <f aca="false">VLOOKUP(J479,[2]Eras!$A$2:$C$10, 2, TRUE())</f>
        <v>mod</v>
      </c>
      <c r="CB479" s="40" t="s">
        <v>850</v>
      </c>
      <c r="CC479" s="26" t="str">
        <f aca="false">CONCATENATE(CA479,"_",CB479)</f>
        <v>mod_EMU (Express)</v>
      </c>
      <c r="CD479" s="26" t="str">
        <f aca="false">_xlfn.CONCAT(H479, "_",I479)</f>
        <v>electric_ELRL</v>
      </c>
      <c r="CE479" s="41" t="str">
        <f aca="false" t="array" ref="CE479:CE479">_xlfn.CONCAT("{BLACK}Length: {GOLD}", TEXT(ROUNDUP(IF(AQ479&lt;&gt;"",SUM(VALUE(_xlfn.TEXTSPLIT(AQ479, ","))), SUM(VALUE(_xlfn.TEXTSPLIT(AN479, ",")))*IF(M479, M479, 1))/16, 1), "#,##0.0"), " tiles{}")</f>
        <v>{BLACK}Length: {GOLD}4.4 tiles{}</v>
      </c>
      <c r="CF479" s="19" t="str">
        <f aca="false">VLOOKUP($CD479, [1]Constants!$M$1:$N$1048576, 2, FALSE())</f>
        <v>{BLACK}Powered by: {GOLD}25kV AC</v>
      </c>
      <c r="CG479" s="26" t="str">
        <f aca="false">IF(M479&gt;1,_xlfn.CONCAT("{BLACK}Cars: {GOLD}", M479),"")</f>
        <v>{BLACK}Cars: {GOLD}5</v>
      </c>
      <c r="CH479" s="26" t="s">
        <v>1770</v>
      </c>
      <c r="CJ479" s="19" t="str">
        <f aca="false">IF(BX479="buffet","{YELLOW}25% long distance bonus for consist{}",IF(CA479="BRAKE","{YELLOW}Speed bonus for slow wagons{}",IF(BW479&gt;190,CONCATENATE("{YELLOW}",INT((BW479-185)/1.85),"% bonus for long distance travel{}"),IF(AND(BW479&lt;180,BW479&lt;&gt;0),CONCATENATE("{YELLOW}",INT((185-BW479)/1.85),"% penalty for long distance travel{}"),""))))</f>
        <v>{YELLOW}20% bonus for long distance travel{}</v>
      </c>
      <c r="CK479" s="19" t="str">
        <f aca="false">_xlfn.CONCAT(CF479,IF(CF479 &lt;&gt; "", " ", ""),CG479,IF(OR(CG479&lt;&gt;"", CF479&lt;&gt;""), "{}",""), CE479, CJ479,"{SILVER}", CH479)</f>
        <v>{BLACK}Powered by: {GOLD}25kV AC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480" s="26" customFormat="true" ht="14.25" hidden="false" customHeight="false" outlineLevel="0" collapsed="false">
      <c r="A480" s="40" t="s">
        <v>1771</v>
      </c>
      <c r="B480" s="57" t="s">
        <v>1772</v>
      </c>
      <c r="C480" s="21" t="n">
        <v>3092</v>
      </c>
      <c r="D480" s="26" t="n">
        <v>3089</v>
      </c>
      <c r="E480" s="26" t="n">
        <v>514</v>
      </c>
      <c r="F480" s="26" t="s">
        <v>143</v>
      </c>
      <c r="G480" s="26" t="s">
        <v>827</v>
      </c>
      <c r="H480" s="30" t="s">
        <v>529</v>
      </c>
      <c r="I480" s="40" t="s">
        <v>530</v>
      </c>
      <c r="J480" s="40" t="n">
        <v>2017</v>
      </c>
      <c r="K480" s="40"/>
      <c r="L480" s="40"/>
      <c r="M480" s="40" t="n">
        <v>9</v>
      </c>
      <c r="N480" s="40" t="n">
        <v>5400</v>
      </c>
      <c r="O480" s="33"/>
      <c r="P480" s="34"/>
      <c r="Q480" s="34"/>
      <c r="R480" s="34"/>
      <c r="S480" s="34"/>
      <c r="T480" s="34"/>
      <c r="U480" s="34"/>
      <c r="V480" s="34"/>
      <c r="W480" s="40" t="n">
        <v>420</v>
      </c>
      <c r="X480" s="33"/>
      <c r="Y480" s="40" t="n">
        <v>5</v>
      </c>
      <c r="Z480" s="40" t="n">
        <v>195</v>
      </c>
      <c r="AA480" s="35" t="n">
        <f aca="false">IF(AND(W480&gt;0,Z480&gt;0),(Z480/((W480+X480)*10)),"")</f>
        <v>0.0464285714285714</v>
      </c>
      <c r="AB480" s="40" t="n">
        <v>140</v>
      </c>
      <c r="AC480" s="40" t="n">
        <f aca="false">ROUND(AB480*1.6, 0)</f>
        <v>224</v>
      </c>
      <c r="AD480" s="40"/>
      <c r="AE480" s="40"/>
      <c r="AF480" s="40" t="n">
        <v>26</v>
      </c>
      <c r="AG480" s="40" t="n">
        <v>24</v>
      </c>
      <c r="AH480" s="40"/>
      <c r="AI480" s="40"/>
      <c r="AJ480" s="36" t="n">
        <v>66</v>
      </c>
      <c r="AK480" s="40" t="str">
        <f aca="false">CONCATENATE(VLOOKUP(AL480, '[2]Voxel Sizes'!$A$2:$B$18,2,FALSE()),"x",INT(AH480*15), "x", INT(AI480*15))</f>
        <v>238x0x0</v>
      </c>
      <c r="AL480" s="40" t="n">
        <f aca="false">ROUND(15*((AG480*10)/256),0)</f>
        <v>14</v>
      </c>
      <c r="AM480" s="40"/>
      <c r="AN480" s="40" t="str">
        <f aca="false">CONCATENATE(VLOOKUP(AL480,[2]Constants!$A$2:$C$16,IF(AM480&lt;&gt;"", 3, 2), FALSE()),IF(AM480&lt;&gt;"",CONCATENATE(",",VLOOKUP(AM480,$B:$AN,39,FALSE())),""))</f>
        <v>4,6,4</v>
      </c>
      <c r="AO480" s="40" t="n">
        <v>24</v>
      </c>
      <c r="AP480" s="37"/>
      <c r="AQ480" s="37"/>
      <c r="AR480" s="26" t="s">
        <v>1767</v>
      </c>
      <c r="AS480" s="26" t="s">
        <v>1763</v>
      </c>
      <c r="AT480" s="26" t="s">
        <v>1747</v>
      </c>
      <c r="AU480" s="26" t="s">
        <v>1761</v>
      </c>
      <c r="AX480" s="26" t="n">
        <v>30</v>
      </c>
      <c r="AY480" s="38" t="str">
        <f aca="false">IF(L480&lt;&gt;"",MAX(16,(L480-J480)+8),"")</f>
        <v/>
      </c>
      <c r="AZ480" s="40" t="n">
        <v>-15</v>
      </c>
      <c r="BA480" s="40" t="n">
        <v>-30</v>
      </c>
      <c r="BB480" s="40" t="n">
        <f aca="false">MIN(AB480/150, 1)*30</f>
        <v>28</v>
      </c>
      <c r="BC480" s="40" t="n">
        <f aca="false">MIN(N480/4000, 1)*20</f>
        <v>20</v>
      </c>
      <c r="BD480" s="40" t="n">
        <f aca="false">MIN(Z480/400,1)*20</f>
        <v>9.75</v>
      </c>
      <c r="BE480" s="35" t="n">
        <f aca="false">1-(MAX(J480-1900, 0)/750)</f>
        <v>0.844</v>
      </c>
      <c r="BF480" s="40" t="n">
        <f aca="false">((MAX($M480,1)*MIN($AJ480/300,1)))*IF(G480="Wagon",50,10)</f>
        <v>19.8</v>
      </c>
      <c r="BG480" s="19" t="n">
        <f aca="false">VLOOKUP($H480,[1]Constants!$I$1:$K$1048576, 2, FALSE())</f>
        <v>0.85</v>
      </c>
      <c r="BH480" s="19" t="n">
        <f aca="false">VLOOKUP($H480,[1]Constants!$I$1:$K$1048576, 3, FALSE())*IF(AND(G480="multiple_unit",AB480&lt;110),0.75,1)</f>
        <v>2.3</v>
      </c>
      <c r="BI480" s="40" t="n">
        <f aca="false">INT(POWER((([2]Constants!$G$2+$BB480+$BC480+$BD480+$BF480)*$BE480)*$BH480, 1.05))+$BA480</f>
        <v>176</v>
      </c>
      <c r="BJ480" s="40" t="n">
        <f aca="false">INT(POWER(((([2]Constants!$G$1+$BB480+$BC480+$BD480+$BF480)*($BE480))*$BG480),IF($G480="wagon",1,1.2)))+$AZ480</f>
        <v>138</v>
      </c>
      <c r="BK480" s="39" t="n">
        <f aca="false">BI480*IF($G480="wagon",62.5,781.25)</f>
        <v>137500</v>
      </c>
      <c r="BL480" s="39" t="n">
        <f aca="false">BJ480*IF($G480="wagon",2.73,81.25)</f>
        <v>11212.5</v>
      </c>
      <c r="BM480" s="40"/>
      <c r="BN480" s="40"/>
      <c r="BO480" s="40"/>
      <c r="BP480" s="40"/>
      <c r="BQ480" s="40"/>
      <c r="BR480" s="26" t="str">
        <f aca="false">_xlfn.ORG.LIBREOFFICE.REGEX(_xlfn.ORG.LIBREOFFICE.REGEX(IETMUVEHICLES, _xlfn.CONCAT(B480, ",?"), ""), ",$", "")</f>
        <v>class_800_azuma,class_800_9,class_801_5,class_802_5,class_802_9</v>
      </c>
      <c r="BS480" s="40"/>
      <c r="BT480" s="40"/>
      <c r="BU480" s="40"/>
      <c r="BV480" s="40" t="n">
        <v>10</v>
      </c>
      <c r="BW480" s="40" t="n">
        <v>222</v>
      </c>
      <c r="BX480" s="40"/>
      <c r="BY480" s="40"/>
      <c r="BZ480" s="40" t="s">
        <v>148</v>
      </c>
      <c r="CA480" s="40" t="str">
        <f aca="false">VLOOKUP(J480,[2]Eras!$A$2:$C$10, 2, TRUE())</f>
        <v>mod</v>
      </c>
      <c r="CB480" s="40" t="s">
        <v>850</v>
      </c>
      <c r="CC480" s="26" t="str">
        <f aca="false">CONCATENATE(CA480,"_",CB480)</f>
        <v>mod_EMU (Express)</v>
      </c>
      <c r="CD480" s="26" t="str">
        <f aca="false">_xlfn.CONCAT(H480, "_",I480)</f>
        <v>electric_ELRL</v>
      </c>
      <c r="CE480" s="41" t="str">
        <f aca="false" t="array" ref="CE480:CE480">_xlfn.CONCAT("{BLACK}Length: {GOLD}", TEXT(ROUNDUP(IF(AQ480&lt;&gt;"",SUM(VALUE(_xlfn.TEXTSPLIT(AQ480, ","))), SUM(VALUE(_xlfn.TEXTSPLIT(AN480, ",")))*IF(M480, M480, 1))/16, 1), "#,##0.0"), " tiles{}")</f>
        <v>{BLACK}Length: {GOLD}7.9 tiles{}</v>
      </c>
      <c r="CF480" s="19" t="str">
        <f aca="false">VLOOKUP($CD480, [1]Constants!$M$1:$N$1048576, 2, FALSE())</f>
        <v>{BLACK}Powered by: {GOLD}25kV AC</v>
      </c>
      <c r="CG480" s="26" t="str">
        <f aca="false">IF(M480&gt;1,_xlfn.CONCAT("{BLACK}Cars: {GOLD}", M480),"")</f>
        <v>{BLACK}Cars: {GOLD}9</v>
      </c>
      <c r="CH480" s="26" t="s">
        <v>1770</v>
      </c>
      <c r="CJ480" s="19" t="str">
        <f aca="false">IF(BX480="buffet","{YELLOW}25% long distance bonus for consist{}",IF(CA480="BRAKE","{YELLOW}Speed bonus for slow wagons{}",IF(BW480&gt;190,CONCATENATE("{YELLOW}",INT((BW480-185)/1.85),"% bonus for long distance travel{}"),IF(AND(BW480&lt;180,BW480&lt;&gt;0),CONCATENATE("{YELLOW}",INT((185-BW480)/1.85),"% penalty for long distance travel{}"),""))))</f>
        <v>{YELLOW}20% bonus for long distance travel{}</v>
      </c>
      <c r="CK480" s="19" t="str">
        <f aca="false">_xlfn.CONCAT(CF480,IF(CF480 &lt;&gt; "", " ", ""),CG480,IF(OR(CG480&lt;&gt;"", CF480&lt;&gt;""), "{}",""), CE480, CJ480,"{SILVER}", CH480)</f>
        <v>{BLACK}Powered by: {GOLD}25kV AC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481" s="26" customFormat="true" ht="14.25" hidden="false" customHeight="false" outlineLevel="0" collapsed="false">
      <c r="A481" s="40" t="s">
        <v>1773</v>
      </c>
      <c r="B481" s="57" t="s">
        <v>1774</v>
      </c>
      <c r="C481" s="21" t="n">
        <v>3093</v>
      </c>
      <c r="D481" s="26" t="n">
        <v>3089</v>
      </c>
      <c r="E481" s="26" t="n">
        <v>515</v>
      </c>
      <c r="F481" s="26" t="s">
        <v>143</v>
      </c>
      <c r="G481" s="26" t="s">
        <v>827</v>
      </c>
      <c r="H481" s="26" t="s">
        <v>757</v>
      </c>
      <c r="I481" s="26" t="s">
        <v>530</v>
      </c>
      <c r="J481" s="26" t="n">
        <v>2017</v>
      </c>
      <c r="M481" s="26" t="n">
        <v>5</v>
      </c>
      <c r="N481" s="26" t="n">
        <v>3200</v>
      </c>
      <c r="O481" s="33" t="n">
        <f aca="false">940*3</f>
        <v>2820</v>
      </c>
      <c r="P481" s="34"/>
      <c r="Q481" s="34"/>
      <c r="R481" s="34"/>
      <c r="S481" s="34"/>
      <c r="T481" s="34"/>
      <c r="U481" s="34"/>
      <c r="V481" s="34"/>
      <c r="W481" s="40" t="n">
        <v>243</v>
      </c>
      <c r="X481" s="33"/>
      <c r="Y481" s="40" t="n">
        <v>5</v>
      </c>
      <c r="Z481" s="40" t="n">
        <v>195</v>
      </c>
      <c r="AA481" s="35" t="n">
        <f aca="false">IF(AND(W481&gt;0,Z481&gt;0),(Z481/((W481+X481)*10)),"")</f>
        <v>0.0802469135802469</v>
      </c>
      <c r="AB481" s="40" t="n">
        <v>140</v>
      </c>
      <c r="AC481" s="40" t="n">
        <f aca="false">ROUND(AB481*1.6, 0)</f>
        <v>224</v>
      </c>
      <c r="AD481" s="40"/>
      <c r="AE481" s="40"/>
      <c r="AF481" s="40" t="n">
        <v>26</v>
      </c>
      <c r="AG481" s="40" t="n">
        <v>24</v>
      </c>
      <c r="AH481" s="40"/>
      <c r="AI481" s="40"/>
      <c r="AJ481" s="36" t="n">
        <v>66</v>
      </c>
      <c r="AK481" s="40" t="str">
        <f aca="false">CONCATENATE(VLOOKUP(AL481, '[2]Voxel Sizes'!$A$2:$B$18,2,FALSE()),"x",INT(AH481*15), "x", INT(AI481*15))</f>
        <v>238x0x0</v>
      </c>
      <c r="AL481" s="40" t="n">
        <f aca="false">ROUND(15*((AG481*10)/256),0)</f>
        <v>14</v>
      </c>
      <c r="AM481" s="40"/>
      <c r="AN481" s="40" t="str">
        <f aca="false">CONCATENATE(VLOOKUP(AL481,[2]Constants!$A$2:$C$16,IF(AM481&lt;&gt;"", 3, 2), FALSE()),IF(AM481&lt;&gt;"",CONCATENATE(",",VLOOKUP(AM481,$B:$AN,39,FALSE())),""))</f>
        <v>4,6,4</v>
      </c>
      <c r="AO481" s="40" t="n">
        <v>12</v>
      </c>
      <c r="AP481" s="37"/>
      <c r="AQ481" s="37"/>
      <c r="AR481" s="26" t="s">
        <v>1762</v>
      </c>
      <c r="AS481" s="26" t="s">
        <v>1763</v>
      </c>
      <c r="AT481" s="26" t="s">
        <v>931</v>
      </c>
      <c r="AU481" s="26" t="s">
        <v>1761</v>
      </c>
      <c r="AX481" s="26" t="n">
        <v>30</v>
      </c>
      <c r="AY481" s="38" t="str">
        <f aca="false">IF(L481&lt;&gt;"",MAX(16,(L481-J481)+8),"")</f>
        <v/>
      </c>
      <c r="AZ481" s="40" t="n">
        <v>-15</v>
      </c>
      <c r="BA481" s="40" t="n">
        <v>-30</v>
      </c>
      <c r="BB481" s="40" t="n">
        <f aca="false">MIN(AB481/150, 1)*30</f>
        <v>28</v>
      </c>
      <c r="BC481" s="40" t="n">
        <f aca="false">MIN(N481/4000, 1)*20</f>
        <v>16</v>
      </c>
      <c r="BD481" s="40" t="n">
        <f aca="false">MIN(Z481/400,1)*20</f>
        <v>9.75</v>
      </c>
      <c r="BE481" s="35" t="n">
        <f aca="false">1-(MAX(J481-1900, 0)/750)</f>
        <v>0.844</v>
      </c>
      <c r="BF481" s="40" t="n">
        <f aca="false">((MAX($M481,1)*MIN($AJ481/300,1)))*IF(G481="Wagon",50,10)</f>
        <v>11</v>
      </c>
      <c r="BG481" s="19" t="n">
        <f aca="false">VLOOKUP($H481,[1]Constants!$I$1:$K$1048576, 2, FALSE())</f>
        <v>0.9</v>
      </c>
      <c r="BH481" s="19" t="n">
        <f aca="false">VLOOKUP($H481,[1]Constants!$I$1:$K$1048576, 3, FALSE())*IF(AND(G481="multiple_unit",AB481&lt;110),0.75,1)</f>
        <v>2.5</v>
      </c>
      <c r="BI481" s="40" t="n">
        <f aca="false">INT(POWER((([2]Constants!$G$2+$BB481+$BC481+$BD481+$BF481)*$BE481)*$BH481, 1.05))+$BA481</f>
        <v>158</v>
      </c>
      <c r="BJ481" s="40" t="n">
        <f aca="false">INT(POWER(((([2]Constants!$G$1+$BB481+$BC481+$BD481+$BF481)*($BE481))*$BG481),IF($G481="wagon",1,1.2)))+$AZ481</f>
        <v>122</v>
      </c>
      <c r="BK481" s="39" t="n">
        <f aca="false">BI481*IF($G481="wagon",62.5,781.25)</f>
        <v>123437.5</v>
      </c>
      <c r="BL481" s="39" t="n">
        <f aca="false">BJ481*IF($G481="wagon",2.73,81.25)</f>
        <v>9912.5</v>
      </c>
      <c r="BM481" s="40"/>
      <c r="BN481" s="40"/>
      <c r="BO481" s="40"/>
      <c r="BP481" s="40"/>
      <c r="BQ481" s="40"/>
      <c r="BR481" s="26" t="str">
        <f aca="false">_xlfn.ORG.LIBREOFFICE.REGEX(_xlfn.ORG.LIBREOFFICE.REGEX(IETMUVEHICLES, _xlfn.CONCAT(B481, ",?"), ""), ",$", "")</f>
        <v>class_800_azuma,class_800_9,class_801_5,class_801_9,class_802_9</v>
      </c>
      <c r="BS481" s="40"/>
      <c r="BT481" s="40"/>
      <c r="BU481" s="40"/>
      <c r="BV481" s="40" t="n">
        <v>10</v>
      </c>
      <c r="BW481" s="40" t="n">
        <v>222</v>
      </c>
      <c r="BX481" s="40"/>
      <c r="BY481" s="40"/>
      <c r="BZ481" s="40" t="s">
        <v>148</v>
      </c>
      <c r="CA481" s="40" t="str">
        <f aca="false">VLOOKUP(J481,[2]Eras!$A$2:$C$10, 2, TRUE())</f>
        <v>mod</v>
      </c>
      <c r="CB481" s="40" t="s">
        <v>850</v>
      </c>
      <c r="CC481" s="26" t="str">
        <f aca="false">CONCATENATE(CA481,"_",CB481)</f>
        <v>mod_EMU (Express)</v>
      </c>
      <c r="CD481" s="26" t="str">
        <f aca="false">_xlfn.CONCAT(H481, "_",I481)</f>
        <v>dual_power_ELRL</v>
      </c>
      <c r="CE481" s="41" t="str">
        <f aca="false" t="array" ref="CE481:CE481">_xlfn.CONCAT("{BLACK}Length: {GOLD}", TEXT(ROUNDUP(IF(AQ481&lt;&gt;"",SUM(VALUE(_xlfn.TEXTSPLIT(AQ481, ","))), SUM(VALUE(_xlfn.TEXTSPLIT(AN481, ",")))*IF(M481, M481, 1))/16, 1), "#,##0.0"), " tiles{}")</f>
        <v>{BLACK}Length: {GOLD}4.4 tiles{}</v>
      </c>
      <c r="CF481" s="19" t="str">
        <f aca="false">VLOOKUP($CD481, [1]Constants!$M$1:$N$1048576, 2, FALSE())</f>
        <v>{BLACK}Powered by: {GOLD}25kV AC / Diesel</v>
      </c>
      <c r="CG481" s="26" t="str">
        <f aca="false">IF(M481&gt;1,_xlfn.CONCAT("{BLACK}Cars: {GOLD}", M481),"")</f>
        <v>{BLACK}Cars: {GOLD}5</v>
      </c>
      <c r="CH481" s="26" t="s">
        <v>1775</v>
      </c>
      <c r="CJ481" s="19" t="str">
        <f aca="false">IF(BX481="buffet","{YELLOW}25% long distance bonus for consist{}",IF(CA481="BRAKE","{YELLOW}Speed bonus for slow wagons{}",IF(BW481&gt;190,CONCATENATE("{YELLOW}",INT((BW481-185)/1.85),"% bonus for long distance travel{}"),IF(AND(BW481&lt;180,BW481&lt;&gt;0),CONCATENATE("{YELLOW}",INT((185-BW481)/1.85),"% penalty for long distance travel{}"),""))))</f>
        <v>{YELLOW}20% bonus for long distance travel{}</v>
      </c>
      <c r="CK481" s="19" t="str">
        <f aca="false">_xlfn.CONCAT(CF481,IF(CF481 &lt;&gt; "", " ", ""),CG481,IF(OR(CG481&lt;&gt;"", CF481&lt;&gt;""), "{}",""), CE481, CJ481,"{SILVER}", CH481)</f>
        <v>{BLACK}Powered by: {GOLD}25kV AC / Diesel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482" s="26" customFormat="true" ht="14.25" hidden="false" customHeight="false" outlineLevel="0" collapsed="false">
      <c r="A482" s="40" t="s">
        <v>1776</v>
      </c>
      <c r="B482" s="57" t="s">
        <v>1777</v>
      </c>
      <c r="C482" s="21" t="n">
        <v>3094</v>
      </c>
      <c r="D482" s="26" t="n">
        <v>3089</v>
      </c>
      <c r="E482" s="26" t="n">
        <v>516</v>
      </c>
      <c r="F482" s="26" t="s">
        <v>143</v>
      </c>
      <c r="G482" s="26" t="s">
        <v>827</v>
      </c>
      <c r="H482" s="26" t="s">
        <v>757</v>
      </c>
      <c r="I482" s="26" t="s">
        <v>530</v>
      </c>
      <c r="J482" s="26" t="n">
        <v>2017</v>
      </c>
      <c r="M482" s="26" t="n">
        <v>9</v>
      </c>
      <c r="N482" s="26" t="n">
        <v>5400</v>
      </c>
      <c r="O482" s="33" t="n">
        <f aca="false">940*5</f>
        <v>4700</v>
      </c>
      <c r="P482" s="34"/>
      <c r="Q482" s="34"/>
      <c r="R482" s="34"/>
      <c r="S482" s="34"/>
      <c r="T482" s="34"/>
      <c r="U482" s="34"/>
      <c r="V482" s="34"/>
      <c r="W482" s="40" t="n">
        <v>438</v>
      </c>
      <c r="X482" s="33"/>
      <c r="Y482" s="40" t="n">
        <v>5</v>
      </c>
      <c r="Z482" s="40" t="n">
        <v>195</v>
      </c>
      <c r="AA482" s="35" t="n">
        <f aca="false">IF(AND(W482&gt;0,Z482&gt;0),(Z482/((W482+X482)*10)),"")</f>
        <v>0.0445205479452055</v>
      </c>
      <c r="AB482" s="40" t="n">
        <v>140</v>
      </c>
      <c r="AC482" s="40" t="n">
        <f aca="false">ROUND(AB482*1.6, 0)</f>
        <v>224</v>
      </c>
      <c r="AD482" s="40"/>
      <c r="AE482" s="40"/>
      <c r="AF482" s="40" t="n">
        <v>26</v>
      </c>
      <c r="AG482" s="40" t="n">
        <v>24</v>
      </c>
      <c r="AH482" s="40"/>
      <c r="AI482" s="40"/>
      <c r="AJ482" s="36" t="n">
        <v>66</v>
      </c>
      <c r="AK482" s="40" t="str">
        <f aca="false">CONCATENATE(VLOOKUP(AL482, '[2]Voxel Sizes'!$A$2:$B$18,2,FALSE()),"x",INT(AH482*15), "x", INT(AI482*15))</f>
        <v>238x0x0</v>
      </c>
      <c r="AL482" s="40" t="n">
        <f aca="false">ROUND(15*((AG482*10)/256),0)</f>
        <v>14</v>
      </c>
      <c r="AM482" s="40"/>
      <c r="AN482" s="40" t="str">
        <f aca="false">CONCATENATE(VLOOKUP(AL482,[2]Constants!$A$2:$C$16,IF(AM482&lt;&gt;"", 3, 2), FALSE()),IF(AM482&lt;&gt;"",CONCATENATE(",",VLOOKUP(AM482,$B:$AN,39,FALSE())),""))</f>
        <v>4,6,4</v>
      </c>
      <c r="AO482" s="40" t="n">
        <v>24</v>
      </c>
      <c r="AP482" s="37"/>
      <c r="AQ482" s="37"/>
      <c r="AR482" s="26" t="s">
        <v>1767</v>
      </c>
      <c r="AS482" s="26" t="s">
        <v>1763</v>
      </c>
      <c r="AT482" s="26" t="s">
        <v>1747</v>
      </c>
      <c r="AU482" s="26" t="s">
        <v>1761</v>
      </c>
      <c r="AX482" s="26" t="n">
        <v>30</v>
      </c>
      <c r="AY482" s="38" t="str">
        <f aca="false">IF(L482&lt;&gt;"",MAX(16,(L482-J482)+8),"")</f>
        <v/>
      </c>
      <c r="AZ482" s="40" t="n">
        <v>-15</v>
      </c>
      <c r="BA482" s="40" t="n">
        <v>-30</v>
      </c>
      <c r="BB482" s="40" t="n">
        <f aca="false">MIN(AB482/150, 1)*30</f>
        <v>28</v>
      </c>
      <c r="BC482" s="40" t="n">
        <f aca="false">MIN(N482/4000, 1)*20</f>
        <v>20</v>
      </c>
      <c r="BD482" s="40" t="n">
        <f aca="false">MIN(Z482/400,1)*20</f>
        <v>9.75</v>
      </c>
      <c r="BE482" s="35" t="n">
        <f aca="false">1-(MAX(J482-1900, 0)/750)</f>
        <v>0.844</v>
      </c>
      <c r="BF482" s="40" t="n">
        <f aca="false">((MAX($M482,1)*MIN($AJ482/300,1)))*IF(G482="Wagon",50,10)</f>
        <v>19.8</v>
      </c>
      <c r="BG482" s="19" t="n">
        <f aca="false">VLOOKUP($H482,[1]Constants!$I$1:$K$1048576, 2, FALSE())</f>
        <v>0.9</v>
      </c>
      <c r="BH482" s="19" t="n">
        <f aca="false">VLOOKUP($H482,[1]Constants!$I$1:$K$1048576, 3, FALSE())*IF(AND(G482="multiple_unit",AB482&lt;110),0.75,1)</f>
        <v>2.5</v>
      </c>
      <c r="BI482" s="40" t="n">
        <f aca="false">INT(POWER((([2]Constants!$G$2+$BB482+$BC482+$BD482+$BF482)*$BE482)*$BH482, 1.05))+$BA482</f>
        <v>195</v>
      </c>
      <c r="BJ482" s="40" t="n">
        <f aca="false">INT(POWER(((([2]Constants!$G$1+$BB482+$BC482+$BD482+$BF482)*($BE482))*$BG482),IF($G482="wagon",1,1.2)))+$AZ482</f>
        <v>149</v>
      </c>
      <c r="BK482" s="39" t="n">
        <f aca="false">BI482*IF($G482="wagon",62.5,781.25)</f>
        <v>152343.75</v>
      </c>
      <c r="BL482" s="39" t="n">
        <f aca="false">BJ482*IF($G482="wagon",2.73,81.25)</f>
        <v>12106.25</v>
      </c>
      <c r="BM482" s="40"/>
      <c r="BN482" s="40"/>
      <c r="BO482" s="40"/>
      <c r="BP482" s="40"/>
      <c r="BQ482" s="40"/>
      <c r="BR482" s="26" t="str">
        <f aca="false">_xlfn.ORG.LIBREOFFICE.REGEX(_xlfn.ORG.LIBREOFFICE.REGEX(IETMUVEHICLES, _xlfn.CONCAT(B482, ",?"), ""), ",$", "")</f>
        <v>class_800_azuma,class_800_9,class_801_5,class_801_9,class_802_5</v>
      </c>
      <c r="BS482" s="40"/>
      <c r="BT482" s="40"/>
      <c r="BU482" s="40"/>
      <c r="BV482" s="40" t="n">
        <v>10</v>
      </c>
      <c r="BW482" s="40" t="n">
        <v>222</v>
      </c>
      <c r="BX482" s="40"/>
      <c r="BY482" s="40"/>
      <c r="BZ482" s="40" t="s">
        <v>148</v>
      </c>
      <c r="CA482" s="40" t="str">
        <f aca="false">VLOOKUP(J482,[2]Eras!$A$2:$C$10, 2, TRUE())</f>
        <v>mod</v>
      </c>
      <c r="CB482" s="40" t="s">
        <v>850</v>
      </c>
      <c r="CC482" s="26" t="str">
        <f aca="false">CONCATENATE(CA482,"_",CB482)</f>
        <v>mod_EMU (Express)</v>
      </c>
      <c r="CD482" s="26" t="str">
        <f aca="false">_xlfn.CONCAT(H482, "_",I482)</f>
        <v>dual_power_ELRL</v>
      </c>
      <c r="CE482" s="41" t="str">
        <f aca="false" t="array" ref="CE482:CE482">_xlfn.CONCAT("{BLACK}Length: {GOLD}", TEXT(ROUNDUP(IF(AQ482&lt;&gt;"",SUM(VALUE(_xlfn.TEXTSPLIT(AQ482, ","))), SUM(VALUE(_xlfn.TEXTSPLIT(AN482, ",")))*IF(M482, M482, 1))/16, 1), "#,##0.0"), " tiles{}")</f>
        <v>{BLACK}Length: {GOLD}7.9 tiles{}</v>
      </c>
      <c r="CF482" s="19" t="str">
        <f aca="false">VLOOKUP($CD482, [1]Constants!$M$1:$N$1048576, 2, FALSE())</f>
        <v>{BLACK}Powered by: {GOLD}25kV AC / Diesel</v>
      </c>
      <c r="CG482" s="26" t="str">
        <f aca="false">IF(M482&gt;1,_xlfn.CONCAT("{BLACK}Cars: {GOLD}", M482),"")</f>
        <v>{BLACK}Cars: {GOLD}9</v>
      </c>
      <c r="CH482" s="26" t="s">
        <v>1775</v>
      </c>
      <c r="CJ482" s="19" t="str">
        <f aca="false">IF(BX482="buffet","{YELLOW}25% long distance bonus for consist{}",IF(CA482="BRAKE","{YELLOW}Speed bonus for slow wagons{}",IF(BW482&gt;190,CONCATENATE("{YELLOW}",INT((BW482-185)/1.85),"% bonus for long distance travel{}"),IF(AND(BW482&lt;180,BW482&lt;&gt;0),CONCATENATE("{YELLOW}",INT((185-BW482)/1.85),"% penalty for long distance travel{}"),""))))</f>
        <v>{YELLOW}20% bonus for long distance travel{}</v>
      </c>
      <c r="CK482" s="19" t="str">
        <f aca="false">_xlfn.CONCAT(CF482,IF(CF482 &lt;&gt; "", " ", ""),CG482,IF(OR(CG482&lt;&gt;"", CF482&lt;&gt;""), "{}",""), CE482, CJ482,"{SILVER}", CH482)</f>
        <v>{BLACK}Powered by: {GOLD}25kV AC / Diesel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483" s="26" customFormat="true" ht="14.25" hidden="false" customHeight="false" outlineLevel="0" collapsed="false">
      <c r="A483" s="26" t="s">
        <v>1778</v>
      </c>
      <c r="B483" s="32" t="s">
        <v>1779</v>
      </c>
      <c r="C483" s="21" t="n">
        <v>3095</v>
      </c>
      <c r="E483" s="26" t="n">
        <v>518</v>
      </c>
      <c r="F483" s="26" t="s">
        <v>143</v>
      </c>
      <c r="G483" s="26" t="s">
        <v>827</v>
      </c>
      <c r="H483" s="26" t="s">
        <v>801</v>
      </c>
      <c r="I483" s="26" t="s">
        <v>802</v>
      </c>
      <c r="J483" s="26" t="n">
        <v>2018</v>
      </c>
      <c r="M483" s="26" t="n">
        <v>6</v>
      </c>
      <c r="N483" s="26" t="n">
        <v>4800</v>
      </c>
      <c r="O483" s="33" t="n">
        <v>2700</v>
      </c>
      <c r="P483" s="34"/>
      <c r="Q483" s="34"/>
      <c r="R483" s="34"/>
      <c r="S483" s="34"/>
      <c r="T483" s="34"/>
      <c r="U483" s="34"/>
      <c r="V483" s="34"/>
      <c r="W483" s="26" t="n">
        <v>204</v>
      </c>
      <c r="X483" s="33"/>
      <c r="Y483" s="26" t="n">
        <v>6</v>
      </c>
      <c r="Z483" s="26" t="n">
        <v>225</v>
      </c>
      <c r="AA483" s="35" t="n">
        <f aca="false">IF(AND(W483&gt;0,Z483&gt;0),(Z483/((W483+X483)*10)),"")</f>
        <v>0.110294117647059</v>
      </c>
      <c r="AB483" s="26" t="n">
        <v>85</v>
      </c>
      <c r="AC483" s="26" t="n">
        <f aca="false">ROUND(AB483*1.6, 0)</f>
        <v>136</v>
      </c>
      <c r="AF483" s="26" t="n">
        <v>20.2</v>
      </c>
      <c r="AG483" s="26" t="n">
        <v>20.2</v>
      </c>
      <c r="AJ483" s="36" t="n">
        <v>60</v>
      </c>
      <c r="AK483" s="26" t="str">
        <f aca="false">CONCATENATE(VLOOKUP(AL483, '[1]Voxel Sizes'!$A$2:$B$18,2,FALSE()),"x",INT(AH483*15), "x", INT(AI483*15))</f>
        <v>198x0x0</v>
      </c>
      <c r="AL483" s="26" t="n">
        <f aca="false">ROUND(15*((AG483*10)/256),0)</f>
        <v>12</v>
      </c>
      <c r="AN483" s="19" t="str">
        <f aca="false">CONCATENATE(VLOOKUP(AL483,[1]Constants!$A$2:$C$16,IF(AM483&lt;&gt;"", 3, 2), FALSE()),IF(AM483&lt;&gt;"",CONCATENATE(",",VLOOKUP(AM483,$B:$AN,38,FALSE())),""))</f>
        <v>4,4,4</v>
      </c>
      <c r="AP483" s="37"/>
      <c r="AQ483" s="37"/>
      <c r="AR483" s="26" t="s">
        <v>1780</v>
      </c>
      <c r="AS483" s="26" t="s">
        <v>1781</v>
      </c>
      <c r="AT483" s="26" t="s">
        <v>1782</v>
      </c>
      <c r="AX483" s="26" t="n">
        <v>30</v>
      </c>
      <c r="AY483" s="38" t="str">
        <f aca="false">IF(L483&lt;&gt;"",MAX(16,(L483-J483)+8),"")</f>
        <v/>
      </c>
      <c r="AZ483" s="26" t="n">
        <v>-15</v>
      </c>
      <c r="BA483" s="26" t="n">
        <v>-30</v>
      </c>
      <c r="BB483" s="26" t="n">
        <f aca="false">MIN(AB483/150, 1)*30</f>
        <v>17</v>
      </c>
      <c r="BC483" s="26" t="n">
        <f aca="false">MIN(N483/4000, 1)*20</f>
        <v>20</v>
      </c>
      <c r="BD483" s="26" t="n">
        <f aca="false">MIN(Z483/400,1)*20</f>
        <v>11.25</v>
      </c>
      <c r="BE483" s="35" t="n">
        <f aca="false">1-(MAX(J483-1900, 0)/750)</f>
        <v>0.842666666666667</v>
      </c>
      <c r="BF483" s="26" t="n">
        <f aca="false">((MAX($M483,1)*MIN($AJ483/300,1)))*IF(G483="Wagon",50,10)</f>
        <v>12</v>
      </c>
      <c r="BG483" s="19" t="n">
        <f aca="false">VLOOKUP($H483,[1]Constants!$I$1:$K$1048576, 2, FALSE())</f>
        <v>0.85</v>
      </c>
      <c r="BH483" s="19" t="n">
        <f aca="false">VLOOKUP($H483,[1]Constants!$I$1:$K$1048576, 3, FALSE())*IF(AND(G483="multiple_unit",AB483&lt;110),0.75,1)</f>
        <v>1.8</v>
      </c>
      <c r="BI483" s="19" t="n">
        <f aca="false">INT(POWER((([1]Constants!$G$2+$BB483+$BC483+$BD483+$BF483)*$BE483)*$BH483, 1.05))+$BA483</f>
        <v>94</v>
      </c>
      <c r="BJ483" s="19" t="n">
        <f aca="false">INT(POWER(((([1]Constants!$G$1+$BB483+$BC483+$BD483+$BF483)*($BE483))*$BG483),IF($G483="wagon",1,1.2)))+$AZ483</f>
        <v>104</v>
      </c>
      <c r="BK483" s="39" t="n">
        <f aca="false">BI483*IF($G483="wagon",62.5,781.25)</f>
        <v>73437.5</v>
      </c>
      <c r="BL483" s="39" t="n">
        <f aca="false">BJ483*IF($G483="wagon",2.73,81.25)</f>
        <v>8450</v>
      </c>
      <c r="BU483" s="26" t="s">
        <v>927</v>
      </c>
      <c r="BV483" s="26" t="n">
        <v>3</v>
      </c>
      <c r="BZ483" s="26" t="s">
        <v>148</v>
      </c>
      <c r="CA483" s="19" t="s">
        <v>938</v>
      </c>
      <c r="CB483" s="40" t="s">
        <v>844</v>
      </c>
      <c r="CC483" s="26" t="str">
        <f aca="false">CONCATENATE(CA483,"_",CB483)</f>
        <v>mod_EMU</v>
      </c>
      <c r="CD483" s="26" t="str">
        <f aca="false">_xlfn.CONCAT(H483, "_",I483)</f>
        <v>dual_electric_DUAL_POWER</v>
      </c>
      <c r="CE483" s="41" t="str">
        <f aca="false" t="array" ref="CE483:CE483">_xlfn.CONCAT("{BLACK}Length: {GOLD}", TEXT(ROUNDUP(IF(AQ483&lt;&gt;"",SUM(VALUE(_xlfn.TEXTSPLIT(AQ483, ","))), SUM(VALUE(_xlfn.TEXTSPLIT(AN483, ",")))*IF(M483, M483, 1))/16, 1), "#,##0.0"), " tiles{}")</f>
        <v>{BLACK}Length: {GOLD}4.5 tiles{}</v>
      </c>
      <c r="CF483" s="19" t="str">
        <f aca="false">VLOOKUP($CD483, [1]Constants!$M$1:$N$1048576, 2, FALSE())</f>
        <v>{BLACK}Powered by: {GOLD}25kV AC / 750V DC</v>
      </c>
      <c r="CG483" s="26" t="str">
        <f aca="false">IF(M483&gt;1,_xlfn.CONCAT("{BLACK}Cars: {GOLD}", M483),"")</f>
        <v>{BLACK}Cars: {GOLD}6</v>
      </c>
      <c r="CH483" s="26" t="s">
        <v>1783</v>
      </c>
      <c r="CJ483" s="19" t="str">
        <f aca="false">IF(BX483="buffet","{YELLOW}25% long distance bonus for consist{}",IF(CA483="BRAKE","{YELLOW}Speed bonus for slow wagons{}",IF(BW483&gt;190,CONCATENATE("{YELLOW}",INT((BW483-185)/1.85),"% bonus for long distance travel{}"),IF(AND(BW483&lt;180,BW483&lt;&gt;0),CONCATENATE("{YELLOW}",INT((185-BW483)/1.85),"% penalty for long distance travel{}"),""))))</f>
        <v/>
      </c>
      <c r="CK483" s="19" t="str">
        <f aca="false">_xlfn.CONCAT(CF483,IF(CF483 &lt;&gt; "", " ", ""),CG483,IF(OR(CG483&lt;&gt;"", CF483&lt;&gt;""), "{}",""), CE483, CJ483,"{SILVER}", CH483)</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484" s="19" customFormat="true" ht="14.25" hidden="false" customHeight="false" outlineLevel="0" collapsed="false">
      <c r="A484" s="19" t="s">
        <v>1784</v>
      </c>
      <c r="B484" s="20" t="s">
        <v>1785</v>
      </c>
      <c r="C484" s="21" t="n">
        <v>3097</v>
      </c>
      <c r="E484" s="19" t="n">
        <v>520</v>
      </c>
      <c r="F484" s="19" t="s">
        <v>143</v>
      </c>
      <c r="G484" s="19" t="s">
        <v>827</v>
      </c>
      <c r="H484" s="19" t="s">
        <v>757</v>
      </c>
      <c r="I484" s="19" t="s">
        <v>530</v>
      </c>
      <c r="J484" s="19" t="n">
        <v>2022</v>
      </c>
      <c r="M484" s="19" t="n">
        <v>5</v>
      </c>
      <c r="N484" s="19" t="n">
        <v>4800</v>
      </c>
      <c r="O484" s="22" t="n">
        <v>3950</v>
      </c>
      <c r="P484" s="23"/>
      <c r="Q484" s="23"/>
      <c r="R484" s="23"/>
      <c r="S484" s="23"/>
      <c r="T484" s="23"/>
      <c r="U484" s="23"/>
      <c r="V484" s="23"/>
      <c r="W484" s="19" t="n">
        <v>235</v>
      </c>
      <c r="X484" s="22"/>
      <c r="Y484" s="19" t="n">
        <v>5</v>
      </c>
      <c r="Z484" s="19" t="n">
        <v>195</v>
      </c>
      <c r="AA484" s="24" t="n">
        <f aca="false">IF(AND(W484&gt;0,Z484&gt;0),(Z484/((W484+X484)*10)),"")</f>
        <v>0.0829787234042553</v>
      </c>
      <c r="AB484" s="19" t="n">
        <v>125</v>
      </c>
      <c r="AC484" s="19" t="n">
        <f aca="false">ROUND(AB484*1.6, 0)</f>
        <v>200</v>
      </c>
      <c r="AF484" s="19" t="n">
        <v>24</v>
      </c>
      <c r="AG484" s="19" t="n">
        <v>22</v>
      </c>
      <c r="AJ484" s="25" t="n">
        <v>60</v>
      </c>
      <c r="AK484" s="26" t="str">
        <f aca="false">CONCATENATE(VLOOKUP(AL484, '[1]Voxel Sizes'!$A$2:$B$18,2,FALSE()),"x",INT(AH484*15), "x", INT(AI484*15))</f>
        <v>214x0x0</v>
      </c>
      <c r="AL484" s="19" t="n">
        <f aca="false">ROUND(15*((AG484*10)/256),0)</f>
        <v>13</v>
      </c>
      <c r="AN484" s="19" t="str">
        <f aca="false">CONCATENATE(VLOOKUP(AL484,[1]Constants!$A$2:$C$16,IF(AM484&lt;&gt;"", 3, 2), FALSE()),IF(AM484&lt;&gt;"",CONCATENATE(",",VLOOKUP(AM484,$B:$AN,38,FALSE())),""))</f>
        <v>4,5,4</v>
      </c>
      <c r="AO484" s="19" t="n">
        <v>12</v>
      </c>
      <c r="AP484" s="27"/>
      <c r="AQ484" s="27"/>
      <c r="AR484" s="19" t="s">
        <v>1786</v>
      </c>
      <c r="AS484" s="19" t="s">
        <v>1787</v>
      </c>
      <c r="AT484" s="19" t="s">
        <v>943</v>
      </c>
      <c r="AX484" s="19" t="n">
        <v>30</v>
      </c>
      <c r="AY484" s="28" t="str">
        <f aca="false">IF(L484&lt;&gt;"",MAX(16,(L484-J484)+8),"")</f>
        <v/>
      </c>
      <c r="AZ484" s="19" t="n">
        <v>-15</v>
      </c>
      <c r="BA484" s="19" t="n">
        <v>-30</v>
      </c>
      <c r="BB484" s="19" t="n">
        <f aca="false">MIN(AB484/150, 1)*30</f>
        <v>25</v>
      </c>
      <c r="BC484" s="19" t="n">
        <f aca="false">MIN(N484/4000, 1)*20</f>
        <v>20</v>
      </c>
      <c r="BD484" s="19" t="n">
        <f aca="false">MIN(Z484/400,1)*20</f>
        <v>9.75</v>
      </c>
      <c r="BE484" s="24" t="n">
        <f aca="false">1-(MAX(J484-1900, 0)/750)</f>
        <v>0.837333333333333</v>
      </c>
      <c r="BF484" s="19" t="n">
        <f aca="false">((MAX($M484,1)*MIN($AJ484/300,1)))*IF(G484="Wagon",50,10)</f>
        <v>10</v>
      </c>
      <c r="BG484" s="19" t="n">
        <f aca="false">VLOOKUP($H484,[1]Constants!$I$1:$K$1048576, 2, FALSE())</f>
        <v>0.9</v>
      </c>
      <c r="BH484" s="19" t="n">
        <f aca="false">VLOOKUP($H484,[1]Constants!$I$1:$K$1048576, 3, FALSE())*IF(AND(G484="multiple_unit",AB484&lt;110),0.75,1)</f>
        <v>2.5</v>
      </c>
      <c r="BI484" s="19" t="n">
        <f aca="false">INT(POWER((([1]Constants!$G$2+$BB484+$BC484+$BD484+$BF484)*$BE484)*$BH484, 1.05))+$BA484</f>
        <v>157</v>
      </c>
      <c r="BJ484" s="19" t="n">
        <f aca="false">INT(POWER(((([1]Constants!$G$1+$BB484+$BC484+$BD484+$BF484)*($BE484))*$BG484),IF($G484="wagon",1,1.2)))+$AZ484</f>
        <v>121</v>
      </c>
      <c r="BK484" s="29" t="n">
        <f aca="false">BI484*IF($G484="wagon",62.5,781.25)</f>
        <v>122656.25</v>
      </c>
      <c r="BL484" s="29" t="n">
        <f aca="false">BJ484*IF($G484="wagon",2.73,81.25)</f>
        <v>9831.25</v>
      </c>
      <c r="BU484" s="19" t="s">
        <v>927</v>
      </c>
      <c r="BV484" s="19" t="n">
        <v>10</v>
      </c>
      <c r="BW484" s="19" t="n">
        <v>222</v>
      </c>
      <c r="BZ484" s="19" t="s">
        <v>148</v>
      </c>
      <c r="CA484" s="19" t="s">
        <v>938</v>
      </c>
      <c r="CB484" s="30" t="s">
        <v>850</v>
      </c>
      <c r="CC484" s="19" t="str">
        <f aca="false">CONCATENATE(CA484,"_",CB484)</f>
        <v>mod_EMU (Express)</v>
      </c>
      <c r="CD484" s="19" t="str">
        <f aca="false">_xlfn.CONCAT(H484, "_",I484)</f>
        <v>dual_power_ELRL</v>
      </c>
      <c r="CE484" s="31" t="str">
        <f aca="false">_xlfn.CONCAT("{BLACK}Length: {GOLD}", TEXT(ROUNDUP(IF(AQ484&lt;&gt;"",SUM(VALUE(_xlfn.TEXTSPLIT(AQ484, ","))), SUM(VALUE(_xlfn.TEXTSPLIT(AN484, ",")))*IF(M484, M484, 1))/16, 1), "#,##0.0"), " tiles{}")</f>
        <v>{BLACK}Length: {GOLD}4.1 tiles{}</v>
      </c>
      <c r="CF484" s="19" t="str">
        <f aca="false">VLOOKUP($CD484, [1]Constants!$M$1:$N$1048576, 2, FALSE())</f>
        <v>{BLACK}Powered by: {GOLD}25kV AC / Diesel</v>
      </c>
      <c r="CG484" s="19" t="str">
        <f aca="false">IF(M484&gt;1,_xlfn.CONCAT("{BLACK}Cars: {GOLD}", M484),"")</f>
        <v>{BLACK}Cars: {GOLD}5</v>
      </c>
      <c r="CH484" s="19" t="s">
        <v>1788</v>
      </c>
      <c r="CJ484" s="19" t="str">
        <f aca="false">IF(BX484="buffet","{YELLOW}25% long distance bonus for consist{}",IF(CA484="BRAKE","{YELLOW}Speed bonus for slow wagons{}",IF(BW484&gt;190,CONCATENATE("{YELLOW}",INT((BW484-185)/1.85),"% bonus for long distance travel{}"),IF(AND(BW484&lt;180,BW484&lt;&gt;0),CONCATENATE("{YELLOW}",INT((185-BW484)/1.85),"% penalty for long distance travel{}"),""))))</f>
        <v>{YELLOW}20% bonus for long distance travel{}</v>
      </c>
      <c r="CK484" s="19" t="str">
        <f aca="false">_xlfn.CONCAT(CF484,IF(CF484 &lt;&gt; "", " ", ""),CG484,IF(OR(CG484&lt;&gt;"", CF484&lt;&gt;""), "{}",""), CE484, CJ484,"{SILVER}", CH484)</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485" s="19" customFormat="true" ht="14.25" hidden="false" customHeight="false" outlineLevel="0" collapsed="false">
      <c r="A485" s="19" t="s">
        <v>1789</v>
      </c>
      <c r="B485" s="20" t="s">
        <v>1790</v>
      </c>
      <c r="C485" s="21" t="n">
        <v>3098</v>
      </c>
      <c r="E485" s="19" t="n">
        <v>1020</v>
      </c>
      <c r="F485" s="19" t="s">
        <v>143</v>
      </c>
      <c r="G485" s="19" t="s">
        <v>144</v>
      </c>
      <c r="H485" s="19" t="s">
        <v>144</v>
      </c>
      <c r="I485" s="19" t="s">
        <v>92</v>
      </c>
      <c r="J485" s="19" t="n">
        <v>1907</v>
      </c>
      <c r="K485" s="19" t="n">
        <v>1950</v>
      </c>
      <c r="L485" s="19" t="n">
        <v>1961</v>
      </c>
      <c r="O485" s="22"/>
      <c r="P485" s="23"/>
      <c r="Q485" s="23"/>
      <c r="R485" s="23"/>
      <c r="S485" s="23"/>
      <c r="T485" s="23"/>
      <c r="U485" s="23"/>
      <c r="V485" s="23"/>
      <c r="W485" s="19" t="n">
        <v>6.4</v>
      </c>
      <c r="X485" s="22"/>
      <c r="Y485" s="19" t="n">
        <v>3</v>
      </c>
      <c r="AA485" s="24" t="str">
        <f aca="false">IF(AND(W485&gt;0,Z485&gt;0),(Z485/((W485+X485)*10)),"")</f>
        <v/>
      </c>
      <c r="AB485" s="19" t="n">
        <v>50</v>
      </c>
      <c r="AC485" s="19" t="n">
        <f aca="false">ROUND(AB485*1.6, 0)</f>
        <v>80</v>
      </c>
      <c r="AF485" s="19" t="n">
        <v>6</v>
      </c>
      <c r="AG485" s="19" t="n">
        <v>8</v>
      </c>
      <c r="AH485" s="19" t="n">
        <v>2.5</v>
      </c>
      <c r="AI485" s="19" t="n">
        <v>3.35</v>
      </c>
      <c r="AJ485" s="25" t="n">
        <v>13</v>
      </c>
      <c r="AK485" s="26" t="str">
        <f aca="false">CONCATENATE(VLOOKUP(AL485, '[1]Voxel Sizes'!$A$2:$B$18,2,FALSE()),"x",INT(AH485*15), "x", INT(AI485*15))</f>
        <v>82x37x50</v>
      </c>
      <c r="AL485" s="19" t="n">
        <f aca="false">ROUND(15*((AG485*10)/256),0)</f>
        <v>5</v>
      </c>
      <c r="AN485" s="19" t="str">
        <f aca="false">CONCATENATE(VLOOKUP(AL485,[1]Constants!$A$2:$C$16,IF(AM485&lt;&gt;"", 3, 2), FALSE()),IF(AM485&lt;&gt;"",CONCATENATE(",",VLOOKUP(AM485,$B:$AN,38,FALSE())),""))</f>
        <v>2,1,2</v>
      </c>
      <c r="AP485" s="27"/>
      <c r="AQ485" s="27"/>
      <c r="AX485" s="19" t="n">
        <v>30</v>
      </c>
      <c r="AY485" s="28" t="n">
        <f aca="false">IF(L485&lt;&gt;"",MAX(16,(L485-J485)+8),"")</f>
        <v>62</v>
      </c>
      <c r="AZ485" s="19" t="n">
        <v>5</v>
      </c>
      <c r="BA485" s="19" t="n">
        <v>0</v>
      </c>
      <c r="BB485" s="19" t="n">
        <f aca="false">MIN(AB485/150, 1)*30</f>
        <v>10</v>
      </c>
      <c r="BC485" s="19" t="n">
        <f aca="false">MIN(N485/4000, 1)*20</f>
        <v>0</v>
      </c>
      <c r="BD485" s="19" t="n">
        <f aca="false">MIN(Z485/400,1)*20</f>
        <v>0</v>
      </c>
      <c r="BE485" s="24" t="n">
        <f aca="false">1-(MAX(J485-1900, 0)/750)</f>
        <v>0.990666666666667</v>
      </c>
      <c r="BF485" s="19" t="n">
        <f aca="false">((MAX($M485,1)*MIN($AJ485/300,1)))*IF(G485="Wagon",50,10)</f>
        <v>2.16666666666667</v>
      </c>
      <c r="BG485" s="19" t="n">
        <f aca="false">VLOOKUP($H485,[1]Constants!$I$1:$K$1048576, 2, FALSE())</f>
        <v>1</v>
      </c>
      <c r="BH485" s="19" t="n">
        <f aca="false">VLOOKUP($H485,[1]Constants!$I$1:$K$1048576, 3, FALSE())*IF(AND(G485="multiple_unit",AB485&lt;110),0.75,1)</f>
        <v>0.45</v>
      </c>
      <c r="BI485" s="19" t="n">
        <f aca="false">INT(POWER((([1]Constants!$G$2+$BB485+$BC485+$BD485+$BF485)*$BE485)*$BH485, 1.05))+$BA485</f>
        <v>8</v>
      </c>
      <c r="BJ485" s="19" t="n">
        <f aca="false">INT(POWER(((([1]Constants!$G$1+$BB485+$BC485+$BD485+$BF485)*($BE485))*$BG485),IF($G485="wagon",1,1.2)))+$AZ485</f>
        <v>31</v>
      </c>
      <c r="BK485" s="29" t="n">
        <f aca="false">BI485*IF($G485="wagon",62.5,781.25)</f>
        <v>500</v>
      </c>
      <c r="BL485" s="29" t="n">
        <f aca="false">BJ485*IF($G485="wagon",2.73,81.25)</f>
        <v>84.63</v>
      </c>
      <c r="BV485" s="19" t="n">
        <v>1</v>
      </c>
      <c r="BW485" s="19" t="n">
        <v>185</v>
      </c>
      <c r="BX485" s="30"/>
      <c r="BY485" s="30" t="s">
        <v>1791</v>
      </c>
      <c r="BZ485" s="19" t="s">
        <v>1792</v>
      </c>
      <c r="CA485" s="19" t="str">
        <f aca="false">VLOOKUP(J485,[1]Eras!$A$2:$C$10, 2, TRUE())</f>
        <v>edw</v>
      </c>
      <c r="CB485" s="30" t="s">
        <v>357</v>
      </c>
      <c r="CC485" s="19" t="str">
        <f aca="false">CONCATENATE(CA485,"_",CB485)</f>
        <v>edw_Tanker</v>
      </c>
      <c r="CD485" s="19" t="str">
        <f aca="false">_xlfn.CONCAT(H485, "_",I485)</f>
        <v>wagon_RAIL</v>
      </c>
      <c r="CE485" s="31" t="str">
        <f aca="false">_xlfn.CONCAT("{BLACK}Length: {GOLD}", TEXT(ROUNDUP(IF(AQ485&lt;&gt;"",SUM(VALUE(_xlfn.TEXTSPLIT(AQ485, ","))), SUM(VALUE(_xlfn.TEXTSPLIT(AN485, ",")))*IF(M485, M485, 1))/16, 1), "#,##0.0"), " tiles{}")</f>
        <v>{BLACK}Length: {GOLD}0.4 tiles{}</v>
      </c>
      <c r="CF485" s="19" t="str">
        <f aca="false">VLOOKUP($CD485, [1]Constants!$M$1:$N$1048576, 2, FALSE())</f>
        <v/>
      </c>
      <c r="CG485" s="19" t="str">
        <f aca="false">IF(M485&gt;1,_xlfn.CONCAT("{BLACK}Cars: {GOLD}", M485),"")</f>
        <v/>
      </c>
      <c r="CH485" s="19" t="s">
        <v>1793</v>
      </c>
      <c r="CJ485" s="19" t="str">
        <f aca="false">IF(BX485="buffet","{YELLOW}25% long distance bonus for consist{}",IF(CA485="BRAKE","{YELLOW}Speed bonus for slow wagons{}",IF(BW485&gt;190,CONCATENATE("{YELLOW}",INT((BW485-185)/1.85),"% bonus for long distance travel{}"),IF(AND(BW485&lt;180,BW485&lt;&gt;0),CONCATENATE("{YELLOW}",INT((185-BW485)/1.85),"% penalty for long distance travel{}"),""))))</f>
        <v/>
      </c>
      <c r="CK485" s="19" t="str">
        <f aca="false">_xlfn.CONCAT(CF485,IF(CF485 &lt;&gt; "", " ", ""),CG485,IF(OR(CG485&lt;&gt;"", CF485&lt;&gt;""), "{}",""), CE485, CJ485,"{SILVER}", CH485)</f>
        <v>{BLACK}Length: {GOLD}0.4 tiles{}{SILVER}The standard RCH Salt Wagon design of 1907 was long-lived in private ownership and saw some use beyond sodium chloride, which was largely used as part of the chemical industry.</v>
      </c>
    </row>
    <row r="486" s="19" customFormat="true" ht="14.25" hidden="false" customHeight="false" outlineLevel="0" collapsed="false">
      <c r="A486" s="19" t="s">
        <v>1794</v>
      </c>
      <c r="B486" s="20" t="s">
        <v>1795</v>
      </c>
      <c r="C486" s="21" t="n">
        <v>3099</v>
      </c>
      <c r="E486" s="19" t="n">
        <v>1025</v>
      </c>
      <c r="F486" s="19" t="s">
        <v>143</v>
      </c>
      <c r="G486" s="19" t="s">
        <v>144</v>
      </c>
      <c r="H486" s="19" t="s">
        <v>144</v>
      </c>
      <c r="I486" s="19" t="s">
        <v>92</v>
      </c>
      <c r="J486" s="19" t="n">
        <v>1955</v>
      </c>
      <c r="K486" s="19" t="n">
        <v>1980</v>
      </c>
      <c r="L486" s="19" t="n">
        <v>1987</v>
      </c>
      <c r="O486" s="22"/>
      <c r="P486" s="23"/>
      <c r="Q486" s="23"/>
      <c r="R486" s="23"/>
      <c r="S486" s="23"/>
      <c r="T486" s="23"/>
      <c r="U486" s="23"/>
      <c r="V486" s="23"/>
      <c r="W486" s="19" t="n">
        <v>13.4</v>
      </c>
      <c r="X486" s="22"/>
      <c r="Y486" s="19" t="n">
        <v>5</v>
      </c>
      <c r="AA486" s="24" t="str">
        <f aca="false">IF(AND(W486&gt;0,Z486&gt;0),(Z486/((W486+X486)*10)),"")</f>
        <v/>
      </c>
      <c r="AB486" s="19" t="n">
        <v>50</v>
      </c>
      <c r="AC486" s="19" t="n">
        <f aca="false">ROUND(AB486*1.6, 0)</f>
        <v>80</v>
      </c>
      <c r="AF486" s="19" t="n">
        <v>6</v>
      </c>
      <c r="AG486" s="19" t="n">
        <v>8</v>
      </c>
      <c r="AH486" s="19" t="n">
        <v>2.5</v>
      </c>
      <c r="AI486" s="19" t="n">
        <v>3.35</v>
      </c>
      <c r="AJ486" s="25" t="n">
        <v>20</v>
      </c>
      <c r="AK486" s="26" t="str">
        <f aca="false">CONCATENATE(VLOOKUP(AL486, '[1]Voxel Sizes'!$A$2:$B$18,2,FALSE()),"x",INT(AH486*15), "x", INT(AI486*15))</f>
        <v>82x37x50</v>
      </c>
      <c r="AL486" s="19" t="n">
        <f aca="false">ROUND(15*((AG486*10)/256),0)</f>
        <v>5</v>
      </c>
      <c r="AN486" s="19" t="str">
        <f aca="false">CONCATENATE(VLOOKUP(AL486,[1]Constants!$A$2:$C$16,IF(AM486&lt;&gt;"", 3, 2), FALSE()),IF(AM486&lt;&gt;"",CONCATENATE(",",VLOOKUP(AM486,$B:$AN,38,FALSE())),""))</f>
        <v>2,1,2</v>
      </c>
      <c r="AP486" s="27"/>
      <c r="AQ486" s="27"/>
      <c r="AX486" s="19" t="n">
        <v>30</v>
      </c>
      <c r="AY486" s="28" t="n">
        <f aca="false">IF(L486&lt;&gt;"",MAX(16,(L486-J486)+8),"")</f>
        <v>40</v>
      </c>
      <c r="AZ486" s="19" t="n">
        <v>5</v>
      </c>
      <c r="BB486" s="19" t="n">
        <f aca="false">MIN(AB486/150, 1)*30</f>
        <v>10</v>
      </c>
      <c r="BC486" s="19" t="n">
        <f aca="false">MIN(N486/4000, 1)*20</f>
        <v>0</v>
      </c>
      <c r="BD486" s="19" t="n">
        <f aca="false">MIN(Z486/400,1)*20</f>
        <v>0</v>
      </c>
      <c r="BE486" s="24" t="n">
        <f aca="false">1-(MAX(J486-1900, 0)/750)</f>
        <v>0.926666666666667</v>
      </c>
      <c r="BF486" s="19" t="n">
        <f aca="false">((MAX($M486,1)*MIN($AJ486/300,1)))*IF(G486="Wagon",50,10)</f>
        <v>3.33333333333333</v>
      </c>
      <c r="BG486" s="19" t="n">
        <f aca="false">VLOOKUP($H486,[1]Constants!$I$1:$K$1048576, 2, FALSE())</f>
        <v>1</v>
      </c>
      <c r="BH486" s="19" t="n">
        <f aca="false">VLOOKUP($H486,[1]Constants!$I$1:$K$1048576, 3, FALSE())*IF(AND(G486="multiple_unit",AB486&lt;110),0.75,1)</f>
        <v>0.45</v>
      </c>
      <c r="BI486" s="19" t="n">
        <f aca="false">INT(POWER((([1]Constants!$G$2+$BB486+$BC486+$BD486+$BF486)*$BE486)*$BH486, 1.05))+$BA486</f>
        <v>8</v>
      </c>
      <c r="BJ486" s="19" t="n">
        <f aca="false">INT(POWER(((([1]Constants!$G$1+$BB486+$BC486+$BD486+$BF486)*($BE486))*$BG486),IF($G486="wagon",1,1.2)))+$AZ486</f>
        <v>31</v>
      </c>
      <c r="BK486" s="29" t="n">
        <f aca="false">BI486*IF($G486="wagon",62.5,781.25)</f>
        <v>500</v>
      </c>
      <c r="BL486" s="29" t="n">
        <f aca="false">BJ486*IF($G486="wagon",2.73,81.25)</f>
        <v>84.63</v>
      </c>
      <c r="BV486" s="19" t="n">
        <v>1</v>
      </c>
      <c r="BW486" s="19" t="n">
        <v>185</v>
      </c>
      <c r="BY486" s="19" t="s">
        <v>1791</v>
      </c>
      <c r="BZ486" s="19" t="s">
        <v>1796</v>
      </c>
      <c r="CA486" s="19" t="str">
        <f aca="false">VLOOKUP(J486,[1]Eras!$A$2:$C$10, 2, TRUE())</f>
        <v>dsl</v>
      </c>
      <c r="CB486" s="30" t="s">
        <v>357</v>
      </c>
      <c r="CC486" s="19" t="str">
        <f aca="false">CONCATENATE(CA486,"_",CB486)</f>
        <v>dsl_Tanker</v>
      </c>
      <c r="CD486" s="19" t="str">
        <f aca="false">_xlfn.CONCAT(H486, "_",I486)</f>
        <v>wagon_RAIL</v>
      </c>
      <c r="CE486" s="31" t="str">
        <f aca="false">_xlfn.CONCAT("{BLACK}Length: {GOLD}", TEXT(ROUNDUP(IF(AQ486&lt;&gt;"",SUM(VALUE(_xlfn.TEXTSPLIT(AQ486, ","))), SUM(VALUE(_xlfn.TEXTSPLIT(AN486, ",")))*IF(M486, M486, 1))/16, 1), "#,##0.0"), " tiles{}")</f>
        <v>{BLACK}Length: {GOLD}0.4 tiles{}</v>
      </c>
      <c r="CF486" s="19" t="str">
        <f aca="false">VLOOKUP($CD486, [1]Constants!$M$1:$N$1048576, 2, FALSE())</f>
        <v/>
      </c>
      <c r="CG486" s="19" t="str">
        <f aca="false">IF(M486&gt;1,_xlfn.CONCAT("{BLACK}Cars: {GOLD}", M486),"")</f>
        <v/>
      </c>
      <c r="CH486" s="19" t="s">
        <v>1797</v>
      </c>
      <c r="CJ486" s="19" t="str">
        <f aca="false">IF(BX486="buffet","{YELLOW}25% long distance bonus for consist{}",IF(CA486="BRAKE","{YELLOW}Speed bonus for slow wagons{}",IF(BW486&gt;190,CONCATENATE("{YELLOW}",INT((BW486-185)/1.85),"% bonus for long distance travel{}"),IF(AND(BW486&lt;180,BW486&lt;&gt;0),CONCATENATE("{YELLOW}",INT((185-BW486)/1.85),"% penalty for long distance travel{}"),""))))</f>
        <v/>
      </c>
      <c r="CK486" s="19" t="str">
        <f aca="false">_xlfn.CONCAT(CF486,IF(CF486 &lt;&gt; "", " ", ""),CG486,IF(OR(CG486&lt;&gt;"", CF486&lt;&gt;""), "{}",""), CE486, CJ486,"{SILVER}", CH486)</f>
        <v>{BLACK}Length: {GOLD}0.4 tiles{}{SILVER}The Presflo covered hopper was designed specifically to carry cement powder, being unloaded via a pressurized air connection and liquefaction of the cargo.</v>
      </c>
      <c r="CL486" s="19" t="n">
        <v>1</v>
      </c>
    </row>
    <row r="487" s="19" customFormat="true" ht="14.25" hidden="false" customHeight="false" outlineLevel="0" collapsed="false">
      <c r="A487" s="30" t="s">
        <v>1798</v>
      </c>
      <c r="B487" s="49" t="s">
        <v>1799</v>
      </c>
      <c r="C487" s="21" t="n">
        <v>3100</v>
      </c>
      <c r="E487" s="19" t="n">
        <v>1026</v>
      </c>
      <c r="F487" s="19" t="s">
        <v>143</v>
      </c>
      <c r="G487" s="19" t="s">
        <v>144</v>
      </c>
      <c r="H487" s="19" t="s">
        <v>144</v>
      </c>
      <c r="I487" s="19" t="s">
        <v>92</v>
      </c>
      <c r="J487" s="19" t="n">
        <v>1968</v>
      </c>
      <c r="K487" s="19" t="n">
        <v>2012</v>
      </c>
      <c r="L487" s="19" t="n">
        <v>2022</v>
      </c>
      <c r="O487" s="22"/>
      <c r="P487" s="23"/>
      <c r="Q487" s="23"/>
      <c r="R487" s="23"/>
      <c r="S487" s="23"/>
      <c r="T487" s="23"/>
      <c r="U487" s="23"/>
      <c r="V487" s="23"/>
      <c r="W487" s="19" t="n">
        <v>12.4</v>
      </c>
      <c r="X487" s="22"/>
      <c r="Y487" s="19" t="n">
        <v>4</v>
      </c>
      <c r="AA487" s="24" t="str">
        <f aca="false">IF(AND(W487&gt;0,Z487&gt;0),(Z487/((W487+X487)*10)),"")</f>
        <v/>
      </c>
      <c r="AB487" s="19" t="n">
        <v>50</v>
      </c>
      <c r="AC487" s="19" t="n">
        <f aca="false">ROUND(AB487*1.6, 0)</f>
        <v>80</v>
      </c>
      <c r="AF487" s="19" t="n">
        <v>8</v>
      </c>
      <c r="AG487" s="19" t="n">
        <v>8</v>
      </c>
      <c r="AH487" s="19" t="n">
        <v>2.6</v>
      </c>
      <c r="AI487" s="19" t="n">
        <v>3.9</v>
      </c>
      <c r="AJ487" s="25" t="n">
        <v>33</v>
      </c>
      <c r="AK487" s="26" t="str">
        <f aca="false">CONCATENATE(VLOOKUP(AL487, '[1]Voxel Sizes'!$A$2:$B$18,2,FALSE()),"x",INT(AH487*15), "x", INT(AI487*15))</f>
        <v>82x39x58</v>
      </c>
      <c r="AL487" s="19" t="n">
        <f aca="false">ROUND(15*((AG487*10)/256),0)</f>
        <v>5</v>
      </c>
      <c r="AN487" s="19" t="str">
        <f aca="false">CONCATENATE(VLOOKUP(AL487,[1]Constants!$A$2:$C$16,IF(AM487&lt;&gt;"", 3, 2), FALSE()),IF(AM487&lt;&gt;"",CONCATENATE(",",VLOOKUP(AM487,$B:$AN,38,FALSE())),""))</f>
        <v>2,1,2</v>
      </c>
      <c r="AP487" s="27"/>
      <c r="AQ487" s="27"/>
      <c r="AX487" s="19" t="n">
        <v>30</v>
      </c>
      <c r="AY487" s="28" t="n">
        <f aca="false">IF(L487&lt;&gt;"",MAX(16,(L487-J487)+8),"")</f>
        <v>62</v>
      </c>
      <c r="AZ487" s="19" t="n">
        <v>5</v>
      </c>
      <c r="BB487" s="19" t="n">
        <f aca="false">MIN(AB487/150, 1)*30</f>
        <v>10</v>
      </c>
      <c r="BC487" s="19" t="n">
        <f aca="false">MIN(N487/4000, 1)*20</f>
        <v>0</v>
      </c>
      <c r="BD487" s="19" t="n">
        <f aca="false">MIN(Z487/400,1)*20</f>
        <v>0</v>
      </c>
      <c r="BE487" s="24" t="n">
        <f aca="false">1-(MAX(J487-1900, 0)/750)</f>
        <v>0.909333333333333</v>
      </c>
      <c r="BF487" s="19" t="n">
        <f aca="false">((MAX($M487,1)*MIN($AJ487/300,1)))*IF(G487="Wagon",50,10)</f>
        <v>5.5</v>
      </c>
      <c r="BG487" s="19" t="n">
        <f aca="false">VLOOKUP($H487,[1]Constants!$I$1:$K$1048576, 2, FALSE())</f>
        <v>1</v>
      </c>
      <c r="BH487" s="19" t="n">
        <f aca="false">VLOOKUP($H487,[1]Constants!$I$1:$K$1048576, 3, FALSE())*IF(AND(G487="multiple_unit",AB487&lt;110),0.75,1)</f>
        <v>0.45</v>
      </c>
      <c r="BI487" s="19" t="n">
        <f aca="false">INT(POWER((([1]Constants!$G$2+$BB487+$BC487+$BD487+$BF487)*$BE487)*$BH487, 1.05))+$BA487</f>
        <v>9</v>
      </c>
      <c r="BJ487" s="19" t="n">
        <f aca="false">INT(POWER(((([1]Constants!$G$1+$BB487+$BC487+$BD487+$BF487)*($BE487))*$BG487),IF($G487="wagon",1,1.2)))+$AZ487</f>
        <v>32</v>
      </c>
      <c r="BK487" s="29" t="n">
        <f aca="false">BI487*IF($G487="wagon",62.5,781.25)</f>
        <v>562.5</v>
      </c>
      <c r="BL487" s="29" t="n">
        <f aca="false">BJ487*IF($G487="wagon",2.73,81.25)</f>
        <v>87.36</v>
      </c>
      <c r="BV487" s="19" t="n">
        <v>1</v>
      </c>
      <c r="BW487" s="19" t="n">
        <v>185</v>
      </c>
      <c r="BY487" s="19" t="s">
        <v>1791</v>
      </c>
      <c r="BZ487" s="19" t="s">
        <v>1796</v>
      </c>
      <c r="CA487" s="19" t="str">
        <f aca="false">VLOOKUP(J487,[1]Eras!$A$2:$C$10, 2, TRUE())</f>
        <v>dsl</v>
      </c>
      <c r="CB487" s="30" t="s">
        <v>357</v>
      </c>
      <c r="CC487" s="19" t="str">
        <f aca="false">CONCATENATE(CA487,"_",CB487)</f>
        <v>dsl_Tanker</v>
      </c>
      <c r="CD487" s="19" t="str">
        <f aca="false">_xlfn.CONCAT(H487, "_",I487)</f>
        <v>wagon_RAIL</v>
      </c>
      <c r="CE487" s="31" t="str">
        <f aca="false">_xlfn.CONCAT("{BLACK}Length: {GOLD}", TEXT(ROUNDUP(IF(AQ487&lt;&gt;"",SUM(VALUE(_xlfn.TEXTSPLIT(AQ487, ","))), SUM(VALUE(_xlfn.TEXTSPLIT(AN487, ",")))*IF(M487, M487, 1))/16, 1), "#,##0.0"), " tiles{}")</f>
        <v>{BLACK}Length: {GOLD}0.4 tiles{}</v>
      </c>
      <c r="CF487" s="19" t="str">
        <f aca="false">VLOOKUP($CD487, [1]Constants!$M$1:$N$1048576, 2, FALSE())</f>
        <v/>
      </c>
      <c r="CG487" s="19" t="str">
        <f aca="false">IF(M487&gt;1,_xlfn.CONCAT("{BLACK}Cars: {GOLD}", M487),"")</f>
        <v/>
      </c>
      <c r="CH487" s="19" t="s">
        <v>1800</v>
      </c>
      <c r="CJ487" s="19" t="str">
        <f aca="false">IF(BX487="buffet","{YELLOW}25% long distance bonus for consist{}",IF(CA487="BRAKE","{YELLOW}Speed bonus for slow wagons{}",IF(BW487&gt;190,CONCATENATE("{YELLOW}",INT((BW487-185)/1.85),"% bonus for long distance travel{}"),IF(AND(BW487&lt;180,BW487&lt;&gt;0),CONCATENATE("{YELLOW}",INT((185-BW487)/1.85),"% penalty for long distance travel{}"),""))))</f>
        <v/>
      </c>
      <c r="CK487" s="19" t="str">
        <f aca="false">_xlfn.CONCAT(CF487,IF(CF487 &lt;&gt; "", " ", ""),CG487,IF(OR(CG487&lt;&gt;"", CF487&lt;&gt;""), "{}",""), CE487, CJ487,"{SILVER}", CH487)</f>
        <v>{BLACK}Length: {GOLD}0.4 tiles{}{SILVER}The PCA tanker, with it’s notable depressed-center ‘vee’ appearance, could carry large amounts of cement and was a common sight in mixed freight trains.</v>
      </c>
      <c r="CL487" s="19" t="n">
        <v>1</v>
      </c>
    </row>
    <row r="488" s="19" customFormat="true" ht="14.25" hidden="false" customHeight="false" outlineLevel="0" collapsed="false">
      <c r="A488" s="30" t="s">
        <v>1801</v>
      </c>
      <c r="B488" s="49" t="s">
        <v>1802</v>
      </c>
      <c r="C488" s="21" t="n">
        <v>3101</v>
      </c>
      <c r="E488" s="19" t="n">
        <v>1027</v>
      </c>
      <c r="F488" s="19" t="s">
        <v>143</v>
      </c>
      <c r="G488" s="19" t="s">
        <v>144</v>
      </c>
      <c r="H488" s="19" t="s">
        <v>144</v>
      </c>
      <c r="I488" s="19" t="s">
        <v>92</v>
      </c>
      <c r="J488" s="19" t="n">
        <v>2007</v>
      </c>
      <c r="O488" s="22"/>
      <c r="P488" s="23"/>
      <c r="Q488" s="23"/>
      <c r="R488" s="23"/>
      <c r="S488" s="23"/>
      <c r="T488" s="23"/>
      <c r="U488" s="23"/>
      <c r="V488" s="23"/>
      <c r="W488" s="19" t="n">
        <v>19.9</v>
      </c>
      <c r="X488" s="22"/>
      <c r="Y488" s="19" t="n">
        <v>5</v>
      </c>
      <c r="AA488" s="24" t="str">
        <f aca="false">IF(AND(W488&gt;0,Z488&gt;0),(Z488/((W488+X488)*10)),"")</f>
        <v/>
      </c>
      <c r="AB488" s="19" t="n">
        <v>75</v>
      </c>
      <c r="AC488" s="19" t="n">
        <f aca="false">ROUND(AB488*1.6, 0)</f>
        <v>120</v>
      </c>
      <c r="AF488" s="19" t="n">
        <v>16.2</v>
      </c>
      <c r="AG488" s="19" t="n">
        <v>17</v>
      </c>
      <c r="AH488" s="19" t="n">
        <v>2.7</v>
      </c>
      <c r="AI488" s="19" t="n">
        <v>3.8</v>
      </c>
      <c r="AJ488" s="25" t="n">
        <v>80</v>
      </c>
      <c r="AK488" s="26" t="str">
        <f aca="false">CONCATENATE(VLOOKUP(AL488, '[1]Voxel Sizes'!$A$2:$B$18,2,FALSE()),"x",INT(AH488*15), "x", INT(AI488*15))</f>
        <v>164x40x57</v>
      </c>
      <c r="AL488" s="19" t="n">
        <f aca="false">ROUND(15*((AG488*10)/256),0)</f>
        <v>10</v>
      </c>
      <c r="AN488" s="19" t="str">
        <f aca="false">CONCATENATE(VLOOKUP(AL488,[1]Constants!$A$2:$C$16,IF(AM488&lt;&gt;"", 3, 2), FALSE()),IF(AM488&lt;&gt;"",CONCATENATE(",",VLOOKUP(AM488,$B:$AN,38,FALSE())),""))</f>
        <v>4,2,4</v>
      </c>
      <c r="AP488" s="27"/>
      <c r="AQ488" s="27"/>
      <c r="AX488" s="19" t="n">
        <v>30</v>
      </c>
      <c r="AY488" s="28" t="str">
        <f aca="false">IF(L488&lt;&gt;"",MAX(16,(L488-J488)+8),"")</f>
        <v/>
      </c>
      <c r="BB488" s="19" t="n">
        <f aca="false">MIN(AB488/150, 1)*30</f>
        <v>15</v>
      </c>
      <c r="BC488" s="19" t="n">
        <f aca="false">MIN(N488/4000, 1)*20</f>
        <v>0</v>
      </c>
      <c r="BD488" s="19" t="n">
        <f aca="false">MIN(Z488/400,1)*20</f>
        <v>0</v>
      </c>
      <c r="BE488" s="24" t="n">
        <f aca="false">1-(MAX(J488-1900, 0)/750)</f>
        <v>0.857333333333333</v>
      </c>
      <c r="BF488" s="19" t="n">
        <f aca="false">((MAX($M488,1)*MIN($AJ488/300,1)))*IF(G488="Wagon",50,10)</f>
        <v>13.3333333333333</v>
      </c>
      <c r="BG488" s="19" t="n">
        <f aca="false">VLOOKUP($H488,[1]Constants!$I$1:$K$1048576, 2, FALSE())</f>
        <v>1</v>
      </c>
      <c r="BH488" s="19" t="n">
        <f aca="false">VLOOKUP($H488,[1]Constants!$I$1:$K$1048576, 3, FALSE())*IF(AND(G488="multiple_unit",AB488&lt;110),0.75,1)</f>
        <v>0.45</v>
      </c>
      <c r="BI488" s="19" t="n">
        <f aca="false">INT(POWER((([1]Constants!$G$2+$BB488+$BC488+$BD488+$BF488)*$BE488)*$BH488, 1.05))+$BA488</f>
        <v>14</v>
      </c>
      <c r="BJ488" s="19" t="n">
        <f aca="false">INT(POWER(((([1]Constants!$G$1+$BB488+$BC488+$BD488+$BF488)*($BE488))*$BG488),IF($G488="wagon",1,1.2)))+$AZ488</f>
        <v>37</v>
      </c>
      <c r="BK488" s="29" t="n">
        <f aca="false">BI488*IF($G488="wagon",62.5,781.25)</f>
        <v>875</v>
      </c>
      <c r="BL488" s="29" t="n">
        <f aca="false">BJ488*IF($G488="wagon",2.73,81.25)</f>
        <v>101.01</v>
      </c>
      <c r="BV488" s="19" t="n">
        <v>1</v>
      </c>
      <c r="BW488" s="19" t="n">
        <v>185</v>
      </c>
      <c r="BY488" s="19" t="s">
        <v>1803</v>
      </c>
      <c r="BZ488" s="19" t="s">
        <v>1796</v>
      </c>
      <c r="CA488" s="19" t="str">
        <f aca="false">VLOOKUP(J488,[1]Eras!$A$2:$C$10, 2, TRUE())</f>
        <v>mod</v>
      </c>
      <c r="CB488" s="30" t="s">
        <v>357</v>
      </c>
      <c r="CC488" s="19" t="str">
        <f aca="false">CONCATENATE(CA488,"_",CB488)</f>
        <v>mod_Tanker</v>
      </c>
      <c r="CD488" s="19" t="str">
        <f aca="false">_xlfn.CONCAT(H488, "_",I488)</f>
        <v>wagon_RAIL</v>
      </c>
      <c r="CE488" s="31" t="str">
        <f aca="false">_xlfn.CONCAT("{BLACK}Length: {GOLD}", TEXT(ROUNDUP(IF(AQ488&lt;&gt;"",SUM(VALUE(_xlfn.TEXTSPLIT(AQ488, ","))), SUM(VALUE(_xlfn.TEXTSPLIT(AN488, ",")))*IF(M488, M488, 1))/16, 1), "#,##0.0"), " tiles{}")</f>
        <v>{BLACK}Length: {GOLD}0.7 tiles{}</v>
      </c>
      <c r="CF488" s="19" t="str">
        <f aca="false">VLOOKUP($CD488, [1]Constants!$M$1:$N$1048576, 2, FALSE())</f>
        <v/>
      </c>
      <c r="CG488" s="19" t="str">
        <f aca="false">IF(M488&gt;1,_xlfn.CONCAT("{BLACK}Cars: {GOLD}", M488),"")</f>
        <v/>
      </c>
      <c r="CH488" s="19" t="s">
        <v>1804</v>
      </c>
      <c r="CJ488" s="19" t="str">
        <f aca="false">IF(BX488="buffet","{YELLOW}25% long distance bonus for consist{}",IF(CA488="BRAKE","{YELLOW}Speed bonus for slow wagons{}",IF(BW488&gt;190,CONCATENATE("{YELLOW}",INT((BW488-185)/1.85),"% bonus for long distance travel{}"),IF(AND(BW488&lt;180,BW488&lt;&gt;0),CONCATENATE("{YELLOW}",INT((185-BW488)/1.85),"% penalty for long distance travel{}"),""))))</f>
        <v/>
      </c>
      <c r="CK488" s="19" t="str">
        <f aca="false">_xlfn.CONCAT(CF488,IF(CF488 &lt;&gt; "", " ", ""),CG488,IF(OR(CG488&lt;&gt;"", CF488&lt;&gt;""), "{}",""), CE488, CJ488,"{SILVER}", CH488)</f>
        <v>{BLACK}Length: {GOLD}0.7 tiles{}{SILVER}By the 2000s the BR-era 2-axle cement tankers then in use were beginning to show their age. They were replaced by these large bogie tank wagons built in Germany, with a distinctive fish-belly shape.</v>
      </c>
    </row>
    <row r="489" s="19" customFormat="true" ht="14.25" hidden="false" customHeight="false" outlineLevel="0" collapsed="false">
      <c r="A489" s="30" t="s">
        <v>1805</v>
      </c>
      <c r="B489" s="49" t="s">
        <v>1806</v>
      </c>
      <c r="C489" s="21" t="n">
        <v>3102</v>
      </c>
      <c r="E489" s="19" t="n">
        <v>1090</v>
      </c>
      <c r="F489" s="19" t="s">
        <v>143</v>
      </c>
      <c r="G489" s="19" t="s">
        <v>144</v>
      </c>
      <c r="H489" s="19" t="s">
        <v>423</v>
      </c>
      <c r="I489" s="19" t="s">
        <v>92</v>
      </c>
      <c r="J489" s="19" t="n">
        <v>1924</v>
      </c>
      <c r="K489" s="19" t="n">
        <v>1955</v>
      </c>
      <c r="L489" s="19" t="n">
        <v>1961</v>
      </c>
      <c r="O489" s="22"/>
      <c r="P489" s="23"/>
      <c r="Q489" s="23"/>
      <c r="R489" s="23"/>
      <c r="S489" s="23"/>
      <c r="T489" s="23"/>
      <c r="U489" s="23"/>
      <c r="V489" s="23"/>
      <c r="W489" s="19" t="n">
        <v>20</v>
      </c>
      <c r="X489" s="22"/>
      <c r="Y489" s="19" t="n">
        <v>4</v>
      </c>
      <c r="AA489" s="24" t="str">
        <f aca="false">IF(AND(W489&gt;0,Z489&gt;0),(Z489/((W489+X489)*10)),"")</f>
        <v/>
      </c>
      <c r="AB489" s="19" t="n">
        <v>60</v>
      </c>
      <c r="AC489" s="19" t="n">
        <f aca="false">ROUND(AB489*1.6, 0)</f>
        <v>96</v>
      </c>
      <c r="AF489" s="19" t="n">
        <v>6.1</v>
      </c>
      <c r="AG489" s="19" t="n">
        <v>8</v>
      </c>
      <c r="AH489" s="19" t="n">
        <v>2.5</v>
      </c>
      <c r="AI489" s="19" t="n">
        <v>3.35</v>
      </c>
      <c r="AJ489" s="25" t="n">
        <v>0</v>
      </c>
      <c r="AK489" s="26" t="str">
        <f aca="false">CONCATENATE(VLOOKUP(AL489, '[1]Voxel Sizes'!$A$2:$B$18,2,FALSE()),"x",INT(AH489*15), "x", INT(AI489*15))</f>
        <v>82x37x50</v>
      </c>
      <c r="AL489" s="19" t="n">
        <f aca="false">ROUND(15*((AG489*10)/256),0)</f>
        <v>5</v>
      </c>
      <c r="AN489" s="19" t="str">
        <f aca="false">CONCATENATE(VLOOKUP(AL489,[1]Constants!$A$2:$C$16,IF(AM489&lt;&gt;"", 3, 2), FALSE()),IF(AM489&lt;&gt;"",CONCATENATE(",",VLOOKUP(AM489,$B:$AN,38,FALSE())),""))</f>
        <v>2,1,2</v>
      </c>
      <c r="AP489" s="27"/>
      <c r="AQ489" s="27"/>
      <c r="AX489" s="19" t="n">
        <v>50</v>
      </c>
      <c r="AY489" s="28" t="n">
        <f aca="false">IF(L489&lt;&gt;"",MAX(16,(L489-J489)+8),"")</f>
        <v>45</v>
      </c>
      <c r="AZ489" s="19" t="n">
        <v>12</v>
      </c>
      <c r="BA489" s="19" t="n">
        <v>6</v>
      </c>
      <c r="BB489" s="19" t="n">
        <f aca="false">MIN(AB489/150, 1)*30</f>
        <v>12</v>
      </c>
      <c r="BC489" s="19" t="n">
        <f aca="false">MIN(N489/4000, 1)*20</f>
        <v>0</v>
      </c>
      <c r="BD489" s="19" t="n">
        <f aca="false">MIN(Z489/400,1)*20</f>
        <v>0</v>
      </c>
      <c r="BE489" s="24" t="n">
        <f aca="false">1-(MAX(J489-1900, 0)/750)</f>
        <v>0.968</v>
      </c>
      <c r="BF489" s="19" t="n">
        <f aca="false">((MAX($M489,1)*MIN($AJ489/300,1)))*IF(G489="Wagon",50,10)</f>
        <v>0</v>
      </c>
      <c r="BG489" s="19" t="n">
        <f aca="false">VLOOKUP($H489,[1]Constants!$I$1:$K$1048576, 2, FALSE())</f>
        <v>1</v>
      </c>
      <c r="BH489" s="19" t="n">
        <f aca="false">VLOOKUP($H489,[1]Constants!$I$1:$K$1048576, 3, FALSE())*IF(AND(G489="multiple_unit",AB489&lt;110),0.75,1)</f>
        <v>0.4</v>
      </c>
      <c r="BI489" s="19" t="n">
        <f aca="false">INT(POWER((([1]Constants!$G$2+$BB489+$BC489+$BD489+$BF489)*$BE489)*$BH489, 1.05))+$BA489</f>
        <v>13</v>
      </c>
      <c r="BJ489" s="19" t="n">
        <f aca="false">INT(POWER(((([1]Constants!$G$1+$BB489+$BC489+$BD489+$BF489)*($BE489))*$BG489),IF($G489="wagon",1,1.2)))+$AZ489</f>
        <v>38</v>
      </c>
      <c r="BK489" s="29" t="n">
        <f aca="false">BI489*IF($G489="wagon",62.5,781.25)</f>
        <v>812.5</v>
      </c>
      <c r="BL489" s="29" t="n">
        <f aca="false">BJ489*IF($G489="wagon",2.73,81.25)</f>
        <v>103.74</v>
      </c>
      <c r="BV489" s="19" t="n">
        <v>1</v>
      </c>
      <c r="BX489" s="30"/>
      <c r="BY489" s="30" t="s">
        <v>424</v>
      </c>
      <c r="BZ489" s="30" t="s">
        <v>425</v>
      </c>
      <c r="CA489" s="19" t="str">
        <f aca="false">VLOOKUP(J489,[1]Eras!$A$2:$C$10, 2, TRUE())</f>
        <v>big4</v>
      </c>
      <c r="CB489" s="30" t="s">
        <v>303</v>
      </c>
      <c r="CC489" s="19" t="str">
        <f aca="false">CONCATENATE(CA489,"_",CB489)</f>
        <v>big4_Extra</v>
      </c>
      <c r="CD489" s="19" t="str">
        <f aca="false">_xlfn.CONCAT(H489, "_",I489)</f>
        <v>brake_RAIL</v>
      </c>
      <c r="CE489" s="31" t="str">
        <f aca="false">_xlfn.CONCAT("{BLACK}Length: {GOLD}", TEXT(ROUNDUP(IF(AQ489&lt;&gt;"",SUM(VALUE(_xlfn.TEXTSPLIT(AQ489, ","))), SUM(VALUE(_xlfn.TEXTSPLIT(AN489, ",")))*IF(M489, M489, 1))/16, 1), "#,##0.0"), " tiles{}")</f>
        <v>{BLACK}Length: {GOLD}0.4 tiles{}</v>
      </c>
      <c r="CF489" s="19" t="str">
        <f aca="false">VLOOKUP($CD489, [1]Constants!$M$1:$N$1048576, 2, FALSE())</f>
        <v/>
      </c>
      <c r="CG489" s="19" t="str">
        <f aca="false">IF(M489&gt;1,_xlfn.CONCAT("{BLACK}Cars: {GOLD}", M489),"")</f>
        <v/>
      </c>
      <c r="CH489" s="19" t="s">
        <v>1807</v>
      </c>
      <c r="CJ489" s="19" t="str">
        <f aca="false">IF(BZ489="buffet","{YELLOW}25% long distance bonus for consist{}",IF(CA489="BRAKE","{YELLOW}Speed bonus for slow wagons{}",IF(BW489&gt;190,CONCATENATE("{YELLOW}",INT((BW489-185)/1.85),"% bonus for long distance travel{}"),IF(AND(BW489&lt;180,BW489&lt;&gt;0),CONCATENATE("{YELLOW}",INT((185-BW489)/1.85),"% penalty for long distance travel{}"),""))))</f>
        <v/>
      </c>
      <c r="CK489" s="19" t="str">
        <f aca="false">_xlfn.CONCAT(CF489,IF(CF489 &lt;&gt; "", " ", ""),CG489,IF(OR(CG489&lt;&gt;"", CF489&lt;&gt;""), "{}",""), CE489, CJ489,"{SILVER}", CH489)</f>
        <v>{BLACK}Length: {GOLD}0.4 tiles{}{SILVER}This Midland Railway design of Brake Van was also built by the LMS - over 800 were constructed and they were still extant into the early 1960s.</v>
      </c>
    </row>
    <row r="490" s="19" customFormat="true" ht="14.25" hidden="false" customHeight="false" outlineLevel="0" collapsed="false">
      <c r="A490" s="30" t="s">
        <v>1808</v>
      </c>
      <c r="B490" s="49" t="s">
        <v>1809</v>
      </c>
      <c r="C490" s="21" t="n">
        <v>3103</v>
      </c>
      <c r="E490" s="19" t="n">
        <v>1091</v>
      </c>
      <c r="F490" s="19" t="s">
        <v>143</v>
      </c>
      <c r="G490" s="19" t="s">
        <v>144</v>
      </c>
      <c r="H490" s="19" t="s">
        <v>423</v>
      </c>
      <c r="I490" s="19" t="s">
        <v>92</v>
      </c>
      <c r="J490" s="19" t="n">
        <v>1938</v>
      </c>
      <c r="K490" s="19" t="n">
        <v>1969</v>
      </c>
      <c r="L490" s="19" t="n">
        <v>1988</v>
      </c>
      <c r="O490" s="22"/>
      <c r="P490" s="23"/>
      <c r="Q490" s="23"/>
      <c r="R490" s="23"/>
      <c r="S490" s="23"/>
      <c r="T490" s="23"/>
      <c r="U490" s="23"/>
      <c r="V490" s="23"/>
      <c r="W490" s="19" t="n">
        <v>20</v>
      </c>
      <c r="X490" s="22"/>
      <c r="Y490" s="19" t="n">
        <v>4</v>
      </c>
      <c r="AA490" s="24" t="str">
        <f aca="false">IF(AND(W490&gt;0,Z490&gt;0),(Z490/((W490+X490)*10)),"")</f>
        <v/>
      </c>
      <c r="AB490" s="19" t="n">
        <v>60</v>
      </c>
      <c r="AC490" s="19" t="n">
        <f aca="false">ROUND(AB490*1.6, 0)</f>
        <v>96</v>
      </c>
      <c r="AF490" s="19" t="n">
        <v>10</v>
      </c>
      <c r="AG490" s="19" t="n">
        <v>10</v>
      </c>
      <c r="AH490" s="19" t="n">
        <v>2.5</v>
      </c>
      <c r="AI490" s="19" t="n">
        <v>3.35</v>
      </c>
      <c r="AJ490" s="25" t="n">
        <v>0</v>
      </c>
      <c r="AK490" s="26" t="str">
        <f aca="false">CONCATENATE(VLOOKUP(AL490, '[1]Voxel Sizes'!$A$2:$B$18,2,FALSE()),"x",INT(AH490*15), "x", INT(AI490*15))</f>
        <v>102x37x50</v>
      </c>
      <c r="AL490" s="19" t="n">
        <f aca="false">ROUND(15*((AG490*10)/256),0)</f>
        <v>6</v>
      </c>
      <c r="AN490" s="19" t="str">
        <f aca="false">CONCATENATE(VLOOKUP(AL490,[1]Constants!$A$2:$C$16,IF(AM490&lt;&gt;"", 3, 2), FALSE()),IF(AM490&lt;&gt;"",CONCATENATE(",",VLOOKUP(AM490,$B:$AN,38,FALSE())),""))</f>
        <v>2,2,2</v>
      </c>
      <c r="AP490" s="27"/>
      <c r="AQ490" s="27"/>
      <c r="AX490" s="19" t="n">
        <v>50</v>
      </c>
      <c r="AY490" s="28" t="n">
        <f aca="false">IF(L490&lt;&gt;"",MAX(16,(L490-J490)+8),"")</f>
        <v>58</v>
      </c>
      <c r="AZ490" s="19" t="n">
        <v>12</v>
      </c>
      <c r="BA490" s="19" t="n">
        <v>6</v>
      </c>
      <c r="BB490" s="19" t="n">
        <f aca="false">MIN(AB490/150, 1)*30</f>
        <v>12</v>
      </c>
      <c r="BC490" s="19" t="n">
        <f aca="false">MIN(N490/4000, 1)*20</f>
        <v>0</v>
      </c>
      <c r="BD490" s="19" t="n">
        <f aca="false">MIN(Z490/400,1)*20</f>
        <v>0</v>
      </c>
      <c r="BE490" s="24" t="n">
        <f aca="false">1-(MAX(J490-1900, 0)/750)</f>
        <v>0.949333333333333</v>
      </c>
      <c r="BF490" s="19" t="n">
        <f aca="false">((MAX($M490,1)*MIN($AJ490/300,1)))*IF(G490="Wagon",50,10)</f>
        <v>0</v>
      </c>
      <c r="BG490" s="19" t="n">
        <f aca="false">VLOOKUP($H490,[1]Constants!$I$1:$K$1048576, 2, FALSE())</f>
        <v>1</v>
      </c>
      <c r="BH490" s="19" t="n">
        <f aca="false">VLOOKUP($H490,[1]Constants!$I$1:$K$1048576, 3, FALSE())*IF(AND(G490="multiple_unit",AB490&lt;110),0.75,1)</f>
        <v>0.4</v>
      </c>
      <c r="BI490" s="19" t="n">
        <f aca="false">INT(POWER((([1]Constants!$G$2+$BB490+$BC490+$BD490+$BF490)*$BE490)*$BH490, 1.05))+$BA490</f>
        <v>13</v>
      </c>
      <c r="BJ490" s="19" t="n">
        <f aca="false">INT(POWER(((([1]Constants!$G$1+$BB490+$BC490+$BD490+$BF490)*($BE490))*$BG490),IF($G490="wagon",1,1.2)))+$AZ490</f>
        <v>37</v>
      </c>
      <c r="BK490" s="29" t="n">
        <f aca="false">BI490*IF($G490="wagon",62.5,781.25)</f>
        <v>812.5</v>
      </c>
      <c r="BL490" s="29" t="n">
        <f aca="false">BJ490*IF($G490="wagon",2.73,81.25)</f>
        <v>101.01</v>
      </c>
      <c r="BV490" s="19" t="n">
        <v>1</v>
      </c>
      <c r="BX490" s="30"/>
      <c r="BY490" s="30" t="s">
        <v>424</v>
      </c>
      <c r="BZ490" s="30" t="s">
        <v>425</v>
      </c>
      <c r="CA490" s="19" t="str">
        <f aca="false">VLOOKUP(J490,[1]Eras!$A$2:$C$10, 2, TRUE())</f>
        <v>big4</v>
      </c>
      <c r="CB490" s="30" t="s">
        <v>303</v>
      </c>
      <c r="CC490" s="19" t="str">
        <f aca="false">CONCATENATE(CA490,"_",CB490)</f>
        <v>big4_Extra</v>
      </c>
      <c r="CD490" s="19" t="str">
        <f aca="false">_xlfn.CONCAT(H490, "_",I490)</f>
        <v>brake_RAIL</v>
      </c>
      <c r="CE490" s="31" t="str">
        <f aca="false">_xlfn.CONCAT("{BLACK}Length: {GOLD}", TEXT(ROUNDUP(IF(AQ490&lt;&gt;"",SUM(VALUE(_xlfn.TEXTSPLIT(AQ490, ","))), SUM(VALUE(_xlfn.TEXTSPLIT(AN490, ",")))*IF(M490, M490, 1))/16, 1), "#,##0.0"), " tiles{}")</f>
        <v>{BLACK}Length: {GOLD}0.4 tiles{}</v>
      </c>
      <c r="CF490" s="19" t="str">
        <f aca="false">VLOOKUP($CD490, [1]Constants!$M$1:$N$1048576, 2, FALSE())</f>
        <v/>
      </c>
      <c r="CG490" s="19" t="str">
        <f aca="false">IF(M490&gt;1,_xlfn.CONCAT("{BLACK}Cars: {GOLD}", M490),"")</f>
        <v/>
      </c>
      <c r="CH490" s="19" t="s">
        <v>1810</v>
      </c>
      <c r="CJ490" s="19" t="str">
        <f aca="false">IF(BZ490="buffet","{YELLOW}25% long distance bonus for consist{}",IF(CA490="BRAKE","{YELLOW}Speed bonus for slow wagons{}",IF(BW490&gt;190,CONCATENATE("{YELLOW}",INT((BW490-185)/1.85),"% bonus for long distance travel{}"),IF(AND(BW490&lt;180,BW490&lt;&gt;0),CONCATENATE("{YELLOW}",INT((185-BW490)/1.85),"% penalty for long distance travel{}"),""))))</f>
        <v/>
      </c>
      <c r="CK490" s="19" t="str">
        <f aca="false">_xlfn.CONCAT(CF490,IF(CF490 &lt;&gt; "", " ", ""),CG490,IF(OR(CG490&lt;&gt;"", CF490&lt;&gt;""), "{}",""), CE490, CJ490,"{SILVER}", CH490)</f>
        <v>{BLACK}Length: {GOLD}0.4 tiles{}{SILVER}The native design of LMS Brake Van had a sizable veranda at both ends. Once again, they lasted well into BR ownership as part of Engineers’ trains.</v>
      </c>
    </row>
    <row r="491" s="19" customFormat="true" ht="14.25" hidden="false" customHeight="false" outlineLevel="0" collapsed="false">
      <c r="A491" s="30" t="s">
        <v>1811</v>
      </c>
      <c r="B491" s="49" t="s">
        <v>1812</v>
      </c>
      <c r="C491" s="21" t="n">
        <v>3104</v>
      </c>
      <c r="E491" s="19" t="n">
        <v>1021</v>
      </c>
      <c r="F491" s="19" t="s">
        <v>143</v>
      </c>
      <c r="G491" s="19" t="s">
        <v>144</v>
      </c>
      <c r="H491" s="19" t="s">
        <v>144</v>
      </c>
      <c r="I491" s="19" t="s">
        <v>92</v>
      </c>
      <c r="J491" s="19" t="n">
        <v>1936</v>
      </c>
      <c r="K491" s="19" t="n">
        <v>1962</v>
      </c>
      <c r="L491" s="19" t="n">
        <v>1966</v>
      </c>
      <c r="O491" s="22"/>
      <c r="P491" s="23"/>
      <c r="Q491" s="23"/>
      <c r="R491" s="23"/>
      <c r="S491" s="23"/>
      <c r="T491" s="23"/>
      <c r="U491" s="23"/>
      <c r="V491" s="23"/>
      <c r="W491" s="19" t="n">
        <v>10.1</v>
      </c>
      <c r="X491" s="22"/>
      <c r="Y491" s="19" t="n">
        <v>4</v>
      </c>
      <c r="AA491" s="24" t="str">
        <f aca="false">IF(AND(W491&gt;0,Z491&gt;0),(Z491/((W491+X491)*10)),"")</f>
        <v/>
      </c>
      <c r="AB491" s="19" t="n">
        <v>45</v>
      </c>
      <c r="AC491" s="19" t="n">
        <f aca="false">ROUND(AB491*1.6, 0)</f>
        <v>72</v>
      </c>
      <c r="AF491" s="19" t="n">
        <v>9</v>
      </c>
      <c r="AG491" s="19" t="n">
        <v>9</v>
      </c>
      <c r="AH491" s="19" t="n">
        <v>2.5</v>
      </c>
      <c r="AI491" s="19" t="n">
        <v>3.35</v>
      </c>
      <c r="AJ491" s="25" t="n">
        <v>20</v>
      </c>
      <c r="AK491" s="26" t="str">
        <f aca="false">CONCATENATE(VLOOKUP(AL491, '[1]Voxel Sizes'!$A$2:$B$18,2,FALSE()),"x",INT(AH491*15), "x", INT(AI491*15))</f>
        <v>82x37x50</v>
      </c>
      <c r="AL491" s="19" t="n">
        <f aca="false">ROUND(15*((AG491*10)/256),0)</f>
        <v>5</v>
      </c>
      <c r="AN491" s="19" t="str">
        <f aca="false">CONCATENATE(VLOOKUP(AL491,[1]Constants!$A$2:$C$16,IF(AM491&lt;&gt;"", 3, 2), FALSE()),IF(AM491&lt;&gt;"",CONCATENATE(",",VLOOKUP(AM491,$B:$AN,38,FALSE())),""))</f>
        <v>2,1,2</v>
      </c>
      <c r="AP491" s="27"/>
      <c r="AQ491" s="27"/>
      <c r="AX491" s="19" t="n">
        <v>30</v>
      </c>
      <c r="AY491" s="28" t="n">
        <f aca="false">IF(L491&lt;&gt;"",MAX(16,(L491-J491)+8),"")</f>
        <v>38</v>
      </c>
      <c r="AZ491" s="19" t="n">
        <v>5</v>
      </c>
      <c r="BB491" s="19" t="n">
        <f aca="false">MIN(AB491/150, 1)*30</f>
        <v>9</v>
      </c>
      <c r="BC491" s="19" t="n">
        <f aca="false">MIN(N491/4000, 1)*20</f>
        <v>0</v>
      </c>
      <c r="BD491" s="19" t="n">
        <f aca="false">MIN(Z491/400,1)*20</f>
        <v>0</v>
      </c>
      <c r="BE491" s="24" t="n">
        <f aca="false">1-(MAX(J491-1900, 0)/750)</f>
        <v>0.952</v>
      </c>
      <c r="BF491" s="19" t="n">
        <f aca="false">((MAX($M491,1)*MIN($AJ491/300,1)))*IF(G491="Wagon",50,10)</f>
        <v>3.33333333333333</v>
      </c>
      <c r="BG491" s="19" t="n">
        <f aca="false">VLOOKUP($H491,[1]Constants!$I$1:$K$1048576, 2, FALSE())</f>
        <v>1</v>
      </c>
      <c r="BH491" s="19" t="n">
        <f aca="false">VLOOKUP($H491,[1]Constants!$I$1:$K$1048576, 3, FALSE())*IF(AND(G491="multiple_unit",AB491&lt;110),0.75,1)</f>
        <v>0.45</v>
      </c>
      <c r="BI491" s="19" t="n">
        <f aca="false">INT(POWER((([1]Constants!$G$2+$BB491+$BC491+$BD491+$BF491)*$BE491)*$BH491, 1.05))+$BA491</f>
        <v>8</v>
      </c>
      <c r="BJ491" s="19" t="n">
        <f aca="false">INT(POWER(((([1]Constants!$G$1+$BB491+$BC491+$BD491+$BF491)*($BE491))*$BG491),IF($G491="wagon",1,1.2)))+$AZ491</f>
        <v>31</v>
      </c>
      <c r="BK491" s="29" t="n">
        <f aca="false">BI491*IF($G491="wagon",62.5,781.25)</f>
        <v>500</v>
      </c>
      <c r="BL491" s="29" t="n">
        <f aca="false">BJ491*IF($G491="wagon",2.73,81.25)</f>
        <v>84.63</v>
      </c>
      <c r="BV491" s="19" t="n">
        <v>1</v>
      </c>
      <c r="BW491" s="19" t="n">
        <v>185</v>
      </c>
      <c r="BY491" s="19" t="s">
        <v>1803</v>
      </c>
      <c r="BZ491" s="19" t="s">
        <v>1813</v>
      </c>
      <c r="CA491" s="19" t="str">
        <f aca="false">VLOOKUP(J491,[1]Eras!$A$2:$C$10, 2, TRUE())</f>
        <v>big4</v>
      </c>
      <c r="CB491" s="30" t="s">
        <v>357</v>
      </c>
      <c r="CC491" s="19" t="str">
        <f aca="false">CONCATENATE(CA491,"_",CB491)</f>
        <v>big4_Tanker</v>
      </c>
      <c r="CD491" s="19" t="str">
        <f aca="false">_xlfn.CONCAT(H491, "_",I491)</f>
        <v>wagon_RAIL</v>
      </c>
      <c r="CE491" s="31" t="str">
        <f aca="false">_xlfn.CONCAT("{BLACK}Length: {GOLD}", TEXT(ROUNDUP(IF(AQ491&lt;&gt;"",SUM(VALUE(_xlfn.TEXTSPLIT(AQ491, ","))), SUM(VALUE(_xlfn.TEXTSPLIT(AN491, ",")))*IF(M491, M491, 1))/16, 1), "#,##0.0"), " tiles{}")</f>
        <v>{BLACK}Length: {GOLD}0.4 tiles{}</v>
      </c>
      <c r="CF491" s="19" t="str">
        <f aca="false">VLOOKUP($CD491, [1]Constants!$M$1:$N$1048576, 2, FALSE())</f>
        <v/>
      </c>
      <c r="CG491" s="19" t="str">
        <f aca="false">IF(M491&gt;1,_xlfn.CONCAT("{BLACK}Cars: {GOLD}", M491),"")</f>
        <v/>
      </c>
      <c r="CH491" s="19" t="s">
        <v>1814</v>
      </c>
      <c r="CJ491" s="19" t="str">
        <f aca="false">IF(BX491="buffet","{YELLOW}25% long distance bonus for consist{}",IF(CA491="BRAKE","{YELLOW}Speed bonus for slow wagons{}",IF(BW491&gt;190,CONCATENATE("{YELLOW}",INT((BW491-185)/1.85),"% bonus for long distance travel{}"),IF(AND(BW491&lt;180,BW491&lt;&gt;0),CONCATENATE("{YELLOW}",INT((185-BW491)/1.85),"% penalty for long distance travel{}"),""))))</f>
        <v/>
      </c>
      <c r="CK491" s="19" t="str">
        <f aca="false">_xlfn.CONCAT(CF491,IF(CF491 &lt;&gt; "", " ", ""),CG491,IF(OR(CG491&lt;&gt;"", CF491&lt;&gt;""), "{}",""), CE491, CJ491,"{SILVER}", CH491)</f>
        <v>{BLACK}Length: {GOLD}0.4 tiles{}{SILVER}The LMS Grain Hooper was later standardised into the BR COVGRAIN standard design. Long-distance bulk grain service in covered hoppers was a significant efficiency gain over shipping bagged grain by the vanload.</v>
      </c>
    </row>
    <row r="492" s="19" customFormat="true" ht="14.25" hidden="false" customHeight="false" outlineLevel="0" collapsed="false">
      <c r="A492" s="30" t="s">
        <v>1815</v>
      </c>
      <c r="B492" s="49" t="s">
        <v>1816</v>
      </c>
      <c r="C492" s="21" t="n">
        <v>3105</v>
      </c>
      <c r="E492" s="19" t="n">
        <v>1092</v>
      </c>
      <c r="F492" s="19" t="s">
        <v>143</v>
      </c>
      <c r="G492" s="19" t="s">
        <v>144</v>
      </c>
      <c r="H492" s="19" t="s">
        <v>423</v>
      </c>
      <c r="I492" s="19" t="s">
        <v>92</v>
      </c>
      <c r="J492" s="19" t="n">
        <v>1936</v>
      </c>
      <c r="K492" s="19" t="n">
        <v>1990</v>
      </c>
      <c r="L492" s="19" t="n">
        <v>1998</v>
      </c>
      <c r="O492" s="22"/>
      <c r="P492" s="23"/>
      <c r="Q492" s="23"/>
      <c r="R492" s="23"/>
      <c r="S492" s="23"/>
      <c r="T492" s="23"/>
      <c r="U492" s="23"/>
      <c r="V492" s="23"/>
      <c r="W492" s="19" t="n">
        <v>26</v>
      </c>
      <c r="X492" s="22"/>
      <c r="Y492" s="19" t="n">
        <v>4</v>
      </c>
      <c r="AA492" s="24" t="str">
        <f aca="false">IF(AND(W492&gt;0,Z492&gt;0),(Z492/((W492+X492)*10)),"")</f>
        <v/>
      </c>
      <c r="AB492" s="19" t="n">
        <v>75</v>
      </c>
      <c r="AC492" s="19" t="n">
        <f aca="false">ROUND(AB492*1.6, 0)</f>
        <v>120</v>
      </c>
      <c r="AF492" s="19" t="n">
        <v>12.8</v>
      </c>
      <c r="AG492" s="19" t="n">
        <v>12.8</v>
      </c>
      <c r="AH492" s="19" t="n">
        <v>2.5</v>
      </c>
      <c r="AI492" s="19" t="n">
        <v>3.35</v>
      </c>
      <c r="AJ492" s="25" t="n">
        <v>0</v>
      </c>
      <c r="AK492" s="26" t="str">
        <f aca="false">CONCATENATE(VLOOKUP(AL492, '[1]Voxel Sizes'!$A$2:$B$18,2,FALSE()),"x",INT(AH492*15), "x", INT(AI492*15))</f>
        <v>136x37x50</v>
      </c>
      <c r="AL492" s="19" t="n">
        <f aca="false">ROUND(15*((AG492*10)/256),0)</f>
        <v>8</v>
      </c>
      <c r="AN492" s="19" t="str">
        <f aca="false">CONCATENATE(VLOOKUP(AL492,[1]Constants!$A$2:$C$16,IF(AM492&lt;&gt;"", 3, 2), FALSE()),IF(AM492&lt;&gt;"",CONCATENATE(",",VLOOKUP(AM492,$B:$AN,38,FALSE())),""))</f>
        <v>2,4,2</v>
      </c>
      <c r="AP492" s="27"/>
      <c r="AQ492" s="27"/>
      <c r="AX492" s="19" t="n">
        <v>50</v>
      </c>
      <c r="AY492" s="28" t="n">
        <f aca="false">IF(L492&lt;&gt;"",MAX(16,(L492-J492)+8),"")</f>
        <v>70</v>
      </c>
      <c r="BB492" s="19" t="n">
        <f aca="false">MIN(AB492/150, 1)*30</f>
        <v>15</v>
      </c>
      <c r="BC492" s="19" t="n">
        <f aca="false">MIN(N492/4000, 1)*20</f>
        <v>0</v>
      </c>
      <c r="BD492" s="19" t="n">
        <f aca="false">MIN(Z492/400,1)*20</f>
        <v>0</v>
      </c>
      <c r="BE492" s="24" t="n">
        <f aca="false">1-(MAX(J492-1900, 0)/750)</f>
        <v>0.952</v>
      </c>
      <c r="BF492" s="19" t="n">
        <f aca="false">((MAX($M492,1)*MIN($AJ492/300,1)))*IF(G492="Wagon",50,10)</f>
        <v>0</v>
      </c>
      <c r="BG492" s="19" t="n">
        <f aca="false">VLOOKUP($H492,[1]Constants!$I$1:$K$1048576, 2, FALSE())</f>
        <v>1</v>
      </c>
      <c r="BH492" s="19" t="n">
        <f aca="false">VLOOKUP($H492,[1]Constants!$I$1:$K$1048576, 3, FALSE())*IF(AND(G492="multiple_unit",AB492&lt;110),0.75,1)</f>
        <v>0.4</v>
      </c>
      <c r="BI492" s="19" t="n">
        <f aca="false">INT(POWER((([1]Constants!$G$2+$BB492+$BC492+$BD492+$BF492)*$BE492)*$BH492, 1.05))+$BA492</f>
        <v>8</v>
      </c>
      <c r="BJ492" s="19" t="n">
        <f aca="false">INT(POWER(((([1]Constants!$G$1+$BB492+$BC492+$BD492+$BF492)*($BE492))*$BG492),IF($G492="wagon",1,1.2)))+$AZ492</f>
        <v>28</v>
      </c>
      <c r="BK492" s="29" t="n">
        <f aca="false">BI492*IF($G492="wagon",62.5,781.25)</f>
        <v>500</v>
      </c>
      <c r="BL492" s="29" t="n">
        <f aca="false">BJ492*IF($G492="wagon",2.73,81.25)</f>
        <v>76.44</v>
      </c>
      <c r="BV492" s="19" t="n">
        <v>1</v>
      </c>
      <c r="BX492" s="30"/>
      <c r="BY492" s="30" t="s">
        <v>424</v>
      </c>
      <c r="BZ492" s="30" t="s">
        <v>425</v>
      </c>
      <c r="CA492" s="19" t="str">
        <f aca="false">VLOOKUP(J492,[1]Eras!$A$2:$C$10, 2, TRUE())</f>
        <v>big4</v>
      </c>
      <c r="CB492" s="30" t="s">
        <v>303</v>
      </c>
      <c r="CC492" s="19" t="str">
        <f aca="false">CONCATENATE(CA492,"_",CB492)</f>
        <v>big4_Extra</v>
      </c>
      <c r="CD492" s="19" t="str">
        <f aca="false">_xlfn.CONCAT(H492, "_",I492)</f>
        <v>brake_RAIL</v>
      </c>
      <c r="CE492" s="31" t="str">
        <f aca="false">_xlfn.CONCAT("{BLACK}Length: {GOLD}", TEXT(ROUNDUP(IF(AQ492&lt;&gt;"",SUM(VALUE(_xlfn.TEXTSPLIT(AQ492, ","))), SUM(VALUE(_xlfn.TEXTSPLIT(AN492, ",")))*IF(M492, M492, 1))/16, 1), "#,##0.0"), " tiles{}")</f>
        <v>{BLACK}Length: {GOLD}0.5 tiles{}</v>
      </c>
      <c r="CF492" s="19" t="str">
        <f aca="false">VLOOKUP($CD492, [1]Constants!$M$1:$N$1048576, 2, FALSE())</f>
        <v/>
      </c>
      <c r="CG492" s="19" t="str">
        <f aca="false">IF(M492&gt;1,_xlfn.CONCAT("{BLACK}Cars: {GOLD}", M492),"")</f>
        <v/>
      </c>
      <c r="CH492" s="19" t="s">
        <v>1817</v>
      </c>
      <c r="CJ492" s="19" t="str">
        <f aca="false">IF(BZ492="buffet","{YELLOW}25% long distance bonus for consist{}",IF(CA492="BRAKE","{YELLOW}Speed bonus for slow wagons{}",IF(BW492&gt;190,CONCATENATE("{YELLOW}",INT((BW492-185)/1.85),"% bonus for long distance travel{}"),IF(AND(BW492&lt;180,BW492&lt;&gt;0),CONCATENATE("{YELLOW}",INT((185-BW492)/1.85),"% penalty for long distance travel{}"),""))))</f>
        <v/>
      </c>
      <c r="CK492" s="19" t="str">
        <f aca="false">_xlfn.CONCAT(CF492,IF(CF492 &lt;&gt; "", " ", ""),CG492,IF(OR(CG492&lt;&gt;"", CF492&lt;&gt;""), "{}",""), CE492, CJ492,"{SILVER}", CH492)</f>
        <v>{BLACK}Length: {GOLD}0.5 tiles{}{SILVER}The first SR ‘Queen Mary’ Brake vans converted from LBSCR ‘Milk Van’ MLVs, and lasted in departmental and limited freight service into the 2000s! A shed on rails with a stove and a desk has 1000 uses.</v>
      </c>
    </row>
    <row r="493" s="30" customFormat="true" ht="14.25" hidden="false" customHeight="false" outlineLevel="0" collapsed="false">
      <c r="A493" s="30" t="s">
        <v>1818</v>
      </c>
      <c r="B493" s="49" t="s">
        <v>1819</v>
      </c>
      <c r="C493" s="21" t="n">
        <v>3106</v>
      </c>
      <c r="D493" s="19" t="n">
        <v>3105</v>
      </c>
      <c r="E493" s="19" t="n">
        <v>1093</v>
      </c>
      <c r="F493" s="19" t="s">
        <v>143</v>
      </c>
      <c r="G493" s="19" t="s">
        <v>144</v>
      </c>
      <c r="H493" s="19" t="s">
        <v>423</v>
      </c>
      <c r="I493" s="19" t="s">
        <v>92</v>
      </c>
      <c r="J493" s="19" t="n">
        <v>1936</v>
      </c>
      <c r="K493" s="19" t="n">
        <v>1990</v>
      </c>
      <c r="L493" s="19" t="n">
        <v>1998</v>
      </c>
      <c r="M493" s="19"/>
      <c r="N493" s="19"/>
      <c r="O493" s="22"/>
      <c r="P493" s="23"/>
      <c r="Q493" s="23"/>
      <c r="R493" s="23"/>
      <c r="S493" s="23"/>
      <c r="T493" s="23"/>
      <c r="U493" s="23"/>
      <c r="V493" s="23"/>
      <c r="W493" s="19" t="n">
        <v>26</v>
      </c>
      <c r="X493" s="22"/>
      <c r="Y493" s="19" t="n">
        <v>4</v>
      </c>
      <c r="Z493" s="19"/>
      <c r="AA493" s="24" t="str">
        <f aca="false">IF(AND(W493&gt;0,Z493&gt;0),(Z493/((W493+X493)*10)),"")</f>
        <v/>
      </c>
      <c r="AB493" s="19" t="n">
        <v>75</v>
      </c>
      <c r="AC493" s="19" t="n">
        <f aca="false">ROUND(AB493*1.6, 0)</f>
        <v>120</v>
      </c>
      <c r="AD493" s="19"/>
      <c r="AE493" s="19"/>
      <c r="AF493" s="19" t="n">
        <v>12.8</v>
      </c>
      <c r="AG493" s="19" t="n">
        <v>12.8</v>
      </c>
      <c r="AH493" s="19" t="n">
        <v>2.5</v>
      </c>
      <c r="AI493" s="19" t="n">
        <v>3.35</v>
      </c>
      <c r="AJ493" s="25" t="n">
        <v>0</v>
      </c>
      <c r="AK493" s="26" t="str">
        <f aca="false">CONCATENATE(VLOOKUP(AL493, '[1]Voxel Sizes'!$A$2:$B$18,2,FALSE()),"x",INT(AH493*15), "x", INT(AI493*15))</f>
        <v>136x37x50</v>
      </c>
      <c r="AL493" s="19" t="n">
        <f aca="false">ROUND(15*((AG493*10)/256),0)</f>
        <v>8</v>
      </c>
      <c r="AM493" s="19"/>
      <c r="AN493" s="19" t="str">
        <f aca="false">CONCATENATE(VLOOKUP(AL493,[1]Constants!$A$2:$C$16,IF(AM493&lt;&gt;"", 3, 2), FALSE()),IF(AM493&lt;&gt;"",CONCATENATE(",",VLOOKUP(AM493,$B:$AN,38,FALSE())),""))</f>
        <v>2,4,2</v>
      </c>
      <c r="AO493" s="19"/>
      <c r="AP493" s="27"/>
      <c r="AQ493" s="27"/>
      <c r="AR493" s="19"/>
      <c r="AS493" s="19"/>
      <c r="AT493" s="19"/>
      <c r="AU493" s="19"/>
      <c r="AV493" s="19"/>
      <c r="AW493" s="19"/>
      <c r="AX493" s="19" t="n">
        <v>50</v>
      </c>
      <c r="AY493" s="28" t="n">
        <f aca="false">IF(L493&lt;&gt;"",MAX(16,(L493-J493)+8),"")</f>
        <v>70</v>
      </c>
      <c r="AZ493" s="19"/>
      <c r="BA493" s="19"/>
      <c r="BB493" s="19" t="n">
        <f aca="false">MIN(AB493/150, 1)*30</f>
        <v>15</v>
      </c>
      <c r="BC493" s="19" t="n">
        <f aca="false">MIN(N493/4000, 1)*20</f>
        <v>0</v>
      </c>
      <c r="BD493" s="19" t="n">
        <f aca="false">MIN(Z493/400,1)*20</f>
        <v>0</v>
      </c>
      <c r="BE493" s="24" t="n">
        <f aca="false">1-(MAX(J493-1900, 0)/750)</f>
        <v>0.952</v>
      </c>
      <c r="BF493" s="19" t="n">
        <f aca="false">((MAX($M493,1)*MIN($AJ493/300,1)))*IF(G493="Wagon",50,10)</f>
        <v>0</v>
      </c>
      <c r="BG493" s="19" t="n">
        <f aca="false">VLOOKUP($H493,[1]Constants!$I$1:$K$1048576, 2, FALSE())</f>
        <v>1</v>
      </c>
      <c r="BH493" s="19" t="n">
        <f aca="false">VLOOKUP($H493,[1]Constants!$I$1:$K$1048576, 3, FALSE())*IF(AND(G493="multiple_unit",AB493&lt;110),0.75,1)</f>
        <v>0.4</v>
      </c>
      <c r="BI493" s="19" t="n">
        <f aca="false">INT(POWER((([1]Constants!$G$2+$BB493+$BC493+$BD493+$BF493)*$BE493)*$BH493, 1.05))+$BA493</f>
        <v>8</v>
      </c>
      <c r="BJ493" s="19" t="n">
        <f aca="false">INT(POWER(((([1]Constants!$G$1+$BB493+$BC493+$BD493+$BF493)*($BE493))*$BG493),IF($G493="wagon",1,1.2)))+$AZ493</f>
        <v>28</v>
      </c>
      <c r="BK493" s="29" t="n">
        <f aca="false">BI493*IF($G493="wagon",62.5,781.25)</f>
        <v>500</v>
      </c>
      <c r="BL493" s="29" t="n">
        <f aca="false">BJ493*IF($G493="wagon",2.73,81.25)</f>
        <v>76.44</v>
      </c>
      <c r="BM493" s="19"/>
      <c r="BN493" s="19"/>
      <c r="BO493" s="19"/>
      <c r="BP493" s="19"/>
      <c r="BQ493" s="19"/>
      <c r="BR493" s="19"/>
      <c r="BS493" s="19"/>
      <c r="BT493" s="19"/>
      <c r="BU493" s="19"/>
      <c r="BV493" s="19" t="n">
        <v>1</v>
      </c>
      <c r="BW493" s="19"/>
      <c r="BZ493" s="30" t="s">
        <v>425</v>
      </c>
      <c r="CA493" s="19" t="str">
        <f aca="false">VLOOKUP(J493,[1]Eras!$A$2:$C$10, 2, TRUE())</f>
        <v>big4</v>
      </c>
      <c r="CB493" s="30" t="s">
        <v>303</v>
      </c>
      <c r="CC493" s="19" t="str">
        <f aca="false">CONCATENATE(CA493,"_",CB493)</f>
        <v>big4_Extra</v>
      </c>
      <c r="CD493" s="19" t="str">
        <f aca="false">_xlfn.CONCAT(H493, "_",I493)</f>
        <v>brake_RAIL</v>
      </c>
      <c r="CE493" s="31" t="str">
        <f aca="false">_xlfn.CONCAT("{BLACK}Length: {GOLD}", TEXT(ROUNDUP(IF(AQ493&lt;&gt;"",SUM(VALUE(_xlfn.TEXTSPLIT(AQ493, ","))), SUM(VALUE(_xlfn.TEXTSPLIT(AN493, ",")))*IF(M493, M493, 1))/16, 1), "#,##0.0"), " tiles{}")</f>
        <v>{BLACK}Length: {GOLD}0.5 tiles{}</v>
      </c>
      <c r="CF493" s="19" t="str">
        <f aca="false">VLOOKUP($CD493, [1]Constants!$M$1:$N$1048576, 2, FALSE())</f>
        <v/>
      </c>
      <c r="CG493" s="19" t="str">
        <f aca="false">IF(M493&gt;1,_xlfn.CONCAT("{BLACK}Cars: {GOLD}", M493),"")</f>
        <v/>
      </c>
      <c r="CH493" s="19" t="s">
        <v>1820</v>
      </c>
      <c r="CI493" s="19"/>
      <c r="CJ493" s="19" t="str">
        <f aca="false">IF(BZ493="buffet","{YELLOW}25% long distance bonus for consist{}",IF(CA493="BRAKE","{YELLOW}Speed bonus for slow wagons{}",IF(BW493&gt;190,CONCATENATE("{YELLOW}",INT((BW493-185)/1.85),"% bonus for long distance travel{}"),IF(AND(BW493&lt;180,BW493&lt;&gt;0),CONCATENATE("{YELLOW}",INT((185-BW493)/1.85),"% penalty for long distance travel{}"),""))))</f>
        <v/>
      </c>
      <c r="CK493" s="19" t="str">
        <f aca="false">_xlfn.CONCAT(CF493,IF(CF493 &lt;&gt; "", " ", ""),CG493,IF(OR(CG493&lt;&gt;"", CF493&lt;&gt;""), "{}",""), CE493, CJ493,"{SILVER}", CH493)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L493" s="19"/>
      <c r="CM493" s="19"/>
      <c r="CN493" s="19"/>
      <c r="CO493" s="19"/>
      <c r="CP493" s="19"/>
      <c r="CQ493" s="19"/>
      <c r="CR493" s="19"/>
      <c r="CS493" s="19"/>
      <c r="CT493" s="19"/>
      <c r="CU493" s="19"/>
      <c r="CV493" s="19"/>
      <c r="CW493" s="19"/>
      <c r="CX493" s="19"/>
      <c r="CY493" s="19"/>
      <c r="CZ493" s="19"/>
      <c r="DA493" s="19"/>
      <c r="DB493" s="19"/>
      <c r="DC493" s="19"/>
      <c r="DD493" s="19"/>
      <c r="DE493" s="19"/>
      <c r="DF493" s="19"/>
      <c r="DG493" s="19"/>
      <c r="DH493" s="19"/>
      <c r="DI493" s="19"/>
      <c r="DJ493" s="19"/>
      <c r="DK493" s="19"/>
      <c r="DL493" s="19"/>
      <c r="DM493" s="19"/>
      <c r="DN493" s="19"/>
      <c r="DO493" s="19"/>
      <c r="DP493" s="19"/>
      <c r="DQ493" s="19"/>
      <c r="DR493" s="19"/>
      <c r="DS493" s="19"/>
      <c r="DT493" s="19"/>
      <c r="DU493" s="19"/>
      <c r="DV493" s="19"/>
      <c r="DW493" s="19"/>
      <c r="DX493" s="19"/>
      <c r="DY493" s="19"/>
      <c r="DZ493" s="19"/>
      <c r="EA493" s="19"/>
      <c r="EB493" s="19"/>
      <c r="EC493" s="19"/>
      <c r="ED493" s="19"/>
      <c r="EE493" s="19"/>
      <c r="EF493" s="19"/>
      <c r="EG493" s="19"/>
      <c r="EH493" s="19"/>
      <c r="EI493" s="19"/>
      <c r="EJ493" s="19"/>
      <c r="EK493" s="19"/>
      <c r="EL493" s="19"/>
      <c r="EM493" s="19"/>
      <c r="EN493" s="19"/>
      <c r="EO493" s="19"/>
      <c r="EP493" s="19"/>
      <c r="EQ493" s="19"/>
      <c r="ER493" s="19"/>
      <c r="ES493" s="19"/>
      <c r="ET493" s="19"/>
      <c r="EU493" s="19"/>
      <c r="EV493" s="19"/>
      <c r="EW493" s="19"/>
      <c r="EX493" s="19"/>
      <c r="EY493" s="19"/>
      <c r="EZ493" s="19"/>
      <c r="FA493" s="19"/>
      <c r="FB493" s="19"/>
      <c r="FC493" s="19"/>
      <c r="FD493" s="19"/>
      <c r="FE493" s="19"/>
      <c r="FF493" s="19"/>
      <c r="FG493" s="19"/>
      <c r="FH493" s="19"/>
      <c r="FI493" s="19"/>
      <c r="FJ493" s="19"/>
      <c r="FK493" s="19"/>
      <c r="FL493" s="19"/>
      <c r="FM493" s="19"/>
      <c r="FN493" s="19"/>
      <c r="FO493" s="19"/>
      <c r="FP493" s="19"/>
      <c r="FQ493" s="19"/>
      <c r="FR493" s="19"/>
      <c r="FS493" s="19"/>
      <c r="FT493" s="19"/>
      <c r="FU493" s="19"/>
      <c r="FV493" s="19"/>
      <c r="FW493" s="19"/>
      <c r="FX493" s="19"/>
      <c r="FY493" s="19"/>
      <c r="FZ493" s="19"/>
      <c r="GA493" s="19"/>
      <c r="GB493" s="19"/>
      <c r="GC493" s="19"/>
      <c r="GD493" s="19"/>
      <c r="GE493" s="19"/>
      <c r="GF493" s="19"/>
      <c r="GG493" s="19"/>
      <c r="GH493" s="19"/>
      <c r="GI493" s="19"/>
      <c r="GJ493" s="19"/>
      <c r="GK493" s="19"/>
      <c r="GL493" s="19"/>
      <c r="GM493" s="19"/>
      <c r="GN493" s="19"/>
      <c r="GO493" s="19"/>
      <c r="GP493" s="19"/>
      <c r="GQ493" s="19"/>
      <c r="GR493" s="19"/>
      <c r="GS493" s="19"/>
      <c r="GT493" s="19"/>
      <c r="GU493" s="19"/>
      <c r="GV493" s="19"/>
      <c r="GW493" s="19"/>
      <c r="GX493" s="19"/>
      <c r="GY493" s="19"/>
      <c r="GZ493" s="19"/>
      <c r="HA493" s="19"/>
      <c r="HB493" s="19"/>
      <c r="HC493" s="19"/>
      <c r="HD493" s="19"/>
      <c r="HE493" s="19"/>
      <c r="HF493" s="19"/>
      <c r="HG493" s="19"/>
      <c r="HH493" s="19"/>
      <c r="HI493" s="19"/>
      <c r="HJ493" s="19"/>
      <c r="HK493" s="19"/>
      <c r="HL493" s="19"/>
      <c r="HM493" s="19"/>
      <c r="HN493" s="19"/>
      <c r="HO493" s="19"/>
      <c r="HP493" s="19"/>
      <c r="HQ493" s="19"/>
      <c r="HR493" s="19"/>
      <c r="HS493" s="19"/>
      <c r="HT493" s="19"/>
      <c r="HU493" s="19"/>
      <c r="HV493" s="19"/>
      <c r="HW493" s="19"/>
      <c r="HX493" s="19"/>
      <c r="HY493" s="19"/>
      <c r="HZ493" s="19"/>
      <c r="IA493" s="19"/>
      <c r="IB493" s="19"/>
      <c r="IC493" s="19"/>
      <c r="ID493" s="19"/>
      <c r="IE493" s="19"/>
      <c r="IF493" s="19"/>
      <c r="IG493" s="19"/>
      <c r="IH493" s="19"/>
      <c r="II493" s="19"/>
      <c r="IJ493" s="19"/>
      <c r="IK493" s="19"/>
      <c r="IL493" s="19"/>
      <c r="IM493" s="19"/>
      <c r="IN493" s="19"/>
      <c r="IO493" s="19"/>
      <c r="IP493" s="19"/>
      <c r="IQ493" s="19"/>
      <c r="IR493" s="19"/>
      <c r="IS493" s="19"/>
      <c r="IT493" s="19"/>
      <c r="IU493" s="19"/>
      <c r="IV493" s="19"/>
      <c r="IW493" s="19"/>
      <c r="IX493" s="19"/>
      <c r="IY493" s="19"/>
      <c r="IZ493" s="19"/>
      <c r="JA493" s="19"/>
      <c r="JB493" s="19"/>
      <c r="JC493" s="19"/>
      <c r="JD493" s="19"/>
      <c r="JE493" s="19"/>
      <c r="JF493" s="19"/>
      <c r="JG493" s="19"/>
      <c r="JH493" s="19"/>
      <c r="JI493" s="19"/>
      <c r="JJ493" s="19"/>
      <c r="JK493" s="19"/>
      <c r="JL493" s="19"/>
      <c r="JM493" s="19"/>
      <c r="JN493" s="19"/>
      <c r="JO493" s="19"/>
      <c r="JP493" s="19"/>
      <c r="JQ493" s="19"/>
      <c r="JR493" s="19"/>
      <c r="JS493" s="19"/>
      <c r="JT493" s="19"/>
      <c r="JU493" s="19"/>
      <c r="JV493" s="19"/>
      <c r="JW493" s="19"/>
      <c r="JX493" s="19"/>
      <c r="JY493" s="19"/>
      <c r="JZ493" s="19"/>
      <c r="KA493" s="19"/>
      <c r="KB493" s="19"/>
      <c r="KC493" s="19"/>
      <c r="KD493" s="19"/>
      <c r="KE493" s="19"/>
      <c r="KF493" s="19"/>
      <c r="KG493" s="19"/>
      <c r="KH493" s="19"/>
      <c r="KI493" s="19"/>
      <c r="KJ493" s="19"/>
      <c r="KK493" s="19"/>
      <c r="KL493" s="19"/>
      <c r="KM493" s="19"/>
      <c r="KN493" s="19"/>
      <c r="KO493" s="19"/>
      <c r="KP493" s="19"/>
      <c r="KQ493" s="19"/>
      <c r="KR493" s="19"/>
      <c r="KS493" s="19"/>
      <c r="KT493" s="19"/>
      <c r="KU493" s="19"/>
      <c r="KV493" s="19"/>
      <c r="KW493" s="19"/>
      <c r="KX493" s="19"/>
      <c r="KY493" s="19"/>
      <c r="KZ493" s="19"/>
      <c r="LA493" s="19"/>
      <c r="LB493" s="19"/>
      <c r="LC493" s="19"/>
      <c r="LD493" s="19"/>
      <c r="LE493" s="19"/>
      <c r="LF493" s="19"/>
      <c r="LG493" s="19"/>
      <c r="LH493" s="19"/>
      <c r="LI493" s="19"/>
      <c r="LJ493" s="19"/>
      <c r="LK493" s="19"/>
      <c r="LL493" s="19"/>
      <c r="LM493" s="19"/>
      <c r="LN493" s="19"/>
      <c r="LO493" s="19"/>
      <c r="LP493" s="19"/>
      <c r="LQ493" s="19"/>
      <c r="LR493" s="19"/>
      <c r="LS493" s="19"/>
      <c r="LT493" s="19"/>
      <c r="LU493" s="19"/>
      <c r="LV493" s="19"/>
      <c r="LW493" s="19"/>
      <c r="LX493" s="19"/>
      <c r="LY493" s="19"/>
      <c r="LZ493" s="19"/>
      <c r="MA493" s="19"/>
      <c r="MB493" s="19"/>
      <c r="MC493" s="19"/>
      <c r="MD493" s="19"/>
      <c r="ME493" s="19"/>
      <c r="MF493" s="19"/>
      <c r="MG493" s="19"/>
      <c r="MH493" s="19"/>
      <c r="MI493" s="19"/>
      <c r="MJ493" s="19"/>
      <c r="MK493" s="19"/>
      <c r="ML493" s="19"/>
      <c r="MM493" s="19"/>
      <c r="MN493" s="19"/>
      <c r="MO493" s="19"/>
      <c r="MP493" s="19"/>
      <c r="MQ493" s="19"/>
      <c r="MR493" s="19"/>
      <c r="MS493" s="19"/>
      <c r="MT493" s="19"/>
      <c r="MU493" s="19"/>
      <c r="MV493" s="19"/>
      <c r="MW493" s="19"/>
      <c r="MX493" s="19"/>
      <c r="MY493" s="19"/>
      <c r="MZ493" s="19"/>
      <c r="NA493" s="19"/>
      <c r="NB493" s="19"/>
      <c r="NC493" s="19"/>
      <c r="ND493" s="19"/>
      <c r="NE493" s="19"/>
      <c r="NF493" s="19"/>
      <c r="NG493" s="19"/>
      <c r="NH493" s="19"/>
      <c r="NI493" s="19"/>
      <c r="NJ493" s="19"/>
      <c r="NK493" s="19"/>
      <c r="NL493" s="19"/>
      <c r="NM493" s="19"/>
      <c r="NN493" s="19"/>
      <c r="NO493" s="19"/>
      <c r="NP493" s="19"/>
      <c r="NQ493" s="19"/>
      <c r="NR493" s="19"/>
      <c r="NS493" s="19"/>
      <c r="NT493" s="19"/>
      <c r="NU493" s="19"/>
      <c r="NV493" s="19"/>
      <c r="NW493" s="19"/>
      <c r="NX493" s="19"/>
      <c r="NY493" s="19"/>
      <c r="NZ493" s="19"/>
      <c r="OA493" s="19"/>
      <c r="OB493" s="19"/>
      <c r="OC493" s="19"/>
      <c r="OD493" s="19"/>
      <c r="OE493" s="19"/>
      <c r="OF493" s="19"/>
      <c r="OG493" s="19"/>
      <c r="OH493" s="19"/>
      <c r="OI493" s="19"/>
      <c r="OJ493" s="19"/>
      <c r="OK493" s="19"/>
      <c r="OL493" s="19"/>
      <c r="OM493" s="19"/>
      <c r="ON493" s="19"/>
      <c r="OO493" s="19"/>
      <c r="OP493" s="19"/>
      <c r="OQ493" s="19"/>
      <c r="OR493" s="19"/>
      <c r="OS493" s="19"/>
      <c r="OT493" s="19"/>
      <c r="OU493" s="19"/>
      <c r="OV493" s="19"/>
      <c r="OW493" s="19"/>
      <c r="OX493" s="19"/>
      <c r="OY493" s="19"/>
      <c r="OZ493" s="19"/>
      <c r="PA493" s="19"/>
      <c r="PB493" s="19"/>
      <c r="PC493" s="19"/>
      <c r="PD493" s="19"/>
      <c r="PE493" s="19"/>
      <c r="PF493" s="19"/>
      <c r="PG493" s="19"/>
      <c r="PH493" s="19"/>
      <c r="PI493" s="19"/>
      <c r="PJ493" s="19"/>
      <c r="PK493" s="19"/>
      <c r="PL493" s="19"/>
      <c r="PM493" s="19"/>
      <c r="PN493" s="19"/>
      <c r="PO493" s="19"/>
      <c r="PP493" s="19"/>
      <c r="PQ493" s="19"/>
      <c r="PR493" s="19"/>
      <c r="PS493" s="19"/>
      <c r="PT493" s="19"/>
      <c r="PU493" s="19"/>
      <c r="PV493" s="19"/>
      <c r="PW493" s="19"/>
      <c r="PX493" s="19"/>
      <c r="PY493" s="19"/>
      <c r="PZ493" s="19"/>
      <c r="QA493" s="19"/>
      <c r="QB493" s="19"/>
      <c r="QC493" s="19"/>
      <c r="QD493" s="19"/>
      <c r="QE493" s="19"/>
      <c r="QF493" s="19"/>
      <c r="QG493" s="19"/>
      <c r="QH493" s="19"/>
      <c r="QI493" s="19"/>
      <c r="QJ493" s="19"/>
      <c r="QK493" s="19"/>
      <c r="QL493" s="19"/>
      <c r="QM493" s="19"/>
      <c r="QN493" s="19"/>
      <c r="QO493" s="19"/>
      <c r="QP493" s="19"/>
      <c r="QQ493" s="19"/>
      <c r="QR493" s="19"/>
      <c r="QS493" s="19"/>
      <c r="QT493" s="19"/>
      <c r="QU493" s="19"/>
      <c r="QV493" s="19"/>
      <c r="QW493" s="19"/>
      <c r="QX493" s="19"/>
      <c r="QY493" s="19"/>
      <c r="QZ493" s="19"/>
      <c r="RA493" s="19"/>
      <c r="RB493" s="19"/>
      <c r="RC493" s="19"/>
      <c r="RD493" s="19"/>
      <c r="RE493" s="19"/>
      <c r="RF493" s="19"/>
      <c r="RG493" s="19"/>
      <c r="RH493" s="19"/>
      <c r="RI493" s="19"/>
      <c r="RJ493" s="19"/>
      <c r="RK493" s="19"/>
      <c r="RL493" s="19"/>
      <c r="RM493" s="19"/>
      <c r="RN493" s="19"/>
      <c r="RO493" s="19"/>
      <c r="RP493" s="19"/>
      <c r="RQ493" s="19"/>
      <c r="RR493" s="19"/>
      <c r="RS493" s="19"/>
      <c r="RT493" s="19"/>
      <c r="RU493" s="19"/>
      <c r="RV493" s="19"/>
      <c r="RW493" s="19"/>
      <c r="RX493" s="19"/>
      <c r="RY493" s="19"/>
      <c r="RZ493" s="19"/>
      <c r="SA493" s="19"/>
      <c r="SB493" s="19"/>
      <c r="SC493" s="19"/>
      <c r="SD493" s="19"/>
      <c r="SE493" s="19"/>
      <c r="SF493" s="19"/>
      <c r="SG493" s="19"/>
      <c r="SH493" s="19"/>
      <c r="SI493" s="19"/>
      <c r="SJ493" s="19"/>
      <c r="SK493" s="19"/>
      <c r="SL493" s="19"/>
      <c r="SM493" s="19"/>
      <c r="SN493" s="19"/>
      <c r="SO493" s="19"/>
      <c r="SP493" s="19"/>
      <c r="SQ493" s="19"/>
      <c r="SR493" s="19"/>
      <c r="SS493" s="19"/>
      <c r="ST493" s="19"/>
      <c r="SU493" s="19"/>
      <c r="SV493" s="19"/>
      <c r="SW493" s="19"/>
      <c r="SX493" s="19"/>
      <c r="SY493" s="19"/>
      <c r="SZ493" s="19"/>
      <c r="TA493" s="19"/>
      <c r="TB493" s="19"/>
      <c r="TC493" s="19"/>
      <c r="TD493" s="19"/>
      <c r="TE493" s="19"/>
      <c r="TF493" s="19"/>
      <c r="TG493" s="19"/>
      <c r="TH493" s="19"/>
      <c r="TI493" s="19"/>
      <c r="TJ493" s="19"/>
      <c r="TK493" s="19"/>
      <c r="TL493" s="19"/>
      <c r="TM493" s="19"/>
      <c r="TN493" s="19"/>
      <c r="TO493" s="19"/>
      <c r="TP493" s="19"/>
      <c r="TQ493" s="19"/>
      <c r="TR493" s="19"/>
      <c r="TS493" s="19"/>
      <c r="TT493" s="19"/>
      <c r="TU493" s="19"/>
      <c r="TV493" s="19"/>
      <c r="TW493" s="19"/>
      <c r="TX493" s="19"/>
      <c r="TY493" s="19"/>
      <c r="TZ493" s="19"/>
      <c r="UA493" s="19"/>
      <c r="UB493" s="19"/>
      <c r="UC493" s="19"/>
      <c r="UD493" s="19"/>
      <c r="UE493" s="19"/>
      <c r="UF493" s="19"/>
      <c r="UG493" s="19"/>
      <c r="UH493" s="19"/>
      <c r="UI493" s="19"/>
      <c r="UJ493" s="19"/>
      <c r="UK493" s="19"/>
      <c r="UL493" s="19"/>
      <c r="UM493" s="19"/>
      <c r="UN493" s="19"/>
      <c r="UO493" s="19"/>
      <c r="UP493" s="19"/>
      <c r="UQ493" s="19"/>
      <c r="UR493" s="19"/>
      <c r="US493" s="19"/>
      <c r="UT493" s="19"/>
      <c r="UU493" s="19"/>
      <c r="UV493" s="19"/>
      <c r="UW493" s="19"/>
      <c r="UX493" s="19"/>
      <c r="UY493" s="19"/>
      <c r="UZ493" s="19"/>
      <c r="VA493" s="19"/>
      <c r="VB493" s="19"/>
      <c r="VC493" s="19"/>
      <c r="VD493" s="19"/>
      <c r="VE493" s="19"/>
      <c r="VF493" s="19"/>
      <c r="VG493" s="19"/>
      <c r="VH493" s="19"/>
      <c r="VI493" s="19"/>
      <c r="VJ493" s="19"/>
      <c r="VK493" s="19"/>
      <c r="VL493" s="19"/>
      <c r="VM493" s="19"/>
      <c r="VN493" s="19"/>
      <c r="VO493" s="19"/>
      <c r="VP493" s="19"/>
      <c r="VQ493" s="19"/>
      <c r="VR493" s="19"/>
      <c r="VS493" s="19"/>
      <c r="VT493" s="19"/>
      <c r="VU493" s="19"/>
      <c r="VV493" s="19"/>
      <c r="VW493" s="19"/>
      <c r="VX493" s="19"/>
      <c r="VY493" s="19"/>
      <c r="VZ493" s="19"/>
      <c r="WA493" s="19"/>
      <c r="WB493" s="19"/>
      <c r="WC493" s="19"/>
      <c r="WD493" s="19"/>
      <c r="WE493" s="19"/>
      <c r="WF493" s="19"/>
      <c r="WG493" s="19"/>
      <c r="WH493" s="19"/>
      <c r="WI493" s="19"/>
      <c r="WJ493" s="19"/>
      <c r="WK493" s="19"/>
      <c r="WL493" s="19"/>
      <c r="WM493" s="19"/>
      <c r="WN493" s="19"/>
      <c r="WO493" s="19"/>
      <c r="WP493" s="19"/>
      <c r="WQ493" s="19"/>
      <c r="WR493" s="19"/>
      <c r="WS493" s="19"/>
      <c r="WT493" s="19"/>
      <c r="WU493" s="19"/>
      <c r="WV493" s="19"/>
      <c r="WW493" s="19"/>
      <c r="WX493" s="19"/>
      <c r="WY493" s="19"/>
      <c r="WZ493" s="19"/>
      <c r="XA493" s="19"/>
      <c r="XB493" s="19"/>
      <c r="XC493" s="19"/>
      <c r="XD493" s="19"/>
      <c r="XE493" s="19"/>
      <c r="XF493" s="19"/>
      <c r="XG493" s="19"/>
      <c r="XH493" s="19"/>
      <c r="XI493" s="19"/>
      <c r="XJ493" s="19"/>
      <c r="XK493" s="19"/>
      <c r="XL493" s="19"/>
      <c r="XM493" s="19"/>
      <c r="XN493" s="19"/>
      <c r="XO493" s="19"/>
      <c r="XP493" s="19"/>
      <c r="XQ493" s="19"/>
      <c r="XR493" s="19"/>
      <c r="XS493" s="19"/>
      <c r="XT493" s="19"/>
      <c r="XU493" s="19"/>
      <c r="XV493" s="19"/>
      <c r="XW493" s="19"/>
      <c r="XX493" s="19"/>
      <c r="XY493" s="19"/>
      <c r="XZ493" s="19"/>
      <c r="YA493" s="19"/>
      <c r="YB493" s="19"/>
      <c r="YC493" s="19"/>
      <c r="YD493" s="19"/>
      <c r="YE493" s="19"/>
      <c r="YF493" s="19"/>
      <c r="YG493" s="19"/>
      <c r="YH493" s="19"/>
      <c r="YI493" s="19"/>
      <c r="YJ493" s="19"/>
      <c r="YK493" s="19"/>
      <c r="YL493" s="19"/>
      <c r="YM493" s="19"/>
      <c r="YN493" s="19"/>
      <c r="YO493" s="19"/>
      <c r="YP493" s="19"/>
      <c r="YQ493" s="19"/>
      <c r="YR493" s="19"/>
      <c r="YS493" s="19"/>
      <c r="YT493" s="19"/>
      <c r="YU493" s="19"/>
      <c r="YV493" s="19"/>
      <c r="YW493" s="19"/>
      <c r="YX493" s="19"/>
      <c r="YY493" s="19"/>
      <c r="YZ493" s="19"/>
      <c r="ZA493" s="19"/>
      <c r="ZB493" s="19"/>
      <c r="ZC493" s="19"/>
      <c r="ZD493" s="19"/>
      <c r="ZE493" s="19"/>
      <c r="ZF493" s="19"/>
      <c r="ZG493" s="19"/>
      <c r="ZH493" s="19"/>
      <c r="ZI493" s="19"/>
      <c r="ZJ493" s="19"/>
      <c r="ZK493" s="19"/>
      <c r="ZL493" s="19"/>
      <c r="ZM493" s="19"/>
      <c r="ZN493" s="19"/>
      <c r="ZO493" s="19"/>
      <c r="ZP493" s="19"/>
      <c r="ZQ493" s="19"/>
      <c r="ZR493" s="19"/>
      <c r="ZS493" s="19"/>
      <c r="ZT493" s="19"/>
      <c r="ZU493" s="19"/>
      <c r="ZV493" s="19"/>
      <c r="ZW493" s="19"/>
      <c r="ZX493" s="19"/>
      <c r="ZY493" s="19"/>
      <c r="ZZ493" s="19"/>
      <c r="AAA493" s="19"/>
      <c r="AAB493" s="19"/>
      <c r="AAC493" s="19"/>
      <c r="AAD493" s="19"/>
      <c r="AAE493" s="19"/>
      <c r="AAF493" s="19"/>
      <c r="AAG493" s="19"/>
      <c r="AAH493" s="19"/>
      <c r="AAI493" s="19"/>
      <c r="AAJ493" s="19"/>
      <c r="AAK493" s="19"/>
      <c r="AAL493" s="19"/>
      <c r="AAM493" s="19"/>
      <c r="AAN493" s="19"/>
      <c r="AAO493" s="19"/>
      <c r="AAP493" s="19"/>
      <c r="AAQ493" s="19"/>
      <c r="AAR493" s="19"/>
      <c r="AAS493" s="19"/>
      <c r="AAT493" s="19"/>
      <c r="AAU493" s="19"/>
      <c r="AAV493" s="19"/>
      <c r="AAW493" s="19"/>
      <c r="AAX493" s="19"/>
      <c r="AAY493" s="19"/>
      <c r="AAZ493" s="19"/>
      <c r="ABA493" s="19"/>
      <c r="ABB493" s="19"/>
      <c r="ABC493" s="19"/>
      <c r="ABD493" s="19"/>
      <c r="ABE493" s="19"/>
      <c r="ABF493" s="19"/>
      <c r="ABG493" s="19"/>
      <c r="ABH493" s="19"/>
      <c r="ABI493" s="19"/>
      <c r="ABJ493" s="19"/>
      <c r="ABK493" s="19"/>
      <c r="ABL493" s="19"/>
      <c r="ABM493" s="19"/>
      <c r="ABN493" s="19"/>
      <c r="ABO493" s="19"/>
      <c r="ABP493" s="19"/>
      <c r="ABQ493" s="19"/>
      <c r="ABR493" s="19"/>
      <c r="ABS493" s="19"/>
      <c r="ABT493" s="19"/>
      <c r="ABU493" s="19"/>
      <c r="ABV493" s="19"/>
      <c r="ABW493" s="19"/>
      <c r="ABX493" s="19"/>
      <c r="ABY493" s="19"/>
      <c r="ABZ493" s="19"/>
      <c r="ACA493" s="19"/>
      <c r="ACB493" s="19"/>
      <c r="ACC493" s="19"/>
      <c r="ACD493" s="19"/>
      <c r="ACE493" s="19"/>
      <c r="ACF493" s="19"/>
      <c r="ACG493" s="19"/>
      <c r="ACH493" s="19"/>
      <c r="ACI493" s="19"/>
      <c r="ACJ493" s="19"/>
      <c r="ACK493" s="19"/>
      <c r="ACL493" s="19"/>
      <c r="ACM493" s="19"/>
      <c r="ACN493" s="19"/>
      <c r="ACO493" s="19"/>
      <c r="ACP493" s="19"/>
      <c r="ACQ493" s="19"/>
      <c r="ACR493" s="19"/>
      <c r="ACS493" s="19"/>
      <c r="ACT493" s="19"/>
      <c r="ACU493" s="19"/>
      <c r="ACV493" s="19"/>
      <c r="ACW493" s="19"/>
      <c r="ACX493" s="19"/>
      <c r="ACY493" s="19"/>
      <c r="ACZ493" s="19"/>
      <c r="ADA493" s="19"/>
      <c r="ADB493" s="19"/>
      <c r="ADC493" s="19"/>
      <c r="ADD493" s="19"/>
      <c r="ADE493" s="19"/>
      <c r="ADF493" s="19"/>
      <c r="ADG493" s="19"/>
      <c r="ADH493" s="19"/>
      <c r="ADI493" s="19"/>
      <c r="ADJ493" s="19"/>
      <c r="ADK493" s="19"/>
      <c r="ADL493" s="19"/>
      <c r="ADM493" s="19"/>
      <c r="ADN493" s="19"/>
      <c r="ADO493" s="19"/>
      <c r="ADP493" s="19"/>
      <c r="ADQ493" s="19"/>
      <c r="ADR493" s="19"/>
      <c r="ADS493" s="19"/>
      <c r="ADT493" s="19"/>
      <c r="ADU493" s="19"/>
      <c r="ADV493" s="19"/>
      <c r="ADW493" s="19"/>
      <c r="ADX493" s="19"/>
      <c r="ADY493" s="19"/>
      <c r="ADZ493" s="19"/>
      <c r="AEA493" s="19"/>
      <c r="AEB493" s="19"/>
      <c r="AEC493" s="19"/>
      <c r="AED493" s="19"/>
      <c r="AEE493" s="19"/>
      <c r="AEF493" s="19"/>
      <c r="AEG493" s="19"/>
      <c r="AEH493" s="19"/>
      <c r="AEI493" s="19"/>
      <c r="AEJ493" s="19"/>
      <c r="AEK493" s="19"/>
      <c r="AEL493" s="19"/>
      <c r="AEM493" s="19"/>
      <c r="AEN493" s="19"/>
      <c r="AEO493" s="19"/>
      <c r="AEP493" s="19"/>
      <c r="AEQ493" s="19"/>
      <c r="AER493" s="19"/>
      <c r="AES493" s="19"/>
      <c r="AET493" s="19"/>
      <c r="AEU493" s="19"/>
      <c r="AEV493" s="19"/>
      <c r="AEW493" s="19"/>
      <c r="AEX493" s="19"/>
      <c r="AEY493" s="19"/>
      <c r="AEZ493" s="19"/>
      <c r="AFA493" s="19"/>
      <c r="AFB493" s="19"/>
      <c r="AFC493" s="19"/>
      <c r="AFD493" s="19"/>
      <c r="AFE493" s="19"/>
      <c r="AFF493" s="19"/>
      <c r="AFG493" s="19"/>
      <c r="AFH493" s="19"/>
      <c r="AFI493" s="19"/>
      <c r="AFJ493" s="19"/>
      <c r="AFK493" s="19"/>
      <c r="AFL493" s="19"/>
      <c r="AFM493" s="19"/>
      <c r="AFN493" s="19"/>
      <c r="AFO493" s="19"/>
      <c r="AFP493" s="19"/>
      <c r="AFQ493" s="19"/>
      <c r="AFR493" s="19"/>
      <c r="AFS493" s="19"/>
      <c r="AFT493" s="19"/>
      <c r="AFU493" s="19"/>
      <c r="AFV493" s="19"/>
      <c r="AFW493" s="19"/>
      <c r="AFX493" s="19"/>
      <c r="AFY493" s="19"/>
      <c r="AFZ493" s="19"/>
      <c r="AGA493" s="19"/>
      <c r="AGB493" s="19"/>
      <c r="AGC493" s="19"/>
      <c r="AGD493" s="19"/>
      <c r="AGE493" s="19"/>
      <c r="AGF493" s="19"/>
      <c r="AGG493" s="19"/>
      <c r="AGH493" s="19"/>
      <c r="AGI493" s="19"/>
      <c r="AGJ493" s="19"/>
      <c r="AGK493" s="19"/>
      <c r="AGL493" s="19"/>
      <c r="AGM493" s="19"/>
      <c r="AGN493" s="19"/>
      <c r="AGO493" s="19"/>
      <c r="AGP493" s="19"/>
      <c r="AGQ493" s="19"/>
      <c r="AGR493" s="19"/>
      <c r="AGS493" s="19"/>
      <c r="AGT493" s="19"/>
      <c r="AGU493" s="19"/>
      <c r="AGV493" s="19"/>
      <c r="AGW493" s="19"/>
      <c r="AGX493" s="19"/>
      <c r="AGY493" s="19"/>
      <c r="AGZ493" s="19"/>
      <c r="AHA493" s="19"/>
      <c r="AHB493" s="19"/>
      <c r="AHC493" s="19"/>
      <c r="AHD493" s="19"/>
      <c r="AHE493" s="19"/>
      <c r="AHF493" s="19"/>
      <c r="AHG493" s="19"/>
      <c r="AHH493" s="19"/>
      <c r="AHI493" s="19"/>
      <c r="AHJ493" s="19"/>
      <c r="AHK493" s="19"/>
      <c r="AHL493" s="19"/>
      <c r="AHM493" s="19"/>
      <c r="AHN493" s="19"/>
      <c r="AHO493" s="19"/>
      <c r="AHP493" s="19"/>
      <c r="AHQ493" s="19"/>
      <c r="AHR493" s="19"/>
      <c r="AHS493" s="19"/>
      <c r="AHT493" s="19"/>
      <c r="AHU493" s="19"/>
      <c r="AHV493" s="19"/>
      <c r="AHW493" s="19"/>
      <c r="AHX493" s="19"/>
      <c r="AHY493" s="19"/>
      <c r="AHZ493" s="19"/>
      <c r="AIA493" s="19"/>
      <c r="AIB493" s="19"/>
      <c r="AIC493" s="19"/>
      <c r="AID493" s="19"/>
      <c r="AIE493" s="19"/>
      <c r="AIF493" s="19"/>
      <c r="AIG493" s="19"/>
      <c r="AIH493" s="19"/>
      <c r="AII493" s="19"/>
      <c r="AIJ493" s="19"/>
      <c r="AIK493" s="19"/>
      <c r="AIL493" s="19"/>
      <c r="AIM493" s="19"/>
      <c r="AIN493" s="19"/>
      <c r="AIO493" s="19"/>
      <c r="AIP493" s="19"/>
      <c r="AIQ493" s="19"/>
      <c r="AIR493" s="19"/>
      <c r="AIS493" s="19"/>
      <c r="AIT493" s="19"/>
      <c r="AIU493" s="19"/>
      <c r="AIV493" s="19"/>
      <c r="AIW493" s="19"/>
      <c r="AIX493" s="19"/>
      <c r="AIY493" s="19"/>
      <c r="AIZ493" s="19"/>
      <c r="AJA493" s="19"/>
      <c r="AJB493" s="19"/>
      <c r="AJC493" s="19"/>
      <c r="AJD493" s="19"/>
      <c r="AJE493" s="19"/>
      <c r="AJF493" s="19"/>
      <c r="AJG493" s="19"/>
      <c r="AJH493" s="19"/>
      <c r="AJI493" s="19"/>
      <c r="AJJ493" s="19"/>
      <c r="AJK493" s="19"/>
      <c r="AJL493" s="19"/>
      <c r="AJM493" s="19"/>
      <c r="AJN493" s="19"/>
      <c r="AJO493" s="19"/>
      <c r="AJP493" s="19"/>
      <c r="AJQ493" s="19"/>
      <c r="AJR493" s="19"/>
      <c r="AJS493" s="19"/>
      <c r="AJT493" s="19"/>
      <c r="AJU493" s="19"/>
      <c r="AJV493" s="19"/>
      <c r="AJW493" s="19"/>
      <c r="AJX493" s="19"/>
      <c r="AJY493" s="19"/>
      <c r="AJZ493" s="19"/>
      <c r="AKA493" s="19"/>
      <c r="AKB493" s="19"/>
      <c r="AKC493" s="19"/>
      <c r="AKD493" s="19"/>
      <c r="AKE493" s="19"/>
      <c r="AKF493" s="19"/>
      <c r="AKG493" s="19"/>
      <c r="AKH493" s="19"/>
      <c r="AKI493" s="19"/>
      <c r="AKJ493" s="19"/>
      <c r="AKK493" s="19"/>
      <c r="AKL493" s="19"/>
      <c r="AKM493" s="19"/>
      <c r="AKN493" s="19"/>
      <c r="AKO493" s="19"/>
      <c r="AKP493" s="19"/>
      <c r="AKQ493" s="19"/>
      <c r="AKR493" s="19"/>
      <c r="AKS493" s="19"/>
      <c r="AKT493" s="19"/>
      <c r="AKU493" s="19"/>
      <c r="AKV493" s="19"/>
      <c r="AKW493" s="19"/>
      <c r="AKX493" s="19"/>
      <c r="AKY493" s="19"/>
      <c r="AKZ493" s="19"/>
      <c r="ALA493" s="19"/>
      <c r="ALB493" s="19"/>
      <c r="ALC493" s="19"/>
      <c r="ALD493" s="19"/>
      <c r="ALE493" s="19"/>
      <c r="ALF493" s="19"/>
      <c r="ALG493" s="19"/>
      <c r="ALH493" s="19"/>
      <c r="ALI493" s="19"/>
      <c r="ALJ493" s="19"/>
      <c r="ALK493" s="19"/>
      <c r="ALL493" s="19"/>
      <c r="ALM493" s="19"/>
      <c r="ALN493" s="19"/>
      <c r="ALO493" s="19"/>
      <c r="ALP493" s="19"/>
      <c r="ALQ493" s="19"/>
      <c r="ALR493" s="19"/>
      <c r="ALS493" s="19"/>
      <c r="ALT493" s="19"/>
      <c r="ALU493" s="19"/>
      <c r="ALV493" s="19"/>
      <c r="ALW493" s="19"/>
      <c r="ALX493" s="19"/>
      <c r="ALY493" s="19"/>
      <c r="ALZ493" s="19"/>
      <c r="AMA493" s="19"/>
      <c r="AMB493" s="19"/>
      <c r="AMC493" s="19"/>
      <c r="AMD493" s="19"/>
      <c r="AME493" s="19"/>
      <c r="AMF493" s="19"/>
      <c r="AMG493" s="19"/>
      <c r="AMH493" s="19"/>
      <c r="AMI493" s="19"/>
      <c r="AMJ493" s="19"/>
      <c r="AMK493" s="19"/>
      <c r="AML493" s="19"/>
      <c r="AMM493" s="19"/>
    </row>
    <row r="494" s="19" customFormat="true" ht="14.25" hidden="false" customHeight="false" outlineLevel="0" collapsed="false">
      <c r="A494" s="30" t="s">
        <v>1821</v>
      </c>
      <c r="B494" s="49" t="s">
        <v>1822</v>
      </c>
      <c r="C494" s="21" t="n">
        <v>3107</v>
      </c>
      <c r="E494" s="19" t="n">
        <v>1027</v>
      </c>
      <c r="F494" s="19" t="s">
        <v>143</v>
      </c>
      <c r="G494" s="19" t="s">
        <v>144</v>
      </c>
      <c r="H494" s="19" t="s">
        <v>144</v>
      </c>
      <c r="I494" s="19" t="s">
        <v>92</v>
      </c>
      <c r="J494" s="19" t="n">
        <v>1955</v>
      </c>
      <c r="K494" s="19" t="n">
        <v>1974</v>
      </c>
      <c r="L494" s="19" t="n">
        <v>1982</v>
      </c>
      <c r="O494" s="22"/>
      <c r="P494" s="23"/>
      <c r="Q494" s="23"/>
      <c r="R494" s="23"/>
      <c r="S494" s="23"/>
      <c r="T494" s="23"/>
      <c r="U494" s="23"/>
      <c r="V494" s="23"/>
      <c r="W494" s="19" t="n">
        <v>9.7</v>
      </c>
      <c r="X494" s="22"/>
      <c r="Y494" s="19" t="n">
        <v>4</v>
      </c>
      <c r="AA494" s="24" t="str">
        <f aca="false">IF(AND(W494&gt;0,Z494&gt;0),(Z494/((W494+X494)*10)),"")</f>
        <v/>
      </c>
      <c r="AB494" s="19" t="n">
        <v>60</v>
      </c>
      <c r="AC494" s="19" t="n">
        <f aca="false">ROUND(AB494*1.6, 0)</f>
        <v>96</v>
      </c>
      <c r="AF494" s="19" t="n">
        <v>7.6</v>
      </c>
      <c r="AG494" s="19" t="n">
        <v>8</v>
      </c>
      <c r="AH494" s="19" t="n">
        <v>2.5</v>
      </c>
      <c r="AI494" s="19" t="n">
        <v>3.35</v>
      </c>
      <c r="AJ494" s="25" t="n">
        <v>22</v>
      </c>
      <c r="AK494" s="26" t="str">
        <f aca="false">CONCATENATE(VLOOKUP(AL494, '[1]Voxel Sizes'!$A$2:$B$18,2,FALSE()),"x",INT(AH494*15), "x", INT(AI494*15))</f>
        <v>82x37x50</v>
      </c>
      <c r="AL494" s="19" t="n">
        <f aca="false">ROUND(15*((AG494*10)/256),0)</f>
        <v>5</v>
      </c>
      <c r="AN494" s="19" t="str">
        <f aca="false">CONCATENATE(VLOOKUP(AL494,[1]Constants!$A$2:$C$16,IF(AM494&lt;&gt;"", 3, 2), FALSE()),IF(AM494&lt;&gt;"",CONCATENATE(",",VLOOKUP(AM494,$B:$AN,38,FALSE())),""))</f>
        <v>2,1,2</v>
      </c>
      <c r="AP494" s="27"/>
      <c r="AQ494" s="27"/>
      <c r="AX494" s="19" t="n">
        <v>30</v>
      </c>
      <c r="AY494" s="28" t="n">
        <f aca="false">IF(L494&lt;&gt;"",MAX(16,(L494-J494)+8),"")</f>
        <v>35</v>
      </c>
      <c r="AZ494" s="19" t="n">
        <v>5</v>
      </c>
      <c r="BB494" s="19" t="n">
        <f aca="false">MIN(AB494/150, 1)*30</f>
        <v>12</v>
      </c>
      <c r="BC494" s="19" t="n">
        <f aca="false">MIN(N494/4000, 1)*20</f>
        <v>0</v>
      </c>
      <c r="BD494" s="19" t="n">
        <f aca="false">MIN(Z494/400,1)*20</f>
        <v>0</v>
      </c>
      <c r="BE494" s="24" t="n">
        <f aca="false">1-(MAX(J494-1900, 0)/750)</f>
        <v>0.926666666666667</v>
      </c>
      <c r="BF494" s="19" t="n">
        <f aca="false">((MAX($M494,1)*MIN($AJ494/300,1)))*IF(G494="Wagon",50,10)</f>
        <v>3.66666666666667</v>
      </c>
      <c r="BG494" s="19" t="n">
        <f aca="false">VLOOKUP($H494,[1]Constants!$I$1:$K$1048576, 2, FALSE())</f>
        <v>1</v>
      </c>
      <c r="BH494" s="19" t="n">
        <f aca="false">VLOOKUP($H494,[1]Constants!$I$1:$K$1048576, 3, FALSE())*IF(AND(G494="multiple_unit",AB494&lt;110),0.75,1)</f>
        <v>0.45</v>
      </c>
      <c r="BI494" s="19" t="n">
        <f aca="false">INT(POWER((([1]Constants!$G$2+$BB494+$BC494+$BD494+$BF494)*$BE494)*$BH494, 1.05))+$BA494</f>
        <v>9</v>
      </c>
      <c r="BJ494" s="19" t="n">
        <f aca="false">INT(POWER(((([1]Constants!$G$1+$BB494+$BC494+$BD494+$BF494)*($BE494))*$BG494),IF($G494="wagon",1,1.2)))+$AZ494</f>
        <v>33</v>
      </c>
      <c r="BK494" s="29" t="n">
        <f aca="false">BI494*IF($G494="wagon",62.5,781.25)</f>
        <v>562.5</v>
      </c>
      <c r="BL494" s="29" t="n">
        <f aca="false">BJ494*IF($G494="wagon",2.73,81.25)</f>
        <v>90.09</v>
      </c>
      <c r="BV494" s="19" t="n">
        <v>1</v>
      </c>
      <c r="BW494" s="19" t="n">
        <v>185</v>
      </c>
      <c r="BY494" s="19" t="s">
        <v>1803</v>
      </c>
      <c r="BZ494" s="19" t="s">
        <v>1813</v>
      </c>
      <c r="CA494" s="19" t="str">
        <f aca="false">VLOOKUP(J494,[1]Eras!$A$2:$C$10, 2, TRUE())</f>
        <v>dsl</v>
      </c>
      <c r="CB494" s="30" t="s">
        <v>357</v>
      </c>
      <c r="CC494" s="19" t="str">
        <f aca="false">CONCATENATE(CA494,"_",CB494)</f>
        <v>dsl_Tanker</v>
      </c>
      <c r="CD494" s="19" t="str">
        <f aca="false">_xlfn.CONCAT(H494, "_",I494)</f>
        <v>wagon_RAIL</v>
      </c>
      <c r="CE494" s="31" t="str">
        <f aca="false">_xlfn.CONCAT("{BLACK}Length: {GOLD}", TEXT(ROUNDUP(IF(AQ494&lt;&gt;"",SUM(VALUE(_xlfn.TEXTSPLIT(AQ494, ","))), SUM(VALUE(_xlfn.TEXTSPLIT(AN494, ",")))*IF(M494, M494, 1))/16, 1), "#,##0.0"), " tiles{}")</f>
        <v>{BLACK}Length: {GOLD}0.4 tiles{}</v>
      </c>
      <c r="CF494" s="19" t="str">
        <f aca="false">VLOOKUP($CD494, [1]Constants!$M$1:$N$1048576, 2, FALSE())</f>
        <v/>
      </c>
      <c r="CG494" s="19" t="str">
        <f aca="false">IF(M494&gt;1,_xlfn.CONCAT("{BLACK}Cars: {GOLD}", M494),"")</f>
        <v/>
      </c>
      <c r="CH494" s="19" t="s">
        <v>1823</v>
      </c>
      <c r="CJ494" s="19" t="str">
        <f aca="false">IF(BX494="buffet","{YELLOW}25% long distance bonus for consist{}",IF(CA494="BRAKE","{YELLOW}Speed bonus for slow wagons{}",IF(BW494&gt;190,CONCATENATE("{YELLOW}",INT((BW494-185)/1.85),"% bonus for long distance travel{}"),IF(AND(BW494&lt;180,BW494&lt;&gt;0),CONCATENATE("{YELLOW}",INT((185-BW494)/1.85),"% penalty for long distance travel{}"),""))))</f>
        <v/>
      </c>
      <c r="CK494" s="19" t="str">
        <f aca="false">_xlfn.CONCAT(CF494,IF(CF494 &lt;&gt; "", " ", ""),CG494,IF(OR(CG494&lt;&gt;"", CF494&lt;&gt;""), "{}",""), CE494, CJ494,"{SILVER}", CH494)</f>
        <v>{BLACK}Length: {GOLD}0.4 tiles{}{SILVER}This is a representative BR GRAINFIT wagon, a vacuum-braked bulk hopper derived from the 1930s LMS design.</v>
      </c>
    </row>
    <row r="495" s="19" customFormat="true" ht="14.25" hidden="false" customHeight="false" outlineLevel="0" collapsed="false">
      <c r="A495" s="30" t="s">
        <v>1824</v>
      </c>
      <c r="B495" s="49" t="s">
        <v>1825</v>
      </c>
      <c r="C495" s="21" t="n">
        <v>3108</v>
      </c>
      <c r="E495" s="19" t="n">
        <v>1029</v>
      </c>
      <c r="F495" s="19" t="s">
        <v>143</v>
      </c>
      <c r="G495" s="19" t="s">
        <v>144</v>
      </c>
      <c r="H495" s="19" t="s">
        <v>144</v>
      </c>
      <c r="I495" s="19" t="s">
        <v>92</v>
      </c>
      <c r="J495" s="19" t="n">
        <v>1966</v>
      </c>
      <c r="K495" s="19" t="n">
        <v>1996</v>
      </c>
      <c r="L495" s="19" t="n">
        <v>2002</v>
      </c>
      <c r="O495" s="22"/>
      <c r="P495" s="23"/>
      <c r="Q495" s="23"/>
      <c r="R495" s="23"/>
      <c r="S495" s="23"/>
      <c r="T495" s="23"/>
      <c r="U495" s="23"/>
      <c r="V495" s="23"/>
      <c r="W495" s="19" t="n">
        <v>12.9</v>
      </c>
      <c r="X495" s="22"/>
      <c r="Y495" s="19" t="n">
        <v>5</v>
      </c>
      <c r="AA495" s="24" t="str">
        <f aca="false">IF(AND(W495&gt;0,Z495&gt;0),(Z495/((W495+X495)*10)),"")</f>
        <v/>
      </c>
      <c r="AB495" s="19" t="n">
        <v>60</v>
      </c>
      <c r="AC495" s="19" t="n">
        <f aca="false">ROUND(AB495*1.6, 0)</f>
        <v>96</v>
      </c>
      <c r="AF495" s="19" t="n">
        <v>8.8</v>
      </c>
      <c r="AG495" s="19" t="n">
        <v>10</v>
      </c>
      <c r="AH495" s="19" t="n">
        <v>2.7</v>
      </c>
      <c r="AI495" s="19" t="n">
        <v>3.8</v>
      </c>
      <c r="AJ495" s="25" t="n">
        <v>36</v>
      </c>
      <c r="AK495" s="26" t="str">
        <f aca="false">CONCATENATE(VLOOKUP(AL495, '[1]Voxel Sizes'!$A$2:$B$18,2,FALSE()),"x",INT(AH495*15), "x", INT(AI495*15))</f>
        <v>102x40x57</v>
      </c>
      <c r="AL495" s="19" t="n">
        <f aca="false">ROUND(15*((AG495*10)/256),0)</f>
        <v>6</v>
      </c>
      <c r="AN495" s="19" t="str">
        <f aca="false">CONCATENATE(VLOOKUP(AL495,[1]Constants!$A$2:$C$16,IF(AM495&lt;&gt;"", 3, 2), FALSE()),IF(AM495&lt;&gt;"",CONCATENATE(",",VLOOKUP(AM495,$B:$AN,38,FALSE())),""))</f>
        <v>2,2,2</v>
      </c>
      <c r="AP495" s="27"/>
      <c r="AQ495" s="27"/>
      <c r="AX495" s="19" t="n">
        <v>30</v>
      </c>
      <c r="AY495" s="28" t="n">
        <f aca="false">IF(L495&lt;&gt;"",MAX(16,(L495-J495)+8),"")</f>
        <v>44</v>
      </c>
      <c r="BB495" s="19" t="n">
        <f aca="false">MIN(AB495/150, 1)*30</f>
        <v>12</v>
      </c>
      <c r="BC495" s="19" t="n">
        <f aca="false">MIN(N495/4000, 1)*20</f>
        <v>0</v>
      </c>
      <c r="BD495" s="19" t="n">
        <f aca="false">MIN(Z495/400,1)*20</f>
        <v>0</v>
      </c>
      <c r="BE495" s="24" t="n">
        <f aca="false">1-(MAX(J495-1900, 0)/750)</f>
        <v>0.912</v>
      </c>
      <c r="BF495" s="19" t="n">
        <f aca="false">((MAX($M495,1)*MIN($AJ495/300,1)))*IF(G495="Wagon",50,10)</f>
        <v>6</v>
      </c>
      <c r="BG495" s="19" t="n">
        <f aca="false">VLOOKUP($H495,[1]Constants!$I$1:$K$1048576, 2, FALSE())</f>
        <v>1</v>
      </c>
      <c r="BH495" s="19" t="n">
        <f aca="false">VLOOKUP($H495,[1]Constants!$I$1:$K$1048576, 3, FALSE())*IF(AND(G495="multiple_unit",AB495&lt;110),0.75,1)</f>
        <v>0.45</v>
      </c>
      <c r="BI495" s="19" t="n">
        <f aca="false">INT(POWER((([1]Constants!$G$2+$BB495+$BC495+$BD495+$BF495)*$BE495)*$BH495, 1.05))+$BA495</f>
        <v>10</v>
      </c>
      <c r="BJ495" s="19" t="n">
        <f aca="false">INT(POWER(((([1]Constants!$G$1+$BB495+$BC495+$BD495+$BF495)*($BE495))*$BG495),IF($G495="wagon",1,1.2)))+$AZ495</f>
        <v>30</v>
      </c>
      <c r="BK495" s="29" t="n">
        <f aca="false">BI495*IF($G495="wagon",62.5,781.25)</f>
        <v>625</v>
      </c>
      <c r="BL495" s="29" t="n">
        <f aca="false">BJ495*IF($G495="wagon",2.73,81.25)</f>
        <v>81.9</v>
      </c>
      <c r="BV495" s="19" t="n">
        <v>1</v>
      </c>
      <c r="BW495" s="19" t="n">
        <v>185</v>
      </c>
      <c r="BY495" s="19" t="s">
        <v>1803</v>
      </c>
      <c r="BZ495" s="19" t="s">
        <v>1813</v>
      </c>
      <c r="CA495" s="19" t="str">
        <f aca="false">VLOOKUP(J495,[1]Eras!$A$2:$C$10, 2, TRUE())</f>
        <v>dsl</v>
      </c>
      <c r="CB495" s="30" t="s">
        <v>357</v>
      </c>
      <c r="CC495" s="19" t="str">
        <f aca="false">CONCATENATE(CA495,"_",CB495)</f>
        <v>dsl_Tanker</v>
      </c>
      <c r="CD495" s="19" t="str">
        <f aca="false">_xlfn.CONCAT(H495, "_",I495)</f>
        <v>wagon_RAIL</v>
      </c>
      <c r="CE495" s="31" t="str">
        <f aca="false">_xlfn.CONCAT("{BLACK}Length: {GOLD}", TEXT(ROUNDUP(IF(AQ495&lt;&gt;"",SUM(VALUE(_xlfn.TEXTSPLIT(AQ495, ","))), SUM(VALUE(_xlfn.TEXTSPLIT(AN495, ",")))*IF(M495, M495, 1))/16, 1), "#,##0.0"), " tiles{}")</f>
        <v>{BLACK}Length: {GOLD}0.4 tiles{}</v>
      </c>
      <c r="CF495" s="19" t="str">
        <f aca="false">VLOOKUP($CD495, [1]Constants!$M$1:$N$1048576, 2, FALSE())</f>
        <v/>
      </c>
      <c r="CG495" s="19" t="str">
        <f aca="false">IF(M495&gt;1,_xlfn.CONCAT("{BLACK}Cars: {GOLD}", M495),"")</f>
        <v/>
      </c>
      <c r="CH495" s="19" t="s">
        <v>1826</v>
      </c>
      <c r="CJ495" s="19" t="str">
        <f aca="false">IF(BX495="buffet","{YELLOW}25% long distance bonus for consist{}",IF(CA495="BRAKE","{YELLOW}Speed bonus for slow wagons{}",IF(BW495&gt;190,CONCATENATE("{YELLOW}",INT((BW495-185)/1.85),"% bonus for long distance travel{}"),IF(AND(BW495&lt;180,BW495&lt;&gt;0),CONCATENATE("{YELLOW}",INT((185-BW495)/1.85),"% penalty for long distance travel{}"),""))))</f>
        <v/>
      </c>
      <c r="CK495" s="19" t="str">
        <f aca="false">_xlfn.CONCAT(CF495,IF(CF495 &lt;&gt; "", " ", ""),CG495,IF(OR(CG495&lt;&gt;"", CF495&lt;&gt;""), "{}",""), CE495, CJ495,"{SILVER}", CH495)</f>
        <v>{BLACK}Length: {GOLD}0.4 tiles{}{SILVER}The BR ‘Whiskey Covhops’ were a common sight on long-distance freight trains from southern England, headed for the distilleries of Scotland.</v>
      </c>
    </row>
    <row r="496" s="19" customFormat="true" ht="14.25" hidden="false" customHeight="false" outlineLevel="0" collapsed="false">
      <c r="A496" s="19" t="s">
        <v>1827</v>
      </c>
      <c r="B496" s="20" t="s">
        <v>1828</v>
      </c>
      <c r="C496" s="21" t="n">
        <v>3109</v>
      </c>
      <c r="E496" s="19" t="n">
        <v>1031</v>
      </c>
      <c r="F496" s="19" t="s">
        <v>143</v>
      </c>
      <c r="G496" s="19" t="s">
        <v>144</v>
      </c>
      <c r="H496" s="19" t="s">
        <v>144</v>
      </c>
      <c r="I496" s="19" t="s">
        <v>92</v>
      </c>
      <c r="J496" s="19" t="n">
        <v>1973</v>
      </c>
      <c r="O496" s="22"/>
      <c r="P496" s="23"/>
      <c r="Q496" s="23"/>
      <c r="R496" s="23"/>
      <c r="S496" s="23"/>
      <c r="T496" s="23"/>
      <c r="U496" s="23"/>
      <c r="V496" s="23"/>
      <c r="W496" s="19" t="n">
        <v>22.7</v>
      </c>
      <c r="X496" s="22"/>
      <c r="Y496" s="19" t="n">
        <v>5</v>
      </c>
      <c r="AA496" s="24" t="str">
        <f aca="false">IF(AND(W496&gt;0,Z496&gt;0),(Z496/((W496+X496)*10)),"")</f>
        <v/>
      </c>
      <c r="AB496" s="19" t="n">
        <v>75</v>
      </c>
      <c r="AC496" s="19" t="n">
        <f aca="false">ROUND(AB496*1.6, 0)</f>
        <v>120</v>
      </c>
      <c r="AF496" s="19" t="n">
        <v>18.3</v>
      </c>
      <c r="AG496" s="19" t="n">
        <v>18.3</v>
      </c>
      <c r="AH496" s="19" t="n">
        <v>2.7</v>
      </c>
      <c r="AI496" s="19" t="n">
        <v>3.8</v>
      </c>
      <c r="AJ496" s="25" t="n">
        <v>56</v>
      </c>
      <c r="AK496" s="26" t="str">
        <f aca="false">CONCATENATE(VLOOKUP(AL496, '[1]Voxel Sizes'!$A$2:$B$18,2,FALSE()),"x",INT(AH496*15), "x", INT(AI496*15))</f>
        <v>186x40x57</v>
      </c>
      <c r="AL496" s="19" t="n">
        <f aca="false">ROUND(15*((AG496*10)/256),0)</f>
        <v>11</v>
      </c>
      <c r="AN496" s="19" t="str">
        <f aca="false">CONCATENATE(VLOOKUP(AL496,[1]Constants!$A$2:$C$16,IF(AM496&lt;&gt;"", 3, 2), FALSE()),IF(AM496&lt;&gt;"",CONCATENATE(",",VLOOKUP(AM496,$B:$AN,38,FALSE())),""))</f>
        <v>4,3,4</v>
      </c>
      <c r="AP496" s="27"/>
      <c r="AQ496" s="27"/>
      <c r="AX496" s="19" t="n">
        <v>30</v>
      </c>
      <c r="AY496" s="28" t="str">
        <f aca="false">IF(L496&lt;&gt;"",MAX(16,(L496-J496)+8),"")</f>
        <v/>
      </c>
      <c r="BB496" s="19" t="n">
        <f aca="false">MIN(AB496/150, 1)*30</f>
        <v>15</v>
      </c>
      <c r="BC496" s="19" t="n">
        <f aca="false">MIN(N496/4000, 1)*20</f>
        <v>0</v>
      </c>
      <c r="BD496" s="19" t="n">
        <f aca="false">MIN(Z496/400,1)*20</f>
        <v>0</v>
      </c>
      <c r="BE496" s="24" t="n">
        <f aca="false">1-(MAX(J496-1900, 0)/750)</f>
        <v>0.902666666666667</v>
      </c>
      <c r="BF496" s="19" t="n">
        <f aca="false">((MAX($M496,1)*MIN($AJ496/300,1)))*IF(G496="Wagon",50,10)</f>
        <v>9.33333333333333</v>
      </c>
      <c r="BG496" s="19" t="n">
        <f aca="false">VLOOKUP($H496,[1]Constants!$I$1:$K$1048576, 2, FALSE())</f>
        <v>1</v>
      </c>
      <c r="BH496" s="19" t="n">
        <f aca="false">VLOOKUP($H496,[1]Constants!$I$1:$K$1048576, 3, FALSE())*IF(AND(G496="multiple_unit",AB496&lt;110),0.75,1)</f>
        <v>0.45</v>
      </c>
      <c r="BI496" s="19" t="n">
        <f aca="false">INT(POWER((([1]Constants!$G$2+$BB496+$BC496+$BD496+$BF496)*$BE496)*$BH496, 1.05))+$BA496</f>
        <v>13</v>
      </c>
      <c r="BJ496" s="19" t="n">
        <f aca="false">INT(POWER(((([1]Constants!$G$1+$BB496+$BC496+$BD496+$BF496)*($BE496))*$BG496),IF($G496="wagon",1,1.2)))+$AZ496</f>
        <v>35</v>
      </c>
      <c r="BK496" s="29" t="n">
        <f aca="false">BI496*IF($G496="wagon",62.5,781.25)</f>
        <v>812.5</v>
      </c>
      <c r="BL496" s="29" t="n">
        <f aca="false">BJ496*IF($G496="wagon",2.73,81.25)</f>
        <v>95.55</v>
      </c>
      <c r="BV496" s="19" t="n">
        <v>1</v>
      </c>
      <c r="BW496" s="19" t="n">
        <v>185</v>
      </c>
      <c r="BY496" s="19" t="s">
        <v>1803</v>
      </c>
      <c r="BZ496" s="19" t="s">
        <v>1813</v>
      </c>
      <c r="CA496" s="19" t="str">
        <f aca="false">VLOOKUP(J496,[1]Eras!$A$2:$C$10, 2, TRUE())</f>
        <v>lbr</v>
      </c>
      <c r="CB496" s="30" t="s">
        <v>357</v>
      </c>
      <c r="CC496" s="19" t="str">
        <f aca="false">CONCATENATE(CA496,"_",CB496)</f>
        <v>lbr_Tanker</v>
      </c>
      <c r="CD496" s="19" t="str">
        <f aca="false">_xlfn.CONCAT(H496, "_",I496)</f>
        <v>wagon_RAIL</v>
      </c>
      <c r="CE496" s="31" t="str">
        <f aca="false">_xlfn.CONCAT("{BLACK}Length: {GOLD}", TEXT(ROUNDUP(IF(AQ496&lt;&gt;"",SUM(VALUE(_xlfn.TEXTSPLIT(AQ496, ","))), SUM(VALUE(_xlfn.TEXTSPLIT(AN496, ",")))*IF(M496, M496, 1))/16, 1), "#,##0.0"), " tiles{}")</f>
        <v>{BLACK}Length: {GOLD}0.7 tiles{}</v>
      </c>
      <c r="CF496" s="19" t="str">
        <f aca="false">VLOOKUP($CD496, [1]Constants!$M$1:$N$1048576, 2, FALSE())</f>
        <v/>
      </c>
      <c r="CG496" s="19" t="str">
        <f aca="false">IF(M496&gt;1,_xlfn.CONCAT("{BLACK}Cars: {GOLD}", M496),"")</f>
        <v/>
      </c>
      <c r="CH496" s="19" t="s">
        <v>1829</v>
      </c>
      <c r="CJ496" s="19" t="str">
        <f aca="false">IF(BX496="buffet","{YELLOW}25% long distance bonus for consist{}",IF(CA496="BRAKE","{YELLOW}Speed bonus for slow wagons{}",IF(BW496&gt;190,CONCATENATE("{YELLOW}",INT((BW496-185)/1.85),"% bonus for long distance travel{}"),IF(AND(BW496&lt;180,BW496&lt;&gt;0),CONCATENATE("{YELLOW}",INT((185-BW496)/1.85),"% penalty for long distance travel{}"),""))))</f>
        <v/>
      </c>
      <c r="CK496" s="19" t="str">
        <f aca="false">_xlfn.CONCAT(CF496,IF(CF496 &lt;&gt; "", " ", ""),CG496,IF(OR(CG496&lt;&gt;"", CF496&lt;&gt;""), "{}",""), CE496, CJ496,"{SILVER}", CH496)</f>
        <v>{BLACK}Length: {GOLD}0.7 tiles{}{SILVER}Large bogie covered hoppers first appeared in Britain in the mid 1970s. These were frequently privately owned and registered as international vehicles. This slab-sided ‘Polybulk’ example was built in France.</v>
      </c>
      <c r="CL496" s="19" t="n">
        <v>1</v>
      </c>
    </row>
    <row r="497" s="19" customFormat="true" ht="14.25" hidden="false" customHeight="false" outlineLevel="0" collapsed="false">
      <c r="A497" s="19" t="s">
        <v>1830</v>
      </c>
      <c r="B497" s="20" t="s">
        <v>1831</v>
      </c>
      <c r="C497" s="21" t="n">
        <v>3110</v>
      </c>
      <c r="E497" s="19" t="n">
        <v>1033</v>
      </c>
      <c r="F497" s="19" t="s">
        <v>143</v>
      </c>
      <c r="G497" s="19" t="s">
        <v>144</v>
      </c>
      <c r="H497" s="19" t="s">
        <v>144</v>
      </c>
      <c r="I497" s="19" t="s">
        <v>92</v>
      </c>
      <c r="J497" s="19" t="n">
        <v>1962</v>
      </c>
      <c r="K497" s="19" t="n">
        <v>1994</v>
      </c>
      <c r="L497" s="19" t="n">
        <v>2000</v>
      </c>
      <c r="O497" s="22"/>
      <c r="P497" s="23"/>
      <c r="Q497" s="23"/>
      <c r="R497" s="23"/>
      <c r="S497" s="23"/>
      <c r="T497" s="23"/>
      <c r="U497" s="23"/>
      <c r="V497" s="23"/>
      <c r="W497" s="19" t="n">
        <v>14.8</v>
      </c>
      <c r="X497" s="22"/>
      <c r="Y497" s="19" t="n">
        <v>4</v>
      </c>
      <c r="AA497" s="24" t="str">
        <f aca="false">IF(AND(W497&gt;0,Z497&gt;0),(Z497/((W497+X497)*10)),"")</f>
        <v/>
      </c>
      <c r="AB497" s="19" t="n">
        <v>60</v>
      </c>
      <c r="AC497" s="19" t="n">
        <f aca="false">ROUND(AB497*1.6, 0)</f>
        <v>96</v>
      </c>
      <c r="AF497" s="19" t="n">
        <v>14</v>
      </c>
      <c r="AG497" s="19" t="n">
        <v>14</v>
      </c>
      <c r="AH497" s="19" t="n">
        <v>2.7</v>
      </c>
      <c r="AI497" s="19" t="n">
        <v>3.8</v>
      </c>
      <c r="AJ497" s="25" t="n">
        <v>34</v>
      </c>
      <c r="AK497" s="26" t="str">
        <f aca="false">CONCATENATE(VLOOKUP(AL497, '[1]Voxel Sizes'!$A$2:$B$18,2,FALSE()),"x",INT(AH497*15), "x", INT(AI497*15))</f>
        <v>136x40x57</v>
      </c>
      <c r="AL497" s="19" t="n">
        <f aca="false">ROUND(15*((AG497*10)/256),0)</f>
        <v>8</v>
      </c>
      <c r="AN497" s="19" t="str">
        <f aca="false">CONCATENATE(VLOOKUP(AL497,[1]Constants!$A$2:$C$16,IF(AM497&lt;&gt;"", 3, 2), FALSE()),IF(AM497&lt;&gt;"",CONCATENATE(",",VLOOKUP(AM497,$B:$AN,38,FALSE())),""))</f>
        <v>2,4,2</v>
      </c>
      <c r="AP497" s="27"/>
      <c r="AQ497" s="27"/>
      <c r="AW497" s="26" t="s">
        <v>1832</v>
      </c>
      <c r="AX497" s="19" t="n">
        <v>30</v>
      </c>
      <c r="AY497" s="28" t="n">
        <f aca="false">IF(L497&lt;&gt;"",MAX(16,(L497-J497)+8),"")</f>
        <v>46</v>
      </c>
      <c r="BB497" s="19" t="n">
        <f aca="false">MIN(AB497/150, 1)*30</f>
        <v>12</v>
      </c>
      <c r="BC497" s="19" t="n">
        <f aca="false">MIN(N497/4000, 1)*20</f>
        <v>0</v>
      </c>
      <c r="BD497" s="19" t="n">
        <f aca="false">MIN(Z497/400,1)*20</f>
        <v>0</v>
      </c>
      <c r="BE497" s="24" t="n">
        <f aca="false">1-(MAX(J497-1900, 0)/750)</f>
        <v>0.917333333333333</v>
      </c>
      <c r="BF497" s="19" t="n">
        <f aca="false">((MAX($M497,1)*MIN($AJ497/300,1)))*IF(G497="Wagon",50,10)</f>
        <v>5.66666666666667</v>
      </c>
      <c r="BG497" s="19" t="n">
        <f aca="false">VLOOKUP($H497,[1]Constants!$I$1:$K$1048576, 2, FALSE())</f>
        <v>1</v>
      </c>
      <c r="BH497" s="19" t="n">
        <f aca="false">VLOOKUP($H497,[1]Constants!$I$1:$K$1048576, 3, FALSE())*IF(AND(G497="multiple_unit",AB497&lt;110),0.75,1)</f>
        <v>0.45</v>
      </c>
      <c r="BI497" s="19" t="n">
        <f aca="false">INT(POWER((([1]Constants!$G$2+$BB497+$BC497+$BD497+$BF497)*$BE497)*$BH497, 1.05))+$BA497</f>
        <v>10</v>
      </c>
      <c r="BJ497" s="19" t="n">
        <f aca="false">INT(POWER(((([1]Constants!$G$1+$BB497+$BC497+$BD497+$BF497)*($BE497))*$BG497),IF($G497="wagon",1,1.2)))+$AZ497</f>
        <v>29</v>
      </c>
      <c r="BK497" s="29" t="n">
        <f aca="false">BI497*IF($G497="wagon",62.5,781.25)</f>
        <v>625</v>
      </c>
      <c r="BL497" s="29" t="n">
        <f aca="false">BJ497*IF($G497="wagon",2.73,81.25)</f>
        <v>79.17</v>
      </c>
      <c r="BV497" s="19" t="n">
        <v>1</v>
      </c>
      <c r="BW497" s="19" t="n">
        <v>185</v>
      </c>
      <c r="BY497" s="19" t="s">
        <v>376</v>
      </c>
      <c r="BZ497" s="19" t="s">
        <v>302</v>
      </c>
      <c r="CA497" s="19" t="str">
        <f aca="false">VLOOKUP(J497,[1]Eras!$A$2:$C$10, 2, TRUE())</f>
        <v>dsl</v>
      </c>
      <c r="CB497" s="30" t="s">
        <v>376</v>
      </c>
      <c r="CC497" s="19" t="str">
        <f aca="false">CONCATENATE(CA497,"_",CB497)</f>
        <v>dsl_Van</v>
      </c>
      <c r="CD497" s="19" t="str">
        <f aca="false">_xlfn.CONCAT(H497, "_",I497)</f>
        <v>wagon_RAIL</v>
      </c>
      <c r="CE497" s="31" t="str">
        <f aca="false">_xlfn.CONCAT("{BLACK}Length: {GOLD}", TEXT(ROUNDUP(IF(AQ497&lt;&gt;"",SUM(VALUE(_xlfn.TEXTSPLIT(AQ497, ","))), SUM(VALUE(_xlfn.TEXTSPLIT(AN497, ",")))*IF(M497, M497, 1))/16, 1), "#,##0.0"), " tiles{}")</f>
        <v>{BLACK}Length: {GOLD}0.5 tiles{}</v>
      </c>
      <c r="CF497" s="19" t="str">
        <f aca="false">VLOOKUP($CD497, [1]Constants!$M$1:$N$1048576, 2, FALSE())</f>
        <v/>
      </c>
      <c r="CG497" s="19" t="str">
        <f aca="false">IF(M497&gt;1,_xlfn.CONCAT("{BLACK}Cars: {GOLD}", M497),"")</f>
        <v/>
      </c>
      <c r="CH497" s="19" t="s">
        <v>1833</v>
      </c>
      <c r="CJ497" s="19" t="str">
        <f aca="false">IF(BX497="buffet","{YELLOW}25% long distance bonus for consist{}",IF(CA497="BRAKE","{YELLOW}Speed bonus for slow wagons{}",IF(BW497&gt;190,CONCATENATE("{YELLOW}",INT((BW497-185)/1.85),"% bonus for long distance travel{}"),IF(AND(BW497&lt;180,BW497&lt;&gt;0),CONCATENATE("{YELLOW}",INT((185-BW497)/1.85),"% penalty for long distance travel{}"),""))))</f>
        <v/>
      </c>
      <c r="CK497" s="19" t="str">
        <f aca="false">_xlfn.CONCAT(CF497,IF(CF497 &lt;&gt; "", " ", ""),CG497,IF(OR(CG497&lt;&gt;"", CF497&lt;&gt;""), "{}",""), CE497, CJ497,"{SILVER}", CH497)</f>
        <v>{BLACK}Length: {GOLD}0.5 tiles{}{SILVER}BR’s two-axle Ferry Vans were built for interoperation with european service via cross-channel ferry services, allowing British companies to send goods directly to continental customers.</v>
      </c>
    </row>
    <row r="498" s="19" customFormat="true" ht="14.25" hidden="false" customHeight="false" outlineLevel="0" collapsed="false">
      <c r="A498" s="19" t="s">
        <v>1834</v>
      </c>
      <c r="B498" s="20" t="s">
        <v>1835</v>
      </c>
      <c r="C498" s="21" t="n">
        <v>3111</v>
      </c>
      <c r="E498" s="19" t="n">
        <v>1035</v>
      </c>
      <c r="F498" s="19" t="s">
        <v>143</v>
      </c>
      <c r="G498" s="19" t="s">
        <v>144</v>
      </c>
      <c r="H498" s="19" t="s">
        <v>144</v>
      </c>
      <c r="I498" s="19" t="s">
        <v>92</v>
      </c>
      <c r="J498" s="19" t="n">
        <v>1977</v>
      </c>
      <c r="O498" s="22"/>
      <c r="P498" s="23"/>
      <c r="Q498" s="23"/>
      <c r="R498" s="23"/>
      <c r="S498" s="23"/>
      <c r="T498" s="23"/>
      <c r="U498" s="23"/>
      <c r="V498" s="23"/>
      <c r="W498" s="19" t="n">
        <v>26</v>
      </c>
      <c r="X498" s="22"/>
      <c r="Y498" s="19" t="n">
        <v>4</v>
      </c>
      <c r="AA498" s="24" t="str">
        <f aca="false">IF(AND(W498&gt;0,Z498&gt;0),(Z498/((W498+X498)*10)),"")</f>
        <v/>
      </c>
      <c r="AB498" s="19" t="n">
        <v>60</v>
      </c>
      <c r="AC498" s="19" t="n">
        <f aca="false">ROUND(AB498*1.6, 0)</f>
        <v>96</v>
      </c>
      <c r="AF498" s="19" t="n">
        <v>21.7</v>
      </c>
      <c r="AG498" s="19" t="n">
        <v>21.7</v>
      </c>
      <c r="AI498" s="19" t="n">
        <v>3.8</v>
      </c>
      <c r="AJ498" s="25" t="n">
        <v>58</v>
      </c>
      <c r="AK498" s="26" t="str">
        <f aca="false">CONCATENATE(VLOOKUP(AL498, '[1]Voxel Sizes'!$A$2:$B$18,2,FALSE()),"x",INT(AH498*15), "x", INT(AI498*15))</f>
        <v>214x0x57</v>
      </c>
      <c r="AL498" s="19" t="n">
        <f aca="false">ROUND(15*((AG498*10)/256),0)</f>
        <v>13</v>
      </c>
      <c r="AN498" s="19" t="str">
        <f aca="false">CONCATENATE(VLOOKUP(AL498,[1]Constants!$A$2:$C$16,IF(AM498&lt;&gt;"", 3, 2), FALSE()),IF(AM498&lt;&gt;"",CONCATENATE(",",VLOOKUP(AM498,$B:$AN,38,FALSE())),""))</f>
        <v>4,5,4</v>
      </c>
      <c r="AP498" s="27"/>
      <c r="AQ498" s="27"/>
      <c r="AW498" s="26"/>
      <c r="AX498" s="19" t="n">
        <v>30</v>
      </c>
      <c r="AY498" s="28" t="str">
        <f aca="false">IF(L498&lt;&gt;"",MAX(16,(L498-J498)+8),"")</f>
        <v/>
      </c>
      <c r="BB498" s="19" t="n">
        <f aca="false">MIN(AB498/150, 1)*30</f>
        <v>12</v>
      </c>
      <c r="BC498" s="19" t="n">
        <f aca="false">MIN(N498/4000, 1)*20</f>
        <v>0</v>
      </c>
      <c r="BD498" s="19" t="n">
        <f aca="false">MIN(Z498/400,1)*20</f>
        <v>0</v>
      </c>
      <c r="BE498" s="24" t="n">
        <f aca="false">1-(MAX(J498-1900, 0)/750)</f>
        <v>0.897333333333333</v>
      </c>
      <c r="BF498" s="19" t="n">
        <f aca="false">((MAX($M498,1)*MIN($AJ498/300,1)))*IF(G498="Wagon",50,10)</f>
        <v>9.66666666666667</v>
      </c>
      <c r="BG498" s="19" t="n">
        <f aca="false">VLOOKUP($H498,[1]Constants!$I$1:$K$1048576, 2, FALSE())</f>
        <v>1</v>
      </c>
      <c r="BH498" s="19" t="n">
        <f aca="false">VLOOKUP($H498,[1]Constants!$I$1:$K$1048576, 3, FALSE())*IF(AND(G498="multiple_unit",AB498&lt;110),0.75,1)</f>
        <v>0.45</v>
      </c>
      <c r="BI498" s="19" t="n">
        <f aca="false">INT(POWER((([1]Constants!$G$2+$BB498+$BC498+$BD498+$BF498)*$BE498)*$BH498, 1.05))+$BA498</f>
        <v>12</v>
      </c>
      <c r="BJ498" s="19" t="n">
        <f aca="false">INT(POWER(((([1]Constants!$G$1+$BB498+$BC498+$BD498+$BF498)*($BE498))*$BG498),IF($G498="wagon",1,1.2)))+$AZ498</f>
        <v>32</v>
      </c>
      <c r="BK498" s="29" t="n">
        <f aca="false">BI498*IF($G498="wagon",62.5,781.25)</f>
        <v>750</v>
      </c>
      <c r="BL498" s="29" t="n">
        <f aca="false">BJ498*IF($G498="wagon",2.73,81.25)</f>
        <v>87.36</v>
      </c>
      <c r="BV498" s="19" t="n">
        <v>1</v>
      </c>
      <c r="BW498" s="19" t="n">
        <v>185</v>
      </c>
      <c r="BY498" s="19" t="s">
        <v>376</v>
      </c>
      <c r="BZ498" s="19" t="s">
        <v>302</v>
      </c>
      <c r="CA498" s="19" t="str">
        <f aca="false">VLOOKUP(J498,[1]Eras!$A$2:$C$10, 2, TRUE())</f>
        <v>lbr</v>
      </c>
      <c r="CB498" s="30" t="s">
        <v>376</v>
      </c>
      <c r="CC498" s="19" t="str">
        <f aca="false">CONCATENATE(CA498,"_",CB498)</f>
        <v>lbr_Van</v>
      </c>
      <c r="CD498" s="19" t="str">
        <f aca="false">_xlfn.CONCAT(H498, "_",I498)</f>
        <v>wagon_RAIL</v>
      </c>
      <c r="CE498" s="31" t="str">
        <f aca="false">_xlfn.CONCAT("{BLACK}Length: {GOLD}", TEXT(ROUNDUP(IF(AQ498&lt;&gt;"",SUM(VALUE(_xlfn.TEXTSPLIT(AQ498, ","))), SUM(VALUE(_xlfn.TEXTSPLIT(AN498, ",")))*IF(M498, M498, 1))/16, 1), "#,##0.0"), " tiles{}")</f>
        <v>{BLACK}Length: {GOLD}0.9 tiles{}</v>
      </c>
      <c r="CF498" s="19" t="str">
        <f aca="false">VLOOKUP($CD498, [1]Constants!$M$1:$N$1048576, 2, FALSE())</f>
        <v/>
      </c>
      <c r="CG498" s="19" t="str">
        <f aca="false">IF(M498&gt;1,_xlfn.CONCAT("{BLACK}Cars: {GOLD}", M498),"")</f>
        <v/>
      </c>
      <c r="CH498" s="19" t="s">
        <v>1836</v>
      </c>
      <c r="CJ498" s="19" t="str">
        <f aca="false">IF(BX498="buffet","{YELLOW}25% long distance bonus for consist{}",IF(CA498="BRAKE","{YELLOW}Speed bonus for slow wagons{}",IF(BW498&gt;190,CONCATENATE("{YELLOW}",INT((BW498-185)/1.85),"% bonus for long distance travel{}"),IF(AND(BW498&lt;180,BW498&lt;&gt;0),CONCATENATE("{YELLOW}",INT((185-BW498)/1.85),"% penalty for long distance travel{}"),""))))</f>
        <v/>
      </c>
      <c r="CK498" s="19" t="str">
        <f aca="false">_xlfn.CONCAT(CF498,IF(CF498 &lt;&gt; "", " ", ""),CG498,IF(OR(CG498&lt;&gt;"", CF498&lt;&gt;""), "{}",""), CE498, CJ498,"{SILVER}", CH498)</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9" s="19" customFormat="true" ht="14.25" hidden="false" customHeight="false" outlineLevel="0" collapsed="false">
      <c r="A499" s="19" t="s">
        <v>1837</v>
      </c>
      <c r="B499" s="20" t="s">
        <v>1838</v>
      </c>
      <c r="C499" s="21" t="n">
        <v>3112</v>
      </c>
      <c r="E499" s="26" t="n">
        <v>1037</v>
      </c>
      <c r="F499" s="19" t="s">
        <v>143</v>
      </c>
      <c r="G499" s="19" t="s">
        <v>1611</v>
      </c>
      <c r="H499" s="19" t="s">
        <v>144</v>
      </c>
      <c r="I499" s="19" t="s">
        <v>92</v>
      </c>
      <c r="J499" s="19" t="n">
        <v>1987</v>
      </c>
      <c r="M499" s="19" t="n">
        <v>2</v>
      </c>
      <c r="O499" s="22"/>
      <c r="P499" s="23"/>
      <c r="Q499" s="23"/>
      <c r="R499" s="23"/>
      <c r="S499" s="23"/>
      <c r="T499" s="23"/>
      <c r="U499" s="23"/>
      <c r="V499" s="23"/>
      <c r="W499" s="19" t="n">
        <v>27.3</v>
      </c>
      <c r="X499" s="22"/>
      <c r="Y499" s="19" t="n">
        <v>4</v>
      </c>
      <c r="AA499" s="24" t="str">
        <f aca="false">IF(AND(W499&gt;0,Z499&gt;0),(Z499/((W499+X499)*10)),"")</f>
        <v/>
      </c>
      <c r="AB499" s="19" t="n">
        <v>60</v>
      </c>
      <c r="AC499" s="19" t="n">
        <f aca="false">ROUND(AB499*1.6, 0)</f>
        <v>96</v>
      </c>
      <c r="AF499" s="19" t="n">
        <v>13.5</v>
      </c>
      <c r="AG499" s="19" t="n">
        <v>13.5</v>
      </c>
      <c r="AI499" s="19" t="n">
        <v>3.8</v>
      </c>
      <c r="AJ499" s="25" t="n">
        <v>34</v>
      </c>
      <c r="AK499" s="26" t="str">
        <f aca="false">CONCATENATE(VLOOKUP(AL499, '[1]Voxel Sizes'!$A$2:$B$18,2,FALSE()),"x",INT(AH499*15), "x", INT(AI499*15))</f>
        <v>136x0x57</v>
      </c>
      <c r="AL499" s="19" t="n">
        <f aca="false">ROUND(15*((AG499*10)/256),0)</f>
        <v>8</v>
      </c>
      <c r="AN499" s="19" t="str">
        <f aca="false">CONCATENATE(VLOOKUP(AL499,[1]Constants!$A$2:$C$16,IF(AM499&lt;&gt;"", 3, 2), FALSE()),IF(AM499&lt;&gt;"",CONCATENATE(",",VLOOKUP(AM499,$B:$AN,38,FALSE())),""))</f>
        <v>2,4,2</v>
      </c>
      <c r="AP499" s="27"/>
      <c r="AQ499" s="27"/>
      <c r="AR499" s="19" t="s">
        <v>1839</v>
      </c>
      <c r="AT499" s="19" t="s">
        <v>833</v>
      </c>
      <c r="AU499" s="19" t="s">
        <v>1840</v>
      </c>
      <c r="AW499" s="26"/>
      <c r="AX499" s="19" t="n">
        <v>30</v>
      </c>
      <c r="AY499" s="28" t="str">
        <f aca="false">IF(L499&lt;&gt;"",MAX(16,(L499-J499)+8),"")</f>
        <v/>
      </c>
      <c r="BB499" s="19" t="n">
        <f aca="false">MIN(AB499/150, 1)*30</f>
        <v>12</v>
      </c>
      <c r="BC499" s="19" t="n">
        <f aca="false">MIN(N499/4000, 1)*20</f>
        <v>0</v>
      </c>
      <c r="BD499" s="19" t="n">
        <f aca="false">MIN(Z499/400,1)*20</f>
        <v>0</v>
      </c>
      <c r="BE499" s="24" t="n">
        <f aca="false">1-(MAX(J499-1900, 0)/750)</f>
        <v>0.884</v>
      </c>
      <c r="BF499" s="19" t="n">
        <f aca="false">((MAX($M499,1)*MIN($AJ499/300,1)))*IF(G499="Wagon",50,10)</f>
        <v>2.26666666666667</v>
      </c>
      <c r="BG499" s="19" t="n">
        <f aca="false">VLOOKUP($H499,[1]Constants!$I$1:$K$1048576, 2, FALSE())</f>
        <v>1</v>
      </c>
      <c r="BH499" s="19" t="n">
        <f aca="false">VLOOKUP($H499,[1]Constants!$I$1:$K$1048576, 3, FALSE())*IF(AND(G499="multiple_unit",AB499&lt;110),0.75,1)</f>
        <v>0.45</v>
      </c>
      <c r="BI499" s="19" t="n">
        <f aca="false">INT(POWER((([1]Constants!$G$2+$BB499+$BC499+$BD499+$BF499)*$BE499)*$BH499, 1.05))+$BA499</f>
        <v>8</v>
      </c>
      <c r="BJ499" s="19" t="n">
        <f aca="false">INT(POWER(((([1]Constants!$G$1+$BB499+$BC499+$BD499+$BF499)*($BE499))*$BG499),IF($G499="wagon",1,1.2)))+$AZ499</f>
        <v>49</v>
      </c>
      <c r="BK499" s="29" t="n">
        <f aca="false">BI499*IF($G499="wagon",62.5,781.25)</f>
        <v>6250</v>
      </c>
      <c r="BL499" s="29" t="n">
        <f aca="false">BJ499*IF($G499="wagon",2.73,81.25)</f>
        <v>3981.25</v>
      </c>
      <c r="BV499" s="19" t="n">
        <v>1</v>
      </c>
      <c r="BW499" s="19" t="n">
        <v>185</v>
      </c>
      <c r="BY499" s="19" t="s">
        <v>376</v>
      </c>
      <c r="BZ499" s="19" t="s">
        <v>302</v>
      </c>
      <c r="CA499" s="19" t="str">
        <f aca="false">VLOOKUP(J499,[1]Eras!$A$2:$C$10, 2, TRUE())</f>
        <v>lbr</v>
      </c>
      <c r="CB499" s="30" t="s">
        <v>376</v>
      </c>
      <c r="CC499" s="19" t="str">
        <f aca="false">CONCATENATE(CA499,"_",CB499)</f>
        <v>lbr_Van</v>
      </c>
      <c r="CD499" s="19" t="str">
        <f aca="false">_xlfn.CONCAT(H499, "_",I499)</f>
        <v>wagon_RAIL</v>
      </c>
      <c r="CE499" s="31" t="str">
        <f aca="false">_xlfn.CONCAT("{BLACK}Length: {GOLD}", TEXT(ROUNDUP(IF(AQ499&lt;&gt;"",SUM(VALUE(_xlfn.TEXTSPLIT(AQ499, ","))), SUM(VALUE(_xlfn.TEXTSPLIT(AN499, ",")))*IF(M499, M499, 1))/16, 1), "#,##0.0"), " tiles{}")</f>
        <v>{BLACK}Length: {GOLD}1.0 tiles{}</v>
      </c>
      <c r="CF499" s="19" t="str">
        <f aca="false">VLOOKUP($CD499, [1]Constants!$M$1:$N$1048576, 2, FALSE())</f>
        <v/>
      </c>
      <c r="CG499" s="19" t="str">
        <f aca="false">IF(M499&gt;1,_xlfn.CONCAT("{BLACK}Cars: {GOLD}", M499),"")</f>
        <v>{BLACK}Cars: {GOLD}2</v>
      </c>
      <c r="CH499" s="19" t="s">
        <v>1841</v>
      </c>
      <c r="CJ499" s="19" t="str">
        <f aca="false">IF(BX499="buffet","{YELLOW}25% long distance bonus for consist{}",IF(CA499="BRAKE","{YELLOW}Speed bonus for slow wagons{}",IF(BW499&gt;190,CONCATENATE("{YELLOW}",INT((BW499-185)/1.85),"% bonus for long distance travel{}"),IF(AND(BW499&lt;180,BW499&lt;&gt;0),CONCATENATE("{YELLOW}",INT((185-BW499)/1.85),"% penalty for long distance travel{}"),""))))</f>
        <v/>
      </c>
      <c r="CK499" s="19" t="str">
        <f aca="false">_xlfn.CONCAT(CF499,IF(CF499 &lt;&gt; "", " ", ""),CG499,IF(OR(CG499&lt;&gt;"", CF499&lt;&gt;""), "{}",""), CE499, CJ499,"{SILVER}", CH499)</f>
        <v>{BLACK}Cars: {GOLD}2{}{BLACK}Length: {GOLD}1.0 tiles{}{SILVER}Built as permanently-coupled pairs of two-axle wagons, supposedly to capture an EU subsidy, these smaller cargowaggon sets continue to see service within the UK.</v>
      </c>
    </row>
    <row r="500" s="19" customFormat="true" ht="14.25" hidden="false" customHeight="false" outlineLevel="0" collapsed="false">
      <c r="A500" s="19" t="s">
        <v>1842</v>
      </c>
      <c r="B500" s="20" t="s">
        <v>1843</v>
      </c>
      <c r="C500" s="21" t="n">
        <v>3113</v>
      </c>
      <c r="E500" s="19" t="n">
        <v>1036</v>
      </c>
      <c r="F500" s="19" t="s">
        <v>143</v>
      </c>
      <c r="G500" s="19" t="s">
        <v>144</v>
      </c>
      <c r="H500" s="19" t="s">
        <v>144</v>
      </c>
      <c r="I500" s="19" t="s">
        <v>92</v>
      </c>
      <c r="J500" s="19" t="n">
        <v>1977</v>
      </c>
      <c r="O500" s="22"/>
      <c r="P500" s="23"/>
      <c r="Q500" s="23"/>
      <c r="R500" s="23"/>
      <c r="S500" s="23"/>
      <c r="T500" s="23"/>
      <c r="U500" s="23"/>
      <c r="V500" s="23"/>
      <c r="W500" s="19" t="n">
        <v>25</v>
      </c>
      <c r="X500" s="22"/>
      <c r="Y500" s="19" t="n">
        <v>4</v>
      </c>
      <c r="AA500" s="24" t="str">
        <f aca="false">IF(AND(W500&gt;0,Z500&gt;0),(Z500/((W500+X500)*10)),"")</f>
        <v/>
      </c>
      <c r="AB500" s="19" t="n">
        <v>60</v>
      </c>
      <c r="AC500" s="19" t="n">
        <f aca="false">ROUND(AB500*1.6, 0)</f>
        <v>96</v>
      </c>
      <c r="AF500" s="19" t="n">
        <v>21.7</v>
      </c>
      <c r="AG500" s="19" t="n">
        <v>21.7</v>
      </c>
      <c r="AI500" s="19" t="n">
        <v>3.8</v>
      </c>
      <c r="AJ500" s="25" t="n">
        <v>65</v>
      </c>
      <c r="AK500" s="26" t="str">
        <f aca="false">CONCATENATE(VLOOKUP(AL500, '[1]Voxel Sizes'!$A$2:$B$18,2,FALSE()),"x",INT(AH500*15), "x", INT(AI500*15))</f>
        <v>214x0x57</v>
      </c>
      <c r="AL500" s="19" t="n">
        <f aca="false">ROUND(15*((AG500*10)/256),0)</f>
        <v>13</v>
      </c>
      <c r="AN500" s="19" t="str">
        <f aca="false">CONCATENATE(VLOOKUP(AL500,[1]Constants!$A$2:$C$16,IF(AM500&lt;&gt;"", 3, 2), FALSE()),IF(AM500&lt;&gt;"",CONCATENATE(",",VLOOKUP(AM500,$B:$AN,38,FALSE())),""))</f>
        <v>4,5,4</v>
      </c>
      <c r="AP500" s="27"/>
      <c r="AQ500" s="27"/>
      <c r="AW500" s="26"/>
      <c r="AX500" s="19" t="n">
        <v>30</v>
      </c>
      <c r="AY500" s="28" t="str">
        <f aca="false">IF(L500&lt;&gt;"",MAX(16,(L500-J500)+8),"")</f>
        <v/>
      </c>
      <c r="BB500" s="19" t="n">
        <f aca="false">MIN(AB500/150, 1)*30</f>
        <v>12</v>
      </c>
      <c r="BC500" s="19" t="n">
        <f aca="false">MIN(N500/4000, 1)*20</f>
        <v>0</v>
      </c>
      <c r="BD500" s="19" t="n">
        <f aca="false">MIN(Z500/400,1)*20</f>
        <v>0</v>
      </c>
      <c r="BE500" s="24" t="n">
        <f aca="false">1-(MAX(J500-1900, 0)/750)</f>
        <v>0.897333333333333</v>
      </c>
      <c r="BF500" s="19" t="n">
        <f aca="false">((MAX($M500,1)*MIN($AJ500/300,1)))*IF(G500="Wagon",50,10)</f>
        <v>10.8333333333333</v>
      </c>
      <c r="BG500" s="19" t="n">
        <f aca="false">VLOOKUP($H500,[1]Constants!$I$1:$K$1048576, 2, FALSE())</f>
        <v>1</v>
      </c>
      <c r="BH500" s="19" t="n">
        <f aca="false">VLOOKUP($H500,[1]Constants!$I$1:$K$1048576, 3, FALSE())*IF(AND(G500="multiple_unit",AB500&lt;110),0.75,1)</f>
        <v>0.45</v>
      </c>
      <c r="BI500" s="19" t="n">
        <f aca="false">INT(POWER((([1]Constants!$G$2+$BB500+$BC500+$BD500+$BF500)*$BE500)*$BH500, 1.05))+$BA500</f>
        <v>12</v>
      </c>
      <c r="BJ500" s="19" t="n">
        <f aca="false">INT(POWER(((([1]Constants!$G$1+$BB500+$BC500+$BD500+$BF500)*($BE500))*$BG500),IF($G500="wagon",1,1.2)))+$AZ500</f>
        <v>33</v>
      </c>
      <c r="BK500" s="29" t="n">
        <f aca="false">BI500*IF($G500="wagon",62.5,781.25)</f>
        <v>750</v>
      </c>
      <c r="BL500" s="29" t="n">
        <f aca="false">BJ500*IF($G500="wagon",2.73,81.25)</f>
        <v>90.09</v>
      </c>
      <c r="BV500" s="19" t="n">
        <v>1</v>
      </c>
      <c r="BW500" s="19" t="n">
        <v>185</v>
      </c>
      <c r="BX500" s="40"/>
      <c r="BY500" s="40" t="s">
        <v>316</v>
      </c>
      <c r="BZ500" s="40" t="s">
        <v>317</v>
      </c>
      <c r="CA500" s="19" t="str">
        <f aca="false">VLOOKUP(J500,[1]Eras!$A$2:$C$10, 2, TRUE())</f>
        <v>lbr</v>
      </c>
      <c r="CB500" s="30" t="s">
        <v>318</v>
      </c>
      <c r="CC500" s="19" t="str">
        <f aca="false">CONCATENATE(CA500,"_",CB500)</f>
        <v>lbr_Flat Wagon</v>
      </c>
      <c r="CD500" s="19" t="str">
        <f aca="false">_xlfn.CONCAT(H500, "_",I500)</f>
        <v>wagon_RAIL</v>
      </c>
      <c r="CE500" s="31" t="str">
        <f aca="false">_xlfn.CONCAT("{BLACK}Length: {GOLD}", TEXT(ROUNDUP(IF(AQ500&lt;&gt;"",SUM(VALUE(_xlfn.TEXTSPLIT(AQ500, ","))), SUM(VALUE(_xlfn.TEXTSPLIT(AN500, ",")))*IF(M500, M500, 1))/16, 1), "#,##0.0"), " tiles{}")</f>
        <v>{BLACK}Length: {GOLD}0.9 tiles{}</v>
      </c>
      <c r="CF500" s="19" t="str">
        <f aca="false">VLOOKUP($CD500, [1]Constants!$M$1:$N$1048576, 2, FALSE())</f>
        <v/>
      </c>
      <c r="CG500" s="19" t="str">
        <f aca="false">IF(M500&gt;1,_xlfn.CONCAT("{BLACK}Cars: {GOLD}", M500),"")</f>
        <v/>
      </c>
      <c r="CH500" s="19" t="s">
        <v>1844</v>
      </c>
      <c r="CJ500" s="19" t="str">
        <f aca="false">IF(BZ500="buffet","{YELLOW}25% long distance bonus for consist{}",IF(CA500="BRAKE","{YELLOW}Speed bonus for slow wagons{}",IF(BW500&gt;190,CONCATENATE("{YELLOW}",INT((BW500-185)/1.85),"% bonus for long distance travel{}"),IF(AND(BW500&lt;180,BW500&lt;&gt;0),CONCATENATE("{YELLOW}",INT((185-BW500)/1.85),"% penalty for long distance travel{}"),""))))</f>
        <v/>
      </c>
      <c r="CK500" s="19" t="str">
        <f aca="false">_xlfn.CONCAT(CF500,IF(CF500 &lt;&gt; "", " ", ""),CG500,IF(OR(CG500&lt;&gt;"", CF500&lt;&gt;""), "{}",""), CE500, CJ500,"{SILVER}", CH500)</f>
        <v>{BLACK}Length: {GOLD}0.9 tiles{}{SILVER}The basic chassis of the Cargowaggon van adapted naturally to a sturdy, high-capacity flat wagon, used for steel, wood and other cargo, then later adapted for departmental work carrying welded rail and as match wagons.</v>
      </c>
    </row>
    <row r="501" s="19" customFormat="true" ht="14.25" hidden="false" customHeight="false" outlineLevel="0" collapsed="false">
      <c r="A501" s="30" t="s">
        <v>1845</v>
      </c>
      <c r="B501" s="49" t="s">
        <v>1846</v>
      </c>
      <c r="C501" s="21" t="n">
        <v>3114</v>
      </c>
      <c r="E501" s="19" t="n">
        <v>1101</v>
      </c>
      <c r="F501" s="19" t="s">
        <v>143</v>
      </c>
      <c r="G501" s="19" t="s">
        <v>144</v>
      </c>
      <c r="H501" s="19" t="s">
        <v>169</v>
      </c>
      <c r="I501" s="19" t="s">
        <v>92</v>
      </c>
      <c r="J501" s="19" t="n">
        <v>1905</v>
      </c>
      <c r="K501" s="19" t="n">
        <v>1960</v>
      </c>
      <c r="L501" s="19" t="n">
        <v>1960</v>
      </c>
      <c r="O501" s="22"/>
      <c r="P501" s="23"/>
      <c r="Q501" s="23"/>
      <c r="R501" s="23"/>
      <c r="S501" s="23"/>
      <c r="T501" s="23"/>
      <c r="U501" s="23"/>
      <c r="V501" s="23"/>
      <c r="W501" s="19" t="n">
        <v>39</v>
      </c>
      <c r="X501" s="22"/>
      <c r="Y501" s="19" t="n">
        <v>4</v>
      </c>
      <c r="AA501" s="24" t="str">
        <f aca="false">IF(AND(W501&gt;0,Z501&gt;0),(Z501/((W501+X501)*10)),"")</f>
        <v/>
      </c>
      <c r="AB501" s="19" t="n">
        <v>90</v>
      </c>
      <c r="AC501" s="19" t="n">
        <f aca="false">ROUND(AB501*1.6, 0)</f>
        <v>144</v>
      </c>
      <c r="AF501" s="19" t="n">
        <v>19.8</v>
      </c>
      <c r="AG501" s="19" t="n">
        <v>20</v>
      </c>
      <c r="AH501" s="19" t="n">
        <v>2.82</v>
      </c>
      <c r="AI501" s="19" t="n">
        <v>3.79</v>
      </c>
      <c r="AJ501" s="25" t="n">
        <v>18</v>
      </c>
      <c r="AK501" s="26" t="str">
        <f aca="false">CONCATENATE(VLOOKUP(AL501, '[1]Voxel Sizes'!$A$2:$B$18,2,FALSE()),"x",INT(AH501*15), "x", INT(AI501*15))</f>
        <v>198x42x56</v>
      </c>
      <c r="AL501" s="19" t="n">
        <f aca="false">ROUND(15*((AG501*10)/256),0)</f>
        <v>12</v>
      </c>
      <c r="AN501" s="19" t="str">
        <f aca="false">CONCATENATE(VLOOKUP(AL501,[1]Constants!$A$2:$C$16,IF(AM501&lt;&gt;"", 3, 2), FALSE()),IF(AM501&lt;&gt;"",CONCATENATE(",",VLOOKUP(AM501,$B:$AN,38,FALSE())),""))</f>
        <v>4,4,4</v>
      </c>
      <c r="AP501" s="27"/>
      <c r="AQ501" s="27"/>
      <c r="AX501" s="19" t="n">
        <v>30</v>
      </c>
      <c r="AY501" s="28" t="n">
        <f aca="false">IF(L501&lt;&gt;"",MAX(16,(L501-J501)+8),"")</f>
        <v>63</v>
      </c>
      <c r="AZ501" s="19" t="n">
        <v>1000</v>
      </c>
      <c r="BA501" s="19" t="n">
        <v>110</v>
      </c>
      <c r="BB501" s="19" t="n">
        <f aca="false">MIN(AB501/150, 1)*30</f>
        <v>18</v>
      </c>
      <c r="BC501" s="19" t="n">
        <f aca="false">MIN(N501/4000, 1)*20</f>
        <v>0</v>
      </c>
      <c r="BD501" s="19" t="n">
        <f aca="false">MIN(Z501/400,1)*20</f>
        <v>0</v>
      </c>
      <c r="BE501" s="24" t="n">
        <f aca="false">1-(MAX(J501-1900, 0)/750)</f>
        <v>0.993333333333333</v>
      </c>
      <c r="BF501" s="19" t="n">
        <f aca="false">((MAX($M501,1)*MIN($AJ501/300,1)))*IF(G501="Wagon",50,10)</f>
        <v>3</v>
      </c>
      <c r="BG501" s="19" t="n">
        <f aca="false">VLOOKUP($H501,[1]Constants!$I$1:$K$1048576, 2, FALSE())</f>
        <v>1.5</v>
      </c>
      <c r="BH501" s="19" t="n">
        <f aca="false">VLOOKUP($H501,[1]Constants!$I$1:$K$1048576, 3, FALSE())*IF(AND(G501="multiple_unit",AB501&lt;110),0.75,1)</f>
        <v>0.7</v>
      </c>
      <c r="BI501" s="19" t="n">
        <f aca="false">INT(POWER((([1]Constants!$G$2+$BB501+$BC501+$BD501+$BF501)*$BE501)*$BH501, 1.05))+$BA501</f>
        <v>130</v>
      </c>
      <c r="BJ501" s="19" t="n">
        <f aca="false">INT(POWER(((([1]Constants!$G$1+$BB501+$BC501+$BD501+$BF501)*($BE501))*$BG501),IF($G501="wagon",1,1.2)))+$AZ501</f>
        <v>1053</v>
      </c>
      <c r="BK501" s="29" t="n">
        <f aca="false">BI501*IF($G501="wagon",62.5,781.25)</f>
        <v>8125</v>
      </c>
      <c r="BL501" s="29" t="n">
        <f aca="false">BJ501*IF($G501="wagon",2.73,81.25)</f>
        <v>2874.69</v>
      </c>
      <c r="BV501" s="19" t="n">
        <v>2</v>
      </c>
      <c r="BW501" s="19" t="n">
        <v>278</v>
      </c>
      <c r="BY501" s="19" t="s">
        <v>147</v>
      </c>
      <c r="BZ501" s="19" t="s">
        <v>148</v>
      </c>
      <c r="CA501" s="19" t="str">
        <f aca="false">VLOOKUP(J501,[1]Eras!$A$2:$C$10, 2, TRUE())</f>
        <v>edw</v>
      </c>
      <c r="CB501" s="30" t="s">
        <v>149</v>
      </c>
      <c r="CC501" s="19" t="str">
        <f aca="false">CONCATENATE(CA501,"_",CB501)</f>
        <v>edw_Carriage</v>
      </c>
      <c r="CD501" s="19" t="str">
        <f aca="false">_xlfn.CONCAT(H501, "_",I501)</f>
        <v>luxury_carriage_RAIL</v>
      </c>
      <c r="CE501" s="31" t="str">
        <f aca="false">_xlfn.CONCAT("{BLACK}Length: {GOLD}", TEXT(ROUNDUP(IF(AQ501&lt;&gt;"",SUM(VALUE(_xlfn.TEXTSPLIT(AQ501, ","))), SUM(VALUE(_xlfn.TEXTSPLIT(AN501, ",")))*IF(M501, M501, 1))/16, 1), "#,##0.0"), " tiles{}")</f>
        <v>{BLACK}Length: {GOLD}0.8 tiles{}</v>
      </c>
      <c r="CF501" s="19" t="str">
        <f aca="false">VLOOKUP($CD501, [1]Constants!$M$1:$N$1048576, 2, FALSE())</f>
        <v/>
      </c>
      <c r="CG501" s="19" t="str">
        <f aca="false">IF(M501&gt;1,_xlfn.CONCAT("{BLACK}Cars: {GOLD}", M501),"")</f>
        <v/>
      </c>
      <c r="CH501" s="19" t="s">
        <v>1847</v>
      </c>
      <c r="CJ501" s="19" t="str">
        <f aca="false">IF(BX501="buffet","{YELLOW}25% long distance bonus for consist{}",IF(CA501="BRAKE","{YELLOW}Speed bonus for slow wagons{}",IF(BW501&gt;190,CONCATENATE("{YELLOW}",INT((BW501-185)/1.85),"% bonus for long distance travel{}"),IF(AND(BW501&lt;180,BW501&lt;&gt;0),CONCATENATE("{YELLOW}",INT((185-BW501)/1.85),"% penalty for long distance travel{}"),""))))</f>
        <v>{YELLOW}50% bonus for long distance travel{}</v>
      </c>
      <c r="CK501" s="19" t="str">
        <f aca="false">_xlfn.CONCAT(CF501,IF(CF501 &lt;&gt; "", " ", ""),CG501,IF(OR(CG501&lt;&gt;"", CF501&lt;&gt;""), "{}",""), CE501, CJ501,"{SILVER}", CH501)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502" s="19" customFormat="true" ht="14.25" hidden="false" customHeight="false" outlineLevel="0" collapsed="false">
      <c r="A502" s="30" t="s">
        <v>1848</v>
      </c>
      <c r="B502" s="49" t="s">
        <v>1849</v>
      </c>
      <c r="C502" s="21" t="n">
        <v>3115</v>
      </c>
      <c r="E502" s="19" t="n">
        <v>1102</v>
      </c>
      <c r="F502" s="19" t="s">
        <v>143</v>
      </c>
      <c r="G502" s="19" t="s">
        <v>144</v>
      </c>
      <c r="H502" s="19" t="s">
        <v>169</v>
      </c>
      <c r="I502" s="19" t="s">
        <v>92</v>
      </c>
      <c r="J502" s="19" t="n">
        <v>1936</v>
      </c>
      <c r="K502" s="19" t="n">
        <v>1974</v>
      </c>
      <c r="L502" s="19" t="n">
        <v>1980</v>
      </c>
      <c r="O502" s="22"/>
      <c r="P502" s="23"/>
      <c r="Q502" s="23"/>
      <c r="R502" s="23"/>
      <c r="S502" s="23"/>
      <c r="T502" s="23"/>
      <c r="U502" s="23"/>
      <c r="V502" s="23"/>
      <c r="W502" s="19" t="n">
        <v>38</v>
      </c>
      <c r="X502" s="22"/>
      <c r="Y502" s="19" t="n">
        <v>4</v>
      </c>
      <c r="AA502" s="24" t="str">
        <f aca="false">IF(AND(W502&gt;0,Z502&gt;0),(Z502/((W502+X502)*10)),"")</f>
        <v/>
      </c>
      <c r="AB502" s="19" t="n">
        <v>90</v>
      </c>
      <c r="AC502" s="19" t="n">
        <f aca="false">ROUND(AB502*1.6, 0)</f>
        <v>144</v>
      </c>
      <c r="AF502" s="19" t="n">
        <v>19.2</v>
      </c>
      <c r="AG502" s="19" t="n">
        <v>20</v>
      </c>
      <c r="AH502" s="19" t="n">
        <v>2.82</v>
      </c>
      <c r="AI502" s="19" t="n">
        <v>3.79</v>
      </c>
      <c r="AJ502" s="25" t="n">
        <v>18</v>
      </c>
      <c r="AK502" s="26" t="str">
        <f aca="false">CONCATENATE(VLOOKUP(AL502, '[1]Voxel Sizes'!$A$2:$B$18,2,FALSE()),"x",INT(AH502*15), "x", INT(AI502*15))</f>
        <v>198x42x56</v>
      </c>
      <c r="AL502" s="19" t="n">
        <f aca="false">ROUND(15*((AG502*10)/256),0)</f>
        <v>12</v>
      </c>
      <c r="AN502" s="19" t="str">
        <f aca="false">CONCATENATE(VLOOKUP(AL502,[1]Constants!$A$2:$C$16,IF(AM502&lt;&gt;"", 3, 2), FALSE()),IF(AM502&lt;&gt;"",CONCATENATE(",",VLOOKUP(AM502,$B:$AN,38,FALSE())),""))</f>
        <v>4,4,4</v>
      </c>
      <c r="AP502" s="27"/>
      <c r="AQ502" s="27"/>
      <c r="AW502" s="26" t="s">
        <v>1850</v>
      </c>
      <c r="AX502" s="19" t="n">
        <v>30</v>
      </c>
      <c r="AY502" s="28" t="n">
        <f aca="false">IF(L502&lt;&gt;"",MAX(16,(L502-J502)+8),"")</f>
        <v>52</v>
      </c>
      <c r="AZ502" s="19" t="n">
        <v>1000</v>
      </c>
      <c r="BA502" s="19" t="n">
        <v>110</v>
      </c>
      <c r="BB502" s="19" t="n">
        <f aca="false">MIN(AB502/150, 1)*30</f>
        <v>18</v>
      </c>
      <c r="BC502" s="19" t="n">
        <f aca="false">MIN(N502/4000, 1)*20</f>
        <v>0</v>
      </c>
      <c r="BD502" s="19" t="n">
        <f aca="false">MIN(Z502/400,1)*20</f>
        <v>0</v>
      </c>
      <c r="BE502" s="24" t="n">
        <f aca="false">1-(MAX(J502-1900, 0)/750)</f>
        <v>0.952</v>
      </c>
      <c r="BF502" s="19" t="n">
        <f aca="false">((MAX($M502,1)*MIN($AJ502/300,1)))*IF(G502="Wagon",50,10)</f>
        <v>3</v>
      </c>
      <c r="BG502" s="19" t="n">
        <f aca="false">VLOOKUP($H502,[1]Constants!$I$1:$K$1048576, 2, FALSE())</f>
        <v>1.5</v>
      </c>
      <c r="BH502" s="19" t="n">
        <f aca="false">VLOOKUP($H502,[1]Constants!$I$1:$K$1048576, 3, FALSE())*IF(AND(G502="multiple_unit",AB502&lt;110),0.75,1)</f>
        <v>0.7</v>
      </c>
      <c r="BI502" s="19" t="n">
        <f aca="false">INT(POWER((([1]Constants!$G$2+$BB502+$BC502+$BD502+$BF502)*$BE502)*$BH502, 1.05))+$BA502</f>
        <v>129</v>
      </c>
      <c r="BJ502" s="19" t="n">
        <f aca="false">INT(POWER(((([1]Constants!$G$1+$BB502+$BC502+$BD502+$BF502)*($BE502))*$BG502),IF($G502="wagon",1,1.2)))+$AZ502</f>
        <v>1051</v>
      </c>
      <c r="BK502" s="29" t="n">
        <f aca="false">BI502*IF($G502="wagon",62.5,781.25)</f>
        <v>8062.5</v>
      </c>
      <c r="BL502" s="29" t="n">
        <f aca="false">BJ502*IF($G502="wagon",2.73,81.25)</f>
        <v>2869.23</v>
      </c>
      <c r="BV502" s="19" t="n">
        <v>2</v>
      </c>
      <c r="BW502" s="19" t="n">
        <v>278</v>
      </c>
      <c r="BY502" s="19" t="s">
        <v>147</v>
      </c>
      <c r="BZ502" s="19" t="s">
        <v>148</v>
      </c>
      <c r="CA502" s="19" t="str">
        <f aca="false">VLOOKUP(J502,[1]Eras!$A$2:$C$10, 2, TRUE())</f>
        <v>big4</v>
      </c>
      <c r="CB502" s="30" t="s">
        <v>149</v>
      </c>
      <c r="CC502" s="19" t="str">
        <f aca="false">CONCATENATE(CA502,"_",CB502)</f>
        <v>big4_Carriage</v>
      </c>
      <c r="CD502" s="19" t="str">
        <f aca="false">_xlfn.CONCAT(H502, "_",I502)</f>
        <v>luxury_carriage_RAIL</v>
      </c>
      <c r="CE502" s="31" t="str">
        <f aca="false">_xlfn.CONCAT("{BLACK}Length: {GOLD}", TEXT(ROUNDUP(IF(AQ502&lt;&gt;"",SUM(VALUE(_xlfn.TEXTSPLIT(AQ502, ","))), SUM(VALUE(_xlfn.TEXTSPLIT(AN502, ",")))*IF(M502, M502, 1))/16, 1), "#,##0.0"), " tiles{}")</f>
        <v>{BLACK}Length: {GOLD}0.8 tiles{}</v>
      </c>
      <c r="CF502" s="19" t="str">
        <f aca="false">VLOOKUP($CD502, [1]Constants!$M$1:$N$1048576, 2, FALSE())</f>
        <v/>
      </c>
      <c r="CG502" s="19" t="str">
        <f aca="false">IF(M502&gt;1,_xlfn.CONCAT("{BLACK}Cars: {GOLD}", M502),"")</f>
        <v/>
      </c>
      <c r="CH502" s="19" t="s">
        <v>1851</v>
      </c>
      <c r="CJ502" s="19" t="str">
        <f aca="false">IF(BX502="buffet","{YELLOW}25% long distance bonus for consist{}",IF(CA502="BRAKE","{YELLOW}Speed bonus for slow wagons{}",IF(BW502&gt;190,CONCATENATE("{YELLOW}",INT((BW502-185)/1.85),"% bonus for long distance travel{}"),IF(AND(BW502&lt;180,BW502&lt;&gt;0),CONCATENATE("{YELLOW}",INT((185-BW502)/1.85),"% penalty for long distance travel{}"),""))))</f>
        <v>{YELLOW}50% bonus for long distance travel{}</v>
      </c>
      <c r="CK502" s="19" t="str">
        <f aca="false">_xlfn.CONCAT(CF502,IF(CF502 &lt;&gt; "", " ", ""),CG502,IF(OR(CG502&lt;&gt;"", CF502&lt;&gt;""), "{}",""), CE502, CJ502,"{SILVER}", CH502)</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503" s="19" customFormat="true" ht="14.25" hidden="false" customHeight="false" outlineLevel="0" collapsed="false">
      <c r="A503" s="30" t="s">
        <v>1852</v>
      </c>
      <c r="B503" s="49" t="s">
        <v>1853</v>
      </c>
      <c r="C503" s="21" t="n">
        <v>3116</v>
      </c>
      <c r="E503" s="19" t="n">
        <v>1103</v>
      </c>
      <c r="F503" s="19" t="s">
        <v>143</v>
      </c>
      <c r="G503" s="19" t="s">
        <v>144</v>
      </c>
      <c r="H503" s="19" t="s">
        <v>145</v>
      </c>
      <c r="I503" s="19" t="s">
        <v>92</v>
      </c>
      <c r="J503" s="19" t="n">
        <v>1936</v>
      </c>
      <c r="K503" s="19" t="n">
        <v>1974</v>
      </c>
      <c r="L503" s="19" t="n">
        <v>1980</v>
      </c>
      <c r="O503" s="22"/>
      <c r="P503" s="23"/>
      <c r="Q503" s="23"/>
      <c r="R503" s="23"/>
      <c r="S503" s="23"/>
      <c r="T503" s="23"/>
      <c r="U503" s="23"/>
      <c r="V503" s="23"/>
      <c r="W503" s="19" t="n">
        <v>21</v>
      </c>
      <c r="X503" s="22"/>
      <c r="Y503" s="19" t="n">
        <v>4</v>
      </c>
      <c r="AA503" s="24" t="str">
        <f aca="false">IF(AND(W503&gt;0,Z503&gt;0),(Z503/((W503+X503)*10)),"")</f>
        <v/>
      </c>
      <c r="AB503" s="19" t="n">
        <v>90</v>
      </c>
      <c r="AC503" s="19" t="n">
        <f aca="false">ROUND(AB503*1.6, 0)</f>
        <v>144</v>
      </c>
      <c r="AF503" s="19" t="n">
        <v>12.1</v>
      </c>
      <c r="AG503" s="19" t="n">
        <v>12</v>
      </c>
      <c r="AH503" s="19" t="n">
        <v>2.82</v>
      </c>
      <c r="AI503" s="19" t="n">
        <v>3.79</v>
      </c>
      <c r="AJ503" s="25" t="n">
        <v>18</v>
      </c>
      <c r="AK503" s="26" t="str">
        <f aca="false">CONCATENATE(VLOOKUP(AL503, '[1]Voxel Sizes'!$A$2:$B$18,2,FALSE()),"x",INT(AH503*15), "x", INT(AI503*15))</f>
        <v>120x42x56</v>
      </c>
      <c r="AL503" s="19" t="n">
        <f aca="false">ROUND(15*((AG503*10)/256),0)</f>
        <v>7</v>
      </c>
      <c r="AN503" s="19" t="str">
        <f aca="false">CONCATENATE(VLOOKUP(AL503,[1]Constants!$A$2:$C$16,IF(AM503&lt;&gt;"", 3, 2), FALSE()),IF(AM503&lt;&gt;"",CONCATENATE(",",VLOOKUP(AM503,$B:$AN,38,FALSE())),""))</f>
        <v>2,3,2</v>
      </c>
      <c r="AP503" s="27"/>
      <c r="AQ503" s="27"/>
      <c r="AW503" s="26" t="s">
        <v>1854</v>
      </c>
      <c r="AX503" s="19" t="n">
        <v>30</v>
      </c>
      <c r="AY503" s="28" t="n">
        <f aca="false">IF(L503&lt;&gt;"",MAX(16,(L503-J503)+8),"")</f>
        <v>52</v>
      </c>
      <c r="AZ503" s="19" t="n">
        <v>1000</v>
      </c>
      <c r="BA503" s="19" t="n">
        <v>110</v>
      </c>
      <c r="BB503" s="19" t="n">
        <f aca="false">MIN(AB503/150, 1)*30</f>
        <v>18</v>
      </c>
      <c r="BC503" s="19" t="n">
        <f aca="false">MIN(N503/4000, 1)*20</f>
        <v>0</v>
      </c>
      <c r="BD503" s="19" t="n">
        <f aca="false">MIN(Z503/400,1)*20</f>
        <v>0</v>
      </c>
      <c r="BE503" s="24" t="n">
        <f aca="false">1-(MAX(J503-1900, 0)/750)</f>
        <v>0.952</v>
      </c>
      <c r="BF503" s="19" t="n">
        <f aca="false">((MAX($M503,1)*MIN($AJ503/300,1)))*IF(G503="Wagon",50,10)</f>
        <v>3</v>
      </c>
      <c r="BG503" s="19" t="n">
        <f aca="false">VLOOKUP($H503,[1]Constants!$I$1:$K$1048576, 2, FALSE())</f>
        <v>1.2</v>
      </c>
      <c r="BH503" s="19" t="n">
        <f aca="false">VLOOKUP($H503,[1]Constants!$I$1:$K$1048576, 3, FALSE())*IF(AND(G503="multiple_unit",AB503&lt;110),0.75,1)</f>
        <v>0.6</v>
      </c>
      <c r="BI503" s="19" t="n">
        <f aca="false">INT(POWER((([1]Constants!$G$2+$BB503+$BC503+$BD503+$BF503)*$BE503)*$BH503, 1.05))+$BA503</f>
        <v>126</v>
      </c>
      <c r="BJ503" s="19" t="n">
        <f aca="false">INT(POWER(((([1]Constants!$G$1+$BB503+$BC503+$BD503+$BF503)*($BE503))*$BG503),IF($G503="wagon",1,1.2)))+$AZ503</f>
        <v>1041</v>
      </c>
      <c r="BK503" s="29" t="n">
        <f aca="false">BI503*IF($G503="wagon",62.5,781.25)</f>
        <v>7875</v>
      </c>
      <c r="BL503" s="29" t="n">
        <f aca="false">BJ503*IF($G503="wagon",2.73,81.25)</f>
        <v>2841.93</v>
      </c>
      <c r="BV503" s="19" t="n">
        <v>2</v>
      </c>
      <c r="BW503" s="19" t="n">
        <v>185</v>
      </c>
      <c r="BY503" s="19" t="s">
        <v>219</v>
      </c>
      <c r="BZ503" s="19" t="s">
        <v>220</v>
      </c>
      <c r="CA503" s="19" t="str">
        <f aca="false">VLOOKUP(J503,[1]Eras!$A$2:$C$10, 2, TRUE())</f>
        <v>big4</v>
      </c>
      <c r="CB503" s="30" t="s">
        <v>149</v>
      </c>
      <c r="CC503" s="19" t="str">
        <f aca="false">CONCATENATE(CA503,"_",CB503)</f>
        <v>big4_Carriage</v>
      </c>
      <c r="CD503" s="19" t="str">
        <f aca="false">_xlfn.CONCAT(H503, "_",I503)</f>
        <v>carriage_RAIL</v>
      </c>
      <c r="CE503" s="31" t="str">
        <f aca="false">_xlfn.CONCAT("{BLACK}Length: {GOLD}", TEXT(ROUNDUP(IF(AQ503&lt;&gt;"",SUM(VALUE(_xlfn.TEXTSPLIT(AQ503, ","))), SUM(VALUE(_xlfn.TEXTSPLIT(AN503, ",")))*IF(M503, M503, 1))/16, 1), "#,##0.0"), " tiles{}")</f>
        <v>{BLACK}Length: {GOLD}0.5 tiles{}</v>
      </c>
      <c r="CF503" s="19" t="str">
        <f aca="false">VLOOKUP($CD503, [1]Constants!$M$1:$N$1048576, 2, FALSE())</f>
        <v/>
      </c>
      <c r="CG503" s="19" t="str">
        <f aca="false">IF(M503&gt;1,_xlfn.CONCAT("{BLACK}Cars: {GOLD}", M503),"")</f>
        <v/>
      </c>
      <c r="CH503" s="19" t="s">
        <v>1855</v>
      </c>
      <c r="CJ503" s="19" t="str">
        <f aca="false">IF(BX503="buffet","{YELLOW}25% long distance bonus for consist{}",IF(CA503="BRAKE","{YELLOW}Speed bonus for slow wagons{}",IF(BW503&gt;190,CONCATENATE("{YELLOW}",INT((BW503-185)/1.85),"% bonus for long distance travel{}"),IF(AND(BW503&lt;180,BW503&lt;&gt;0),CONCATENATE("{YELLOW}",INT((185-BW503)/1.85),"% penalty for long distance travel{}"),""))))</f>
        <v/>
      </c>
      <c r="CK503" s="19" t="str">
        <f aca="false">_xlfn.CONCAT(CF503,IF(CF503 &lt;&gt; "", " ", ""),CG503,IF(OR(CG503&lt;&gt;"", CF503&lt;&gt;""), "{}",""), CE503, CJ503,"{SILVER}", CH503)</f>
        <v>{BLACK}Length: {GOLD}0.5 tiles{}{SILVER}These two-axle baggage cars were a fixture of the night ferry service, running with the sleeping cars on the 11 hour schedule from London to Paris.</v>
      </c>
    </row>
    <row r="504" s="19" customFormat="true" ht="14.25" hidden="false" customHeight="false" outlineLevel="0" collapsed="false">
      <c r="A504" s="30" t="s">
        <v>1856</v>
      </c>
      <c r="B504" s="49" t="s">
        <v>1857</v>
      </c>
      <c r="C504" s="21" t="n">
        <v>3117</v>
      </c>
      <c r="D504" s="0" t="n">
        <v>18</v>
      </c>
      <c r="E504" s="19" t="n">
        <v>1111</v>
      </c>
      <c r="F504" s="19" t="s">
        <v>143</v>
      </c>
      <c r="G504" s="19" t="s">
        <v>144</v>
      </c>
      <c r="H504" s="19" t="s">
        <v>145</v>
      </c>
      <c r="I504" s="19" t="s">
        <v>92</v>
      </c>
      <c r="J504" s="19" t="n">
        <v>1957</v>
      </c>
      <c r="K504" s="19" t="n">
        <v>1981</v>
      </c>
      <c r="L504" s="19" t="n">
        <v>2002</v>
      </c>
      <c r="O504" s="22"/>
      <c r="P504" s="23"/>
      <c r="Q504" s="23"/>
      <c r="R504" s="23"/>
      <c r="S504" s="23"/>
      <c r="T504" s="23"/>
      <c r="U504" s="23"/>
      <c r="V504" s="23"/>
      <c r="W504" s="19" t="n">
        <v>33</v>
      </c>
      <c r="X504" s="22"/>
      <c r="Y504" s="19" t="n">
        <v>4</v>
      </c>
      <c r="AA504" s="24" t="str">
        <f aca="false">IF(AND(W504&gt;0,Z504&gt;0),(Z504/((W504+X504)*10)),"")</f>
        <v/>
      </c>
      <c r="AB504" s="19" t="n">
        <v>100</v>
      </c>
      <c r="AC504" s="19" t="n">
        <f aca="false">ROUND(AB504*1.6, 0)</f>
        <v>160</v>
      </c>
      <c r="AF504" s="19" t="n">
        <v>18.4</v>
      </c>
      <c r="AG504" s="19" t="n">
        <v>18</v>
      </c>
      <c r="AH504" s="19" t="n">
        <v>2.82</v>
      </c>
      <c r="AI504" s="19" t="n">
        <v>3.79</v>
      </c>
      <c r="AJ504" s="25" t="n">
        <v>65</v>
      </c>
      <c r="AK504" s="26" t="str">
        <f aca="false">CONCATENATE(VLOOKUP(AL504, '[1]Voxel Sizes'!$A$2:$B$18,2,FALSE()),"x",INT(AH504*15), "x", INT(AI504*15))</f>
        <v>186x42x56</v>
      </c>
      <c r="AL504" s="19" t="n">
        <f aca="false">ROUND(15*((AG504*10)/256),0)</f>
        <v>11</v>
      </c>
      <c r="AN504" s="19" t="str">
        <f aca="false">CONCATENATE(VLOOKUP(AL504,[1]Constants!$A$2:$C$16,IF(AM504&lt;&gt;"", 3, 2), FALSE()),IF(AM504&lt;&gt;"",CONCATENATE(",",VLOOKUP(AM504,$B:$AN,38,FALSE())),""))</f>
        <v>4,3,4</v>
      </c>
      <c r="AP504" s="27"/>
      <c r="AQ504" s="27"/>
      <c r="AW504" s="26"/>
      <c r="AX504" s="19" t="n">
        <v>30</v>
      </c>
      <c r="AY504" s="28" t="n">
        <f aca="false">IF(L504&lt;&gt;"",MAX(16,(L504-J504)+8),"")</f>
        <v>53</v>
      </c>
      <c r="AZ504" s="19" t="n">
        <v>55</v>
      </c>
      <c r="BA504" s="19" t="n">
        <v>25</v>
      </c>
      <c r="BB504" s="19" t="n">
        <f aca="false">MIN(AB504/150, 1)*30</f>
        <v>20</v>
      </c>
      <c r="BC504" s="19" t="n">
        <f aca="false">MIN(N504/4000, 1)*20</f>
        <v>0</v>
      </c>
      <c r="BD504" s="19" t="n">
        <f aca="false">MIN(Z504/400,1)*20</f>
        <v>0</v>
      </c>
      <c r="BE504" s="24" t="n">
        <f aca="false">1-(MAX(J504-1900, 0)/750)</f>
        <v>0.924</v>
      </c>
      <c r="BF504" s="19" t="n">
        <f aca="false">((MAX($M504,1)*MIN($AJ504/300,1)))*IF(G504="Wagon",50,10)</f>
        <v>10.8333333333333</v>
      </c>
      <c r="BG504" s="19" t="n">
        <f aca="false">VLOOKUP($H504,[1]Constants!$I$1:$K$1048576, 2, FALSE())</f>
        <v>1.2</v>
      </c>
      <c r="BH504" s="19" t="n">
        <f aca="false">VLOOKUP($H504,[1]Constants!$I$1:$K$1048576, 3, FALSE())*IF(AND(G504="multiple_unit",AB504&lt;110),0.75,1)</f>
        <v>0.6</v>
      </c>
      <c r="BI504" s="19" t="n">
        <f aca="false">INT(POWER((([1]Constants!$G$2+$BB504+$BC504+$BD504+$BF504)*$BE504)*$BH504, 1.05))+$BA504</f>
        <v>48</v>
      </c>
      <c r="BJ504" s="19" t="n">
        <f aca="false">INT(POWER(((([1]Constants!$G$1+$BB504+$BC504+$BD504+$BF504)*($BE504))*$BG504),IF($G504="wagon",1,1.2)))+$AZ504</f>
        <v>105</v>
      </c>
      <c r="BK504" s="29" t="n">
        <f aca="false">BI504*IF($G504="wagon",62.5,781.25)</f>
        <v>3000</v>
      </c>
      <c r="BL504" s="29" t="n">
        <f aca="false">BJ504*IF($G504="wagon",2.73,81.25)</f>
        <v>286.65</v>
      </c>
      <c r="BV504" s="19" t="n">
        <v>1</v>
      </c>
      <c r="BW504" s="19" t="n">
        <v>185</v>
      </c>
      <c r="BY504" s="19" t="s">
        <v>219</v>
      </c>
      <c r="BZ504" s="19" t="s">
        <v>220</v>
      </c>
      <c r="CA504" s="19" t="str">
        <f aca="false">VLOOKUP(J504,[1]Eras!$A$2:$C$10, 2, TRUE())</f>
        <v>dsl</v>
      </c>
      <c r="CB504" s="30" t="s">
        <v>221</v>
      </c>
      <c r="CC504" s="19" t="str">
        <f aca="false">CONCATENATE(CA504,"_",CB504)</f>
        <v>dsl_Mail Carriage</v>
      </c>
      <c r="CD504" s="19" t="str">
        <f aca="false">_xlfn.CONCAT(H504, "_",I504)</f>
        <v>carriage_RAIL</v>
      </c>
      <c r="CE504" s="31" t="str">
        <f aca="false">_xlfn.CONCAT("{BLACK}Length: {GOLD}", TEXT(ROUNDUP(IF(AQ504&lt;&gt;"",SUM(VALUE(_xlfn.TEXTSPLIT(AQ504, ","))), SUM(VALUE(_xlfn.TEXTSPLIT(AN504, ",")))*IF(M504, M504, 1))/16, 1), "#,##0.0"), " tiles{}")</f>
        <v>{BLACK}Length: {GOLD}0.7 tiles{}</v>
      </c>
      <c r="CF504" s="19" t="str">
        <f aca="false">VLOOKUP($CD504, [1]Constants!$M$1:$N$1048576, 2, FALSE())</f>
        <v/>
      </c>
      <c r="CG504" s="19" t="str">
        <f aca="false">IF(M504&gt;1,_xlfn.CONCAT("{BLACK}Cars: {GOLD}", M504),"")</f>
        <v/>
      </c>
      <c r="CH504" s="19" t="s">
        <v>1858</v>
      </c>
      <c r="CJ504" s="19" t="str">
        <f aca="false">IF(BX504="buffet","{YELLOW}25% long distance bonus for consist{}",IF(CA504="BRAKE","{YELLOW}Speed bonus for slow wagons{}",IF(BW504&gt;190,CONCATENATE("{YELLOW}",INT((BW504-185)/1.85),"% bonus for long distance travel{}"),IF(AND(BW504&lt;180,BW504&lt;&gt;0),CONCATENATE("{YELLOW}",INT((185-BW504)/1.85),"% penalty for long distance travel{}"),""))))</f>
        <v/>
      </c>
      <c r="CK504" s="19" t="str">
        <f aca="false">_xlfn.CONCAT(CF504,IF(CF504 &lt;&gt; "", " ", ""),CG504,IF(OR(CG504&lt;&gt;"", CF504&lt;&gt;""), "{}",""), CE504, CJ504,"{SILVER}", CH504)</f>
        <v>{BLACK}Length: {GOLD}0.7 tiles{}{SILVER}The standard parcels and baggage car on British Rail for decades, the Mk1 Brake Gangwayed was extremely versatile. This represents a standard 57’ frame example, making it noticably shorter than the standard Mk1 coach.</v>
      </c>
    </row>
    <row r="505" s="19" customFormat="true" ht="14.25" hidden="false" customHeight="false" outlineLevel="0" collapsed="false">
      <c r="A505" s="30" t="s">
        <v>1859</v>
      </c>
      <c r="B505" s="49" t="s">
        <v>1860</v>
      </c>
      <c r="C505" s="21" t="n">
        <v>3118</v>
      </c>
      <c r="D505" s="0" t="n">
        <v>18</v>
      </c>
      <c r="E505" s="19" t="n">
        <v>1112</v>
      </c>
      <c r="F505" s="19" t="s">
        <v>143</v>
      </c>
      <c r="G505" s="19" t="s">
        <v>144</v>
      </c>
      <c r="H505" s="19" t="s">
        <v>145</v>
      </c>
      <c r="I505" s="19" t="s">
        <v>92</v>
      </c>
      <c r="J505" s="19" t="n">
        <v>1975</v>
      </c>
      <c r="K505" s="19" t="n">
        <v>1998</v>
      </c>
      <c r="L505" s="19" t="n">
        <v>2002</v>
      </c>
      <c r="O505" s="22"/>
      <c r="P505" s="23"/>
      <c r="Q505" s="23"/>
      <c r="R505" s="23"/>
      <c r="S505" s="23"/>
      <c r="T505" s="23"/>
      <c r="U505" s="23"/>
      <c r="V505" s="23"/>
      <c r="W505" s="19" t="n">
        <v>33</v>
      </c>
      <c r="X505" s="22"/>
      <c r="Y505" s="19" t="n">
        <v>4</v>
      </c>
      <c r="AA505" s="24" t="str">
        <f aca="false">IF(AND(W505&gt;0,Z505&gt;0),(Z505/((W505+X505)*10)),"")</f>
        <v/>
      </c>
      <c r="AB505" s="19" t="n">
        <v>110</v>
      </c>
      <c r="AC505" s="19" t="n">
        <f aca="false">ROUND(AB505*1.6, 0)</f>
        <v>176</v>
      </c>
      <c r="AF505" s="19" t="n">
        <v>18.4</v>
      </c>
      <c r="AG505" s="19" t="n">
        <v>18</v>
      </c>
      <c r="AH505" s="19" t="n">
        <v>2.82</v>
      </c>
      <c r="AI505" s="19" t="n">
        <v>3.79</v>
      </c>
      <c r="AJ505" s="25" t="n">
        <v>65</v>
      </c>
      <c r="AK505" s="26" t="str">
        <f aca="false">CONCATENATE(VLOOKUP(AL505, '[1]Voxel Sizes'!$A$2:$B$18,2,FALSE()),"x",INT(AH505*15), "x", INT(AI505*15))</f>
        <v>186x42x56</v>
      </c>
      <c r="AL505" s="19" t="n">
        <f aca="false">ROUND(15*((AG505*10)/256),0)</f>
        <v>11</v>
      </c>
      <c r="AN505" s="19" t="str">
        <f aca="false">CONCATENATE(VLOOKUP(AL505,[1]Constants!$A$2:$C$16,IF(AM505&lt;&gt;"", 3, 2), FALSE()),IF(AM505&lt;&gt;"",CONCATENATE(",",VLOOKUP(AM505,$B:$AN,38,FALSE())),""))</f>
        <v>4,3,4</v>
      </c>
      <c r="AP505" s="27"/>
      <c r="AQ505" s="27"/>
      <c r="AW505" s="26"/>
      <c r="AX505" s="19" t="n">
        <v>30</v>
      </c>
      <c r="AY505" s="28" t="n">
        <f aca="false">IF(L505&lt;&gt;"",MAX(16,(L505-J505)+8),"")</f>
        <v>35</v>
      </c>
      <c r="AZ505" s="19" t="n">
        <v>75</v>
      </c>
      <c r="BA505" s="19" t="n">
        <v>35</v>
      </c>
      <c r="BB505" s="19" t="n">
        <f aca="false">MIN(AB505/150, 1)*30</f>
        <v>22</v>
      </c>
      <c r="BC505" s="19" t="n">
        <f aca="false">MIN(N505/4000, 1)*20</f>
        <v>0</v>
      </c>
      <c r="BD505" s="19" t="n">
        <f aca="false">MIN(Z505/400,1)*20</f>
        <v>0</v>
      </c>
      <c r="BE505" s="24" t="n">
        <f aca="false">1-(MAX(J505-1900, 0)/750)</f>
        <v>0.9</v>
      </c>
      <c r="BF505" s="19" t="n">
        <f aca="false">((MAX($M505,1)*MIN($AJ505/300,1)))*IF(G505="Wagon",50,10)</f>
        <v>10.8333333333333</v>
      </c>
      <c r="BG505" s="19" t="n">
        <f aca="false">VLOOKUP($H505,[1]Constants!$I$1:$K$1048576, 2, FALSE())</f>
        <v>1.2</v>
      </c>
      <c r="BH505" s="19" t="n">
        <f aca="false">VLOOKUP($H505,[1]Constants!$I$1:$K$1048576, 3, FALSE())*IF(AND(G505="multiple_unit",AB505&lt;110),0.75,1)</f>
        <v>0.6</v>
      </c>
      <c r="BI505" s="19" t="n">
        <f aca="false">INT(POWER((([1]Constants!$G$2+$BB505+$BC505+$BD505+$BF505)*$BE505)*$BH505, 1.05))+$BA505</f>
        <v>58</v>
      </c>
      <c r="BJ505" s="19" t="n">
        <f aca="false">INT(POWER(((([1]Constants!$G$1+$BB505+$BC505+$BD505+$BF505)*($BE505))*$BG505),IF($G505="wagon",1,1.2)))+$AZ505</f>
        <v>126</v>
      </c>
      <c r="BK505" s="29" t="n">
        <f aca="false">BI505*IF($G505="wagon",62.5,781.25)</f>
        <v>3625</v>
      </c>
      <c r="BL505" s="29" t="n">
        <f aca="false">BJ505*IF($G505="wagon",2.73,81.25)</f>
        <v>343.98</v>
      </c>
      <c r="BV505" s="19" t="n">
        <v>1</v>
      </c>
      <c r="BW505" s="19" t="n">
        <v>185</v>
      </c>
      <c r="BY505" s="19" t="s">
        <v>219</v>
      </c>
      <c r="BZ505" s="19" t="s">
        <v>220</v>
      </c>
      <c r="CA505" s="19" t="str">
        <f aca="false">VLOOKUP(J505,[1]Eras!$A$2:$C$10, 2, TRUE())</f>
        <v>lbr</v>
      </c>
      <c r="CB505" s="30" t="s">
        <v>221</v>
      </c>
      <c r="CC505" s="19" t="str">
        <f aca="false">CONCATENATE(CA505,"_",CB505)</f>
        <v>lbr_Mail Carriage</v>
      </c>
      <c r="CD505" s="19" t="str">
        <f aca="false">_xlfn.CONCAT(H505, "_",I505)</f>
        <v>carriage_RAIL</v>
      </c>
      <c r="CE505" s="31" t="str">
        <f aca="false">_xlfn.CONCAT("{BLACK}Length: {GOLD}", TEXT(ROUNDUP(IF(AQ505&lt;&gt;"",SUM(VALUE(_xlfn.TEXTSPLIT(AQ505, ","))), SUM(VALUE(_xlfn.TEXTSPLIT(AN505, ",")))*IF(M505, M505, 1))/16, 1), "#,##0.0"), " tiles{}")</f>
        <v>{BLACK}Length: {GOLD}0.7 tiles{}</v>
      </c>
      <c r="CF505" s="19" t="str">
        <f aca="false">VLOOKUP($CD505, [1]Constants!$M$1:$N$1048576, 2, FALSE())</f>
        <v/>
      </c>
      <c r="CG505" s="19" t="str">
        <f aca="false">IF(M505&gt;1,_xlfn.CONCAT("{BLACK}Cars: {GOLD}", M505),"")</f>
        <v/>
      </c>
      <c r="CH505" s="19" t="s">
        <v>1861</v>
      </c>
      <c r="CJ505" s="19" t="str">
        <f aca="false">IF(BX505="buffet","{YELLOW}25% long distance bonus for consist{}",IF(CA505="BRAKE","{YELLOW}Speed bonus for slow wagons{}",IF(BW505&gt;190,CONCATENATE("{YELLOW}",INT((BW505-185)/1.85),"% bonus for long distance travel{}"),IF(AND(BW505&lt;180,BW505&lt;&gt;0),CONCATENATE("{YELLOW}",INT((185-BW505)/1.85),"% penalty for long distance travel{}"),""))))</f>
        <v/>
      </c>
      <c r="CK505" s="19" t="str">
        <f aca="false">_xlfn.CONCAT(CF505,IF(CF505 &lt;&gt; "", " ", ""),CG505,IF(OR(CG505&lt;&gt;"", CF505&lt;&gt;""), "{}",""), CE505, CJ505,"{SILVER}", CH505)</f>
        <v>{BLACK}Length: {GOLD}0.7 tiles{}{SILVER}In the 1980s a number of BG vehicles were upgraded with B4 bogies and cleared for travel at 110mph, to provide additional capacity within fast passenger services, which were typically run with Mark 2 stock.</v>
      </c>
    </row>
    <row r="506" s="19" customFormat="true" ht="14.25" hidden="false" customHeight="false" outlineLevel="0" collapsed="false">
      <c r="A506" s="30" t="s">
        <v>1862</v>
      </c>
      <c r="B506" s="49" t="s">
        <v>1863</v>
      </c>
      <c r="C506" s="21" t="n">
        <v>3119</v>
      </c>
      <c r="D506" s="0" t="n">
        <v>18</v>
      </c>
      <c r="E506" s="19" t="n">
        <v>1113</v>
      </c>
      <c r="F506" s="19" t="s">
        <v>143</v>
      </c>
      <c r="G506" s="19" t="s">
        <v>144</v>
      </c>
      <c r="H506" s="19" t="s">
        <v>145</v>
      </c>
      <c r="I506" s="19" t="s">
        <v>92</v>
      </c>
      <c r="J506" s="19" t="n">
        <v>1989</v>
      </c>
      <c r="K506" s="19" t="n">
        <v>2002</v>
      </c>
      <c r="L506" s="19" t="n">
        <v>2002</v>
      </c>
      <c r="O506" s="22"/>
      <c r="P506" s="23"/>
      <c r="Q506" s="23"/>
      <c r="R506" s="23"/>
      <c r="S506" s="23"/>
      <c r="T506" s="23"/>
      <c r="U506" s="23"/>
      <c r="V506" s="23"/>
      <c r="W506" s="19" t="n">
        <v>33</v>
      </c>
      <c r="X506" s="22"/>
      <c r="Y506" s="19" t="n">
        <v>5</v>
      </c>
      <c r="AA506" s="24" t="str">
        <f aca="false">IF(AND(W506&gt;0,Z506&gt;0),(Z506/((W506+X506)*10)),"")</f>
        <v/>
      </c>
      <c r="AB506" s="19" t="n">
        <v>100</v>
      </c>
      <c r="AC506" s="19" t="n">
        <f aca="false">ROUND(AB506*1.6, 0)</f>
        <v>160</v>
      </c>
      <c r="AF506" s="19" t="n">
        <v>18.4</v>
      </c>
      <c r="AG506" s="19" t="n">
        <v>18</v>
      </c>
      <c r="AH506" s="19" t="n">
        <v>2.82</v>
      </c>
      <c r="AI506" s="19" t="n">
        <v>3.79</v>
      </c>
      <c r="AJ506" s="25" t="n">
        <v>72</v>
      </c>
      <c r="AK506" s="26" t="str">
        <f aca="false">CONCATENATE(VLOOKUP(AL506, '[1]Voxel Sizes'!$A$2:$B$18,2,FALSE()),"x",INT(AH506*15), "x", INT(AI506*15))</f>
        <v>186x42x56</v>
      </c>
      <c r="AL506" s="19" t="n">
        <f aca="false">ROUND(15*((AG506*10)/256),0)</f>
        <v>11</v>
      </c>
      <c r="AN506" s="19" t="str">
        <f aca="false">CONCATENATE(VLOOKUP(AL506,[1]Constants!$A$2:$C$16,IF(AM506&lt;&gt;"", 3, 2), FALSE()),IF(AM506&lt;&gt;"",CONCATENATE(",",VLOOKUP(AM506,$B:$AN,38,FALSE())),""))</f>
        <v>4,3,4</v>
      </c>
      <c r="AP506" s="27"/>
      <c r="AQ506" s="27"/>
      <c r="AW506" s="26"/>
      <c r="AX506" s="19" t="n">
        <v>30</v>
      </c>
      <c r="AY506" s="28" t="n">
        <f aca="false">IF(L506&lt;&gt;"",MAX(16,(L506-J506)+8),"")</f>
        <v>21</v>
      </c>
      <c r="AZ506" s="19" t="n">
        <v>65</v>
      </c>
      <c r="BA506" s="19" t="n">
        <v>45</v>
      </c>
      <c r="BB506" s="19" t="n">
        <f aca="false">MIN(AB506/150, 1)*30</f>
        <v>20</v>
      </c>
      <c r="BC506" s="19" t="n">
        <f aca="false">MIN(N506/4000, 1)*20</f>
        <v>0</v>
      </c>
      <c r="BD506" s="19" t="n">
        <f aca="false">MIN(Z506/400,1)*20</f>
        <v>0</v>
      </c>
      <c r="BE506" s="24" t="n">
        <f aca="false">1-(MAX(J506-1900, 0)/750)</f>
        <v>0.881333333333333</v>
      </c>
      <c r="BF506" s="19" t="n">
        <f aca="false">((MAX($M506,1)*MIN($AJ506/300,1)))*IF(G506="Wagon",50,10)</f>
        <v>12</v>
      </c>
      <c r="BG506" s="19" t="n">
        <f aca="false">VLOOKUP($H506,[1]Constants!$I$1:$K$1048576, 2, FALSE())</f>
        <v>1.2</v>
      </c>
      <c r="BH506" s="19" t="n">
        <f aca="false">VLOOKUP($H506,[1]Constants!$I$1:$K$1048576, 3, FALSE())*IF(AND(G506="multiple_unit",AB506&lt;110),0.75,1)</f>
        <v>0.6</v>
      </c>
      <c r="BI506" s="19" t="n">
        <f aca="false">INT(POWER((([1]Constants!$G$2+$BB506+$BC506+$BD506+$BF506)*$BE506)*$BH506, 1.05))+$BA506</f>
        <v>67</v>
      </c>
      <c r="BJ506" s="19" t="n">
        <f aca="false">INT(POWER(((([1]Constants!$G$1+$BB506+$BC506+$BD506+$BF506)*($BE506))*$BG506),IF($G506="wagon",1,1.2)))+$AZ506</f>
        <v>114</v>
      </c>
      <c r="BK506" s="29" t="n">
        <f aca="false">BI506*IF($G506="wagon",62.5,781.25)</f>
        <v>4187.5</v>
      </c>
      <c r="BL506" s="29" t="n">
        <f aca="false">BJ506*IF($G506="wagon",2.73,81.25)</f>
        <v>311.22</v>
      </c>
      <c r="BV506" s="19" t="n">
        <v>1</v>
      </c>
      <c r="BW506" s="19" t="n">
        <v>185</v>
      </c>
      <c r="BY506" s="19" t="s">
        <v>219</v>
      </c>
      <c r="BZ506" s="19" t="s">
        <v>220</v>
      </c>
      <c r="CA506" s="19" t="str">
        <f aca="false">VLOOKUP(J506,[1]Eras!$A$2:$C$10, 2, TRUE())</f>
        <v>lbr</v>
      </c>
      <c r="CB506" s="30" t="s">
        <v>221</v>
      </c>
      <c r="CC506" s="19" t="str">
        <f aca="false">CONCATENATE(CA506,"_",CB506)</f>
        <v>lbr_Mail Carriage</v>
      </c>
      <c r="CD506" s="19" t="str">
        <f aca="false">_xlfn.CONCAT(H506, "_",I506)</f>
        <v>carriage_RAIL</v>
      </c>
      <c r="CE506" s="31" t="str">
        <f aca="false">_xlfn.CONCAT("{BLACK}Length: {GOLD}", TEXT(ROUNDUP(IF(AQ506&lt;&gt;"",SUM(VALUE(_xlfn.TEXTSPLIT(AQ506, ","))), SUM(VALUE(_xlfn.TEXTSPLIT(AN506, ",")))*IF(M506, M506, 1))/16, 1), "#,##0.0"), " tiles{}")</f>
        <v>{BLACK}Length: {GOLD}0.7 tiles{}</v>
      </c>
      <c r="CF506" s="19" t="str">
        <f aca="false">VLOOKUP($CD506, [1]Constants!$M$1:$N$1048576, 2, FALSE())</f>
        <v/>
      </c>
      <c r="CG506" s="19" t="str">
        <f aca="false">IF(M506&gt;1,_xlfn.CONCAT("{BLACK}Cars: {GOLD}", M506),"")</f>
        <v/>
      </c>
      <c r="CH506" s="19" t="s">
        <v>1864</v>
      </c>
      <c r="CJ506" s="19" t="str">
        <f aca="false">IF(BX506="buffet","{YELLOW}25% long distance bonus for consist{}",IF(CA506="BRAKE","{YELLOW}Speed bonus for slow wagons{}",IF(BW506&gt;190,CONCATENATE("{YELLOW}",INT((BW506-185)/1.85),"% bonus for long distance travel{}"),IF(AND(BW506&lt;180,BW506&lt;&gt;0),CONCATENATE("{YELLOW}",INT((185-BW506)/1.85),"% penalty for long distance travel{}"),""))))</f>
        <v/>
      </c>
      <c r="CK506" s="19" t="str">
        <f aca="false">_xlfn.CONCAT(CF506,IF(CF506 &lt;&gt; "", " ", ""),CG506,IF(OR(CG506&lt;&gt;"", CF506&lt;&gt;""), "{}",""), CE506, CJ506,"{SILVER}", CH506)</f>
        <v>{BLACK}Length: {GOLD}0.7 tiles{}{SILVER}By the 90s parcels traffic was in decline on the railway, and increasingly movement focused on fixed flows between mail terminals. As a result, a number of vehicles were rebuilt with roller shutter doors for faster loading.</v>
      </c>
    </row>
    <row r="507" s="26" customFormat="true" ht="14.25" hidden="false" customHeight="false" outlineLevel="0" collapsed="false">
      <c r="A507" s="30" t="s">
        <v>1865</v>
      </c>
      <c r="B507" s="49" t="s">
        <v>1866</v>
      </c>
      <c r="C507" s="21" t="n">
        <v>3120</v>
      </c>
      <c r="D507" s="19"/>
      <c r="E507" s="19" t="n">
        <v>1185</v>
      </c>
      <c r="F507" s="19" t="s">
        <v>143</v>
      </c>
      <c r="G507" s="19" t="s">
        <v>144</v>
      </c>
      <c r="H507" s="19" t="s">
        <v>144</v>
      </c>
      <c r="I507" s="19" t="s">
        <v>92</v>
      </c>
      <c r="J507" s="19" t="n">
        <v>1958</v>
      </c>
      <c r="K507" s="19" t="n">
        <v>1975</v>
      </c>
      <c r="L507" s="19" t="n">
        <v>1990</v>
      </c>
      <c r="M507" s="19"/>
      <c r="N507" s="19"/>
      <c r="O507" s="22"/>
      <c r="P507" s="23"/>
      <c r="Q507" s="23"/>
      <c r="R507" s="23"/>
      <c r="S507" s="23"/>
      <c r="T507" s="23"/>
      <c r="U507" s="23"/>
      <c r="V507" s="23"/>
      <c r="W507" s="19" t="n">
        <v>21</v>
      </c>
      <c r="X507" s="22"/>
      <c r="Y507" s="19" t="n">
        <v>4</v>
      </c>
      <c r="Z507" s="19"/>
      <c r="AA507" s="24" t="str">
        <f aca="false">IF(AND(W507&gt;0,Z507&gt;0),(Z507/((W507+X507)*10)),"")</f>
        <v/>
      </c>
      <c r="AB507" s="19" t="n">
        <v>80</v>
      </c>
      <c r="AC507" s="19" t="n">
        <f aca="false">ROUND(AB507*1.6, 0)</f>
        <v>128</v>
      </c>
      <c r="AD507" s="19"/>
      <c r="AE507" s="19"/>
      <c r="AF507" s="19" t="n">
        <v>19.8</v>
      </c>
      <c r="AG507" s="19" t="n">
        <v>20</v>
      </c>
      <c r="AH507" s="19" t="n">
        <v>2.82</v>
      </c>
      <c r="AI507" s="19" t="n">
        <v>3.79</v>
      </c>
      <c r="AJ507" s="25" t="n">
        <v>12</v>
      </c>
      <c r="AK507" s="26" t="str">
        <f aca="false">CONCATENATE(VLOOKUP(AL507, '[1]Voxel Sizes'!$A$2:$B$18,2,FALSE()),"x",INT(AH507*15), "x", INT(AI507*15))</f>
        <v>198x42x56</v>
      </c>
      <c r="AL507" s="19" t="n">
        <f aca="false">ROUND(15*((AG507*10)/256),0)</f>
        <v>12</v>
      </c>
      <c r="AM507" s="19"/>
      <c r="AN507" s="19" t="str">
        <f aca="false">CONCATENATE(VLOOKUP(AL507,[1]Constants!$A$2:$C$16,IF(AM507&lt;&gt;"", 3, 2), FALSE()),IF(AM507&lt;&gt;"",CONCATENATE(",",VLOOKUP(AM507,$B:$AN,38,FALSE())),""))</f>
        <v>4,4,4</v>
      </c>
      <c r="AO507" s="19"/>
      <c r="AP507" s="27"/>
      <c r="AQ507" s="27"/>
      <c r="AR507" s="19"/>
      <c r="AS507" s="19"/>
      <c r="AT507" s="19"/>
      <c r="AU507" s="19"/>
      <c r="AV507" s="19"/>
      <c r="AX507" s="19" t="n">
        <v>30</v>
      </c>
      <c r="AY507" s="28" t="n">
        <f aca="false">IF(L507&lt;&gt;"",MAX(16,(L507-J507)+8),"")</f>
        <v>40</v>
      </c>
      <c r="AZ507" s="19"/>
      <c r="BA507" s="19"/>
      <c r="BB507" s="19" t="n">
        <f aca="false">MIN(AB507/150, 1)*30</f>
        <v>16</v>
      </c>
      <c r="BC507" s="19" t="n">
        <f aca="false">MIN(N507/4000, 1)*20</f>
        <v>0</v>
      </c>
      <c r="BD507" s="19" t="n">
        <f aca="false">MIN(Z507/400,1)*20</f>
        <v>0</v>
      </c>
      <c r="BE507" s="24" t="n">
        <f aca="false">1-(MAX(J507-1900, 0)/750)</f>
        <v>0.922666666666667</v>
      </c>
      <c r="BF507" s="19" t="n">
        <f aca="false">((MAX($M507,1)*MIN($AJ507/300,1)))*IF(G507="Wagon",50,10)</f>
        <v>2</v>
      </c>
      <c r="BG507" s="19" t="n">
        <f aca="false">VLOOKUP($H507,[1]Constants!$I$1:$K$1048576, 2, FALSE())</f>
        <v>1</v>
      </c>
      <c r="BH507" s="19" t="n">
        <f aca="false">VLOOKUP($H507,[1]Constants!$I$1:$K$1048576, 3, FALSE())*IF(AND(G507="multiple_unit",AB507&lt;110),0.75,1)</f>
        <v>0.45</v>
      </c>
      <c r="BI507" s="19" t="n">
        <f aca="false">INT(POWER((([1]Constants!$G$2+$BB507+$BC507+$BD507+$BF507)*$BE507)*$BH507, 1.05))+$BA507</f>
        <v>10</v>
      </c>
      <c r="BJ507" s="19" t="n">
        <f aca="false">INT(POWER(((([1]Constants!$G$1+$BB507+$BC507+$BD507+$BF507)*($BE507))*$BG507),IF($G507="wagon",1,1.2)))+$AZ507</f>
        <v>30</v>
      </c>
      <c r="BK507" s="29" t="n">
        <f aca="false">BI507*IF($G507="wagon",62.5,781.25)</f>
        <v>625</v>
      </c>
      <c r="BL507" s="29" t="n">
        <f aca="false">BJ507*IF($G507="wagon",2.73,81.25)</f>
        <v>81.9</v>
      </c>
      <c r="BM507" s="19"/>
      <c r="BN507" s="19"/>
      <c r="BO507" s="19"/>
      <c r="BP507" s="19"/>
      <c r="BQ507" s="19"/>
      <c r="BR507" s="19"/>
      <c r="BS507" s="19"/>
      <c r="BT507" s="19"/>
      <c r="BU507" s="19"/>
      <c r="BV507" s="19" t="n">
        <v>2</v>
      </c>
      <c r="BW507" s="19" t="n">
        <v>278</v>
      </c>
      <c r="BX507" s="19"/>
      <c r="BY507" s="19" t="s">
        <v>1867</v>
      </c>
      <c r="BZ507" s="19" t="s">
        <v>148</v>
      </c>
      <c r="CA507" s="19" t="str">
        <f aca="false">VLOOKUP(J507,[1]Eras!$A$2:$C$10, 2, TRUE())</f>
        <v>dsl</v>
      </c>
      <c r="CB507" s="30" t="s">
        <v>149</v>
      </c>
      <c r="CC507" s="19" t="str">
        <f aca="false">CONCATENATE(CA507,"_",CB507)</f>
        <v>dsl_Carriage</v>
      </c>
      <c r="CD507" s="19" t="str">
        <f aca="false">_xlfn.CONCAT(H507, "_",I507)</f>
        <v>wagon_RAIL</v>
      </c>
      <c r="CE507" s="31" t="str">
        <f aca="false">_xlfn.CONCAT("{BLACK}Length: {GOLD}", TEXT(ROUNDUP(IF(AQ507&lt;&gt;"",SUM(VALUE(_xlfn.TEXTSPLIT(AQ507, ","))), SUM(VALUE(_xlfn.TEXTSPLIT(AN507, ",")))*IF(M507, M507, 1))/16, 1), "#,##0.0"), " tiles{}")</f>
        <v>{BLACK}Length: {GOLD}0.8 tiles{}</v>
      </c>
      <c r="CF507" s="19" t="str">
        <f aca="false">VLOOKUP($CD507, [1]Constants!$M$1:$N$1048576, 2, FALSE())</f>
        <v/>
      </c>
      <c r="CG507" s="19" t="str">
        <f aca="false">IF(M507&gt;1,_xlfn.CONCAT("{BLACK}Cars: {GOLD}", M507),"")</f>
        <v/>
      </c>
      <c r="CH507" s="19" t="s">
        <v>1868</v>
      </c>
      <c r="CI507" s="19"/>
      <c r="CJ507" s="19" t="str">
        <f aca="false">IF(BX507="buffet","{YELLOW}25% long distance bonus for consist{}",IF(CA507="BRAKE","{YELLOW}Speed bonus for slow wagons{}",IF(BW507&gt;190,CONCATENATE("{YELLOW}",INT((BW507-185)/1.85),"% bonus for long distance travel (for passengers){}"),IF(AND(BW507&lt;180,BW507&lt;&gt;0),CONCATENATE("{YELLOW}",INT((185-BW507)/1.85),"% penalty for long distance travel{}"),""))))</f>
        <v>{YELLOW}50% bonus for long distance travel (for passengers){}</v>
      </c>
      <c r="CK507" s="19" t="str">
        <f aca="false">_xlfn.CONCAT(CF507,IF(CF507 &lt;&gt; "", " ", ""),CG507,IF(OR(CG507&lt;&gt;"", CF507&lt;&gt;""), "{}",""), CE507, CJ507,"{SILVER}", CH507)</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D507" s="19"/>
    </row>
    <row r="508" s="26" customFormat="true" ht="14.25" hidden="false" customHeight="false" outlineLevel="0" collapsed="false">
      <c r="A508" s="30" t="s">
        <v>1869</v>
      </c>
      <c r="B508" s="49" t="s">
        <v>1870</v>
      </c>
      <c r="C508" s="21" t="n">
        <v>3121</v>
      </c>
      <c r="D508" s="19"/>
      <c r="E508" s="19" t="n">
        <v>1186</v>
      </c>
      <c r="F508" s="19" t="s">
        <v>143</v>
      </c>
      <c r="G508" s="19" t="s">
        <v>1611</v>
      </c>
      <c r="H508" s="19" t="s">
        <v>144</v>
      </c>
      <c r="I508" s="19" t="s">
        <v>92</v>
      </c>
      <c r="J508" s="19" t="n">
        <v>1964</v>
      </c>
      <c r="K508" s="19" t="n">
        <v>1985</v>
      </c>
      <c r="L508" s="19" t="n">
        <v>1990</v>
      </c>
      <c r="M508" s="19" t="n">
        <v>4</v>
      </c>
      <c r="N508" s="19"/>
      <c r="O508" s="22"/>
      <c r="P508" s="23"/>
      <c r="Q508" s="23"/>
      <c r="R508" s="23"/>
      <c r="S508" s="23"/>
      <c r="T508" s="23"/>
      <c r="U508" s="23"/>
      <c r="V508" s="23"/>
      <c r="W508" s="19" t="n">
        <v>87</v>
      </c>
      <c r="X508" s="22"/>
      <c r="Y508" s="19" t="n">
        <v>4</v>
      </c>
      <c r="Z508" s="19"/>
      <c r="AA508" s="24" t="str">
        <f aca="false">IF(AND(W508&gt;0,Z508&gt;0),(Z508/((W508+X508)*10)),"")</f>
        <v/>
      </c>
      <c r="AB508" s="19" t="n">
        <v>75</v>
      </c>
      <c r="AC508" s="19" t="n">
        <f aca="false">ROUND(AB508*1.6, 0)</f>
        <v>120</v>
      </c>
      <c r="AD508" s="19"/>
      <c r="AE508" s="19"/>
      <c r="AF508" s="19" t="n">
        <v>16.4</v>
      </c>
      <c r="AG508" s="19" t="n">
        <v>15</v>
      </c>
      <c r="AH508" s="19" t="n">
        <v>2.82</v>
      </c>
      <c r="AI508" s="19" t="n">
        <v>3.79</v>
      </c>
      <c r="AJ508" s="25" t="n">
        <v>18</v>
      </c>
      <c r="AK508" s="26" t="str">
        <f aca="false">CONCATENATE(VLOOKUP(AL508, '[1]Voxel Sizes'!$A$2:$B$18,2,FALSE()),"x",INT(AH508*15), "x", INT(AI508*15))</f>
        <v>152x42x56</v>
      </c>
      <c r="AL508" s="19" t="n">
        <f aca="false">ROUND(15*((AG508*10)/256),0)</f>
        <v>9</v>
      </c>
      <c r="AM508" s="19"/>
      <c r="AN508" s="19" t="str">
        <f aca="false">CONCATENATE(VLOOKUP(AL508,[1]Constants!$A$2:$C$16,IF(AM508&lt;&gt;"", 3, 2), FALSE()),IF(AM508&lt;&gt;"",CONCATENATE(",",VLOOKUP(AM508,$B:$AN,38,FALSE())),""))</f>
        <v>2,5,2</v>
      </c>
      <c r="AO508" s="19"/>
      <c r="AP508" s="56" t="s">
        <v>1871</v>
      </c>
      <c r="AQ508" s="27" t="s">
        <v>1872</v>
      </c>
      <c r="AR508" s="19" t="s">
        <v>1873</v>
      </c>
      <c r="AS508" s="19"/>
      <c r="AT508" s="19" t="s">
        <v>855</v>
      </c>
      <c r="AU508" s="19" t="s">
        <v>1874</v>
      </c>
      <c r="AV508" s="19"/>
      <c r="AX508" s="19" t="n">
        <v>30</v>
      </c>
      <c r="AY508" s="28" t="n">
        <f aca="false">IF(L508&lt;&gt;"",MAX(16,(L508-J508)+8),"")</f>
        <v>34</v>
      </c>
      <c r="AZ508" s="19"/>
      <c r="BA508" s="19"/>
      <c r="BB508" s="19" t="n">
        <f aca="false">MIN(AB508/150, 1)*30</f>
        <v>15</v>
      </c>
      <c r="BC508" s="19" t="n">
        <f aca="false">MIN(N508/4000, 1)*20</f>
        <v>0</v>
      </c>
      <c r="BD508" s="19" t="n">
        <f aca="false">MIN(Z508/400,1)*20</f>
        <v>0</v>
      </c>
      <c r="BE508" s="24" t="n">
        <f aca="false">1-(MAX(J508-1900, 0)/750)</f>
        <v>0.914666666666667</v>
      </c>
      <c r="BF508" s="19" t="n">
        <f aca="false">((MAX($M508,1)*MIN($AJ508/300,1)))*IF(G508="Wagon",50,10)</f>
        <v>2.4</v>
      </c>
      <c r="BG508" s="19" t="n">
        <f aca="false">VLOOKUP($H508,[1]Constants!$I$1:$K$1048576, 2, FALSE())</f>
        <v>1</v>
      </c>
      <c r="BH508" s="19" t="n">
        <f aca="false">VLOOKUP($H508,[1]Constants!$I$1:$K$1048576, 3, FALSE())*IF(AND(G508="multiple_unit",AB508&lt;110),0.75,1)</f>
        <v>0.45</v>
      </c>
      <c r="BI508" s="19" t="n">
        <f aca="false">INT(POWER((([1]Constants!$G$2+$BB508+$BC508+$BD508+$BF508)*$BE508)*$BH508, 1.05))+$BA508</f>
        <v>10</v>
      </c>
      <c r="BJ508" s="19" t="n">
        <f aca="false">INT(POWER(((([1]Constants!$G$1+$BB508+$BC508+$BD508+$BF508)*($BE508))*$BG508),IF($G508="wagon",1,1.2)))+$AZ508</f>
        <v>58</v>
      </c>
      <c r="BK508" s="29" t="n">
        <f aca="false">BI508*IF($G508="wagon",62.5,781.25)</f>
        <v>7812.5</v>
      </c>
      <c r="BL508" s="29" t="n">
        <f aca="false">BJ508*IF($G508="wagon",2.73,81.25)</f>
        <v>4712.5</v>
      </c>
      <c r="BM508" s="19"/>
      <c r="BN508" s="19"/>
      <c r="BO508" s="19"/>
      <c r="BP508" s="19"/>
      <c r="BQ508" s="19"/>
      <c r="BR508" s="19"/>
      <c r="BS508" s="19"/>
      <c r="BT508" s="19"/>
      <c r="BU508" s="19"/>
      <c r="BV508" s="19" t="n">
        <v>2</v>
      </c>
      <c r="BW508" s="19" t="n">
        <v>278</v>
      </c>
      <c r="BX508" s="19"/>
      <c r="BY508" s="19" t="s">
        <v>1867</v>
      </c>
      <c r="BZ508" s="19" t="s">
        <v>148</v>
      </c>
      <c r="CA508" s="19" t="str">
        <f aca="false">VLOOKUP(J508,[1]Eras!$A$2:$C$10, 2, TRUE())</f>
        <v>dsl</v>
      </c>
      <c r="CB508" s="30" t="s">
        <v>149</v>
      </c>
      <c r="CC508" s="19" t="str">
        <f aca="false">CONCATENATE(CA508,"_",CB508)</f>
        <v>dsl_Carriage</v>
      </c>
      <c r="CD508" s="19" t="str">
        <f aca="false">_xlfn.CONCAT(H508, "_",I508)</f>
        <v>wagon_RAIL</v>
      </c>
      <c r="CE508" s="31" t="str">
        <f aca="false">_xlfn.CONCAT("{BLACK}Length: {GOLD}", TEXT(ROUNDUP(IF(AQ508&lt;&gt;"",SUM(VALUE(_xlfn.TEXTSPLIT(AQ508, ","))), SUM(VALUE(_xlfn.TEXTSPLIT(AN508, ",")))*IF(M508, M508, 1))/16, 1), "#,##0.0"), " tiles{}")</f>
        <v>{BLACK}Length: {GOLD}2.4 tiles{}</v>
      </c>
      <c r="CF508" s="19" t="str">
        <f aca="false">VLOOKUP($CD508, [1]Constants!$M$1:$N$1048576, 2, FALSE())</f>
        <v/>
      </c>
      <c r="CG508" s="19" t="str">
        <f aca="false">IF(M508&gt;1,_xlfn.CONCAT("{BLACK}Cars: {GOLD}", M508),"")</f>
        <v>{BLACK}Cars: {GOLD}4</v>
      </c>
      <c r="CH508" s="19" t="s">
        <v>1875</v>
      </c>
      <c r="CI508" s="19"/>
      <c r="CJ508" s="19" t="str">
        <f aca="false">IF(BX508="buffet","{YELLOW}25% long distance bonus for consist{}",IF(CA508="BRAKE","{YELLOW}Speed bonus for slow wagons{}",IF(BW508&gt;190,CONCATENATE("{YELLOW}",INT((BW508-185)/1.85),"% bonus for long distance travel (for passengers){}"),IF(AND(BW508&lt;180,BW508&lt;&gt;0),CONCATENATE("{YELLOW}",INT((185-BW508)/1.85),"% penalty for long distance travel{}"),""))))</f>
        <v>{YELLOW}50% bonus for long distance travel (for passengers){}</v>
      </c>
      <c r="CK508" s="19" t="str">
        <f aca="false">_xlfn.CONCAT(CF508,IF(CF508 &lt;&gt; "", " ", ""),CG508,IF(OR(CG508&lt;&gt;"", CF508&lt;&gt;""), "{}",""), CE508, CJ508,"{SILVER}", CH508)</f>
        <v>{BLACK}Cars: {GOLD}4{}{BLACK}Length: {GOLD}2.4 tiles{}{YELLOW}50% bonus for long distance travel (for passengers){}{SILVER}Large and articulated, the cartic 4 sets were built for motorail services and used to move new cars from factories to export.</v>
      </c>
      <c r="XFD508" s="19"/>
    </row>
    <row r="509" s="19" customFormat="true" ht="14.25" hidden="false" customHeight="false" outlineLevel="0" collapsed="false">
      <c r="A509" s="30" t="s">
        <v>1876</v>
      </c>
      <c r="B509" s="49" t="s">
        <v>1877</v>
      </c>
      <c r="C509" s="21" t="n">
        <v>3122</v>
      </c>
      <c r="D509" s="0" t="n">
        <v>18</v>
      </c>
      <c r="E509" s="19" t="n">
        <v>1104</v>
      </c>
      <c r="F509" s="19" t="s">
        <v>143</v>
      </c>
      <c r="G509" s="19" t="s">
        <v>144</v>
      </c>
      <c r="H509" s="19" t="s">
        <v>145</v>
      </c>
      <c r="I509" s="19" t="s">
        <v>92</v>
      </c>
      <c r="J509" s="19" t="n">
        <v>1955</v>
      </c>
      <c r="K509" s="19" t="n">
        <v>1981</v>
      </c>
      <c r="L509" s="19" t="n">
        <v>1987</v>
      </c>
      <c r="O509" s="22"/>
      <c r="P509" s="23"/>
      <c r="Q509" s="23"/>
      <c r="R509" s="23"/>
      <c r="S509" s="23"/>
      <c r="T509" s="23"/>
      <c r="U509" s="23"/>
      <c r="V509" s="23"/>
      <c r="W509" s="19" t="n">
        <v>33</v>
      </c>
      <c r="X509" s="22"/>
      <c r="Y509" s="19" t="n">
        <v>4</v>
      </c>
      <c r="AA509" s="24" t="str">
        <f aca="false">IF(AND(W509&gt;0,Z509&gt;0),(Z509/((W509+X509)*10)),"")</f>
        <v/>
      </c>
      <c r="AB509" s="19" t="n">
        <v>100</v>
      </c>
      <c r="AC509" s="19" t="n">
        <f aca="false">ROUND(AB509*1.6, 0)</f>
        <v>160</v>
      </c>
      <c r="AF509" s="19" t="n">
        <v>21</v>
      </c>
      <c r="AG509" s="19" t="n">
        <v>21</v>
      </c>
      <c r="AH509" s="19" t="n">
        <v>2.82</v>
      </c>
      <c r="AI509" s="19" t="n">
        <v>3.79</v>
      </c>
      <c r="AJ509" s="25" t="n">
        <v>22</v>
      </c>
      <c r="AK509" s="26" t="str">
        <f aca="false">CONCATENATE(VLOOKUP(AL509, '[1]Voxel Sizes'!$A$2:$B$18,2,FALSE()),"x",INT(AH509*15), "x", INT(AI509*15))</f>
        <v>198x42x56</v>
      </c>
      <c r="AL509" s="19" t="n">
        <f aca="false">ROUND(15*((AG509*10)/256),0)</f>
        <v>12</v>
      </c>
      <c r="AN509" s="19" t="str">
        <f aca="false">CONCATENATE(VLOOKUP(AL509,[1]Constants!$A$2:$C$16,IF(AM509&lt;&gt;"", 3, 2), FALSE()),IF(AM509&lt;&gt;"",CONCATENATE(",",VLOOKUP(AM509,$B:$AN,38,FALSE())),""))</f>
        <v>4,4,4</v>
      </c>
      <c r="AP509" s="27"/>
      <c r="AQ509" s="27"/>
      <c r="AW509" s="26" t="s">
        <v>1878</v>
      </c>
      <c r="AX509" s="19" t="n">
        <v>30</v>
      </c>
      <c r="AY509" s="28" t="n">
        <f aca="false">IF(L509&lt;&gt;"",MAX(16,(L509-J509)+8),"")</f>
        <v>40</v>
      </c>
      <c r="AZ509" s="19" t="n">
        <v>1000</v>
      </c>
      <c r="BA509" s="19" t="n">
        <v>110</v>
      </c>
      <c r="BB509" s="19" t="n">
        <f aca="false">MIN(AB509/150, 1)*30</f>
        <v>20</v>
      </c>
      <c r="BC509" s="19" t="n">
        <f aca="false">MIN(N509/4000, 1)*20</f>
        <v>0</v>
      </c>
      <c r="BD509" s="19" t="n">
        <f aca="false">MIN(Z509/400,1)*20</f>
        <v>0</v>
      </c>
      <c r="BE509" s="24" t="n">
        <f aca="false">1-(MAX(J509-1900, 0)/750)</f>
        <v>0.926666666666667</v>
      </c>
      <c r="BF509" s="19" t="n">
        <f aca="false">((MAX($M509,1)*MIN($AJ509/300,1)))*IF(G509="Wagon",50,10)</f>
        <v>3.66666666666667</v>
      </c>
      <c r="BG509" s="19" t="n">
        <f aca="false">VLOOKUP($H509,[1]Constants!$I$1:$K$1048576, 2, FALSE())</f>
        <v>1.2</v>
      </c>
      <c r="BH509" s="19" t="n">
        <f aca="false">VLOOKUP($H509,[1]Constants!$I$1:$K$1048576, 3, FALSE())*IF(AND(G509="multiple_unit",AB509&lt;110),0.75,1)</f>
        <v>0.6</v>
      </c>
      <c r="BI509" s="19" t="n">
        <f aca="false">INT(POWER((([1]Constants!$G$2+$BB509+$BC509+$BD509+$BF509)*$BE509)*$BH509, 1.05))+$BA509</f>
        <v>128</v>
      </c>
      <c r="BJ509" s="19" t="n">
        <f aca="false">INT(POWER(((([1]Constants!$G$1+$BB509+$BC509+$BD509+$BF509)*($BE509))*$BG509),IF($G509="wagon",1,1.2)))+$AZ509</f>
        <v>1042</v>
      </c>
      <c r="BK509" s="29" t="n">
        <f aca="false">BI509*IF($G509="wagon",62.5,781.25)</f>
        <v>8000</v>
      </c>
      <c r="BL509" s="29" t="n">
        <f aca="false">BJ509*IF($G509="wagon",2.73,81.25)</f>
        <v>2844.66</v>
      </c>
      <c r="BV509" s="19" t="n">
        <v>2</v>
      </c>
      <c r="BW509" s="19" t="n">
        <v>278</v>
      </c>
      <c r="BY509" s="19" t="s">
        <v>147</v>
      </c>
      <c r="BZ509" s="19" t="s">
        <v>148</v>
      </c>
      <c r="CA509" s="19" t="str">
        <f aca="false">VLOOKUP(J509,[1]Eras!$A$2:$C$10, 2, TRUE())</f>
        <v>dsl</v>
      </c>
      <c r="CB509" s="30" t="s">
        <v>149</v>
      </c>
      <c r="CC509" s="19" t="str">
        <f aca="false">CONCATENATE(CA509,"_",CB509)</f>
        <v>dsl_Carriage</v>
      </c>
      <c r="CD509" s="19" t="str">
        <f aca="false">_xlfn.CONCAT(H509, "_",I509)</f>
        <v>carriage_RAIL</v>
      </c>
      <c r="CE509" s="31" t="str">
        <f aca="false">_xlfn.CONCAT("{BLACK}Length: {GOLD}", TEXT(ROUNDUP(IF(AQ509&lt;&gt;"",SUM(VALUE(_xlfn.TEXTSPLIT(AQ509, ","))), SUM(VALUE(_xlfn.TEXTSPLIT(AN509, ",")))*IF(M509, M509, 1))/16, 1), "#,##0.0"), " tiles{}")</f>
        <v>{BLACK}Length: {GOLD}0.8 tiles{}</v>
      </c>
      <c r="CF509" s="19" t="str">
        <f aca="false">VLOOKUP($CD509, [1]Constants!$M$1:$N$1048576, 2, FALSE())</f>
        <v/>
      </c>
      <c r="CG509" s="19" t="str">
        <f aca="false">IF(M509&gt;1,_xlfn.CONCAT("{BLACK}Cars: {GOLD}", M509),"")</f>
        <v/>
      </c>
      <c r="CH509" s="19" t="s">
        <v>1879</v>
      </c>
      <c r="CJ509" s="19" t="str">
        <f aca="false">IF(BX509="buffet","{YELLOW}25% long distance bonus for consist{}",IF(CA509="BRAKE","{YELLOW}Speed bonus for slow wagons{}",IF(BW509&gt;190,CONCATENATE("{YELLOW}",INT((BW509-185)/1.85),"% bonus for long distance travel{}"),IF(AND(BW509&lt;180,BW509&lt;&gt;0),CONCATENATE("{YELLOW}",INT((185-BW509)/1.85),"% penalty for long distance travel{}"),""))))</f>
        <v>{YELLOW}50% bonus for long distance travel{}</v>
      </c>
      <c r="CK509" s="19" t="str">
        <f aca="false">_xlfn.CONCAT(CF509,IF(CF509 &lt;&gt; "", " ", ""),CG509,IF(OR(CG509&lt;&gt;"", CF509&lt;&gt;""), "{}",""), CE509, CJ509,"{SILVER}", CH509)</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510" s="19" customFormat="true" ht="14.25" hidden="false" customHeight="false" outlineLevel="0" collapsed="false">
      <c r="A510" s="19" t="s">
        <v>1880</v>
      </c>
      <c r="B510" s="20" t="s">
        <v>1881</v>
      </c>
      <c r="C510" s="21" t="n">
        <v>3123</v>
      </c>
      <c r="D510" s="19" t="n">
        <v>29</v>
      </c>
      <c r="E510" s="19" t="n">
        <v>1105</v>
      </c>
      <c r="F510" s="19" t="s">
        <v>143</v>
      </c>
      <c r="G510" s="19" t="s">
        <v>144</v>
      </c>
      <c r="H510" s="19" t="s">
        <v>145</v>
      </c>
      <c r="I510" s="19" t="s">
        <v>92</v>
      </c>
      <c r="J510" s="19" t="n">
        <v>1975</v>
      </c>
      <c r="O510" s="22"/>
      <c r="P510" s="23"/>
      <c r="Q510" s="23"/>
      <c r="R510" s="23"/>
      <c r="S510" s="23"/>
      <c r="T510" s="23"/>
      <c r="U510" s="23"/>
      <c r="V510" s="23"/>
      <c r="W510" s="19" t="n">
        <v>34</v>
      </c>
      <c r="X510" s="22"/>
      <c r="Y510" s="19" t="n">
        <v>3</v>
      </c>
      <c r="AA510" s="24" t="str">
        <f aca="false">IF(AND(W510&gt;0,Z510&gt;0),(Z510/((W510+X510)*10)),"")</f>
        <v/>
      </c>
      <c r="AB510" s="19" t="n">
        <v>125</v>
      </c>
      <c r="AC510" s="19" t="n">
        <f aca="false">ROUND(AB510*1.6, 0)</f>
        <v>200</v>
      </c>
      <c r="AF510" s="19" t="n">
        <v>23</v>
      </c>
      <c r="AG510" s="19" t="n">
        <v>23</v>
      </c>
      <c r="AH510" s="19" t="n">
        <v>2.82</v>
      </c>
      <c r="AI510" s="19" t="n">
        <v>3.79</v>
      </c>
      <c r="AJ510" s="25" t="n">
        <v>24</v>
      </c>
      <c r="AK510" s="26" t="str">
        <f aca="false">CONCATENATE(VLOOKUP(AL510, '[1]Voxel Sizes'!$A$2:$B$18,2,FALSE()),"x",INT(AH510*15), "x", INT(AI510*15))</f>
        <v>214x42x56</v>
      </c>
      <c r="AL510" s="19" t="n">
        <f aca="false">ROUND(15*((AG510*10)/256),0)</f>
        <v>13</v>
      </c>
      <c r="AN510" s="19" t="str">
        <f aca="false">CONCATENATE(VLOOKUP(AL510,[1]Constants!$A$2:$C$16,IF(AM510&lt;&gt;"", 3, 2), FALSE()),IF(AM510&lt;&gt;"",CONCATENATE(",",VLOOKUP(AM510,$B:$AN,38,FALSE())),""))</f>
        <v>4,5,4</v>
      </c>
      <c r="AP510" s="27"/>
      <c r="AQ510" s="27"/>
      <c r="AW510" s="26" t="s">
        <v>1882</v>
      </c>
      <c r="AX510" s="19" t="n">
        <v>30</v>
      </c>
      <c r="AY510" s="28" t="str">
        <f aca="false">IF(L510&lt;&gt;"",MAX(16,(L510-J510)+8),"")</f>
        <v/>
      </c>
      <c r="AZ510" s="19" t="n">
        <v>1150</v>
      </c>
      <c r="BA510" s="19" t="n">
        <v>150</v>
      </c>
      <c r="BB510" s="19" t="n">
        <f aca="false">MIN(AB510/150, 1)*30</f>
        <v>25</v>
      </c>
      <c r="BC510" s="19" t="n">
        <f aca="false">MIN(N510/4000, 1)*20</f>
        <v>0</v>
      </c>
      <c r="BD510" s="19" t="n">
        <f aca="false">MIN(Z510/400,1)*20</f>
        <v>0</v>
      </c>
      <c r="BE510" s="24" t="n">
        <f aca="false">1-(MAX(J510-1900, 0)/750)</f>
        <v>0.9</v>
      </c>
      <c r="BF510" s="19" t="n">
        <f aca="false">((MAX($M510,1)*MIN($AJ510/300,1)))*IF(G510="Wagon",50,10)</f>
        <v>4</v>
      </c>
      <c r="BG510" s="19" t="n">
        <f aca="false">VLOOKUP($H510,[1]Constants!$I$1:$K$1048576, 2, FALSE())</f>
        <v>1.2</v>
      </c>
      <c r="BH510" s="19" t="n">
        <f aca="false">VLOOKUP($H510,[1]Constants!$I$1:$K$1048576, 3, FALSE())*IF(AND(G510="multiple_unit",AB510&lt;110),0.75,1)</f>
        <v>0.6</v>
      </c>
      <c r="BI510" s="19" t="n">
        <f aca="false">INT(POWER((([1]Constants!$G$2+$BB510+$BC510+$BD510+$BF510)*$BE510)*$BH510, 1.05))+$BA510</f>
        <v>171</v>
      </c>
      <c r="BJ510" s="19" t="n">
        <f aca="false">INT(POWER(((([1]Constants!$G$1+$BB510+$BC510+$BD510+$BF510)*($BE510))*$BG510),IF($G510="wagon",1,1.2)))+$AZ510</f>
        <v>1197</v>
      </c>
      <c r="BK510" s="29" t="n">
        <f aca="false">BI510*IF($G510="wagon",62.5,781.25)</f>
        <v>10687.5</v>
      </c>
      <c r="BL510" s="29" t="n">
        <f aca="false">BJ510*IF($G510="wagon",2.73,81.25)</f>
        <v>3267.81</v>
      </c>
      <c r="BV510" s="19" t="n">
        <v>2</v>
      </c>
      <c r="BW510" s="19" t="n">
        <v>278</v>
      </c>
      <c r="BY510" s="19" t="s">
        <v>147</v>
      </c>
      <c r="BZ510" s="19" t="s">
        <v>148</v>
      </c>
      <c r="CA510" s="19" t="str">
        <f aca="false">VLOOKUP(J510,[1]Eras!$A$2:$C$10, 2, TRUE())</f>
        <v>lbr</v>
      </c>
      <c r="CB510" s="30" t="s">
        <v>149</v>
      </c>
      <c r="CC510" s="19" t="str">
        <f aca="false">CONCATENATE(CA510,"_",CB510)</f>
        <v>lbr_Carriage</v>
      </c>
      <c r="CD510" s="19" t="str">
        <f aca="false">_xlfn.CONCAT(H510, "_",I510)</f>
        <v>carriage_RAIL</v>
      </c>
      <c r="CE510" s="31" t="str">
        <f aca="false">_xlfn.CONCAT("{BLACK}Length: {GOLD}", TEXT(ROUNDUP(IF(AQ510&lt;&gt;"",SUM(VALUE(_xlfn.TEXTSPLIT(AQ510, ","))), SUM(VALUE(_xlfn.TEXTSPLIT(AN510, ",")))*IF(M510, M510, 1))/16, 1), "#,##0.0"), " tiles{}")</f>
        <v>{BLACK}Length: {GOLD}0.9 tiles{}</v>
      </c>
      <c r="CF510" s="19" t="str">
        <f aca="false">VLOOKUP($CD510, [1]Constants!$M$1:$N$1048576, 2, FALSE())</f>
        <v/>
      </c>
      <c r="CG510" s="19" t="str">
        <f aca="false">IF(M510&gt;1,_xlfn.CONCAT("{BLACK}Cars: {GOLD}", M510),"")</f>
        <v/>
      </c>
      <c r="CH510" s="19" t="s">
        <v>1883</v>
      </c>
      <c r="CJ510" s="19" t="str">
        <f aca="false">IF(BX510="buffet","{YELLOW}25% long distance bonus for consist{}",IF(CA510="BRAKE","{YELLOW}Speed bonus for slow wagons{}",IF(BW510&gt;190,CONCATENATE("{YELLOW}",INT((BW510-185)/1.85),"% bonus for long distance travel{}"),IF(AND(BW510&lt;180,BW510&lt;&gt;0),CONCATENATE("{YELLOW}",INT((185-BW510)/1.85),"% penalty for long distance travel{}"),""))))</f>
        <v>{YELLOW}50% bonus for long distance travel{}</v>
      </c>
      <c r="CK510" s="19" t="str">
        <f aca="false">_xlfn.CONCAT(CF510,IF(CF510 &lt;&gt; "", " ", ""),CG510,IF(OR(CG510&lt;&gt;"", CF510&lt;&gt;""), "{}",""), CE510, CJ510,"{SILVER}", CH510)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511" s="19" customFormat="true" ht="14.25" hidden="false" customHeight="false" outlineLevel="0" collapsed="false">
      <c r="A511" s="19" t="s">
        <v>1884</v>
      </c>
      <c r="B511" s="20" t="s">
        <v>1885</v>
      </c>
      <c r="C511" s="21" t="n">
        <v>3124</v>
      </c>
      <c r="D511" s="19" t="n">
        <v>3125</v>
      </c>
      <c r="E511" s="19" t="n">
        <v>1108</v>
      </c>
      <c r="F511" s="19" t="s">
        <v>143</v>
      </c>
      <c r="G511" s="19" t="s">
        <v>1611</v>
      </c>
      <c r="H511" s="19" t="s">
        <v>169</v>
      </c>
      <c r="I511" s="19" t="s">
        <v>92</v>
      </c>
      <c r="J511" s="19" t="n">
        <v>1997</v>
      </c>
      <c r="M511" s="19" t="n">
        <v>7</v>
      </c>
      <c r="O511" s="22"/>
      <c r="P511" s="23"/>
      <c r="Q511" s="23"/>
      <c r="R511" s="23"/>
      <c r="S511" s="23"/>
      <c r="T511" s="23"/>
      <c r="U511" s="23"/>
      <c r="V511" s="23"/>
      <c r="W511" s="19" t="n">
        <v>363.4</v>
      </c>
      <c r="X511" s="22"/>
      <c r="Y511" s="19" t="n">
        <v>3</v>
      </c>
      <c r="AA511" s="24" t="str">
        <f aca="false">IF(AND(W511&gt;0,Z511&gt;0),(Z511/((W511+X511)*10)),"")</f>
        <v/>
      </c>
      <c r="AB511" s="19" t="n">
        <v>125</v>
      </c>
      <c r="AC511" s="19" t="n">
        <f aca="false">ROUND(AB511*1.6, 0)</f>
        <v>200</v>
      </c>
      <c r="AF511" s="19" t="n">
        <v>23</v>
      </c>
      <c r="AG511" s="19" t="n">
        <v>23</v>
      </c>
      <c r="AH511" s="19" t="n">
        <v>2.82</v>
      </c>
      <c r="AI511" s="19" t="n">
        <v>3.79</v>
      </c>
      <c r="AJ511" s="25" t="n">
        <v>25</v>
      </c>
      <c r="AK511" s="26" t="str">
        <f aca="false">CONCATENATE(VLOOKUP(AL511, '[1]Voxel Sizes'!$A$2:$B$18,2,FALSE()),"x",INT(AH511*15), "x", INT(AI511*15))</f>
        <v>214x42x56</v>
      </c>
      <c r="AL511" s="19" t="n">
        <f aca="false">ROUND(15*((AG511*10)/256),0)</f>
        <v>13</v>
      </c>
      <c r="AN511" s="19" t="str">
        <f aca="false">CONCATENATE(VLOOKUP(AL511,[1]Constants!$A$2:$C$16,IF(AM511&lt;&gt;"", 3, 2), FALSE()),IF(AM511&lt;&gt;"",CONCATENATE(",",VLOOKUP(AM511,$B:$AN,38,FALSE())),""))</f>
        <v>4,5,4</v>
      </c>
      <c r="AP511" s="27"/>
      <c r="AQ511" s="27"/>
      <c r="AR511" s="19" t="s">
        <v>1886</v>
      </c>
      <c r="AT511" s="19" t="s">
        <v>1887</v>
      </c>
      <c r="AU511" s="19" t="s">
        <v>1888</v>
      </c>
      <c r="AW511" s="26"/>
      <c r="AX511" s="19" t="n">
        <v>30</v>
      </c>
      <c r="AY511" s="28" t="str">
        <f aca="false">IF(L511&lt;&gt;"",MAX(16,(L511-J511)+8),"")</f>
        <v/>
      </c>
      <c r="AZ511" s="19" t="n">
        <v>170</v>
      </c>
      <c r="BA511" s="19" t="n">
        <v>80</v>
      </c>
      <c r="BB511" s="19" t="n">
        <f aca="false">MIN(AB511/150, 1)*30</f>
        <v>25</v>
      </c>
      <c r="BC511" s="19" t="n">
        <f aca="false">MIN(N511/4000, 1)*20</f>
        <v>0</v>
      </c>
      <c r="BD511" s="19" t="n">
        <f aca="false">MIN(Z511/400,1)*20</f>
        <v>0</v>
      </c>
      <c r="BE511" s="24" t="n">
        <f aca="false">1-(MAX(J511-1900, 0)/750)</f>
        <v>0.870666666666667</v>
      </c>
      <c r="BF511" s="19" t="n">
        <f aca="false">((MAX($M511,1)*MIN($AJ511/300,1)))*IF(G511="Wagon",50,10)</f>
        <v>5.83333333333333</v>
      </c>
      <c r="BG511" s="19" t="n">
        <f aca="false">VLOOKUP($H511,[1]Constants!$I$1:$K$1048576, 2, FALSE())</f>
        <v>1.5</v>
      </c>
      <c r="BH511" s="19" t="n">
        <f aca="false">VLOOKUP($H511,[1]Constants!$I$1:$K$1048576, 3, FALSE())*IF(AND(G511="multiple_unit",AB511&lt;110),0.75,1)</f>
        <v>0.7</v>
      </c>
      <c r="BI511" s="19" t="n">
        <f aca="false">INT(POWER((([1]Constants!$G$2+$BB511+$BC511+$BD511+$BF511)*$BE511)*$BH511, 1.05))+$BA511</f>
        <v>105</v>
      </c>
      <c r="BJ511" s="19" t="n">
        <f aca="false">INT(POWER(((([1]Constants!$G$1+$BB511+$BC511+$BD511+$BF511)*($BE511))*$BG511),IF($G511="wagon",1,1.2)))+$AZ511</f>
        <v>305</v>
      </c>
      <c r="BK511" s="29" t="n">
        <f aca="false">BI511*IF($G511="wagon",62.5,781.25)</f>
        <v>82031.25</v>
      </c>
      <c r="BL511" s="29" t="n">
        <f aca="false">BJ511*IF($G511="wagon",2.73,81.25)</f>
        <v>24781.25</v>
      </c>
      <c r="BV511" s="19" t="n">
        <v>2</v>
      </c>
      <c r="BW511" s="19" t="n">
        <v>185</v>
      </c>
      <c r="BX511" s="19" t="s">
        <v>1889</v>
      </c>
      <c r="BY511" s="19" t="s">
        <v>147</v>
      </c>
      <c r="BZ511" s="19" t="s">
        <v>148</v>
      </c>
      <c r="CA511" s="19" t="str">
        <f aca="false">VLOOKUP(J511,[1]Eras!$A$2:$C$10, 2, TRUE())</f>
        <v>prv</v>
      </c>
      <c r="CB511" s="30" t="s">
        <v>149</v>
      </c>
      <c r="CC511" s="19" t="str">
        <f aca="false">CONCATENATE(CA511,"_",CB511)</f>
        <v>prv_Carriage</v>
      </c>
      <c r="CD511" s="19" t="str">
        <f aca="false">_xlfn.CONCAT(H511, "_",I511)</f>
        <v>luxury_carriage_RAIL</v>
      </c>
      <c r="CE511" s="31" t="str">
        <f aca="false">_xlfn.CONCAT("{BLACK}Length: {GOLD}", TEXT(ROUNDUP(IF(AQ511&lt;&gt;"",SUM(VALUE(_xlfn.TEXTSPLIT(AQ511, ","))), SUM(VALUE(_xlfn.TEXTSPLIT(AN511, ",")))*IF(M511, M511, 1))/16, 1), "#,##0.0"), " tiles{}")</f>
        <v>{BLACK}Length: {GOLD}5.7 tiles{}</v>
      </c>
      <c r="CF511" s="19" t="str">
        <f aca="false">VLOOKUP($CD511, [1]Constants!$M$1:$N$1048576, 2, FALSE())</f>
        <v/>
      </c>
      <c r="CG511" s="19" t="str">
        <f aca="false">IF(M511&gt;1,_xlfn.CONCAT("{BLACK}Cars: {GOLD}", M511),"")</f>
        <v>{BLACK}Cars: {GOLD}7</v>
      </c>
      <c r="CH511" s="19" t="s">
        <v>1890</v>
      </c>
      <c r="CJ511" s="30" t="s">
        <v>1891</v>
      </c>
      <c r="CK511" s="19" t="str">
        <f aca="false">_xlfn.CONCAT(CF511,IF(CF511 &lt;&gt; "", " ", ""),CG511,IF(OR(CG511&lt;&gt;"", CF511&lt;&gt;""), "{}",""), CE511, CJ511,"{SILVER}", CH511)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512" s="19" customFormat="true" ht="14.25" hidden="false" customHeight="false" outlineLevel="0" collapsed="false">
      <c r="A512" s="19" t="s">
        <v>1892</v>
      </c>
      <c r="B512" s="20" t="s">
        <v>1893</v>
      </c>
      <c r="C512" s="21" t="n">
        <v>3125</v>
      </c>
      <c r="E512" s="19" t="n">
        <v>1109</v>
      </c>
      <c r="F512" s="19" t="s">
        <v>143</v>
      </c>
      <c r="G512" s="19" t="s">
        <v>1611</v>
      </c>
      <c r="H512" s="19" t="s">
        <v>169</v>
      </c>
      <c r="I512" s="19" t="s">
        <v>92</v>
      </c>
      <c r="J512" s="19" t="n">
        <v>1997</v>
      </c>
      <c r="M512" s="19" t="n">
        <v>8</v>
      </c>
      <c r="O512" s="22"/>
      <c r="P512" s="23"/>
      <c r="Q512" s="23"/>
      <c r="R512" s="23"/>
      <c r="S512" s="23"/>
      <c r="T512" s="23"/>
      <c r="U512" s="23"/>
      <c r="V512" s="23"/>
      <c r="W512" s="19" t="n">
        <v>419.8</v>
      </c>
      <c r="X512" s="22"/>
      <c r="Y512" s="19" t="n">
        <v>3</v>
      </c>
      <c r="AA512" s="24" t="str">
        <f aca="false">IF(AND(W512&gt;0,Z512&gt;0),(Z512/((W512+X512)*10)),"")</f>
        <v/>
      </c>
      <c r="AB512" s="19" t="n">
        <v>125</v>
      </c>
      <c r="AC512" s="19" t="n">
        <f aca="false">ROUND(AB512*1.6, 0)</f>
        <v>200</v>
      </c>
      <c r="AF512" s="19" t="n">
        <v>23</v>
      </c>
      <c r="AG512" s="19" t="n">
        <v>23</v>
      </c>
      <c r="AH512" s="19" t="n">
        <v>2.82</v>
      </c>
      <c r="AI512" s="19" t="n">
        <v>3.79</v>
      </c>
      <c r="AJ512" s="25" t="n">
        <v>25</v>
      </c>
      <c r="AK512" s="26" t="str">
        <f aca="false">CONCATENATE(VLOOKUP(AL512, '[1]Voxel Sizes'!$A$2:$B$18,2,FALSE()),"x",INT(AH512*15), "x", INT(AI512*15))</f>
        <v>214x42x56</v>
      </c>
      <c r="AL512" s="19" t="n">
        <f aca="false">ROUND(15*((AG512*10)/256),0)</f>
        <v>13</v>
      </c>
      <c r="AN512" s="19" t="str">
        <f aca="false">CONCATENATE(VLOOKUP(AL512,[1]Constants!$A$2:$C$16,IF(AM512&lt;&gt;"", 3, 2), FALSE()),IF(AM512&lt;&gt;"",CONCATENATE(",",VLOOKUP(AM512,$B:$AN,38,FALSE())),""))</f>
        <v>4,5,4</v>
      </c>
      <c r="AP512" s="27"/>
      <c r="AQ512" s="27"/>
      <c r="AR512" s="30" t="s">
        <v>1894</v>
      </c>
      <c r="AT512" s="19" t="s">
        <v>1506</v>
      </c>
      <c r="AU512" s="19" t="s">
        <v>1888</v>
      </c>
      <c r="AW512" s="26"/>
      <c r="AX512" s="19" t="n">
        <v>30</v>
      </c>
      <c r="AY512" s="28" t="str">
        <f aca="false">IF(L512&lt;&gt;"",MAX(16,(L512-J512)+8),"")</f>
        <v/>
      </c>
      <c r="AZ512" s="19" t="n">
        <v>180</v>
      </c>
      <c r="BA512" s="19" t="n">
        <v>90</v>
      </c>
      <c r="BB512" s="19" t="n">
        <f aca="false">MIN(AB512/150, 1)*30</f>
        <v>25</v>
      </c>
      <c r="BC512" s="19" t="n">
        <f aca="false">MIN(N512/4000, 1)*20</f>
        <v>0</v>
      </c>
      <c r="BD512" s="19" t="n">
        <f aca="false">MIN(Z512/400,1)*20</f>
        <v>0</v>
      </c>
      <c r="BE512" s="24" t="n">
        <f aca="false">1-(MAX(J512-1900, 0)/750)</f>
        <v>0.870666666666667</v>
      </c>
      <c r="BF512" s="19" t="n">
        <f aca="false">((MAX($M512,1)*MIN($AJ512/300,1)))*IF(G512="Wagon",50,10)</f>
        <v>6.66666666666667</v>
      </c>
      <c r="BG512" s="19" t="n">
        <f aca="false">VLOOKUP($H512,[1]Constants!$I$1:$K$1048576, 2, FALSE())</f>
        <v>1.5</v>
      </c>
      <c r="BH512" s="19" t="n">
        <f aca="false">VLOOKUP($H512,[1]Constants!$I$1:$K$1048576, 3, FALSE())*IF(AND(G512="multiple_unit",AB512&lt;110),0.75,1)</f>
        <v>0.7</v>
      </c>
      <c r="BI512" s="19" t="n">
        <f aca="false">INT(POWER((([1]Constants!$G$2+$BB512+$BC512+$BD512+$BF512)*$BE512)*$BH512, 1.05))+$BA512</f>
        <v>116</v>
      </c>
      <c r="BJ512" s="19" t="n">
        <f aca="false">INT(POWER(((([1]Constants!$G$1+$BB512+$BC512+$BD512+$BF512)*($BE512))*$BG512),IF($G512="wagon",1,1.2)))+$AZ512</f>
        <v>318</v>
      </c>
      <c r="BK512" s="29" t="n">
        <f aca="false">BI512*IF($G512="wagon",62.5,781.25)</f>
        <v>90625</v>
      </c>
      <c r="BL512" s="29" t="n">
        <f aca="false">BJ512*IF($G512="wagon",2.73,81.25)</f>
        <v>25837.5</v>
      </c>
      <c r="BV512" s="19" t="n">
        <v>2</v>
      </c>
      <c r="BW512" s="19" t="n">
        <v>185</v>
      </c>
      <c r="BX512" s="19" t="s">
        <v>1889</v>
      </c>
      <c r="BY512" s="19" t="s">
        <v>147</v>
      </c>
      <c r="BZ512" s="19" t="s">
        <v>148</v>
      </c>
      <c r="CA512" s="19" t="str">
        <f aca="false">VLOOKUP(J512,[1]Eras!$A$2:$C$10, 2, TRUE())</f>
        <v>prv</v>
      </c>
      <c r="CB512" s="30" t="s">
        <v>149</v>
      </c>
      <c r="CC512" s="19" t="str">
        <f aca="false">CONCATENATE(CA512,"_",CB512)</f>
        <v>prv_Carriage</v>
      </c>
      <c r="CD512" s="19" t="str">
        <f aca="false">_xlfn.CONCAT(H512, "_",I512)</f>
        <v>luxury_carriage_RAIL</v>
      </c>
      <c r="CE512" s="31" t="str">
        <f aca="false">_xlfn.CONCAT("{BLACK}Length: {GOLD}", TEXT(ROUNDUP(IF(AQ512&lt;&gt;"",SUM(VALUE(_xlfn.TEXTSPLIT(AQ512, ","))), SUM(VALUE(_xlfn.TEXTSPLIT(AN512, ",")))*IF(M512, M512, 1))/16, 1), "#,##0.0"), " tiles{}")</f>
        <v>{BLACK}Length: {GOLD}6.5 tiles{}</v>
      </c>
      <c r="CF512" s="19" t="str">
        <f aca="false">VLOOKUP($CD512, [1]Constants!$M$1:$N$1048576, 2, FALSE())</f>
        <v/>
      </c>
      <c r="CG512" s="19" t="str">
        <f aca="false">IF(M512&gt;1,_xlfn.CONCAT("{BLACK}Cars: {GOLD}", M512),"")</f>
        <v>{BLACK}Cars: {GOLD}8</v>
      </c>
      <c r="CH512" s="19" t="s">
        <v>1895</v>
      </c>
      <c r="CJ512" s="30" t="s">
        <v>1891</v>
      </c>
      <c r="CK512" s="19" t="str">
        <f aca="false">_xlfn.CONCAT(CF512,IF(CF512 &lt;&gt; "", " ", ""),CG512,IF(OR(CG512&lt;&gt;"", CF512&lt;&gt;""), "{}",""), CE512, CJ512,"{SILVER}", CH512)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513" s="19" customFormat="true" ht="14.25" hidden="false" customHeight="false" outlineLevel="0" collapsed="false">
      <c r="A513" s="19" t="s">
        <v>1896</v>
      </c>
      <c r="B513" s="20" t="s">
        <v>1897</v>
      </c>
      <c r="C513" s="21" t="n">
        <v>3126</v>
      </c>
      <c r="D513" s="19" t="n">
        <v>3125</v>
      </c>
      <c r="E513" s="19" t="n">
        <v>1110</v>
      </c>
      <c r="F513" s="19" t="s">
        <v>143</v>
      </c>
      <c r="G513" s="19" t="s">
        <v>144</v>
      </c>
      <c r="H513" s="19" t="s">
        <v>1898</v>
      </c>
      <c r="I513" s="19" t="s">
        <v>92</v>
      </c>
      <c r="J513" s="19" t="n">
        <v>1997</v>
      </c>
      <c r="O513" s="22"/>
      <c r="P513" s="23"/>
      <c r="Q513" s="23"/>
      <c r="R513" s="23"/>
      <c r="S513" s="23"/>
      <c r="T513" s="23"/>
      <c r="U513" s="23"/>
      <c r="V513" s="23"/>
      <c r="W513" s="19" t="n">
        <v>46.1</v>
      </c>
      <c r="X513" s="22"/>
      <c r="Y513" s="19" t="n">
        <v>3</v>
      </c>
      <c r="AA513" s="24" t="str">
        <f aca="false">IF(AND(W513&gt;0,Z513&gt;0),(Z513/((W513+X513)*10)),"")</f>
        <v/>
      </c>
      <c r="AB513" s="19" t="n">
        <v>125</v>
      </c>
      <c r="AC513" s="19" t="n">
        <f aca="false">ROUND(AB513*1.6, 0)</f>
        <v>200</v>
      </c>
      <c r="AF513" s="19" t="n">
        <v>23</v>
      </c>
      <c r="AG513" s="19" t="n">
        <v>23</v>
      </c>
      <c r="AH513" s="19" t="n">
        <v>2.82</v>
      </c>
      <c r="AI513" s="19" t="n">
        <v>3.79</v>
      </c>
      <c r="AJ513" s="25" t="n">
        <v>0</v>
      </c>
      <c r="AK513" s="26" t="str">
        <f aca="false">CONCATENATE(VLOOKUP(AL513, '[1]Voxel Sizes'!$A$2:$B$18,2,FALSE()),"x",INT(AH513*15), "x", INT(AI513*15))</f>
        <v>214x42x56</v>
      </c>
      <c r="AL513" s="19" t="n">
        <f aca="false">ROUND(15*((AG513*10)/256),0)</f>
        <v>13</v>
      </c>
      <c r="AN513" s="19" t="str">
        <f aca="false">CONCATENATE(VLOOKUP(AL513,[1]Constants!$A$2:$C$16,IF(AM513&lt;&gt;"", 3, 2), FALSE()),IF(AM513&lt;&gt;"",CONCATENATE(",",VLOOKUP(AM513,$B:$AN,38,FALSE())),""))</f>
        <v>4,5,4</v>
      </c>
      <c r="AP513" s="27"/>
      <c r="AQ513" s="27"/>
      <c r="AW513" s="26"/>
      <c r="AX513" s="19" t="n">
        <v>30</v>
      </c>
      <c r="AY513" s="28" t="str">
        <f aca="false">IF(L513&lt;&gt;"",MAX(16,(L513-J513)+8),"")</f>
        <v/>
      </c>
      <c r="AZ513" s="19" t="n">
        <v>1250</v>
      </c>
      <c r="BA513" s="19" t="n">
        <v>150</v>
      </c>
      <c r="BB513" s="19" t="n">
        <f aca="false">MIN(AB513/150, 1)*30</f>
        <v>25</v>
      </c>
      <c r="BC513" s="19" t="n">
        <f aca="false">MIN(N513/4000, 1)*20</f>
        <v>0</v>
      </c>
      <c r="BD513" s="19" t="n">
        <f aca="false">MIN(Z513/400,1)*20</f>
        <v>0</v>
      </c>
      <c r="BE513" s="24" t="n">
        <f aca="false">1-(MAX(J513-1900, 0)/750)</f>
        <v>0.870666666666667</v>
      </c>
      <c r="BF513" s="19" t="n">
        <f aca="false">((MAX($M513,1)*MIN($AJ513/300,1)))*IF(G513="Wagon",50,10)</f>
        <v>0</v>
      </c>
      <c r="BG513" s="19" t="n">
        <f aca="false">VLOOKUP($H513,[1]Constants!$I$1:$K$1048576, 2, FALSE())</f>
        <v>1</v>
      </c>
      <c r="BH513" s="19" t="n">
        <f aca="false">VLOOKUP($H513,[1]Constants!$I$1:$K$1048576, 3, FALSE())*IF(AND(G513="multiple_unit",AB513&lt;110),0.75,1)</f>
        <v>2</v>
      </c>
      <c r="BI513" s="19" t="n">
        <f aca="false">INT(POWER((([1]Constants!$G$2+$BB513+$BC513+$BD513+$BF513)*$BE513)*$BH513, 1.05))+$BA513</f>
        <v>213</v>
      </c>
      <c r="BJ513" s="19" t="n">
        <f aca="false">INT(POWER(((([1]Constants!$G$1+$BB513+$BC513+$BD513+$BF513)*($BE513))*$BG513),IF($G513="wagon",1,1.2)))+$AZ513</f>
        <v>1284</v>
      </c>
      <c r="BK513" s="29" t="n">
        <f aca="false">BI513*IF($G513="wagon",62.5,781.25)</f>
        <v>13312.5</v>
      </c>
      <c r="BL513" s="29" t="n">
        <f aca="false">BJ513*IF($G513="wagon",2.73,81.25)</f>
        <v>3505.32</v>
      </c>
      <c r="BV513" s="19" t="n">
        <v>2</v>
      </c>
      <c r="BW513" s="19" t="n">
        <v>185</v>
      </c>
      <c r="BX513" s="19" t="s">
        <v>1898</v>
      </c>
      <c r="BY513" s="19" t="s">
        <v>147</v>
      </c>
      <c r="BZ513" s="19" t="s">
        <v>148</v>
      </c>
      <c r="CA513" s="19" t="str">
        <f aca="false">VLOOKUP(J513,[1]Eras!$A$2:$C$10, 2, TRUE())</f>
        <v>prv</v>
      </c>
      <c r="CB513" s="30" t="s">
        <v>149</v>
      </c>
      <c r="CC513" s="19" t="str">
        <f aca="false">CONCATENATE(CA513,"_",CB513)</f>
        <v>prv_Carriage</v>
      </c>
      <c r="CD513" s="19" t="str">
        <f aca="false">_xlfn.CONCAT(H513, "_",I513)</f>
        <v>generator_car_RAIL</v>
      </c>
      <c r="CE513" s="31" t="str">
        <f aca="false">_xlfn.CONCAT("{BLACK}Length: {GOLD}", TEXT(ROUNDUP(IF(AQ513&lt;&gt;"",SUM(VALUE(_xlfn.TEXTSPLIT(AQ513, ","))), SUM(VALUE(_xlfn.TEXTSPLIT(AN513, ",")))*IF(M513, M513, 1))/16, 1), "#,##0.0"), " tiles{}")</f>
        <v>{BLACK}Length: {GOLD}0.9 tiles{}</v>
      </c>
      <c r="CF513" s="19" t="str">
        <f aca="false">VLOOKUP($CD513, [1]Constants!$M$1:$N$1048576, 2, FALSE())</f>
        <v>{BLACK}Powered by: {GOLD}Diesel</v>
      </c>
      <c r="CG513" s="19" t="str">
        <f aca="false">IF(M513&gt;1,_xlfn.CONCAT("{BLACK}Cars: {GOLD}", M513),"")</f>
        <v/>
      </c>
      <c r="CH513" s="19" t="s">
        <v>1899</v>
      </c>
      <c r="CJ513" s="19" t="str">
        <f aca="false">IF(BX513="buffet","{YELLOW}25% long distance bonus for consist{}",IF(CA513="BRAKE","{YELLOW}Speed bonus for slow wagons{}",IF(BW513&gt;190,CONCATENATE("{YELLOW}",INT((BW513-185)/1.85),"% bonus for long distance travel{}"),IF(AND(BW513&lt;180,BW513&lt;&gt;0),CONCATENATE("{YELLOW}",INT((185-BW513)/1.85),"% penalty for long distance travel{}"),""))))</f>
        <v/>
      </c>
      <c r="CK513" s="19" t="str">
        <f aca="false">_xlfn.CONCAT(CF513,IF(CF513 &lt;&gt; "", " ", ""),CG513,IF(OR(CG513&lt;&gt;"", CF513&lt;&gt;""), "{}",""), CE513, CJ513,"{SILVER}", CH513)</f>
        <v>{BLACK}Powered by: {GOLD}Diesel {}{BLACK}Length: {GOLD}0.9 tiles{}{SILVER}The Nightstar rolling stock was so power-hungry that a number of Mk3 Sleepers were converted with 450 kVA generator sets for use when away from electrified areas.</v>
      </c>
    </row>
    <row r="514" s="19" customFormat="true" ht="14.25" hidden="false" customHeight="false" outlineLevel="0" collapsed="false">
      <c r="A514" s="19" t="s">
        <v>1900</v>
      </c>
      <c r="B514" s="20" t="s">
        <v>1901</v>
      </c>
      <c r="C514" s="21" t="n">
        <v>3127</v>
      </c>
      <c r="D514" s="19" t="n">
        <v>3125</v>
      </c>
      <c r="E514" s="19" t="n">
        <v>1111</v>
      </c>
      <c r="F514" s="19" t="s">
        <v>143</v>
      </c>
      <c r="G514" s="19" t="s">
        <v>144</v>
      </c>
      <c r="H514" s="19" t="s">
        <v>1898</v>
      </c>
      <c r="I514" s="19" t="s">
        <v>92</v>
      </c>
      <c r="J514" s="19" t="n">
        <v>1997</v>
      </c>
      <c r="O514" s="22"/>
      <c r="P514" s="23"/>
      <c r="Q514" s="23"/>
      <c r="R514" s="23"/>
      <c r="S514" s="23"/>
      <c r="T514" s="23"/>
      <c r="U514" s="23"/>
      <c r="V514" s="23"/>
      <c r="W514" s="19" t="n">
        <v>46.1</v>
      </c>
      <c r="X514" s="22"/>
      <c r="Y514" s="19" t="n">
        <v>3</v>
      </c>
      <c r="AA514" s="24" t="str">
        <f aca="false">IF(AND(W514&gt;0,Z514&gt;0),(Z514/((W514+X514)*10)),"")</f>
        <v/>
      </c>
      <c r="AB514" s="19" t="n">
        <v>125</v>
      </c>
      <c r="AC514" s="19" t="n">
        <f aca="false">ROUND(AB514*1.6, 0)</f>
        <v>200</v>
      </c>
      <c r="AF514" s="19" t="n">
        <v>23</v>
      </c>
      <c r="AG514" s="19" t="n">
        <v>23</v>
      </c>
      <c r="AH514" s="19" t="n">
        <v>2.82</v>
      </c>
      <c r="AI514" s="19" t="n">
        <v>3.79</v>
      </c>
      <c r="AJ514" s="25" t="n">
        <v>0</v>
      </c>
      <c r="AK514" s="26" t="str">
        <f aca="false">CONCATENATE(VLOOKUP(AL514, '[1]Voxel Sizes'!$A$2:$B$18,2,FALSE()),"x",INT(AH514*15), "x", INT(AI514*15))</f>
        <v>214x42x56</v>
      </c>
      <c r="AL514" s="19" t="n">
        <f aca="false">ROUND(15*((AG514*10)/256),0)</f>
        <v>13</v>
      </c>
      <c r="AN514" s="19" t="str">
        <f aca="false">CONCATENATE(VLOOKUP(AL514,[1]Constants!$A$2:$C$16,IF(AM514&lt;&gt;"", 3, 2), FALSE()),IF(AM514&lt;&gt;"",CONCATENATE(",",VLOOKUP(AM514,$B:$AN,38,FALSE())),""))</f>
        <v>4,5,4</v>
      </c>
      <c r="AP514" s="27"/>
      <c r="AQ514" s="27"/>
      <c r="AW514" s="26"/>
      <c r="AX514" s="19" t="n">
        <v>30</v>
      </c>
      <c r="AY514" s="28" t="str">
        <f aca="false">IF(L514&lt;&gt;"",MAX(16,(L514-J514)+8),"")</f>
        <v/>
      </c>
      <c r="AZ514" s="19" t="n">
        <v>1250</v>
      </c>
      <c r="BA514" s="19" t="n">
        <v>150</v>
      </c>
      <c r="BB514" s="19" t="n">
        <f aca="false">MIN(AB514/150, 1)*30</f>
        <v>25</v>
      </c>
      <c r="BC514" s="19" t="n">
        <f aca="false">MIN(N514/4000, 1)*20</f>
        <v>0</v>
      </c>
      <c r="BD514" s="19" t="n">
        <f aca="false">MIN(Z514/400,1)*20</f>
        <v>0</v>
      </c>
      <c r="BE514" s="24" t="n">
        <f aca="false">1-(MAX(J514-1900, 0)/750)</f>
        <v>0.870666666666667</v>
      </c>
      <c r="BF514" s="19" t="n">
        <f aca="false">((MAX($M514,1)*MIN($AJ514/300,1)))*IF(G514="Wagon",50,10)</f>
        <v>0</v>
      </c>
      <c r="BG514" s="19" t="n">
        <f aca="false">VLOOKUP($H514,[1]Constants!$I$1:$K$1048576, 2, FALSE())</f>
        <v>1</v>
      </c>
      <c r="BH514" s="19" t="n">
        <f aca="false">VLOOKUP($H514,[1]Constants!$I$1:$K$1048576, 3, FALSE())*IF(AND(G514="multiple_unit",AB514&lt;110),0.75,1)</f>
        <v>2</v>
      </c>
      <c r="BI514" s="19" t="n">
        <f aca="false">INT(POWER((([1]Constants!$G$2+$BB514+$BC514+$BD514+$BF514)*$BE514)*$BH514, 1.05))+$BA514</f>
        <v>213</v>
      </c>
      <c r="BJ514" s="19" t="n">
        <f aca="false">INT(POWER(((([1]Constants!$G$1+$BB514+$BC514+$BD514+$BF514)*($BE514))*$BG514),IF($G514="wagon",1,1.2)))+$AZ514</f>
        <v>1284</v>
      </c>
      <c r="BK514" s="29" t="n">
        <f aca="false">BI514*IF($G514="wagon",62.5,781.25)</f>
        <v>13312.5</v>
      </c>
      <c r="BL514" s="29" t="n">
        <f aca="false">BJ514*IF($G514="wagon",2.73,81.25)</f>
        <v>3505.32</v>
      </c>
      <c r="BV514" s="19" t="n">
        <v>2</v>
      </c>
      <c r="BW514" s="19" t="n">
        <v>185</v>
      </c>
      <c r="BX514" s="19" t="s">
        <v>1898</v>
      </c>
      <c r="BY514" s="19" t="s">
        <v>147</v>
      </c>
      <c r="BZ514" s="19" t="s">
        <v>148</v>
      </c>
      <c r="CA514" s="19" t="str">
        <f aca="false">VLOOKUP(J514,[1]Eras!$A$2:$C$10, 2, TRUE())</f>
        <v>prv</v>
      </c>
      <c r="CB514" s="30" t="s">
        <v>149</v>
      </c>
      <c r="CC514" s="19" t="str">
        <f aca="false">CONCATENATE(CA514,"_",CB514)</f>
        <v>prv_Carriage</v>
      </c>
      <c r="CD514" s="19" t="str">
        <f aca="false">_xlfn.CONCAT(H514, "_",I514)</f>
        <v>generator_car_RAIL</v>
      </c>
      <c r="CE514" s="31" t="str">
        <f aca="false">_xlfn.CONCAT("{BLACK}Length: {GOLD}", TEXT(ROUNDUP(IF(AQ514&lt;&gt;"",SUM(VALUE(_xlfn.TEXTSPLIT(AQ514, ","))), SUM(VALUE(_xlfn.TEXTSPLIT(AN514, ",")))*IF(M514, M514, 1))/16, 1), "#,##0.0"), " tiles{}")</f>
        <v>{BLACK}Length: {GOLD}0.9 tiles{}</v>
      </c>
      <c r="CF514" s="19" t="str">
        <f aca="false">VLOOKUP($CD514, [1]Constants!$M$1:$N$1048576, 2, FALSE())</f>
        <v>{BLACK}Powered by: {GOLD}Diesel</v>
      </c>
      <c r="CG514" s="19" t="str">
        <f aca="false">IF(M514&gt;1,_xlfn.CONCAT("{BLACK}Cars: {GOLD}", M514),"")</f>
        <v/>
      </c>
      <c r="CH514" s="19" t="s">
        <v>1899</v>
      </c>
      <c r="CJ514" s="19" t="str">
        <f aca="false">IF(BX514="buffet","{YELLOW}25% long distance bonus for consist{}",IF(CA514="BRAKE","{YELLOW}Speed bonus for slow wagons{}",IF(BW514&gt;190,CONCATENATE("{YELLOW}",INT((BW514-185)/1.85),"% bonus for long distance travel{}"),IF(AND(BW514&lt;180,BW514&lt;&gt;0),CONCATENATE("{YELLOW}",INT((185-BW514)/1.85),"% penalty for long distance travel{}"),""))))</f>
        <v/>
      </c>
      <c r="CK514" s="19" t="str">
        <f aca="false">_xlfn.CONCAT(CF514,IF(CF514 &lt;&gt; "", " ", ""),CG514,IF(OR(CG514&lt;&gt;"", CF514&lt;&gt;""), "{}",""), CE514, CJ514,"{SILVER}", CH514)</f>
        <v>{BLACK}Powered by: {GOLD}Diesel {}{BLACK}Length: {GOLD}0.9 tiles{}{SILVER}The Nightstar rolling stock was so power-hungry that a number of Mk3 Sleepers were converted with 450 kVA generator sets for use when away from electrified areas.</v>
      </c>
    </row>
    <row r="515" s="19" customFormat="true" ht="14.25" hidden="false" customHeight="false" outlineLevel="0" collapsed="false">
      <c r="A515" s="19" t="s">
        <v>1902</v>
      </c>
      <c r="B515" s="20" t="s">
        <v>1903</v>
      </c>
      <c r="C515" s="21" t="n">
        <v>3128</v>
      </c>
      <c r="E515" s="19" t="n">
        <v>1112</v>
      </c>
      <c r="F515" s="19" t="s">
        <v>143</v>
      </c>
      <c r="G515" s="19" t="s">
        <v>144</v>
      </c>
      <c r="H515" s="19" t="s">
        <v>145</v>
      </c>
      <c r="I515" s="19" t="s">
        <v>92</v>
      </c>
      <c r="J515" s="19" t="n">
        <v>2018</v>
      </c>
      <c r="O515" s="22"/>
      <c r="P515" s="23"/>
      <c r="Q515" s="23"/>
      <c r="R515" s="23"/>
      <c r="S515" s="23"/>
      <c r="T515" s="23"/>
      <c r="U515" s="23"/>
      <c r="V515" s="23"/>
      <c r="W515" s="19" t="n">
        <v>43</v>
      </c>
      <c r="X515" s="22"/>
      <c r="Y515" s="19" t="n">
        <v>3</v>
      </c>
      <c r="AA515" s="24" t="str">
        <f aca="false">IF(AND(W515&gt;0,Z515&gt;0),(Z515/((W515+X515)*10)),"")</f>
        <v/>
      </c>
      <c r="AB515" s="19" t="n">
        <v>125</v>
      </c>
      <c r="AC515" s="19" t="n">
        <f aca="false">ROUND(AB515*1.6, 0)</f>
        <v>200</v>
      </c>
      <c r="AF515" s="19" t="n">
        <v>22.2</v>
      </c>
      <c r="AG515" s="19" t="n">
        <v>22</v>
      </c>
      <c r="AH515" s="19" t="n">
        <v>2.75</v>
      </c>
      <c r="AI515" s="19" t="n">
        <v>3.79</v>
      </c>
      <c r="AJ515" s="25" t="n">
        <v>10</v>
      </c>
      <c r="AK515" s="26" t="str">
        <f aca="false">CONCATENATE(VLOOKUP(AL515, '[1]Voxel Sizes'!$A$2:$B$18,2,FALSE()),"x",INT(AH515*15), "x", INT(AI515*15))</f>
        <v>214x41x56</v>
      </c>
      <c r="AL515" s="19" t="n">
        <f aca="false">ROUND(15*((AG515*10)/256),0)</f>
        <v>13</v>
      </c>
      <c r="AN515" s="19" t="str">
        <f aca="false">CONCATENATE(VLOOKUP(AL515,[1]Constants!$A$2:$C$16,IF(AM515&lt;&gt;"", 3, 2), FALSE()),IF(AM515&lt;&gt;"",CONCATENATE(",",VLOOKUP(AM515,$B:$AN,38,FALSE())),""))</f>
        <v>4,5,4</v>
      </c>
      <c r="AP515" s="27"/>
      <c r="AQ515" s="27"/>
      <c r="AW515" s="26" t="s">
        <v>1904</v>
      </c>
      <c r="AX515" s="19" t="n">
        <v>30</v>
      </c>
      <c r="AY515" s="28" t="str">
        <f aca="false">IF(L515&lt;&gt;"",MAX(16,(L515-J515)+8),"")</f>
        <v/>
      </c>
      <c r="AZ515" s="19" t="n">
        <v>1150</v>
      </c>
      <c r="BA515" s="19" t="n">
        <v>150</v>
      </c>
      <c r="BB515" s="19" t="n">
        <f aca="false">MIN(AB515/150, 1)*30</f>
        <v>25</v>
      </c>
      <c r="BC515" s="19" t="n">
        <f aca="false">MIN(N515/4000, 1)*20</f>
        <v>0</v>
      </c>
      <c r="BD515" s="19" t="n">
        <f aca="false">MIN(Z515/400,1)*20</f>
        <v>0</v>
      </c>
      <c r="BE515" s="24" t="n">
        <f aca="false">1-(MAX(J515-1900, 0)/750)</f>
        <v>0.842666666666667</v>
      </c>
      <c r="BF515" s="19" t="n">
        <f aca="false">((MAX($M515,1)*MIN($AJ515/300,1)))*IF(G515="Wagon",50,10)</f>
        <v>1.66666666666667</v>
      </c>
      <c r="BG515" s="19" t="n">
        <f aca="false">VLOOKUP($H515,[1]Constants!$I$1:$K$1048576, 2, FALSE())</f>
        <v>1.2</v>
      </c>
      <c r="BH515" s="19" t="n">
        <f aca="false">VLOOKUP($H515,[1]Constants!$I$1:$K$1048576, 3, FALSE())*IF(AND(G515="multiple_unit",AB515&lt;110),0.75,1)</f>
        <v>0.6</v>
      </c>
      <c r="BI515" s="19" t="n">
        <f aca="false">INT(POWER((([1]Constants!$G$2+$BB515+$BC515+$BD515+$BF515)*$BE515)*$BH515, 1.05))+$BA515</f>
        <v>168</v>
      </c>
      <c r="BJ515" s="19" t="n">
        <f aca="false">INT(POWER(((([1]Constants!$G$1+$BB515+$BC515+$BD515+$BF515)*($BE515))*$BG515),IF($G515="wagon",1,1.2)))+$AZ515</f>
        <v>1192</v>
      </c>
      <c r="BK515" s="29" t="n">
        <f aca="false">BI515*IF($G515="wagon",62.5,781.25)</f>
        <v>10500</v>
      </c>
      <c r="BL515" s="29" t="n">
        <f aca="false">BJ515*IF($G515="wagon",2.73,81.25)</f>
        <v>3254.16</v>
      </c>
      <c r="BV515" s="19" t="n">
        <v>2</v>
      </c>
      <c r="BW515" s="19" t="n">
        <v>278</v>
      </c>
      <c r="BY515" s="19" t="s">
        <v>147</v>
      </c>
      <c r="BZ515" s="19" t="s">
        <v>148</v>
      </c>
      <c r="CA515" s="19" t="str">
        <f aca="false">VLOOKUP(J515,[1]Eras!$A$2:$C$10, 2, TRUE())</f>
        <v>mod</v>
      </c>
      <c r="CB515" s="30" t="s">
        <v>149</v>
      </c>
      <c r="CC515" s="19" t="str">
        <f aca="false">CONCATENATE(CA515,"_",CB515)</f>
        <v>mod_Carriage</v>
      </c>
      <c r="CD515" s="19" t="str">
        <f aca="false">_xlfn.CONCAT(H515, "_",I515)</f>
        <v>carriage_RAIL</v>
      </c>
      <c r="CE515" s="31" t="str">
        <f aca="false">_xlfn.CONCAT("{BLACK}Length: {GOLD}", TEXT(ROUNDUP(IF(AQ515&lt;&gt;"",SUM(VALUE(_xlfn.TEXTSPLIT(AQ515, ","))), SUM(VALUE(_xlfn.TEXTSPLIT(AN515, ",")))*IF(M515, M515, 1))/16, 1), "#,##0.0"), " tiles{}")</f>
        <v>{BLACK}Length: {GOLD}0.9 tiles{}</v>
      </c>
      <c r="CF515" s="19" t="str">
        <f aca="false">VLOOKUP($CD515, [1]Constants!$M$1:$N$1048576, 2, FALSE())</f>
        <v/>
      </c>
      <c r="CG515" s="19" t="str">
        <f aca="false">IF(M515&gt;1,_xlfn.CONCAT("{BLACK}Cars: {GOLD}", M515),"")</f>
        <v/>
      </c>
      <c r="CH515" s="19" t="s">
        <v>1905</v>
      </c>
      <c r="CJ515" s="19" t="str">
        <f aca="false">IF(BX515="buffet","{YELLOW}25% long distance bonus for consist{}",IF(CA515="BRAKE","{YELLOW}Speed bonus for slow wagons{}",IF(BW515&gt;190,CONCATENATE("{YELLOW}",INT((BW515-185)/1.85),"% bonus for long distance travel{}"),IF(AND(BW515&lt;180,BW515&lt;&gt;0),CONCATENATE("{YELLOW}",INT((185-BW515)/1.85),"% penalty for long distance travel{}"),""))))</f>
        <v>{YELLOW}50% bonus for long distance travel{}</v>
      </c>
      <c r="CK515" s="19" t="str">
        <f aca="false">_xlfn.CONCAT(CF515,IF(CF515 &lt;&gt; "", " ", ""),CG515,IF(OR(CG515&lt;&gt;"", CF515&lt;&gt;""), "{}",""), CE515, CJ515,"{SILVER}", CH515)</f>
        <v>{BLACK}Length: {GOLD}0.9 tiles{}{YELLOW}50% bonus for long distance travel{}{SILVER}The Mk5 sleeper trains were procured to replace Mk3 sleepers. With the end of double berths, these trains have an even lower capacity than what they replaced!</v>
      </c>
    </row>
    <row r="516" s="19" customFormat="true" ht="14.25" hidden="false" customHeight="false" outlineLevel="0" collapsed="false">
      <c r="A516" s="19" t="s">
        <v>1906</v>
      </c>
      <c r="B516" s="20" t="s">
        <v>1907</v>
      </c>
      <c r="C516" s="21" t="n">
        <v>3129</v>
      </c>
      <c r="D516" s="19" t="n">
        <v>3128</v>
      </c>
      <c r="E516" s="19" t="n">
        <v>1113</v>
      </c>
      <c r="F516" s="19" t="s">
        <v>143</v>
      </c>
      <c r="G516" s="19" t="s">
        <v>144</v>
      </c>
      <c r="H516" s="19" t="s">
        <v>145</v>
      </c>
      <c r="I516" s="19" t="s">
        <v>92</v>
      </c>
      <c r="J516" s="19" t="n">
        <v>2018</v>
      </c>
      <c r="O516" s="22"/>
      <c r="P516" s="23"/>
      <c r="Q516" s="23"/>
      <c r="R516" s="23"/>
      <c r="S516" s="23"/>
      <c r="T516" s="23"/>
      <c r="U516" s="23"/>
      <c r="V516" s="23"/>
      <c r="W516" s="19" t="n">
        <v>43</v>
      </c>
      <c r="X516" s="22"/>
      <c r="Y516" s="19" t="n">
        <v>3</v>
      </c>
      <c r="AA516" s="24" t="str">
        <f aca="false">IF(AND(W516&gt;0,Z516&gt;0),(Z516/((W516+X516)*10)),"")</f>
        <v/>
      </c>
      <c r="AB516" s="19" t="n">
        <v>125</v>
      </c>
      <c r="AC516" s="19" t="n">
        <f aca="false">ROUND(AB516*1.6, 0)</f>
        <v>200</v>
      </c>
      <c r="AF516" s="19" t="n">
        <v>22.2</v>
      </c>
      <c r="AG516" s="19" t="n">
        <v>22</v>
      </c>
      <c r="AH516" s="19" t="n">
        <v>2.75</v>
      </c>
      <c r="AI516" s="19" t="n">
        <v>3.79</v>
      </c>
      <c r="AJ516" s="25" t="n">
        <v>30</v>
      </c>
      <c r="AK516" s="26" t="str">
        <f aca="false">CONCATENATE(VLOOKUP(AL516, '[1]Voxel Sizes'!$A$2:$B$18,2,FALSE()),"x",INT(AH516*15), "x", INT(AI516*15))</f>
        <v>214x41x56</v>
      </c>
      <c r="AL516" s="19" t="n">
        <f aca="false">ROUND(15*((AG516*10)/256),0)</f>
        <v>13</v>
      </c>
      <c r="AN516" s="19" t="str">
        <f aca="false">CONCATENATE(VLOOKUP(AL516,[1]Constants!$A$2:$C$16,IF(AM516&lt;&gt;"", 3, 2), FALSE()),IF(AM516&lt;&gt;"",CONCATENATE(",",VLOOKUP(AM516,$B:$AN,38,FALSE())),""))</f>
        <v>4,5,4</v>
      </c>
      <c r="AP516" s="27"/>
      <c r="AQ516" s="27"/>
      <c r="AW516" s="26" t="s">
        <v>1908</v>
      </c>
      <c r="AX516" s="19" t="n">
        <v>30</v>
      </c>
      <c r="AY516" s="28" t="str">
        <f aca="false">IF(L516&lt;&gt;"",MAX(16,(L516-J516)+8),"")</f>
        <v/>
      </c>
      <c r="AZ516" s="19" t="n">
        <v>1150</v>
      </c>
      <c r="BA516" s="19" t="n">
        <v>150</v>
      </c>
      <c r="BB516" s="19" t="n">
        <f aca="false">MIN(AB516/150, 1)*30</f>
        <v>25</v>
      </c>
      <c r="BC516" s="19" t="n">
        <f aca="false">MIN(N516/4000, 1)*20</f>
        <v>0</v>
      </c>
      <c r="BD516" s="19" t="n">
        <f aca="false">MIN(Z516/400,1)*20</f>
        <v>0</v>
      </c>
      <c r="BE516" s="24" t="n">
        <f aca="false">1-(MAX(J516-1900, 0)/750)</f>
        <v>0.842666666666667</v>
      </c>
      <c r="BF516" s="19" t="n">
        <f aca="false">((MAX($M516,1)*MIN($AJ516/300,1)))*IF(G516="Wagon",50,10)</f>
        <v>5</v>
      </c>
      <c r="BG516" s="19" t="n">
        <f aca="false">VLOOKUP($H516,[1]Constants!$I$1:$K$1048576, 2, FALSE())</f>
        <v>1.2</v>
      </c>
      <c r="BH516" s="19" t="n">
        <f aca="false">VLOOKUP($H516,[1]Constants!$I$1:$K$1048576, 3, FALSE())*IF(AND(G516="multiple_unit",AB516&lt;110),0.75,1)</f>
        <v>0.6</v>
      </c>
      <c r="BI516" s="19" t="n">
        <f aca="false">INT(POWER((([1]Constants!$G$2+$BB516+$BC516+$BD516+$BF516)*$BE516)*$BH516, 1.05))+$BA516</f>
        <v>170</v>
      </c>
      <c r="BJ516" s="19" t="n">
        <f aca="false">INT(POWER(((([1]Constants!$G$1+$BB516+$BC516+$BD516+$BF516)*($BE516))*$BG516),IF($G516="wagon",1,1.2)))+$AZ516</f>
        <v>1195</v>
      </c>
      <c r="BK516" s="29" t="n">
        <f aca="false">BI516*IF($G516="wagon",62.5,781.25)</f>
        <v>10625</v>
      </c>
      <c r="BL516" s="29" t="n">
        <f aca="false">BJ516*IF($G516="wagon",2.73,81.25)</f>
        <v>3262.35</v>
      </c>
      <c r="BV516" s="19" t="n">
        <v>2</v>
      </c>
      <c r="BW516" s="19" t="n">
        <v>222</v>
      </c>
      <c r="BY516" s="19" t="s">
        <v>147</v>
      </c>
      <c r="BZ516" s="19" t="s">
        <v>148</v>
      </c>
      <c r="CA516" s="19" t="str">
        <f aca="false">VLOOKUP(J516,[1]Eras!$A$2:$C$10, 2, TRUE())</f>
        <v>mod</v>
      </c>
      <c r="CB516" s="30" t="s">
        <v>149</v>
      </c>
      <c r="CC516" s="19" t="str">
        <f aca="false">CONCATENATE(CA516,"_",CB516)</f>
        <v>mod_Carriage</v>
      </c>
      <c r="CD516" s="19" t="str">
        <f aca="false">_xlfn.CONCAT(H516, "_",I516)</f>
        <v>carriage_RAIL</v>
      </c>
      <c r="CE516" s="31" t="str">
        <f aca="false">_xlfn.CONCAT("{BLACK}Length: {GOLD}", TEXT(ROUNDUP(IF(AQ516&lt;&gt;"",SUM(VALUE(_xlfn.TEXTSPLIT(AQ516, ","))), SUM(VALUE(_xlfn.TEXTSPLIT(AN516, ",")))*IF(M516, M516, 1))/16, 1), "#,##0.0"), " tiles{}")</f>
        <v>{BLACK}Length: {GOLD}0.9 tiles{}</v>
      </c>
      <c r="CF516" s="19" t="str">
        <f aca="false">VLOOKUP($CD516, [1]Constants!$M$1:$N$1048576, 2, FALSE())</f>
        <v/>
      </c>
      <c r="CG516" s="19" t="str">
        <f aca="false">IF(M516&gt;1,_xlfn.CONCAT("{BLACK}Cars: {GOLD}", M516),"")</f>
        <v/>
      </c>
      <c r="CH516" s="19" t="s">
        <v>1909</v>
      </c>
      <c r="CJ516" s="19" t="str">
        <f aca="false">IF(BX516="buffet","{YELLOW}25% long distance bonus for consist{}",IF(CA516="BRAKE","{YELLOW}Speed bonus for slow wagons{}",IF(BW516&gt;190,CONCATENATE("{YELLOW}",INT((BW516-185)/1.85),"% bonus for long distance travel{}"),IF(AND(BW516&lt;180,BW516&lt;&gt;0),CONCATENATE("{YELLOW}",INT((185-BW516)/1.85),"% penalty for long distance travel{}"),""))))</f>
        <v>{YELLOW}20% bonus for long distance travel{}</v>
      </c>
      <c r="CK516" s="19" t="str">
        <f aca="false">_xlfn.CONCAT(CF516,IF(CF516 &lt;&gt; "", " ", ""),CG516,IF(OR(CG516&lt;&gt;"", CF516&lt;&gt;""), "{}",""), CE516, CJ516,"{SILVER}", CH516)</f>
        <v>{BLACK}Length: {GOLD}0.9 tiles{}{YELLOW}20% bonus for long distance travel{}{SILVER}Mk5 sleeper services make up for their pathetic berth count with conventional seated stock, featuring a 2+1 airline style seating and not enough recline in the seats.</v>
      </c>
    </row>
    <row r="517" s="19" customFormat="true" ht="14.25" hidden="false" customHeight="false" outlineLevel="0" collapsed="false">
      <c r="A517" s="19" t="s">
        <v>1910</v>
      </c>
      <c r="B517" s="20" t="s">
        <v>1911</v>
      </c>
      <c r="C517" s="21" t="n">
        <v>3130</v>
      </c>
      <c r="D517" s="19" t="n">
        <v>3128</v>
      </c>
      <c r="E517" s="19" t="n">
        <v>1114</v>
      </c>
      <c r="F517" s="19" t="s">
        <v>143</v>
      </c>
      <c r="G517" s="19" t="s">
        <v>144</v>
      </c>
      <c r="H517" s="19" t="s">
        <v>145</v>
      </c>
      <c r="I517" s="19" t="s">
        <v>92</v>
      </c>
      <c r="J517" s="19" t="n">
        <v>2018</v>
      </c>
      <c r="O517" s="22"/>
      <c r="P517" s="23"/>
      <c r="Q517" s="23"/>
      <c r="R517" s="23"/>
      <c r="S517" s="23"/>
      <c r="T517" s="23"/>
      <c r="U517" s="23"/>
      <c r="V517" s="23"/>
      <c r="W517" s="19" t="n">
        <v>43</v>
      </c>
      <c r="X517" s="22"/>
      <c r="Y517" s="19" t="n">
        <v>3</v>
      </c>
      <c r="AA517" s="24" t="str">
        <f aca="false">IF(AND(W517&gt;0,Z517&gt;0),(Z517/((W517+X517)*10)),"")</f>
        <v/>
      </c>
      <c r="AB517" s="19" t="n">
        <v>125</v>
      </c>
      <c r="AC517" s="19" t="n">
        <f aca="false">ROUND(AB517*1.6, 0)</f>
        <v>200</v>
      </c>
      <c r="AF517" s="19" t="n">
        <v>22.2</v>
      </c>
      <c r="AG517" s="19" t="n">
        <v>22</v>
      </c>
      <c r="AH517" s="19" t="n">
        <v>2.75</v>
      </c>
      <c r="AI517" s="19" t="n">
        <v>3.79</v>
      </c>
      <c r="AJ517" s="25" t="n">
        <v>0</v>
      </c>
      <c r="AK517" s="26" t="str">
        <f aca="false">CONCATENATE(VLOOKUP(AL517, '[1]Voxel Sizes'!$A$2:$B$18,2,FALSE()),"x",INT(AH517*15), "x", INT(AI517*15))</f>
        <v>214x41x56</v>
      </c>
      <c r="AL517" s="19" t="n">
        <f aca="false">ROUND(15*((AG517*10)/256),0)</f>
        <v>13</v>
      </c>
      <c r="AN517" s="19" t="str">
        <f aca="false">CONCATENATE(VLOOKUP(AL517,[1]Constants!$A$2:$C$16,IF(AM517&lt;&gt;"", 3, 2), FALSE()),IF(AM517&lt;&gt;"",CONCATENATE(",",VLOOKUP(AM517,$B:$AN,38,FALSE())),""))</f>
        <v>4,5,4</v>
      </c>
      <c r="AP517" s="27"/>
      <c r="AQ517" s="27"/>
      <c r="AW517" s="26" t="s">
        <v>1912</v>
      </c>
      <c r="AX517" s="19" t="n">
        <v>30</v>
      </c>
      <c r="AY517" s="28" t="str">
        <f aca="false">IF(L517&lt;&gt;"",MAX(16,(L517-J517)+8),"")</f>
        <v/>
      </c>
      <c r="AZ517" s="19" t="n">
        <v>1150</v>
      </c>
      <c r="BA517" s="19" t="n">
        <v>150</v>
      </c>
      <c r="BB517" s="19" t="n">
        <f aca="false">MIN(AB517/150, 1)*30</f>
        <v>25</v>
      </c>
      <c r="BC517" s="19" t="n">
        <f aca="false">MIN(N517/4000, 1)*20</f>
        <v>0</v>
      </c>
      <c r="BD517" s="19" t="n">
        <f aca="false">MIN(Z517/400,1)*20</f>
        <v>0</v>
      </c>
      <c r="BE517" s="24" t="n">
        <f aca="false">1-(MAX(J517-1900, 0)/750)</f>
        <v>0.842666666666667</v>
      </c>
      <c r="BF517" s="19" t="n">
        <f aca="false">((MAX($M517,1)*MIN($AJ517/300,1)))*IF(G517="Wagon",50,10)</f>
        <v>0</v>
      </c>
      <c r="BG517" s="19" t="n">
        <f aca="false">VLOOKUP($H517,[1]Constants!$I$1:$K$1048576, 2, FALSE())</f>
        <v>1.2</v>
      </c>
      <c r="BH517" s="19" t="n">
        <f aca="false">VLOOKUP($H517,[1]Constants!$I$1:$K$1048576, 3, FALSE())*IF(AND(G517="multiple_unit",AB517&lt;110),0.75,1)</f>
        <v>0.6</v>
      </c>
      <c r="BI517" s="19" t="n">
        <f aca="false">INT(POWER((([1]Constants!$G$2+$BB517+$BC517+$BD517+$BF517)*$BE517)*$BH517, 1.05))+$BA517</f>
        <v>167</v>
      </c>
      <c r="BJ517" s="19" t="n">
        <f aca="false">INT(POWER(((([1]Constants!$G$1+$BB517+$BC517+$BD517+$BF517)*($BE517))*$BG517),IF($G517="wagon",1,1.2)))+$AZ517</f>
        <v>1190</v>
      </c>
      <c r="BK517" s="29" t="n">
        <f aca="false">BI517*IF($G517="wagon",62.5,781.25)</f>
        <v>10437.5</v>
      </c>
      <c r="BL517" s="29" t="n">
        <f aca="false">BJ517*IF($G517="wagon",2.73,81.25)</f>
        <v>3248.7</v>
      </c>
      <c r="BV517" s="19" t="n">
        <v>2</v>
      </c>
      <c r="BW517" s="19" t="n">
        <v>278</v>
      </c>
      <c r="BX517" s="30" t="s">
        <v>190</v>
      </c>
      <c r="BY517" s="19" t="s">
        <v>147</v>
      </c>
      <c r="BZ517" s="19" t="s">
        <v>148</v>
      </c>
      <c r="CA517" s="19" t="str">
        <f aca="false">VLOOKUP(J517,[1]Eras!$A$2:$C$10, 2, TRUE())</f>
        <v>mod</v>
      </c>
      <c r="CB517" s="30" t="s">
        <v>149</v>
      </c>
      <c r="CC517" s="19" t="str">
        <f aca="false">CONCATENATE(CA517,"_",CB517)</f>
        <v>mod_Carriage</v>
      </c>
      <c r="CD517" s="19" t="str">
        <f aca="false">_xlfn.CONCAT(H517, "_",I517)</f>
        <v>carriage_RAIL</v>
      </c>
      <c r="CE517" s="31" t="str">
        <f aca="false">_xlfn.CONCAT("{BLACK}Length: {GOLD}", TEXT(ROUNDUP(IF(AQ517&lt;&gt;"",SUM(VALUE(_xlfn.TEXTSPLIT(AQ517, ","))), SUM(VALUE(_xlfn.TEXTSPLIT(AN517, ",")))*IF(M517, M517, 1))/16, 1), "#,##0.0"), " tiles{}")</f>
        <v>{BLACK}Length: {GOLD}0.9 tiles{}</v>
      </c>
      <c r="CF517" s="19" t="str">
        <f aca="false">VLOOKUP($CD517, [1]Constants!$M$1:$N$1048576, 2, FALSE())</f>
        <v/>
      </c>
      <c r="CG517" s="19" t="str">
        <f aca="false">IF(M517&gt;1,_xlfn.CONCAT("{BLACK}Cars: {GOLD}", M517),"")</f>
        <v/>
      </c>
      <c r="CH517" s="19" t="s">
        <v>1913</v>
      </c>
      <c r="CJ517" s="19" t="str">
        <f aca="false">IF(BX517="buffet","{YELLOW}25% long distance bonus for consist{}",IF(CA517="BRAKE","{YELLOW}Speed bonus for slow wagons{}",IF(BW517&gt;190,CONCATENATE("{YELLOW}",INT((BW517-185)/1.85),"% bonus for long distance travel{}"),IF(AND(BW517&lt;180,BW517&lt;&gt;0),CONCATENATE("{YELLOW}",INT((185-BW517)/1.85),"% penalty for long distance travel{}"),""))))</f>
        <v>{YELLOW}25% long distance bonus for consist{}</v>
      </c>
      <c r="CK517" s="19" t="str">
        <f aca="false">_xlfn.CONCAT(CF517,IF(CF517 &lt;&gt; "", " ", ""),CG517,IF(OR(CG517&lt;&gt;"", CF517&lt;&gt;""), "{}",""), CE517, CJ517,"{SILVER}", CH517)</f>
        <v>{BLACK}Length: {GOLD}0.9 tiles{}{YELLOW}25% long distance bonus for consist{}{SILVER}The Mk5 ‘Club Car’ is the dining facility for sleeper services, but the 30 seats within are not bookable for travel.</v>
      </c>
    </row>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H308">
    <sortState ref="A2:CH308">
      <sortCondition ref="A2:A308"/>
    </sortState>
  </autoFilter>
  <conditionalFormatting sqref="C518:C1048576 C280:C398 C1:C258 C260:C277">
    <cfRule type="duplicateValues" priority="2" aboveAverage="0" equalAverage="0" bottom="0" percent="0" rank="0" text="" dxfId="12"/>
  </conditionalFormatting>
  <conditionalFormatting sqref="C399:C517 C259 C279">
    <cfRule type="duplicateValues" priority="3" aboveAverage="0" equalAverage="0" bottom="0" percent="0" rank="0" text="" dxfId="13"/>
  </conditionalFormatting>
  <conditionalFormatting sqref="C278">
    <cfRule type="duplicateValues" priority="4" aboveAverage="0" equalAverage="0" bottom="0" percent="0" rank="0" text="" dxfId="12"/>
  </conditionalFormatting>
  <dataValidations count="20">
    <dataValidation allowBlank="true" errorStyle="stop" operator="between" showDropDown="false" showErrorMessage="true" showInputMessage="true" sqref="CB1:CB258 CB260:CB278 CB280:CB308 CB518:CB1517" type="list">
      <formula1>'Gameplay Planning'!$1:$1</formula1>
      <formula2>0</formula2>
    </dataValidation>
    <dataValidation allowBlank="true" errorStyle="stop" operator="between" showDropDown="false" showErrorMessage="true" showInputMessage="true" sqref="CB318:CB329 CB355" type="list">
      <formula1>'Gameplay Planning'!$1:$1</formula1>
      <formula2>0</formula2>
    </dataValidation>
    <dataValidation allowBlank="true" errorStyle="stop" operator="equal" showDropDown="false" showErrorMessage="true" showInputMessage="true" sqref="CB399:CB408" type="list">
      <formula1>'Gameplay Planning'!$1:$1</formula1>
      <formula2>0</formula2>
    </dataValidation>
    <dataValidation allowBlank="true" errorStyle="stop" operator="equal" showDropDown="false" showErrorMessage="true" showInputMessage="true" sqref="CB411:CB416 CB425:CB427" type="list">
      <formula1>'Gameplay Planning'!$1:$1</formula1>
      <formula2>0</formula2>
    </dataValidation>
    <dataValidation allowBlank="true" errorStyle="stop" operator="equal" showDropDown="false" showErrorMessage="true" showInputMessage="true" sqref="CB417:CB418" type="list">
      <formula1>'Gameplay Planning'!$1:$1</formula1>
      <formula2>0</formula2>
    </dataValidation>
    <dataValidation allowBlank="true" errorStyle="stop" operator="equal" showDropDown="false" showErrorMessage="true" showInputMessage="true" sqref="CB259 CB419:CB424 CB431 CB463 CB465:CB469 CB475:CB476" type="list">
      <formula1>'Gameplay Planning'!$1:$1</formula1>
      <formula2>0</formula2>
    </dataValidation>
    <dataValidation allowBlank="true" errorStyle="stop" operator="between" showDropDown="false" showErrorMessage="true" showInputMessage="true" sqref="CB428:CB430 CB434:CB439" type="list">
      <formula1>'Gameplay Planning'!$1:$1</formula1>
      <formula2>0</formula2>
    </dataValidation>
    <dataValidation allowBlank="true" errorStyle="stop" operator="equal" showDropDown="false" showErrorMessage="true" showInputMessage="true" sqref="CB432:CB433" type="list">
      <formula1>'Gameplay Planning'!$1:$1</formula1>
      <formula2>0</formula2>
    </dataValidation>
    <dataValidation allowBlank="true" errorStyle="stop" operator="equal" showDropDown="false" showErrorMessage="true" showInputMessage="true" sqref="CB440:CB444 CB447:CB448" type="list">
      <formula1>'Gameplay Planning'!$1:$1</formula1>
      <formula2>0</formula2>
    </dataValidation>
    <dataValidation allowBlank="true" errorStyle="stop" operator="equal" showDropDown="false" showErrorMessage="true" showInputMessage="true" sqref="CB445:CB446" type="list">
      <formula1>'Gameplay Planning'!$1:$1</formula1>
      <formula2>0</formula2>
    </dataValidation>
    <dataValidation allowBlank="true" errorStyle="stop" operator="equal" showDropDown="false" showErrorMessage="true" showInputMessage="true" sqref="CB449:CB452 CB484" type="list">
      <formula1>'Gameplay Planning'!$1:$1</formula1>
      <formula2>0</formula2>
    </dataValidation>
    <dataValidation allowBlank="true" errorStyle="stop" operator="equal" showDropDown="false" showErrorMessage="true" showInputMessage="true" sqref="CB453:CB454" type="list">
      <formula1>'Gameplay Planning'!$1:$1</formula1>
      <formula2>0</formula2>
    </dataValidation>
    <dataValidation allowBlank="true" errorStyle="stop" operator="between" showDropDown="false" showErrorMessage="true" showInputMessage="true" sqref="CB455:CB456 CB462" type="list">
      <formula1>'Gameplay Planning'!$1:$1</formula1>
      <formula2>0</formula2>
    </dataValidation>
    <dataValidation allowBlank="true" errorStyle="stop" operator="equal" showDropDown="false" showErrorMessage="true" showInputMessage="true" sqref="CB457:CB461 CB464" type="list">
      <formula1>'Gameplay Planning'!$1:$1</formula1>
      <formula2>0</formula2>
    </dataValidation>
    <dataValidation allowBlank="true" errorStyle="stop" operator="between" showDropDown="false" showErrorMessage="true" showInputMessage="true" sqref="CB279 CB470:CB473 CB483" type="list">
      <formula1>'Gameplay Planning'!$1:$1</formula1>
      <formula2>0</formula2>
    </dataValidation>
    <dataValidation allowBlank="true" errorStyle="stop" operator="equal" showDropDown="false" showErrorMessage="true" showInputMessage="true" sqref="CB474" type="list">
      <formula1>'Gameplay Planning'!$1:$1</formula1>
      <formula2>0</formula2>
    </dataValidation>
    <dataValidation allowBlank="true" errorStyle="stop" operator="between" showDropDown="false" showErrorMessage="true" showInputMessage="true" sqref="CB477:CB482" type="list">
      <formula1>'Gameplay Planning'!$1:$1</formula1>
      <formula2>0</formula2>
    </dataValidation>
    <dataValidation allowBlank="true" errorStyle="stop" operator="equal" showDropDown="false" showErrorMessage="true" showInputMessage="true" sqref="CB485:CB487 CB489:CB494" type="list">
      <formula1>'Gameplay Planning'!$1:$1</formula1>
      <formula2>0</formula2>
    </dataValidation>
    <dataValidation allowBlank="true" errorStyle="stop" operator="equal" showDropDown="false" showErrorMessage="true" showInputMessage="true" sqref="CB488 CB495:CB500" type="list">
      <formula1>'Gameplay Planning'!$1:$1</formula1>
      <formula2>0</formula2>
    </dataValidation>
    <dataValidation allowBlank="true" errorStyle="stop" operator="equal" showDropDown="false" showErrorMessage="true" showInputMessage="true" sqref="CB501:CB517"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W6" activeCellId="0" sqref="W6"/>
    </sheetView>
  </sheetViews>
  <sheetFormatPr defaultColWidth="8.6796875" defaultRowHeight="14.25" customHeight="false" zeroHeight="false" outlineLevelRow="0" outlineLevelCol="0"/>
  <cols>
    <col collapsed="false" customWidth="true" hidden="false" outlineLevel="0" max="2" min="2" style="0" width="29"/>
    <col collapsed="false" customWidth="true" hidden="false" outlineLevel="0" max="4" min="3" style="0" width="17.27"/>
    <col collapsed="false" customWidth="true" hidden="false" outlineLevel="0" max="5" min="5" style="0" width="6.54"/>
    <col collapsed="false" customWidth="true" hidden="false" outlineLevel="0" max="8" min="8" style="0" width="12"/>
    <col collapsed="false" customWidth="true" hidden="false" outlineLevel="0" max="10" min="9" style="0" width="16.18"/>
    <col collapsed="false" customWidth="true" hidden="false" outlineLevel="0" max="11" min="11" style="0" width="13.27"/>
    <col collapsed="false" customWidth="true" hidden="false" outlineLevel="0" max="13" min="13" style="0" width="14"/>
    <col collapsed="false" customWidth="true" hidden="false" outlineLevel="0" max="15" min="15" style="0" width="13.73"/>
    <col collapsed="false" customWidth="true" hidden="false" outlineLevel="0" max="16" min="16" style="0" width="3.18"/>
    <col collapsed="false" customWidth="true" hidden="false" outlineLevel="0" max="18" min="18" style="0" width="12.54"/>
    <col collapsed="false" customWidth="true" hidden="false" outlineLevel="0" max="19" min="19" style="0" width="12.45"/>
    <col collapsed="false" customWidth="true" hidden="false" outlineLevel="0" max="20" min="20" style="0" width="10.82"/>
    <col collapsed="false" customWidth="true" hidden="false" outlineLevel="0" max="21" min="21" style="0" width="4.45"/>
    <col collapsed="false" customWidth="true" hidden="false" outlineLevel="0" max="22" min="22" style="0" width="7"/>
  </cols>
  <sheetData>
    <row r="1" customFormat="false" ht="14.25" hidden="false" customHeight="false" outlineLevel="0" collapsed="false">
      <c r="C1" s="7" t="s">
        <v>535</v>
      </c>
      <c r="D1" s="7" t="s">
        <v>439</v>
      </c>
      <c r="E1" s="7" t="s">
        <v>513</v>
      </c>
      <c r="F1" s="7" t="s">
        <v>474</v>
      </c>
      <c r="G1" s="7" t="s">
        <v>478</v>
      </c>
      <c r="H1" s="7" t="s">
        <v>642</v>
      </c>
      <c r="I1" s="7" t="s">
        <v>689</v>
      </c>
      <c r="J1" s="7" t="s">
        <v>531</v>
      </c>
      <c r="K1" s="7" t="s">
        <v>828</v>
      </c>
      <c r="L1" s="7" t="s">
        <v>834</v>
      </c>
      <c r="M1" s="7" t="s">
        <v>882</v>
      </c>
      <c r="N1" s="7" t="s">
        <v>844</v>
      </c>
      <c r="O1" s="7" t="s">
        <v>850</v>
      </c>
      <c r="P1" s="7" t="s">
        <v>1061</v>
      </c>
      <c r="Q1" s="7" t="s">
        <v>149</v>
      </c>
      <c r="R1" s="7" t="s">
        <v>221</v>
      </c>
      <c r="S1" s="7" t="s">
        <v>266</v>
      </c>
      <c r="T1" s="7" t="s">
        <v>318</v>
      </c>
      <c r="U1" s="7" t="s">
        <v>376</v>
      </c>
      <c r="V1" s="7" t="s">
        <v>357</v>
      </c>
      <c r="W1" s="7" t="s">
        <v>303</v>
      </c>
    </row>
    <row r="2" customFormat="false" ht="14.25" hidden="false" customHeight="false" outlineLevel="0" collapsed="false">
      <c r="A2" s="7" t="s">
        <v>1914</v>
      </c>
      <c r="B2" s="7" t="s">
        <v>1915</v>
      </c>
    </row>
    <row r="3" customFormat="false" ht="14.25" hidden="false" customHeight="false" outlineLevel="0" collapsed="false">
      <c r="A3" s="0" t="s">
        <v>1153</v>
      </c>
      <c r="B3" s="0" t="str">
        <f aca="false">VLOOKUP(A3, Eras!$B$2:$C$10, 2, FALSE())</f>
        <v>Early (1800-1850)</v>
      </c>
      <c r="C3" s="0" t="n">
        <f aca="false">COUNTIF(Table!$CC:$CC,CONCATENATE($A3,"_",C$1))</f>
        <v>0</v>
      </c>
      <c r="D3" s="0" t="n">
        <f aca="false">COUNTIF(Table!$CC:$CC,CONCATENATE($A3,"_",D$1))</f>
        <v>13</v>
      </c>
      <c r="E3" s="0" t="n">
        <f aca="false">COUNTIF(Table!$CC:$CC,CONCATENATE($A3,"_",E$1))</f>
        <v>1</v>
      </c>
      <c r="F3" s="0" t="n">
        <f aca="false">COUNTIF(Table!$CC:$CC,CONCATENATE($A3,"_",F$1))</f>
        <v>5</v>
      </c>
      <c r="G3" s="0" t="n">
        <f aca="false">COUNTIF(Table!$CC:$CC,CONCATENATE($A3,"_",G$1))</f>
        <v>0</v>
      </c>
      <c r="H3" s="0" t="n">
        <f aca="false">COUNTIF(Table!$CC:$CC,CONCATENATE($A3,"_",H$1))</f>
        <v>0</v>
      </c>
      <c r="I3" s="0" t="n">
        <f aca="false">COUNTIF(Table!$CC:$CC,CONCATENATE($A3,"_",I$1))</f>
        <v>0</v>
      </c>
      <c r="J3" s="0" t="n">
        <f aca="false">COUNTIF(Table!$CC:$CC,CONCATENATE($A3,"_",J$1))</f>
        <v>0</v>
      </c>
      <c r="K3" s="0" t="n">
        <f aca="false">COUNTIF(Table!$CC:$CC,CONCATENATE($A3,"_",K$1))</f>
        <v>0</v>
      </c>
      <c r="L3" s="0" t="n">
        <f aca="false">COUNTIF(Table!$CC:$CC,CONCATENATE($A3,"_",L$1))</f>
        <v>0</v>
      </c>
      <c r="M3" s="0" t="n">
        <f aca="false">COUNTIF(Table!$CC:$CC,CONCATENATE($A3,"_",M$1))</f>
        <v>0</v>
      </c>
      <c r="N3" s="0" t="n">
        <f aca="false">COUNTIF(Table!$CC:$CC,CONCATENATE($A3,"_",N$1))</f>
        <v>0</v>
      </c>
      <c r="O3" s="0" t="n">
        <f aca="false">COUNTIF(Table!$CC:$CC,CONCATENATE($A3,"_",O$1))</f>
        <v>0</v>
      </c>
      <c r="P3" s="0" t="n">
        <f aca="false">COUNTIF(Table!$CC:$CC,CONCATENATE($A3,"_",P$1))</f>
        <v>0</v>
      </c>
      <c r="Q3" s="0" t="n">
        <f aca="false">COUNTIF(Table!$CC:$CC,CONCATENATE($A3,"_",Q$1))</f>
        <v>2</v>
      </c>
      <c r="R3" s="0" t="n">
        <f aca="false">COUNTIF(Table!$CC:$CC,CONCATENATE($A3,"_",R$1))</f>
        <v>0</v>
      </c>
      <c r="S3" s="0" t="n">
        <f aca="false">COUNTIF(Table!$CC:$CC,CONCATENATE($A3,"_",S$1))</f>
        <v>6</v>
      </c>
      <c r="T3" s="0" t="n">
        <f aca="false">COUNTIF(Table!$CC:$CC,CONCATENATE($A3,"_",T$1))</f>
        <v>1</v>
      </c>
      <c r="U3" s="0" t="n">
        <f aca="false">COUNTIF(Table!$CC:$CC,CONCATENATE($A3,"_",U$1))</f>
        <v>1</v>
      </c>
      <c r="V3" s="0" t="n">
        <f aca="false">COUNTIF(Table!$CC:$CC,CONCATENATE($A3,"_",V$1))</f>
        <v>0</v>
      </c>
      <c r="W3" s="0" t="n">
        <f aca="false">COUNTIF(Table!$CC:$CC,CONCATENATE($A3,"_",W$1))</f>
        <v>2</v>
      </c>
    </row>
    <row r="4" customFormat="false" ht="14.25" hidden="false" customHeight="false" outlineLevel="0" collapsed="false">
      <c r="A4" s="0" t="s">
        <v>491</v>
      </c>
      <c r="B4" s="0" t="str">
        <f aca="false">VLOOKUP(A4, Eras!$B$2:$C$10, 2, FALSE())</f>
        <v>Victorian (1850-1900)</v>
      </c>
      <c r="C4" s="0" t="n">
        <f aca="false">COUNTIF(Table!$CC:$CC,CONCATENATE($A4,"_",C$1))</f>
        <v>0</v>
      </c>
      <c r="D4" s="0" t="n">
        <f aca="false">COUNTIF(Table!$CC:$CC,CONCATENATE($A4,"_",D$1))</f>
        <v>10</v>
      </c>
      <c r="E4" s="0" t="n">
        <f aca="false">COUNTIF(Table!$CC:$CC,CONCATENATE($A4,"_",E$1))</f>
        <v>7</v>
      </c>
      <c r="F4" s="0" t="n">
        <f aca="false">COUNTIF(Table!$CC:$CC,CONCATENATE($A4,"_",F$1))</f>
        <v>7</v>
      </c>
      <c r="G4" s="0" t="n">
        <f aca="false">COUNTIF(Table!$CC:$CC,CONCATENATE($A4,"_",G$1))</f>
        <v>3</v>
      </c>
      <c r="H4" s="0" t="n">
        <f aca="false">COUNTIF(Table!$CC:$CC,CONCATENATE($A4,"_",H$1))</f>
        <v>0</v>
      </c>
      <c r="I4" s="0" t="n">
        <f aca="false">COUNTIF(Table!$CC:$CC,CONCATENATE($A4,"_",I$1))</f>
        <v>0</v>
      </c>
      <c r="J4" s="0" t="n">
        <f aca="false">COUNTIF(Table!$CC:$CC,CONCATENATE($A4,"_",J$1))</f>
        <v>0</v>
      </c>
      <c r="K4" s="0" t="n">
        <f aca="false">COUNTIF(Table!$CC:$CC,CONCATENATE($A4,"_",K$1))</f>
        <v>0</v>
      </c>
      <c r="L4" s="0" t="n">
        <f aca="false">COUNTIF(Table!$CC:$CC,CONCATENATE($A4,"_",L$1))</f>
        <v>0</v>
      </c>
      <c r="M4" s="0" t="n">
        <f aca="false">COUNTIF(Table!$CC:$CC,CONCATENATE($A4,"_",M$1))</f>
        <v>0</v>
      </c>
      <c r="N4" s="0" t="n">
        <f aca="false">COUNTIF(Table!$CC:$CC,CONCATENATE($A4,"_",N$1))</f>
        <v>1</v>
      </c>
      <c r="O4" s="0" t="n">
        <f aca="false">COUNTIF(Table!$CC:$CC,CONCATENATE($A4,"_",O$1))</f>
        <v>0</v>
      </c>
      <c r="P4" s="0" t="n">
        <f aca="false">COUNTIF(Table!$CC:$CC,CONCATENATE($A4,"_",P$1))</f>
        <v>2</v>
      </c>
      <c r="Q4" s="0" t="n">
        <f aca="false">COUNTIF(Table!$CC:$CC,CONCATENATE($A4,"_",Q$1))</f>
        <v>6</v>
      </c>
      <c r="R4" s="0" t="n">
        <f aca="false">COUNTIF(Table!$CC:$CC,CONCATENATE($A4,"_",R$1))</f>
        <v>1</v>
      </c>
      <c r="S4" s="0" t="n">
        <f aca="false">COUNTIF(Table!$CC:$CC,CONCATENATE($A4,"_",S$1))</f>
        <v>10</v>
      </c>
      <c r="T4" s="0" t="n">
        <f aca="false">COUNTIF(Table!$CC:$CC,CONCATENATE($A4,"_",T$1))</f>
        <v>1</v>
      </c>
      <c r="U4" s="0" t="n">
        <f aca="false">COUNTIF(Table!$CC:$CC,CONCATENATE($A4,"_",U$1))</f>
        <v>2</v>
      </c>
      <c r="V4" s="0" t="n">
        <f aca="false">COUNTIF(Table!$CC:$CC,CONCATENATE($A4,"_",V$1))</f>
        <v>1</v>
      </c>
      <c r="W4" s="0" t="n">
        <f aca="false">COUNTIF(Table!$CC:$CC,CONCATENATE($A4,"_",W$1))</f>
        <v>2</v>
      </c>
    </row>
    <row r="5" customFormat="false" ht="14.25" hidden="false" customHeight="false" outlineLevel="0" collapsed="false">
      <c r="A5" s="0" t="s">
        <v>1236</v>
      </c>
      <c r="B5" s="0" t="str">
        <f aca="false">VLOOKUP(A5, Eras!$B$2:$C$10, 2, FALSE())</f>
        <v>Edwardian (1900-1920)</v>
      </c>
      <c r="C5" s="0" t="n">
        <f aca="false">COUNTIF(Table!$CC:$CC,CONCATENATE($A5,"_",C$1))</f>
        <v>2</v>
      </c>
      <c r="D5" s="0" t="n">
        <f aca="false">COUNTIF(Table!$CC:$CC,CONCATENATE($A5,"_",D$1))</f>
        <v>2</v>
      </c>
      <c r="E5" s="0" t="n">
        <f aca="false">COUNTIF(Table!$CC:$CC,CONCATENATE($A5,"_",E$1))</f>
        <v>5</v>
      </c>
      <c r="F5" s="0" t="n">
        <f aca="false">COUNTIF(Table!$CC:$CC,CONCATENATE($A5,"_",F$1))</f>
        <v>9</v>
      </c>
      <c r="G5" s="0" t="n">
        <f aca="false">COUNTIF(Table!$CC:$CC,CONCATENATE($A5,"_",G$1))</f>
        <v>5</v>
      </c>
      <c r="H5" s="0" t="n">
        <f aca="false">COUNTIF(Table!$CC:$CC,CONCATENATE($A5,"_",H$1))</f>
        <v>0</v>
      </c>
      <c r="I5" s="0" t="n">
        <f aca="false">COUNTIF(Table!$CC:$CC,CONCATENATE($A5,"_",I$1))</f>
        <v>0</v>
      </c>
      <c r="J5" s="0" t="n">
        <f aca="false">COUNTIF(Table!$CC:$CC,CONCATENATE($A5,"_",J$1))</f>
        <v>2</v>
      </c>
      <c r="K5" s="0" t="n">
        <f aca="false">COUNTIF(Table!$CC:$CC,CONCATENATE($A5,"_",K$1))</f>
        <v>1</v>
      </c>
      <c r="L5" s="0" t="n">
        <f aca="false">COUNTIF(Table!$CC:$CC,CONCATENATE($A5,"_",L$1))</f>
        <v>0</v>
      </c>
      <c r="M5" s="0" t="n">
        <f aca="false">COUNTIF(Table!$CC:$CC,CONCATENATE($A5,"_",M$1))</f>
        <v>0</v>
      </c>
      <c r="N5" s="0" t="n">
        <f aca="false">COUNTIF(Table!$CC:$CC,CONCATENATE($A5,"_",N$1))</f>
        <v>9</v>
      </c>
      <c r="O5" s="0" t="n">
        <f aca="false">COUNTIF(Table!$CC:$CC,CONCATENATE($A5,"_",O$1))</f>
        <v>0</v>
      </c>
      <c r="P5" s="0" t="n">
        <f aca="false">COUNTIF(Table!$CC:$CC,CONCATENATE($A5,"_",P$1))</f>
        <v>2</v>
      </c>
      <c r="Q5" s="0" t="n">
        <f aca="false">COUNTIF(Table!$CC:$CC,CONCATENATE($A5,"_",Q$1))</f>
        <v>3</v>
      </c>
      <c r="R5" s="0" t="n">
        <f aca="false">COUNTIF(Table!$CC:$CC,CONCATENATE($A5,"_",R$1))</f>
        <v>2</v>
      </c>
      <c r="S5" s="0" t="n">
        <f aca="false">COUNTIF(Table!$CC:$CC,CONCATENATE($A5,"_",S$1))</f>
        <v>3</v>
      </c>
      <c r="T5" s="0" t="n">
        <f aca="false">COUNTIF(Table!$CC:$CC,CONCATENATE($A5,"_",T$1))</f>
        <v>2</v>
      </c>
      <c r="U5" s="0" t="n">
        <f aca="false">COUNTIF(Table!$CC:$CC,CONCATENATE($A5,"_",U$1))</f>
        <v>2</v>
      </c>
      <c r="V5" s="0" t="n">
        <f aca="false">COUNTIF(Table!$CC:$CC,CONCATENATE($A5,"_",V$1))</f>
        <v>2</v>
      </c>
      <c r="W5" s="0" t="n">
        <f aca="false">COUNTIF(Table!$CC:$CC,CONCATENATE($A5,"_",W$1))</f>
        <v>0</v>
      </c>
    </row>
    <row r="6" customFormat="false" ht="14.25" hidden="false" customHeight="false" outlineLevel="0" collapsed="false">
      <c r="A6" s="0" t="s">
        <v>1263</v>
      </c>
      <c r="B6" s="0" t="str">
        <f aca="false">VLOOKUP(A6, Eras!$B$2:$C$10, 2, FALSE())</f>
        <v>Big Four (1923-1948)</v>
      </c>
      <c r="C6" s="0" t="n">
        <f aca="false">COUNTIF(Table!$CC:$CC,CONCATENATE($A6,"_",C$1))</f>
        <v>1</v>
      </c>
      <c r="D6" s="0" t="n">
        <f aca="false">COUNTIF(Table!$CC:$CC,CONCATENATE($A6,"_",D$1))</f>
        <v>12</v>
      </c>
      <c r="E6" s="0" t="n">
        <f aca="false">COUNTIF(Table!$CC:$CC,CONCATENATE($A6,"_",E$1))</f>
        <v>11</v>
      </c>
      <c r="F6" s="0" t="n">
        <f aca="false">COUNTIF(Table!$CC:$CC,CONCATENATE($A6,"_",F$1))</f>
        <v>11</v>
      </c>
      <c r="G6" s="0" t="n">
        <f aca="false">COUNTIF(Table!$CC:$CC,CONCATENATE($A6,"_",G$1))</f>
        <v>5</v>
      </c>
      <c r="H6" s="0" t="n">
        <f aca="false">COUNTIF(Table!$CC:$CC,CONCATENATE($A6,"_",H$1))</f>
        <v>1</v>
      </c>
      <c r="I6" s="0" t="n">
        <f aca="false">COUNTIF(Table!$CC:$CC,CONCATENATE($A6,"_",I$1))</f>
        <v>0</v>
      </c>
      <c r="J6" s="0" t="n">
        <f aca="false">COUNTIF(Table!$CC:$CC,CONCATENATE($A6,"_",J$1))</f>
        <v>0</v>
      </c>
      <c r="K6" s="0" t="n">
        <f aca="false">COUNTIF(Table!$CC:$CC,CONCATENATE($A6,"_",K$1))</f>
        <v>1</v>
      </c>
      <c r="L6" s="0" t="n">
        <f aca="false">COUNTIF(Table!$CC:$CC,CONCATENATE($A6,"_",L$1))</f>
        <v>0</v>
      </c>
      <c r="M6" s="0" t="n">
        <f aca="false">COUNTIF(Table!$CC:$CC,CONCATENATE($A6,"_",M$1))</f>
        <v>0</v>
      </c>
      <c r="N6" s="0" t="n">
        <f aca="false">COUNTIF(Table!$CC:$CC,CONCATENATE($A6,"_",N$1))</f>
        <v>4</v>
      </c>
      <c r="O6" s="0" t="n">
        <f aca="false">COUNTIF(Table!$CC:$CC,CONCATENATE($A6,"_",O$1))</f>
        <v>1</v>
      </c>
      <c r="P6" s="0" t="n">
        <f aca="false">COUNTIF(Table!$CC:$CC,CONCATENATE($A6,"_",P$1))</f>
        <v>3</v>
      </c>
      <c r="Q6" s="0" t="n">
        <f aca="false">COUNTIF(Table!$CC:$CC,CONCATENATE($A6,"_",Q$1))</f>
        <v>4</v>
      </c>
      <c r="R6" s="0" t="n">
        <f aca="false">COUNTIF(Table!$CC:$CC,CONCATENATE($A6,"_",R$1))</f>
        <v>0</v>
      </c>
      <c r="S6" s="0" t="n">
        <f aca="false">COUNTIF(Table!$CC:$CC,CONCATENATE($A6,"_",S$1))</f>
        <v>2</v>
      </c>
      <c r="T6" s="0" t="n">
        <f aca="false">COUNTIF(Table!$CC:$CC,CONCATENATE($A6,"_",T$1))</f>
        <v>1</v>
      </c>
      <c r="U6" s="0" t="n">
        <f aca="false">COUNTIF(Table!$CC:$CC,CONCATENATE($A6,"_",U$1))</f>
        <v>2</v>
      </c>
      <c r="V6" s="0" t="n">
        <f aca="false">COUNTIF(Table!$CC:$CC,CONCATENATE($A6,"_",V$1))</f>
        <v>2</v>
      </c>
      <c r="W6" s="0" t="n">
        <f aca="false">COUNTIF(Table!$CC:$CC,CONCATENATE($A6,"_",W$1))</f>
        <v>6</v>
      </c>
    </row>
    <row r="7" customFormat="false" ht="14.25" hidden="false" customHeight="false" outlineLevel="0" collapsed="false">
      <c r="A7" s="0" t="s">
        <v>1916</v>
      </c>
      <c r="B7" s="0" t="str">
        <f aca="false">VLOOKUP(A7, Eras!$B$2:$C$10, 2, FALSE())</f>
        <v>Early BR (1948-1955)</v>
      </c>
      <c r="C7" s="0" t="n">
        <f aca="false">COUNTIF(Table!$CC:$CC,CONCATENATE($A7,"_",C$1))</f>
        <v>0</v>
      </c>
      <c r="D7" s="0" t="n">
        <f aca="false">COUNTIF(Table!$CC:$CC,CONCATENATE($A7,"_",D$1))</f>
        <v>2</v>
      </c>
      <c r="E7" s="0" t="n">
        <f aca="false">COUNTIF(Table!$CC:$CC,CONCATENATE($A7,"_",E$1))</f>
        <v>3</v>
      </c>
      <c r="F7" s="0" t="n">
        <f aca="false">COUNTIF(Table!$CC:$CC,CONCATENATE($A7,"_",F$1))</f>
        <v>1</v>
      </c>
      <c r="G7" s="0" t="n">
        <f aca="false">COUNTIF(Table!$CC:$CC,CONCATENATE($A7,"_",G$1))</f>
        <v>2</v>
      </c>
      <c r="H7" s="0" t="n">
        <f aca="false">COUNTIF(Table!$CC:$CC,CONCATENATE($A7,"_",H$1))</f>
        <v>0</v>
      </c>
      <c r="I7" s="0" t="n">
        <f aca="false">COUNTIF(Table!$CC:$CC,CONCATENATE($A7,"_",I$1))</f>
        <v>1</v>
      </c>
      <c r="J7" s="0" t="n">
        <f aca="false">COUNTIF(Table!$CC:$CC,CONCATENATE($A7,"_",J$1))</f>
        <v>1</v>
      </c>
      <c r="K7" s="0" t="n">
        <f aca="false">COUNTIF(Table!$CC:$CC,CONCATENATE($A7,"_",K$1))</f>
        <v>0</v>
      </c>
      <c r="L7" s="0" t="n">
        <f aca="false">COUNTIF(Table!$CC:$CC,CONCATENATE($A7,"_",L$1))</f>
        <v>1</v>
      </c>
      <c r="M7" s="0" t="n">
        <f aca="false">COUNTIF(Table!$CC:$CC,CONCATENATE($A7,"_",M$1))</f>
        <v>0</v>
      </c>
      <c r="N7" s="0" t="n">
        <f aca="false">COUNTIF(Table!$CC:$CC,CONCATENATE($A7,"_",N$1))</f>
        <v>1</v>
      </c>
      <c r="O7" s="0" t="n">
        <f aca="false">COUNTIF(Table!$CC:$CC,CONCATENATE($A7,"_",O$1))</f>
        <v>0</v>
      </c>
      <c r="P7" s="0" t="n">
        <f aca="false">COUNTIF(Table!$CC:$CC,CONCATENATE($A7,"_",P$1))</f>
        <v>0</v>
      </c>
      <c r="Q7" s="0" t="n">
        <f aca="false">COUNTIF(Table!$CC:$CC,CONCATENATE($A7,"_",Q$1))</f>
        <v>5</v>
      </c>
      <c r="R7" s="0" t="n">
        <f aca="false">COUNTIF(Table!$CC:$CC,CONCATENATE($A7,"_",R$1))</f>
        <v>2</v>
      </c>
      <c r="S7" s="0" t="n">
        <f aca="false">COUNTIF(Table!$CC:$CC,CONCATENATE($A7,"_",S$1))</f>
        <v>1</v>
      </c>
      <c r="T7" s="0" t="n">
        <f aca="false">COUNTIF(Table!$CC:$CC,CONCATENATE($A7,"_",T$1))</f>
        <v>2</v>
      </c>
      <c r="U7" s="0" t="n">
        <f aca="false">COUNTIF(Table!$CC:$CC,CONCATENATE($A7,"_",U$1))</f>
        <v>0</v>
      </c>
      <c r="V7" s="0" t="n">
        <f aca="false">COUNTIF(Table!$CC:$CC,CONCATENATE($A7,"_",V$1))</f>
        <v>0</v>
      </c>
      <c r="W7" s="0" t="n">
        <f aca="false">COUNTIF(Table!$CC:$CC,CONCATENATE($A7,"_",W$1))</f>
        <v>0</v>
      </c>
    </row>
    <row r="8" customFormat="false" ht="14.25" hidden="false" customHeight="false" outlineLevel="0" collapsed="false">
      <c r="A8" s="0" t="s">
        <v>1270</v>
      </c>
      <c r="B8" s="0" t="str">
        <f aca="false">VLOOKUP(A8, Eras!$B$2:$C$10, 2, FALSE())</f>
        <v>Dieselisation (1955-1970)</v>
      </c>
      <c r="C8" s="0" t="n">
        <f aca="false">COUNTIF(Table!$CC:$CC,CONCATENATE($A8,"_",C$1))</f>
        <v>1</v>
      </c>
      <c r="D8" s="0" t="n">
        <f aca="false">COUNTIF(Table!$CC:$CC,CONCATENATE($A8,"_",D$1))</f>
        <v>7</v>
      </c>
      <c r="E8" s="0" t="n">
        <f aca="false">COUNTIF(Table!$CC:$CC,CONCATENATE($A8,"_",E$1))</f>
        <v>3</v>
      </c>
      <c r="F8" s="0" t="n">
        <f aca="false">COUNTIF(Table!$CC:$CC,CONCATENATE($A8,"_",F$1))</f>
        <v>5</v>
      </c>
      <c r="G8" s="0" t="n">
        <f aca="false">COUNTIF(Table!$CC:$CC,CONCATENATE($A8,"_",G$1))</f>
        <v>6</v>
      </c>
      <c r="H8" s="0" t="n">
        <f aca="false">COUNTIF(Table!$CC:$CC,CONCATENATE($A8,"_",H$1))</f>
        <v>1</v>
      </c>
      <c r="I8" s="0" t="n">
        <f aca="false">COUNTIF(Table!$CC:$CC,CONCATENATE($A8,"_",I$1))</f>
        <v>2</v>
      </c>
      <c r="J8" s="0" t="n">
        <f aca="false">COUNTIF(Table!$CC:$CC,CONCATENATE($A8,"_",J$1))</f>
        <v>0</v>
      </c>
      <c r="K8" s="0" t="n">
        <f aca="false">COUNTIF(Table!$CC:$CC,CONCATENATE($A8,"_",K$1))</f>
        <v>0</v>
      </c>
      <c r="L8" s="0" t="n">
        <f aca="false">COUNTIF(Table!$CC:$CC,CONCATENATE($A8,"_",L$1))</f>
        <v>10</v>
      </c>
      <c r="M8" s="0" t="n">
        <f aca="false">COUNTIF(Table!$CC:$CC,CONCATENATE($A8,"_",M$1))</f>
        <v>3</v>
      </c>
      <c r="N8" s="0" t="n">
        <f aca="false">COUNTIF(Table!$CC:$CC,CONCATENATE($A8,"_",N$1))</f>
        <v>5</v>
      </c>
      <c r="O8" s="0" t="n">
        <f aca="false">COUNTIF(Table!$CC:$CC,CONCATENATE($A8,"_",O$1))</f>
        <v>5</v>
      </c>
      <c r="P8" s="0" t="n">
        <f aca="false">COUNTIF(Table!$CC:$CC,CONCATENATE($A8,"_",P$1))</f>
        <v>3</v>
      </c>
      <c r="Q8" s="0" t="n">
        <f aca="false">COUNTIF(Table!$CC:$CC,CONCATENATE($A8,"_",Q$1))</f>
        <v>10</v>
      </c>
      <c r="R8" s="0" t="n">
        <f aca="false">COUNTIF(Table!$CC:$CC,CONCATENATE($A8,"_",R$1))</f>
        <v>2</v>
      </c>
      <c r="S8" s="0" t="n">
        <f aca="false">COUNTIF(Table!$CC:$CC,CONCATENATE($A8,"_",S$1))</f>
        <v>1</v>
      </c>
      <c r="T8" s="0" t="n">
        <f aca="false">COUNTIF(Table!$CC:$CC,CONCATENATE($A8,"_",T$1))</f>
        <v>0</v>
      </c>
      <c r="U8" s="0" t="n">
        <f aca="false">COUNTIF(Table!$CC:$CC,CONCATENATE($A8,"_",U$1))</f>
        <v>4</v>
      </c>
      <c r="V8" s="0" t="n">
        <f aca="false">COUNTIF(Table!$CC:$CC,CONCATENATE($A8,"_",V$1))</f>
        <v>5</v>
      </c>
      <c r="W8" s="0" t="n">
        <f aca="false">COUNTIF(Table!$CC:$CC,CONCATENATE($A8,"_",W$1))</f>
        <v>2</v>
      </c>
    </row>
    <row r="9" customFormat="false" ht="14.25" hidden="false" customHeight="false" outlineLevel="0" collapsed="false">
      <c r="A9" s="0" t="s">
        <v>1320</v>
      </c>
      <c r="B9" s="0" t="str">
        <f aca="false">VLOOKUP(A9, Eras!$B$2:$C$10, 2, FALSE())</f>
        <v>Late BR (1970-1995)</v>
      </c>
      <c r="C9" s="0" t="n">
        <f aca="false">COUNTIF(Table!$CC:$CC,CONCATENATE($A9,"_",C$1))</f>
        <v>0</v>
      </c>
      <c r="D9" s="0" t="n">
        <f aca="false">COUNTIF(Table!$CC:$CC,CONCATENATE($A9,"_",D$1))</f>
        <v>0</v>
      </c>
      <c r="E9" s="0" t="n">
        <f aca="false">COUNTIF(Table!$CC:$CC,CONCATENATE($A9,"_",E$1))</f>
        <v>2</v>
      </c>
      <c r="F9" s="0" t="n">
        <f aca="false">COUNTIF(Table!$CC:$CC,CONCATENATE($A9,"_",F$1))</f>
        <v>6</v>
      </c>
      <c r="G9" s="0" t="n">
        <f aca="false">COUNTIF(Table!$CC:$CC,CONCATENATE($A9,"_",G$1))</f>
        <v>8</v>
      </c>
      <c r="H9" s="0" t="n">
        <f aca="false">COUNTIF(Table!$CC:$CC,CONCATENATE($A9,"_",H$1))</f>
        <v>0</v>
      </c>
      <c r="I9" s="0" t="n">
        <f aca="false">COUNTIF(Table!$CC:$CC,CONCATENATE($A9,"_",I$1))</f>
        <v>7</v>
      </c>
      <c r="J9" s="0" t="n">
        <f aca="false">COUNTIF(Table!$CC:$CC,CONCATENATE($A9,"_",J$1))</f>
        <v>0</v>
      </c>
      <c r="K9" s="0" t="n">
        <f aca="false">COUNTIF(Table!$CC:$CC,CONCATENATE($A9,"_",K$1))</f>
        <v>2</v>
      </c>
      <c r="L9" s="0" t="n">
        <f aca="false">COUNTIF(Table!$CC:$CC,CONCATENATE($A9,"_",L$1))</f>
        <v>9</v>
      </c>
      <c r="M9" s="0" t="n">
        <f aca="false">COUNTIF(Table!$CC:$CC,CONCATENATE($A9,"_",M$1))</f>
        <v>2</v>
      </c>
      <c r="N9" s="0" t="n">
        <f aca="false">COUNTIF(Table!$CC:$CC,CONCATENATE($A9,"_",N$1))</f>
        <v>9</v>
      </c>
      <c r="O9" s="0" t="n">
        <f aca="false">COUNTIF(Table!$CC:$CC,CONCATENATE($A9,"_",O$1))</f>
        <v>14</v>
      </c>
      <c r="P9" s="0" t="n">
        <f aca="false">COUNTIF(Table!$CC:$CC,CONCATENATE($A9,"_",P$1))</f>
        <v>7</v>
      </c>
      <c r="Q9" s="0" t="n">
        <f aca="false">COUNTIF(Table!$CC:$CC,CONCATENATE($A9,"_",Q$1))</f>
        <v>14</v>
      </c>
      <c r="R9" s="0" t="n">
        <f aca="false">COUNTIF(Table!$CC:$CC,CONCATENATE($A9,"_",R$1))</f>
        <v>4</v>
      </c>
      <c r="S9" s="0" t="n">
        <f aca="false">COUNTIF(Table!$CC:$CC,CONCATENATE($A9,"_",S$1))</f>
        <v>2</v>
      </c>
      <c r="T9" s="0" t="n">
        <f aca="false">COUNTIF(Table!$CC:$CC,CONCATENATE($A9,"_",T$1))</f>
        <v>3</v>
      </c>
      <c r="U9" s="0" t="n">
        <f aca="false">COUNTIF(Table!$CC:$CC,CONCATENATE($A9,"_",U$1))</f>
        <v>5</v>
      </c>
      <c r="V9" s="0" t="n">
        <f aca="false">COUNTIF(Table!$CC:$CC,CONCATENATE($A9,"_",V$1))</f>
        <v>2</v>
      </c>
      <c r="W9" s="0" t="n">
        <f aca="false">COUNTIF(Table!$CC:$CC,CONCATENATE($A9,"_",W$1))</f>
        <v>1</v>
      </c>
    </row>
    <row r="10" customFormat="false" ht="14.25" hidden="false" customHeight="false" outlineLevel="0" collapsed="false">
      <c r="A10" s="0" t="s">
        <v>1717</v>
      </c>
      <c r="B10" s="0" t="str">
        <f aca="false">VLOOKUP(A10, Eras!$B$2:$C$10, 2, FALSE())</f>
        <v>Privatisation (1995-2005)</v>
      </c>
      <c r="C10" s="0" t="n">
        <f aca="false">COUNTIF(Table!$CC:$CC,CONCATENATE($A10,"_",C$1))</f>
        <v>0</v>
      </c>
      <c r="D10" s="0" t="n">
        <f aca="false">COUNTIF(Table!$CC:$CC,CONCATENATE($A10,"_",D$1))</f>
        <v>0</v>
      </c>
      <c r="E10" s="0" t="n">
        <f aca="false">COUNTIF(Table!$CC:$CC,CONCATENATE($A10,"_",E$1))</f>
        <v>0</v>
      </c>
      <c r="F10" s="0" t="n">
        <f aca="false">COUNTIF(Table!$CC:$CC,CONCATENATE($A10,"_",F$1))</f>
        <v>0</v>
      </c>
      <c r="G10" s="0" t="n">
        <f aca="false">COUNTIF(Table!$CC:$CC,CONCATENATE($A10,"_",G$1))</f>
        <v>8</v>
      </c>
      <c r="H10" s="0" t="n">
        <f aca="false">COUNTIF(Table!$CC:$CC,CONCATENATE($A10,"_",H$1))</f>
        <v>0</v>
      </c>
      <c r="I10" s="0" t="n">
        <f aca="false">COUNTIF(Table!$CC:$CC,CONCATENATE($A10,"_",I$1))</f>
        <v>0</v>
      </c>
      <c r="J10" s="0" t="n">
        <f aca="false">COUNTIF(Table!$CC:$CC,CONCATENATE($A10,"_",J$1))</f>
        <v>0</v>
      </c>
      <c r="K10" s="0" t="n">
        <f aca="false">COUNTIF(Table!$CC:$CC,CONCATENATE($A10,"_",K$1))</f>
        <v>0</v>
      </c>
      <c r="L10" s="0" t="n">
        <f aca="false">COUNTIF(Table!$CC:$CC,CONCATENATE($A10,"_",L$1))</f>
        <v>3</v>
      </c>
      <c r="M10" s="0" t="n">
        <f aca="false">COUNTIF(Table!$CC:$CC,CONCATENATE($A10,"_",M$1))</f>
        <v>10</v>
      </c>
      <c r="N10" s="0" t="n">
        <f aca="false">COUNTIF(Table!$CC:$CC,CONCATENATE($A10,"_",N$1))</f>
        <v>3</v>
      </c>
      <c r="O10" s="0" t="n">
        <f aca="false">COUNTIF(Table!$CC:$CC,CONCATENATE($A10,"_",O$1))</f>
        <v>7</v>
      </c>
      <c r="P10" s="0" t="n">
        <f aca="false">COUNTIF(Table!$CC:$CC,CONCATENATE($A10,"_",P$1))</f>
        <v>1</v>
      </c>
      <c r="Q10" s="0" t="n">
        <f aca="false">COUNTIF(Table!$CC:$CC,CONCATENATE($A10,"_",Q$1))</f>
        <v>4</v>
      </c>
      <c r="R10" s="0" t="n">
        <f aca="false">COUNTIF(Table!$CC:$CC,CONCATENATE($A10,"_",R$1))</f>
        <v>0</v>
      </c>
      <c r="S10" s="0" t="n">
        <f aca="false">COUNTIF(Table!$CC:$CC,CONCATENATE($A10,"_",S$1))</f>
        <v>1</v>
      </c>
      <c r="T10" s="0" t="n">
        <f aca="false">COUNTIF(Table!$CC:$CC,CONCATENATE($A10,"_",T$1))</f>
        <v>1</v>
      </c>
      <c r="U10" s="0" t="n">
        <f aca="false">COUNTIF(Table!$CC:$CC,CONCATENATE($A10,"_",U$1))</f>
        <v>0</v>
      </c>
      <c r="V10" s="0" t="n">
        <f aca="false">COUNTIF(Table!$CC:$CC,CONCATENATE($A10,"_",V$1))</f>
        <v>0</v>
      </c>
      <c r="W10" s="0" t="n">
        <f aca="false">COUNTIF(Table!$CC:$CC,CONCATENATE($A10,"_",W$1))</f>
        <v>1</v>
      </c>
    </row>
    <row r="11" customFormat="false" ht="14.25" hidden="false" customHeight="false" outlineLevel="0" collapsed="false">
      <c r="A11" s="0" t="s">
        <v>938</v>
      </c>
      <c r="B11" s="0" t="str">
        <f aca="false">VLOOKUP(A11, Eras!$B$2:$C$10, 2, FALSE())</f>
        <v>Modern (2005-)</v>
      </c>
      <c r="C11" s="0" t="n">
        <f aca="false">COUNTIF(Table!$CC:$CC,CONCATENATE($A11,"_",C$1))</f>
        <v>0</v>
      </c>
      <c r="D11" s="0" t="n">
        <f aca="false">COUNTIF(Table!$CC:$CC,CONCATENATE($A11,"_",D$1))</f>
        <v>1</v>
      </c>
      <c r="E11" s="0" t="n">
        <f aca="false">COUNTIF(Table!$CC:$CC,CONCATENATE($A11,"_",E$1))</f>
        <v>0</v>
      </c>
      <c r="F11" s="0" t="n">
        <f aca="false">COUNTIF(Table!$CC:$CC,CONCATENATE($A11,"_",F$1))</f>
        <v>0</v>
      </c>
      <c r="G11" s="0" t="n">
        <f aca="false">COUNTIF(Table!$CC:$CC,CONCATENATE($A11,"_",G$1))</f>
        <v>2</v>
      </c>
      <c r="H11" s="0" t="n">
        <f aca="false">COUNTIF(Table!$CC:$CC,CONCATENATE($A11,"_",H$1))</f>
        <v>1</v>
      </c>
      <c r="I11" s="0" t="n">
        <f aca="false">COUNTIF(Table!$CC:$CC,CONCATENATE($A11,"_",I$1))</f>
        <v>1</v>
      </c>
      <c r="J11" s="0" t="n">
        <f aca="false">COUNTIF(Table!$CC:$CC,CONCATENATE($A11,"_",J$1))</f>
        <v>1</v>
      </c>
      <c r="K11" s="0" t="n">
        <f aca="false">COUNTIF(Table!$CC:$CC,CONCATENATE($A11,"_",K$1))</f>
        <v>1</v>
      </c>
      <c r="L11" s="0" t="n">
        <f aca="false">COUNTIF(Table!$CC:$CC,CONCATENATE($A11,"_",L$1))</f>
        <v>1</v>
      </c>
      <c r="M11" s="0" t="n">
        <f aca="false">COUNTIF(Table!$CC:$CC,CONCATENATE($A11,"_",M$1))</f>
        <v>0</v>
      </c>
      <c r="N11" s="0" t="n">
        <f aca="false">COUNTIF(Table!$CC:$CC,CONCATENATE($A11,"_",N$1))</f>
        <v>15</v>
      </c>
      <c r="O11" s="0" t="n">
        <f aca="false">COUNTIF(Table!$CC:$CC,CONCATENATE($A11,"_",O$1))</f>
        <v>12</v>
      </c>
      <c r="P11" s="0" t="n">
        <f aca="false">COUNTIF(Table!$CC:$CC,CONCATENATE($A11,"_",P$1))</f>
        <v>4</v>
      </c>
      <c r="Q11" s="0" t="n">
        <f aca="false">COUNTIF(Table!$CC:$CC,CONCATENATE($A11,"_",Q$1))</f>
        <v>5</v>
      </c>
      <c r="R11" s="0" t="n">
        <f aca="false">COUNTIF(Table!$CC:$CC,CONCATENATE($A11,"_",R$1))</f>
        <v>0</v>
      </c>
      <c r="S11" s="0" t="n">
        <f aca="false">COUNTIF(Table!$CC:$CC,CONCATENATE($A11,"_",S$1))</f>
        <v>1</v>
      </c>
      <c r="T11" s="0" t="n">
        <f aca="false">COUNTIF(Table!$CC:$CC,CONCATENATE($A11,"_",T$1))</f>
        <v>2</v>
      </c>
      <c r="U11" s="0" t="n">
        <f aca="false">COUNTIF(Table!$CC:$CC,CONCATENATE($A11,"_",U$1))</f>
        <v>0</v>
      </c>
      <c r="V11" s="0" t="n">
        <f aca="false">COUNTIF(Table!$CC:$CC,CONCATENATE($A11,"_",V$1))</f>
        <v>1</v>
      </c>
      <c r="W11" s="0" t="n">
        <f aca="false">COUNTIF(Table!$CC:$CC,CONCATENATE($A11,"_",W$1))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4">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15">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0" width="9.54"/>
    <col collapsed="false" customWidth="true" hidden="false" outlineLevel="0" max="2" min="2" style="0" width="5.45"/>
    <col collapsed="false" customWidth="true" hidden="false" outlineLevel="0" max="3" min="3" style="0" width="29"/>
  </cols>
  <sheetData>
    <row r="1" customFormat="false" ht="14.25" hidden="false" customHeight="false" outlineLevel="0" collapsed="false">
      <c r="A1" s="7" t="s">
        <v>1917</v>
      </c>
      <c r="B1" s="7" t="s">
        <v>1918</v>
      </c>
      <c r="C1" s="7" t="s">
        <v>1919</v>
      </c>
    </row>
    <row r="2" customFormat="false" ht="14.25" hidden="false" customHeight="false" outlineLevel="0" collapsed="false">
      <c r="A2" s="0" t="n">
        <v>1700</v>
      </c>
      <c r="B2" s="0" t="s">
        <v>1153</v>
      </c>
      <c r="C2" s="0" t="s">
        <v>1920</v>
      </c>
    </row>
    <row r="3" customFormat="false" ht="14.25" hidden="false" customHeight="false" outlineLevel="0" collapsed="false">
      <c r="A3" s="0" t="n">
        <v>1850</v>
      </c>
      <c r="B3" s="0" t="s">
        <v>491</v>
      </c>
      <c r="C3" s="0" t="s">
        <v>1921</v>
      </c>
    </row>
    <row r="4" customFormat="false" ht="14.25" hidden="false" customHeight="false" outlineLevel="0" collapsed="false">
      <c r="A4" s="0" t="n">
        <v>1900</v>
      </c>
      <c r="B4" s="0" t="s">
        <v>1236</v>
      </c>
      <c r="C4" s="0" t="s">
        <v>1922</v>
      </c>
    </row>
    <row r="5" customFormat="false" ht="14.25" hidden="false" customHeight="false" outlineLevel="0" collapsed="false">
      <c r="A5" s="0" t="n">
        <v>1923</v>
      </c>
      <c r="B5" s="0" t="s">
        <v>1263</v>
      </c>
      <c r="C5" s="0" t="s">
        <v>1923</v>
      </c>
    </row>
    <row r="6" customFormat="false" ht="14.25" hidden="false" customHeight="false" outlineLevel="0" collapsed="false">
      <c r="A6" s="0" t="n">
        <v>1948</v>
      </c>
      <c r="B6" s="0" t="s">
        <v>1916</v>
      </c>
      <c r="C6" s="0" t="s">
        <v>1924</v>
      </c>
    </row>
    <row r="7" customFormat="false" ht="14.25" hidden="false" customHeight="false" outlineLevel="0" collapsed="false">
      <c r="A7" s="0" t="n">
        <v>1955</v>
      </c>
      <c r="B7" s="0" t="s">
        <v>1270</v>
      </c>
      <c r="C7" s="0" t="s">
        <v>1925</v>
      </c>
    </row>
    <row r="8" customFormat="false" ht="14.25" hidden="false" customHeight="false" outlineLevel="0" collapsed="false">
      <c r="A8" s="0" t="n">
        <v>1970</v>
      </c>
      <c r="B8" s="0" t="s">
        <v>1320</v>
      </c>
      <c r="C8" s="0" t="s">
        <v>1926</v>
      </c>
    </row>
    <row r="9" customFormat="false" ht="14.25" hidden="false" customHeight="false" outlineLevel="0" collapsed="false">
      <c r="A9" s="0" t="n">
        <v>1995</v>
      </c>
      <c r="B9" s="0" t="s">
        <v>1717</v>
      </c>
      <c r="C9" s="0" t="s">
        <v>1927</v>
      </c>
    </row>
    <row r="10" customFormat="false" ht="14.25" hidden="false" customHeight="false" outlineLevel="0" collapsed="false">
      <c r="A10" s="0" t="n">
        <v>2005</v>
      </c>
      <c r="B10" s="0" t="s">
        <v>938</v>
      </c>
      <c r="C10" s="0" t="s">
        <v>1928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28"/>
  <sheetViews>
    <sheetView showFormulas="false" showGridLines="true" showRowColHeaders="true" showZeros="true" rightToLeft="false" tabSelected="false" showOutlineSymbols="true" defaultGridColor="true" view="normal" topLeftCell="D16" colorId="64" zoomScale="100" zoomScaleNormal="100" zoomScalePageLayoutView="100" workbookViewId="0">
      <selection pane="topLeft" activeCell="O27" activeCellId="0" sqref="O27"/>
    </sheetView>
  </sheetViews>
  <sheetFormatPr defaultColWidth="8.6796875" defaultRowHeight="14.25" customHeight="false" zeroHeight="false" outlineLevelRow="0" outlineLevelCol="0"/>
  <cols>
    <col collapsed="false" customWidth="true" hidden="false" outlineLevel="0" max="1" min="1" style="0" width="7"/>
    <col collapsed="false" customWidth="true" hidden="false" outlineLevel="0" max="2" min="2" style="0" width="13.27"/>
    <col collapsed="false" customWidth="true" hidden="false" outlineLevel="0" max="3" min="3" style="0" width="20.18"/>
    <col collapsed="false" customWidth="true" hidden="false" outlineLevel="0" max="6" min="6" style="0" width="27.45"/>
    <col collapsed="false" customWidth="true" hidden="false" outlineLevel="0" max="9" min="9" style="0" width="14.73"/>
    <col collapsed="false" customWidth="true" hidden="false" outlineLevel="0" max="10" min="10" style="0" width="18.18"/>
    <col collapsed="false" customWidth="true" hidden="false" outlineLevel="0" max="11" min="11" style="0" width="18.82"/>
    <col collapsed="false" customWidth="true" hidden="false" outlineLevel="0" max="13" min="13" style="0" width="19.73"/>
    <col collapsed="false" customWidth="true" hidden="false" outlineLevel="0" max="14" min="14" style="0" width="27.27"/>
    <col collapsed="false" customWidth="true" hidden="false" outlineLevel="0" max="15" min="15" style="0" width="6.73"/>
  </cols>
  <sheetData>
    <row r="1" customFormat="false" ht="14.25" hidden="false" customHeight="false" outlineLevel="0" collapsed="false">
      <c r="A1" s="7" t="s">
        <v>1929</v>
      </c>
      <c r="B1" s="7" t="s">
        <v>1930</v>
      </c>
      <c r="C1" s="7" t="s">
        <v>1931</v>
      </c>
      <c r="F1" s="7" t="s">
        <v>1932</v>
      </c>
      <c r="G1" s="0" t="n">
        <v>15</v>
      </c>
      <c r="I1" s="7" t="s">
        <v>1933</v>
      </c>
      <c r="J1" s="7" t="s">
        <v>1934</v>
      </c>
      <c r="K1" s="7" t="s">
        <v>1935</v>
      </c>
      <c r="M1" s="7" t="s">
        <v>1936</v>
      </c>
      <c r="N1" s="7" t="s">
        <v>1937</v>
      </c>
      <c r="O1" s="7" t="s">
        <v>13</v>
      </c>
    </row>
    <row r="2" customFormat="false" ht="14.25" hidden="false" customHeight="false" outlineLevel="0" collapsed="false">
      <c r="A2" s="0" t="n">
        <v>0</v>
      </c>
      <c r="B2" s="0" t="s">
        <v>1222</v>
      </c>
      <c r="F2" s="7" t="s">
        <v>1938</v>
      </c>
      <c r="G2" s="0" t="n">
        <v>5</v>
      </c>
      <c r="I2" s="0" t="s">
        <v>670</v>
      </c>
      <c r="J2" s="0" t="n">
        <v>1</v>
      </c>
      <c r="K2" s="0" t="n">
        <v>2</v>
      </c>
      <c r="M2" s="0" t="s">
        <v>1574</v>
      </c>
      <c r="N2" s="0" t="str">
        <f aca="false">IF(O2&lt;&gt;"", _xlfn.CONCAT("{BLACK}Powered by: {GOLD}",O2), "")</f>
        <v>{BLACK}Powered by: {GOLD}Diesel</v>
      </c>
      <c r="O2" s="0" t="s">
        <v>1939</v>
      </c>
    </row>
    <row r="3" customFormat="false" ht="14.25" hidden="false" customHeight="false" outlineLevel="0" collapsed="false">
      <c r="A3" s="0" t="n">
        <v>3</v>
      </c>
      <c r="B3" s="0" t="s">
        <v>864</v>
      </c>
      <c r="C3" s="0" t="s">
        <v>864</v>
      </c>
      <c r="I3" s="0" t="s">
        <v>529</v>
      </c>
      <c r="J3" s="0" t="n">
        <v>0.85</v>
      </c>
      <c r="K3" s="0" t="n">
        <v>2.3</v>
      </c>
      <c r="M3" s="0" t="s">
        <v>1940</v>
      </c>
      <c r="N3" s="0" t="str">
        <f aca="false">IF(O3&lt;&gt;"", _xlfn.CONCAT("{BLACK}Powered by: {GOLD}",O3), "")</f>
        <v>{BLACK}Powered by: {GOLD}Steam</v>
      </c>
      <c r="O3" s="0" t="s">
        <v>1941</v>
      </c>
    </row>
    <row r="4" customFormat="false" ht="14.25" hidden="false" customHeight="false" outlineLevel="0" collapsed="false">
      <c r="A4" s="0" t="n">
        <v>4</v>
      </c>
      <c r="B4" s="0" t="s">
        <v>1942</v>
      </c>
      <c r="C4" s="0" t="s">
        <v>1942</v>
      </c>
      <c r="I4" s="0" t="s">
        <v>446</v>
      </c>
      <c r="J4" s="0" t="n">
        <v>1.15</v>
      </c>
      <c r="K4" s="0" t="n">
        <v>1.7</v>
      </c>
      <c r="M4" s="0" t="s">
        <v>1943</v>
      </c>
      <c r="N4" s="0" t="str">
        <f aca="false">IF(O4&lt;&gt;"", _xlfn.CONCAT("{BLACK}Powered by: {GOLD}",O4), "")</f>
        <v>{BLACK}Powered by: {GOLD}25kV AC</v>
      </c>
      <c r="O4" s="0" t="s">
        <v>1944</v>
      </c>
    </row>
    <row r="5" customFormat="false" ht="14.25" hidden="false" customHeight="false" outlineLevel="0" collapsed="false">
      <c r="A5" s="0" t="n">
        <v>5</v>
      </c>
      <c r="B5" s="0" t="s">
        <v>1945</v>
      </c>
      <c r="C5" s="0" t="s">
        <v>1945</v>
      </c>
      <c r="I5" s="0" t="s">
        <v>757</v>
      </c>
      <c r="J5" s="0" t="n">
        <v>0.9</v>
      </c>
      <c r="K5" s="0" t="n">
        <v>2.5</v>
      </c>
      <c r="M5" s="0" t="s">
        <v>1946</v>
      </c>
      <c r="N5" s="0" t="str">
        <f aca="false">IF(O5&lt;&gt;"", _xlfn.CONCAT("{BLACK}Powered by: {GOLD}",O5), "")</f>
        <v>{BLACK}Powered by: {GOLD}750V DC</v>
      </c>
      <c r="O5" s="0" t="s">
        <v>1947</v>
      </c>
    </row>
    <row r="6" customFormat="false" ht="14.25" hidden="false" customHeight="false" outlineLevel="0" collapsed="false">
      <c r="A6" s="0" t="n">
        <v>6</v>
      </c>
      <c r="B6" s="0" t="s">
        <v>1948</v>
      </c>
      <c r="C6" s="0" t="s">
        <v>1948</v>
      </c>
      <c r="I6" s="0" t="s">
        <v>801</v>
      </c>
      <c r="J6" s="0" t="n">
        <v>0.85</v>
      </c>
      <c r="K6" s="0" t="n">
        <v>2.4</v>
      </c>
      <c r="M6" s="0" t="s">
        <v>1949</v>
      </c>
      <c r="N6" s="0" t="str">
        <f aca="false">IF(O6&lt;&gt;"", _xlfn.CONCAT("{BLACK}Powered by: {GOLD}",O6), "")</f>
        <v/>
      </c>
    </row>
    <row r="7" customFormat="false" ht="14.25" hidden="false" customHeight="false" outlineLevel="0" collapsed="false">
      <c r="A7" s="0" t="n">
        <v>7</v>
      </c>
      <c r="B7" s="0" t="s">
        <v>1950</v>
      </c>
      <c r="C7" s="0" t="s">
        <v>1950</v>
      </c>
      <c r="I7" s="0" t="s">
        <v>145</v>
      </c>
      <c r="J7" s="0" t="n">
        <v>1.2</v>
      </c>
      <c r="K7" s="0" t="n">
        <v>0.6</v>
      </c>
      <c r="M7" s="0" t="s">
        <v>1951</v>
      </c>
      <c r="N7" s="0" t="str">
        <f aca="false">IF(O7&lt;&gt;"", _xlfn.CONCAT("{BLACK}Powered by: {GOLD}",O7), "")</f>
        <v/>
      </c>
    </row>
    <row r="8" customFormat="false" ht="14.25" hidden="false" customHeight="false" outlineLevel="0" collapsed="false">
      <c r="A8" s="0" t="n">
        <v>8</v>
      </c>
      <c r="B8" s="0" t="s">
        <v>1952</v>
      </c>
      <c r="C8" s="0" t="s">
        <v>1952</v>
      </c>
      <c r="I8" s="0" t="s">
        <v>169</v>
      </c>
      <c r="J8" s="0" t="n">
        <v>1.5</v>
      </c>
      <c r="K8" s="0" t="n">
        <v>0.7</v>
      </c>
      <c r="M8" s="0" t="s">
        <v>1953</v>
      </c>
      <c r="N8" s="0" t="str">
        <f aca="false">IF(O8&lt;&gt;"", _xlfn.CONCAT("{BLACK}Powered by: {GOLD}",O8), "")</f>
        <v/>
      </c>
    </row>
    <row r="9" customFormat="false" ht="14.25" hidden="false" customHeight="false" outlineLevel="0" collapsed="false">
      <c r="A9" s="0" t="n">
        <v>9</v>
      </c>
      <c r="B9" s="0" t="s">
        <v>1954</v>
      </c>
      <c r="C9" s="0" t="s">
        <v>1954</v>
      </c>
      <c r="I9" s="0" t="s">
        <v>144</v>
      </c>
      <c r="J9" s="0" t="n">
        <v>1</v>
      </c>
      <c r="K9" s="0" t="n">
        <v>0.45</v>
      </c>
      <c r="M9" s="0" t="s">
        <v>1955</v>
      </c>
      <c r="N9" s="0" t="str">
        <f aca="false">IF(O9&lt;&gt;"", _xlfn.CONCAT("{BLACK}Powered by: {GOLD}",O9), "")</f>
        <v/>
      </c>
    </row>
    <row r="10" customFormat="false" ht="14.25" hidden="false" customHeight="false" outlineLevel="0" collapsed="false">
      <c r="A10" s="0" t="n">
        <v>10</v>
      </c>
      <c r="B10" s="0" t="s">
        <v>1956</v>
      </c>
      <c r="C10" s="0" t="s">
        <v>1956</v>
      </c>
      <c r="I10" s="0" t="s">
        <v>423</v>
      </c>
      <c r="J10" s="0" t="n">
        <v>1</v>
      </c>
      <c r="K10" s="0" t="n">
        <v>0.4</v>
      </c>
      <c r="M10" s="0" t="s">
        <v>1957</v>
      </c>
      <c r="N10" s="0" t="str">
        <f aca="false">IF(O10&lt;&gt;"", _xlfn.CONCAT("{BLACK}Powered by: {GOLD}",O10), "")</f>
        <v/>
      </c>
    </row>
    <row r="11" customFormat="false" ht="14.25" hidden="false" customHeight="false" outlineLevel="0" collapsed="false">
      <c r="A11" s="0" t="n">
        <v>11</v>
      </c>
      <c r="B11" s="0" t="s">
        <v>1958</v>
      </c>
      <c r="C11" s="0" t="s">
        <v>1958</v>
      </c>
      <c r="I11" s="0" t="s">
        <v>1060</v>
      </c>
      <c r="J11" s="0" t="n">
        <v>0.9</v>
      </c>
      <c r="K11" s="0" t="n">
        <v>1.6</v>
      </c>
      <c r="M11" s="0" t="s">
        <v>1959</v>
      </c>
      <c r="N11" s="0" t="str">
        <f aca="false">IF(O11&lt;&gt;"", _xlfn.CONCAT("{BLACK}Powered by: {GOLD}",O11), "")</f>
        <v>{BLACK}Powered by: {GOLD}750V DC / Diesel</v>
      </c>
      <c r="O11" s="0" t="s">
        <v>1960</v>
      </c>
    </row>
    <row r="12" customFormat="false" ht="14.25" hidden="false" customHeight="false" outlineLevel="0" collapsed="false">
      <c r="A12" s="0" t="n">
        <v>12</v>
      </c>
      <c r="B12" s="0" t="s">
        <v>1961</v>
      </c>
      <c r="C12" s="0" t="s">
        <v>1961</v>
      </c>
      <c r="I12" s="0" t="s">
        <v>38</v>
      </c>
      <c r="J12" s="0" t="n">
        <v>0</v>
      </c>
      <c r="K12" s="0" t="n">
        <v>0</v>
      </c>
      <c r="M12" s="0" t="s">
        <v>1962</v>
      </c>
      <c r="N12" s="0" t="str">
        <f aca="false">IF(O12&lt;&gt;"", _xlfn.CONCAT("{BLACK}Powered by: {GOLD}",O12), "")</f>
        <v>{BLACK}Powered by: {GOLD}25kV AC / 750V DC</v>
      </c>
      <c r="O12" s="0" t="s">
        <v>1963</v>
      </c>
    </row>
    <row r="13" customFormat="false" ht="14.25" hidden="false" customHeight="false" outlineLevel="0" collapsed="false">
      <c r="A13" s="0" t="n">
        <v>13</v>
      </c>
      <c r="B13" s="0" t="s">
        <v>1964</v>
      </c>
      <c r="C13" s="0" t="s">
        <v>1964</v>
      </c>
      <c r="I13" s="0" t="s">
        <v>838</v>
      </c>
      <c r="J13" s="0" t="n">
        <v>1.05</v>
      </c>
      <c r="K13" s="0" t="n">
        <v>1.9</v>
      </c>
      <c r="M13" s="0" t="s">
        <v>1965</v>
      </c>
      <c r="N13" s="0" t="str">
        <f aca="false">IF(O13&lt;&gt;"", _xlfn.CONCAT("{BLACK}Powered by: {GOLD}",O13), "")</f>
        <v/>
      </c>
    </row>
    <row r="14" customFormat="false" ht="14.25" hidden="false" customHeight="false" outlineLevel="0" collapsed="false">
      <c r="A14" s="0" t="n">
        <v>14</v>
      </c>
      <c r="B14" s="0" t="s">
        <v>1966</v>
      </c>
      <c r="C14" s="0" t="s">
        <v>1966</v>
      </c>
      <c r="I14" s="0" t="s">
        <v>990</v>
      </c>
      <c r="J14" s="0" t="n">
        <v>0.98</v>
      </c>
      <c r="K14" s="0" t="n">
        <v>1.88</v>
      </c>
      <c r="M14" s="0" t="s">
        <v>1967</v>
      </c>
      <c r="N14" s="0" t="str">
        <f aca="false">IF(O14&lt;&gt;"", _xlfn.CONCAT("{BLACK}Powered by: {GOLD}",O14), "")</f>
        <v/>
      </c>
    </row>
    <row r="15" customFormat="false" ht="14.25" hidden="false" customHeight="false" outlineLevel="0" collapsed="false">
      <c r="A15" s="0" t="n">
        <v>15</v>
      </c>
      <c r="B15" s="0" t="s">
        <v>1968</v>
      </c>
      <c r="C15" s="0" t="s">
        <v>1968</v>
      </c>
      <c r="I15" s="0" t="s">
        <v>438</v>
      </c>
      <c r="J15" s="0" t="n">
        <v>0.5</v>
      </c>
      <c r="K15" s="0" t="n">
        <v>0.5</v>
      </c>
      <c r="M15" s="0" t="s">
        <v>1969</v>
      </c>
      <c r="N15" s="0" t="str">
        <f aca="false">IF(O15&lt;&gt;"", _xlfn.CONCAT("{BLACK}Powered by: {GOLD}",O15), "")</f>
        <v/>
      </c>
    </row>
    <row r="16" customFormat="false" ht="14.25" hidden="false" customHeight="false" outlineLevel="0" collapsed="false">
      <c r="A16" s="0" t="n">
        <v>16</v>
      </c>
      <c r="B16" s="0" t="s">
        <v>1970</v>
      </c>
      <c r="C16" s="0" t="s">
        <v>1970</v>
      </c>
      <c r="I16" s="0" t="s">
        <v>791</v>
      </c>
      <c r="J16" s="0" t="n">
        <v>0.85</v>
      </c>
      <c r="K16" s="0" t="n">
        <v>2.3</v>
      </c>
      <c r="M16" s="0" t="s">
        <v>1971</v>
      </c>
      <c r="N16" s="0" t="str">
        <f aca="false">IF(O16&lt;&gt;"", _xlfn.CONCAT("{BLACK}Powered by: {GOLD}",O16), "")</f>
        <v>{BLACK}Powered by: {GOLD}Petrol</v>
      </c>
      <c r="O16" s="0" t="s">
        <v>1972</v>
      </c>
    </row>
    <row r="17" customFormat="false" ht="14.25" hidden="false" customHeight="false" outlineLevel="0" collapsed="false">
      <c r="I17" s="0" t="s">
        <v>705</v>
      </c>
      <c r="J17" s="0" t="n">
        <v>1</v>
      </c>
      <c r="K17" s="0" t="n">
        <v>2</v>
      </c>
      <c r="M17" s="0" t="s">
        <v>1973</v>
      </c>
      <c r="N17" s="0" t="str">
        <f aca="false">IF(O17&lt;&gt;"", _xlfn.CONCAT("{BLACK}Powered by: {GOLD}",O17), "")</f>
        <v>{BLACK}Powered by: {GOLD}25kV AC / Diesel</v>
      </c>
      <c r="O17" s="0" t="s">
        <v>1974</v>
      </c>
    </row>
    <row r="18" customFormat="false" ht="14.25" hidden="false" customHeight="false" outlineLevel="0" collapsed="false">
      <c r="M18" s="0" t="s">
        <v>1975</v>
      </c>
      <c r="N18" s="0" t="str">
        <f aca="false">IF(O18&lt;&gt;"", _xlfn.CONCAT("{BLACK}Powered by: {GOLD}",O18), "")</f>
        <v>{BLACK}Powered by: {GOLD}LPG / Flywheel</v>
      </c>
      <c r="O18" s="0" t="s">
        <v>1976</v>
      </c>
    </row>
    <row r="19" customFormat="false" ht="14.25" hidden="false" customHeight="false" outlineLevel="0" collapsed="false">
      <c r="M19" s="0" t="s">
        <v>1977</v>
      </c>
      <c r="N19" s="0" t="str">
        <f aca="false">IF(O19&lt;&gt;"", _xlfn.CONCAT("{BLACK}Powered by: {GOLD}",O19), "")</f>
        <v/>
      </c>
    </row>
    <row r="20" customFormat="false" ht="14.25" hidden="false" customHeight="false" outlineLevel="0" collapsed="false">
      <c r="M20" s="0" t="s">
        <v>1978</v>
      </c>
      <c r="N20" s="0" t="str">
        <f aca="false">IF(O20&lt;&gt;"", _xlfn.CONCAT("{BLACK}Powered by: {GOLD}",O20), "")</f>
        <v>{BLACK}Powered by: {GOLD}Steam</v>
      </c>
      <c r="O20" s="0" t="s">
        <v>1941</v>
      </c>
    </row>
    <row r="21" customFormat="false" ht="14.25" hidden="false" customHeight="false" outlineLevel="0" collapsed="false">
      <c r="M21" s="0" t="s">
        <v>1979</v>
      </c>
      <c r="N21" s="0" t="str">
        <f aca="false">IF(O21&lt;&gt;"", _xlfn.CONCAT("{BLACK}Powered by: {GOLD}",O21), "")</f>
        <v/>
      </c>
    </row>
    <row r="22" customFormat="false" ht="14.25" hidden="false" customHeight="false" outlineLevel="0" collapsed="false">
      <c r="M22" s="0" t="s">
        <v>1980</v>
      </c>
      <c r="N22" s="0" t="str">
        <f aca="false">IF(O22&lt;&gt;"", _xlfn.CONCAT("{BLACK}Powered by: {GOLD}",O22), "")</f>
        <v>{BLACK}Powered by: {GOLD}Grass and hay</v>
      </c>
      <c r="O22" s="0" t="s">
        <v>1981</v>
      </c>
    </row>
    <row r="23" customFormat="false" ht="14.25" hidden="false" customHeight="false" outlineLevel="0" collapsed="false">
      <c r="M23" s="0" t="s">
        <v>1982</v>
      </c>
      <c r="N23" s="0" t="str">
        <f aca="false">IF(O23&lt;&gt;"", _xlfn.CONCAT("{BLACK}Powered by: {GOLD}",O23), "")</f>
        <v>{BLACK}Powered by: {GOLD}630V DC</v>
      </c>
      <c r="O23" s="0" t="s">
        <v>1983</v>
      </c>
    </row>
    <row r="24" customFormat="false" ht="14.25" hidden="false" customHeight="false" outlineLevel="0" collapsed="false">
      <c r="M24" s="0" t="s">
        <v>1984</v>
      </c>
      <c r="N24" s="0" t="str">
        <f aca="false">IF(O24&lt;&gt;"", _xlfn.CONCAT("{BLACK}Powered by: {GOLD}",O24), "")</f>
        <v/>
      </c>
    </row>
    <row r="25" customFormat="false" ht="14.25" hidden="false" customHeight="false" outlineLevel="0" collapsed="false">
      <c r="M25" s="0" t="s">
        <v>1985</v>
      </c>
      <c r="N25" s="0" t="str">
        <f aca="false">IF(O25&lt;&gt;"", _xlfn.CONCAT("{BLACK}Powered by: {GOLD}",O25), "")</f>
        <v/>
      </c>
    </row>
    <row r="26" customFormat="false" ht="14.25" hidden="false" customHeight="false" outlineLevel="0" collapsed="false">
      <c r="M26" s="0" t="s">
        <v>1986</v>
      </c>
      <c r="N26" s="0" t="str">
        <f aca="false">IF(O26&lt;&gt;"", _xlfn.CONCAT("{BLACK}Powered by: {GOLD}",O26), "")</f>
        <v/>
      </c>
    </row>
    <row r="27" customFormat="false" ht="14.25" hidden="false" customHeight="false" outlineLevel="0" collapsed="false">
      <c r="M27" s="0" t="s">
        <v>1987</v>
      </c>
      <c r="N27" s="0" t="str">
        <f aca="false">IF(O27&lt;&gt;"", _xlfn.CONCAT("{BLACK}Powered by: {GOLD}",O27), "")</f>
        <v>{BLACK}Powered by: {GOLD}Gas Turbine</v>
      </c>
      <c r="O27" s="0" t="s">
        <v>1988</v>
      </c>
    </row>
    <row r="28" customFormat="false" ht="14.25" hidden="false" customHeight="false" outlineLevel="0" collapsed="false">
      <c r="M28" s="0" t="s">
        <v>1989</v>
      </c>
      <c r="N28" s="0" t="str">
        <f aca="false">IF(O28&lt;&gt;"", _xlfn.CONCAT("{BLACK}Powered by: {GOLD}",O28), "")</f>
        <v>{BLACK}Powered by: {GOLD}750V DC / Battery</v>
      </c>
      <c r="O28" s="0" t="s">
        <v>1990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 activeCellId="0" sqref="D5"/>
    </sheetView>
  </sheetViews>
  <sheetFormatPr defaultColWidth="8.6796875" defaultRowHeight="14.25" customHeight="false" zeroHeight="false" outlineLevelRow="0" outlineLevelCol="0"/>
  <cols>
    <col collapsed="false" customWidth="true" hidden="false" outlineLevel="0" max="2" min="1" style="0" width="10.73"/>
    <col collapsed="false" customWidth="true" hidden="false" outlineLevel="0" max="4" min="3" style="0" width="21.45"/>
  </cols>
  <sheetData>
    <row r="1" customFormat="false" ht="14.25" hidden="false" customHeight="false" outlineLevel="0" collapsed="false">
      <c r="A1" s="7" t="s">
        <v>1991</v>
      </c>
      <c r="B1" s="7" t="s">
        <v>1992</v>
      </c>
      <c r="C1" s="7" t="s">
        <v>1993</v>
      </c>
      <c r="D1" s="7" t="s">
        <v>1994</v>
      </c>
    </row>
    <row r="2" customFormat="false" ht="14.25" hidden="false" customHeight="false" outlineLevel="0" collapsed="false">
      <c r="A2" s="0" t="n">
        <v>0</v>
      </c>
      <c r="B2" s="0" t="n">
        <f aca="false">IF(D2,D2,C2)</f>
        <v>0</v>
      </c>
      <c r="C2" s="0" t="n">
        <f aca="false">INT(A2*(256/15))</f>
        <v>0</v>
      </c>
      <c r="D2" s="7"/>
    </row>
    <row r="3" customFormat="false" ht="14.25" hidden="false" customHeight="false" outlineLevel="0" collapsed="false">
      <c r="A3" s="0" t="n">
        <v>1</v>
      </c>
      <c r="B3" s="0" t="n">
        <f aca="false">IF(D3,D3,C3)</f>
        <v>17</v>
      </c>
      <c r="C3" s="0" t="n">
        <f aca="false">INT(A3*(256/15))</f>
        <v>17</v>
      </c>
    </row>
    <row r="4" customFormat="false" ht="14.25" hidden="false" customHeight="false" outlineLevel="0" collapsed="false">
      <c r="A4" s="0" t="n">
        <v>2</v>
      </c>
      <c r="B4" s="0" t="n">
        <f aca="false">IF(D4,D4,C4)</f>
        <v>34</v>
      </c>
      <c r="C4" s="0" t="n">
        <f aca="false">INT(A4*(256/15))</f>
        <v>34</v>
      </c>
    </row>
    <row r="5" customFormat="false" ht="14.25" hidden="false" customHeight="false" outlineLevel="0" collapsed="false">
      <c r="A5" s="0" t="n">
        <v>3</v>
      </c>
      <c r="B5" s="0" t="n">
        <f aca="false">IF(D5,D5,C5)</f>
        <v>51</v>
      </c>
      <c r="C5" s="0" t="n">
        <f aca="false">INT(A5*(256/15))</f>
        <v>51</v>
      </c>
    </row>
    <row r="6" customFormat="false" ht="14.25" hidden="false" customHeight="false" outlineLevel="0" collapsed="false">
      <c r="A6" s="0" t="n">
        <v>4</v>
      </c>
      <c r="B6" s="0" t="n">
        <f aca="false">IF(D6,D6,C6)</f>
        <v>60</v>
      </c>
      <c r="C6" s="0" t="n">
        <f aca="false">INT(A6*(256/15))</f>
        <v>68</v>
      </c>
      <c r="D6" s="0" t="n">
        <v>60</v>
      </c>
    </row>
    <row r="7" customFormat="false" ht="14.25" hidden="false" customHeight="false" outlineLevel="0" collapsed="false">
      <c r="A7" s="0" t="n">
        <v>5</v>
      </c>
      <c r="B7" s="0" t="n">
        <f aca="false">IF(D7,D7,C7)</f>
        <v>82</v>
      </c>
      <c r="C7" s="0" t="n">
        <f aca="false">INT(A7*(256/15))</f>
        <v>85</v>
      </c>
      <c r="D7" s="0" t="n">
        <v>82</v>
      </c>
    </row>
    <row r="8" customFormat="false" ht="14.25" hidden="false" customHeight="false" outlineLevel="0" collapsed="false">
      <c r="A8" s="0" t="n">
        <v>6</v>
      </c>
      <c r="B8" s="0" t="n">
        <f aca="false">IF(D8,D8,C8)</f>
        <v>102</v>
      </c>
      <c r="C8" s="0" t="n">
        <f aca="false">INT(A8*(256/15))</f>
        <v>102</v>
      </c>
      <c r="D8" s="0" t="n">
        <v>102</v>
      </c>
    </row>
    <row r="9" customFormat="false" ht="14.25" hidden="false" customHeight="false" outlineLevel="0" collapsed="false">
      <c r="A9" s="0" t="n">
        <v>7</v>
      </c>
      <c r="B9" s="0" t="n">
        <f aca="false">IF(D9,D9,C9)</f>
        <v>120</v>
      </c>
      <c r="C9" s="0" t="n">
        <f aca="false">INT(A9*(256/15))</f>
        <v>119</v>
      </c>
      <c r="D9" s="0" t="n">
        <v>120</v>
      </c>
    </row>
    <row r="10" customFormat="false" ht="14.25" hidden="false" customHeight="false" outlineLevel="0" collapsed="false">
      <c r="A10" s="0" t="n">
        <v>8</v>
      </c>
      <c r="B10" s="0" t="n">
        <f aca="false">IF(D10,D10,C10)</f>
        <v>136</v>
      </c>
      <c r="C10" s="0" t="n">
        <f aca="false">INT(A10*(256/15))</f>
        <v>136</v>
      </c>
      <c r="D10" s="0" t="n">
        <v>136</v>
      </c>
    </row>
    <row r="11" customFormat="false" ht="14.25" hidden="false" customHeight="false" outlineLevel="0" collapsed="false">
      <c r="A11" s="0" t="n">
        <v>9</v>
      </c>
      <c r="B11" s="0" t="n">
        <f aca="false">IF(D11,D11,C11)</f>
        <v>152</v>
      </c>
      <c r="C11" s="0" t="n">
        <f aca="false">INT(A11*(256/15))</f>
        <v>153</v>
      </c>
      <c r="D11" s="0" t="n">
        <v>152</v>
      </c>
    </row>
    <row r="12" customFormat="false" ht="14.25" hidden="false" customHeight="false" outlineLevel="0" collapsed="false">
      <c r="A12" s="0" t="n">
        <v>10</v>
      </c>
      <c r="B12" s="0" t="n">
        <f aca="false">IF(D12,D12,C12)</f>
        <v>164</v>
      </c>
      <c r="C12" s="0" t="n">
        <f aca="false">INT(A12*(256/15))</f>
        <v>170</v>
      </c>
      <c r="D12" s="0" t="n">
        <v>164</v>
      </c>
    </row>
    <row r="13" customFormat="false" ht="14.25" hidden="false" customHeight="false" outlineLevel="0" collapsed="false">
      <c r="A13" s="0" t="n">
        <v>11</v>
      </c>
      <c r="B13" s="0" t="n">
        <f aca="false">IF(D13,D13,C13)</f>
        <v>186</v>
      </c>
      <c r="C13" s="0" t="n">
        <f aca="false">INT(A13*(256/15))</f>
        <v>187</v>
      </c>
      <c r="D13" s="0" t="n">
        <v>186</v>
      </c>
    </row>
    <row r="14" customFormat="false" ht="14.25" hidden="false" customHeight="false" outlineLevel="0" collapsed="false">
      <c r="A14" s="0" t="n">
        <v>12</v>
      </c>
      <c r="B14" s="0" t="n">
        <f aca="false">IF(D14,D14,C14)</f>
        <v>198</v>
      </c>
      <c r="C14" s="0" t="n">
        <f aca="false">INT(A14*(256/15))</f>
        <v>204</v>
      </c>
      <c r="D14" s="0" t="n">
        <v>198</v>
      </c>
    </row>
    <row r="15" customFormat="false" ht="14.25" hidden="false" customHeight="false" outlineLevel="0" collapsed="false">
      <c r="A15" s="0" t="n">
        <v>13</v>
      </c>
      <c r="B15" s="0" t="n">
        <v>214</v>
      </c>
      <c r="C15" s="0" t="n">
        <f aca="false">INT(A15*(256/15))</f>
        <v>221</v>
      </c>
    </row>
    <row r="16" customFormat="false" ht="14.25" hidden="false" customHeight="false" outlineLevel="0" collapsed="false">
      <c r="A16" s="0" t="n">
        <v>14</v>
      </c>
      <c r="B16" s="0" t="n">
        <f aca="false">IF(D16,D16,C16)</f>
        <v>238</v>
      </c>
      <c r="C16" s="0" t="n">
        <f aca="false">INT(A16*(256/15))</f>
        <v>238</v>
      </c>
    </row>
    <row r="17" customFormat="false" ht="14.25" hidden="false" customHeight="false" outlineLevel="0" collapsed="false">
      <c r="A17" s="0" t="n">
        <v>15</v>
      </c>
      <c r="B17" s="0" t="n">
        <f aca="false">IF(D17,D17,C17)</f>
        <v>256</v>
      </c>
      <c r="C17" s="0" t="n">
        <f aca="false">INT(A17*(256/15))</f>
        <v>256</v>
      </c>
    </row>
    <row r="18" customFormat="false" ht="14.25" hidden="false" customHeight="false" outlineLevel="0" collapsed="false">
      <c r="A18" s="0" t="n">
        <v>16</v>
      </c>
      <c r="B18" s="0" t="n">
        <f aca="false">IF(D18,D18,C18)</f>
        <v>273</v>
      </c>
      <c r="C18" s="0"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67"/>
  <sheetViews>
    <sheetView showFormulas="false" showGridLines="true" showRowColHeaders="true" showZeros="true" rightToLeft="false" tabSelected="false" showOutlineSymbols="true" defaultGridColor="true" view="normal" topLeftCell="A22" colorId="64" zoomScale="100" zoomScaleNormal="100" zoomScalePageLayoutView="100" workbookViewId="0">
      <selection pane="topLeft" activeCell="E57" activeCellId="0" sqref="E57"/>
    </sheetView>
  </sheetViews>
  <sheetFormatPr defaultColWidth="8.6796875" defaultRowHeight="14.25" customHeight="false" zeroHeight="false" outlineLevelRow="0" outlineLevelCol="0"/>
  <cols>
    <col collapsed="false" customWidth="true" hidden="false" outlineLevel="0" max="1" min="1" style="0" width="11.45"/>
    <col collapsed="false" customWidth="true" hidden="false" outlineLevel="0" max="3" min="3" style="0" width="22.86"/>
    <col collapsed="false" customWidth="true" hidden="false" outlineLevel="0" max="6" min="4" style="0" width="24.25"/>
    <col collapsed="false" customWidth="true" hidden="false" outlineLevel="0" max="7" min="7" style="0" width="20.63"/>
    <col collapsed="false" customWidth="true" hidden="false" outlineLevel="0" max="8" min="8" style="0" width="24.25"/>
    <col collapsed="false" customWidth="true" hidden="false" outlineLevel="0" max="9" min="9" style="0" width="20.63"/>
    <col collapsed="false" customWidth="true" hidden="false" outlineLevel="0" max="10" min="10" style="0" width="24.25"/>
    <col collapsed="false" customWidth="true" hidden="false" outlineLevel="0" max="11" min="11" style="0" width="20.63"/>
    <col collapsed="false" customWidth="true" hidden="false" outlineLevel="0" max="12" min="12" style="0" width="26.48"/>
    <col collapsed="false" customWidth="true" hidden="false" outlineLevel="0" max="13" min="13" style="0" width="20.77"/>
  </cols>
  <sheetData>
    <row r="1" customFormat="false" ht="14.25" hidden="false" customHeight="false" outlineLevel="0" collapsed="false">
      <c r="B1" s="0" t="n">
        <v>1</v>
      </c>
      <c r="C1" s="0" t="n">
        <v>2</v>
      </c>
      <c r="D1" s="0" t="n">
        <v>3</v>
      </c>
      <c r="E1" s="0" t="n">
        <v>4</v>
      </c>
      <c r="F1" s="0" t="n">
        <v>5</v>
      </c>
      <c r="G1" s="0" t="n">
        <v>6</v>
      </c>
      <c r="H1" s="0" t="n">
        <v>7</v>
      </c>
      <c r="I1" s="0" t="n">
        <v>8</v>
      </c>
      <c r="J1" s="0" t="n">
        <v>9</v>
      </c>
      <c r="K1" s="0" t="n">
        <v>10</v>
      </c>
      <c r="L1" s="0" t="n">
        <v>11</v>
      </c>
      <c r="M1" s="0" t="n">
        <v>12</v>
      </c>
      <c r="N1" s="0" t="n">
        <v>13</v>
      </c>
      <c r="O1" s="0" t="n">
        <v>14</v>
      </c>
      <c r="P1" s="0" t="n">
        <v>15</v>
      </c>
      <c r="Q1" s="0" t="n">
        <v>16</v>
      </c>
      <c r="R1" s="0" t="n">
        <v>17</v>
      </c>
      <c r="S1" s="0" t="n">
        <v>18</v>
      </c>
      <c r="T1" s="0" t="n">
        <v>19</v>
      </c>
      <c r="U1" s="0" t="n">
        <v>20</v>
      </c>
    </row>
    <row r="2" customFormat="false" ht="14.25" hidden="false" customHeight="false" outlineLevel="0" collapsed="false">
      <c r="B2" s="0" t="s">
        <v>1995</v>
      </c>
    </row>
    <row r="3" customFormat="false" ht="14.25" hidden="false" customHeight="false" outlineLevel="0" collapsed="false">
      <c r="A3" s="0" t="s">
        <v>1996</v>
      </c>
      <c r="B3" s="0" t="s">
        <v>1606</v>
      </c>
      <c r="C3" s="0" t="s">
        <v>1997</v>
      </c>
      <c r="D3" s="0" t="s">
        <v>1997</v>
      </c>
      <c r="E3" s="0" t="s">
        <v>1997</v>
      </c>
      <c r="F3" s="0" t="s">
        <v>1997</v>
      </c>
      <c r="G3" s="0" t="s">
        <v>1998</v>
      </c>
      <c r="H3" s="0" t="s">
        <v>1999</v>
      </c>
      <c r="I3" s="0" t="s">
        <v>1999</v>
      </c>
      <c r="J3" s="0" t="s">
        <v>1638</v>
      </c>
      <c r="K3" s="0" t="s">
        <v>1997</v>
      </c>
      <c r="L3" s="0" t="s">
        <v>1997</v>
      </c>
      <c r="M3" s="0" t="s">
        <v>1997</v>
      </c>
      <c r="N3" s="0" t="s">
        <v>1997</v>
      </c>
      <c r="O3" s="0" t="s">
        <v>2000</v>
      </c>
    </row>
    <row r="4" customFormat="false" ht="14.25" hidden="false" customHeight="false" outlineLevel="0" collapsed="false">
      <c r="A4" s="0" t="s">
        <v>2001</v>
      </c>
      <c r="B4" s="0" t="n">
        <v>1</v>
      </c>
      <c r="C4" s="0" t="n">
        <v>1</v>
      </c>
      <c r="D4" s="0" t="n">
        <v>0</v>
      </c>
      <c r="E4" s="0" t="n">
        <v>0</v>
      </c>
      <c r="F4" s="0" t="n">
        <v>0</v>
      </c>
      <c r="G4" s="0" t="n">
        <v>1</v>
      </c>
      <c r="H4" s="0" t="n">
        <v>1</v>
      </c>
      <c r="I4" s="0" t="n">
        <v>0</v>
      </c>
      <c r="J4" s="0" t="n">
        <v>1</v>
      </c>
      <c r="K4" s="0" t="n">
        <v>0</v>
      </c>
      <c r="L4" s="0" t="n">
        <v>0</v>
      </c>
      <c r="M4" s="0" t="n">
        <v>0</v>
      </c>
      <c r="N4" s="0" t="n">
        <v>0</v>
      </c>
      <c r="O4" s="0" t="n">
        <v>1</v>
      </c>
    </row>
    <row r="6" customFormat="false" ht="14.25" hidden="false" customHeight="true" outlineLevel="0" collapsed="false">
      <c r="B6" s="0" t="s">
        <v>2002</v>
      </c>
    </row>
    <row r="7" customFormat="false" ht="14.25" hidden="false" customHeight="false" outlineLevel="0" collapsed="false">
      <c r="A7" s="0" t="s">
        <v>1996</v>
      </c>
      <c r="B7" s="0" t="s">
        <v>1690</v>
      </c>
      <c r="C7" s="0" t="s">
        <v>2003</v>
      </c>
      <c r="D7" s="0" t="s">
        <v>2004</v>
      </c>
      <c r="E7" s="0" t="s">
        <v>2004</v>
      </c>
      <c r="F7" s="0" t="s">
        <v>2004</v>
      </c>
      <c r="G7" s="0" t="s">
        <v>2004</v>
      </c>
      <c r="H7" s="0" t="s">
        <v>2005</v>
      </c>
      <c r="I7" s="0" t="s">
        <v>2004</v>
      </c>
      <c r="J7" s="0" t="s">
        <v>2004</v>
      </c>
      <c r="K7" s="0" t="s">
        <v>2004</v>
      </c>
      <c r="L7" s="0" t="s">
        <v>2004</v>
      </c>
      <c r="M7" s="0" t="s">
        <v>2004</v>
      </c>
      <c r="N7" s="0" t="s">
        <v>2004</v>
      </c>
      <c r="O7" s="0" t="s">
        <v>2005</v>
      </c>
      <c r="P7" s="0" t="s">
        <v>2004</v>
      </c>
      <c r="Q7" s="0" t="s">
        <v>2004</v>
      </c>
      <c r="R7" s="0" t="s">
        <v>2004</v>
      </c>
      <c r="S7" s="0" t="s">
        <v>2004</v>
      </c>
      <c r="T7" s="0" t="s">
        <v>2006</v>
      </c>
      <c r="U7" s="0" t="s">
        <v>2007</v>
      </c>
    </row>
    <row r="8" customFormat="false" ht="14.25" hidden="false" customHeight="false" outlineLevel="0" collapsed="false">
      <c r="A8" s="0" t="s">
        <v>2001</v>
      </c>
      <c r="B8" s="0" t="n">
        <v>1</v>
      </c>
      <c r="C8" s="0" t="n">
        <v>1</v>
      </c>
      <c r="D8" s="0" t="n">
        <v>1</v>
      </c>
      <c r="E8" s="0" t="n">
        <v>0</v>
      </c>
      <c r="F8" s="0" t="n">
        <v>0</v>
      </c>
      <c r="G8" s="0" t="n">
        <v>0</v>
      </c>
      <c r="H8" s="0" t="n">
        <v>1</v>
      </c>
      <c r="I8" s="0" t="n">
        <v>0</v>
      </c>
      <c r="J8" s="0" t="n">
        <v>0</v>
      </c>
      <c r="K8" s="0" t="n">
        <v>0</v>
      </c>
      <c r="L8" s="0" t="n">
        <v>0</v>
      </c>
      <c r="M8" s="0" t="n">
        <v>0</v>
      </c>
      <c r="N8" s="0" t="n">
        <v>0</v>
      </c>
      <c r="O8" s="0" t="n">
        <v>0</v>
      </c>
      <c r="P8" s="0" t="n">
        <v>0</v>
      </c>
      <c r="Q8" s="0" t="n">
        <v>0</v>
      </c>
      <c r="R8" s="0" t="n">
        <v>0</v>
      </c>
      <c r="S8" s="0" t="n">
        <v>0</v>
      </c>
      <c r="T8" s="0" t="n">
        <v>1</v>
      </c>
      <c r="U8" s="0" t="n">
        <v>1</v>
      </c>
    </row>
    <row r="9" customFormat="false" ht="14.25" hidden="false" customHeight="false" outlineLevel="0" collapsed="false">
      <c r="A9" s="0" t="s">
        <v>1929</v>
      </c>
      <c r="B9" s="0" t="n">
        <v>22.15</v>
      </c>
      <c r="C9" s="0" t="n">
        <v>21.84</v>
      </c>
      <c r="D9" s="0" t="n">
        <v>18.7</v>
      </c>
      <c r="E9" s="0" t="n">
        <v>18.7</v>
      </c>
      <c r="F9" s="0" t="n">
        <v>18.7</v>
      </c>
      <c r="G9" s="0" t="n">
        <v>18.7</v>
      </c>
      <c r="H9" s="0" t="n">
        <v>18.7</v>
      </c>
      <c r="I9" s="0" t="n">
        <v>18.7</v>
      </c>
      <c r="J9" s="0" t="n">
        <v>18.7</v>
      </c>
      <c r="K9" s="0" t="n">
        <v>18.7</v>
      </c>
      <c r="L9" s="0" t="n">
        <v>18.7</v>
      </c>
      <c r="M9" s="0" t="n">
        <v>18.7</v>
      </c>
      <c r="N9" s="0" t="n">
        <v>18.7</v>
      </c>
      <c r="O9" s="0" t="n">
        <v>18.7</v>
      </c>
      <c r="P9" s="0" t="n">
        <v>18.7</v>
      </c>
      <c r="Q9" s="0" t="n">
        <v>18.7</v>
      </c>
      <c r="R9" s="0" t="n">
        <v>18.7</v>
      </c>
      <c r="S9" s="0" t="n">
        <v>18.7</v>
      </c>
      <c r="T9" s="0" t="n">
        <v>21.84</v>
      </c>
      <c r="U9" s="0" t="n">
        <v>22.15</v>
      </c>
    </row>
    <row r="10" customFormat="false" ht="14.25" hidden="false" customHeight="false" outlineLevel="0" collapsed="false">
      <c r="A10" s="0" t="s">
        <v>2008</v>
      </c>
      <c r="B10" s="0" t="n">
        <f aca="false">ROUND(15*((B9*10)/256),0)</f>
        <v>13</v>
      </c>
      <c r="C10" s="0" t="n">
        <f aca="false">ROUND(15*((C9*10)/256),0)</f>
        <v>13</v>
      </c>
      <c r="D10" s="0" t="n">
        <f aca="false">ROUND(15*((D9*10)/256),0)</f>
        <v>11</v>
      </c>
      <c r="E10" s="0" t="n">
        <f aca="false">ROUND(15*((E9*10)/256),0)</f>
        <v>11</v>
      </c>
      <c r="F10" s="0" t="n">
        <f aca="false">ROUND(15*((F9*10)/256),0)</f>
        <v>11</v>
      </c>
      <c r="G10" s="0" t="n">
        <f aca="false">ROUND(15*((G9*10)/256),0)</f>
        <v>11</v>
      </c>
      <c r="H10" s="0" t="n">
        <f aca="false">ROUND(15*((H9*10)/256),0)</f>
        <v>11</v>
      </c>
      <c r="I10" s="0" t="n">
        <f aca="false">ROUND(15*((I9*10)/256),0)</f>
        <v>11</v>
      </c>
      <c r="J10" s="0" t="n">
        <f aca="false">ROUND(15*((J9*10)/256),0)</f>
        <v>11</v>
      </c>
      <c r="K10" s="0" t="n">
        <f aca="false">ROUND(15*((K9*10)/256),0)</f>
        <v>11</v>
      </c>
      <c r="L10" s="0" t="n">
        <f aca="false">ROUND(15*((L9*10)/256),0)</f>
        <v>11</v>
      </c>
      <c r="M10" s="0" t="n">
        <f aca="false">ROUND(15*((M9*10)/256),0)</f>
        <v>11</v>
      </c>
      <c r="N10" s="0" t="n">
        <f aca="false">ROUND(15*((N9*10)/256),0)</f>
        <v>11</v>
      </c>
      <c r="O10" s="0" t="n">
        <f aca="false">ROUND(15*((O9*10)/256),0)</f>
        <v>11</v>
      </c>
      <c r="P10" s="0" t="n">
        <f aca="false">ROUND(15*((P9*10)/256),0)</f>
        <v>11</v>
      </c>
      <c r="Q10" s="0" t="n">
        <f aca="false">ROUND(15*((Q9*10)/256),0)</f>
        <v>11</v>
      </c>
      <c r="R10" s="0" t="n">
        <f aca="false">ROUND(15*((R9*10)/256),0)</f>
        <v>11</v>
      </c>
      <c r="S10" s="0" t="n">
        <f aca="false">ROUND(15*((S9*10)/256),0)</f>
        <v>11</v>
      </c>
      <c r="T10" s="0" t="n">
        <f aca="false">ROUND(15*((T9*10)/256),0)</f>
        <v>13</v>
      </c>
      <c r="U10" s="0" t="n">
        <f aca="false">ROUND(15*((U9*10)/256),0)</f>
        <v>13</v>
      </c>
    </row>
    <row r="11" customFormat="false" ht="14.25" hidden="false" customHeight="false" outlineLevel="0" collapsed="false">
      <c r="A11" s="0" t="s">
        <v>2009</v>
      </c>
      <c r="B11" s="0" t="str">
        <f aca="false">VLOOKUP(B10,Constants!$A$1:$B$16,2,FALSE())</f>
        <v>4,5,4</v>
      </c>
      <c r="C11" s="0" t="str">
        <f aca="false">VLOOKUP(C10,Constants!$A$1:$B$16,2,FALSE())</f>
        <v>4,5,4</v>
      </c>
      <c r="D11" s="0" t="str">
        <f aca="false">VLOOKUP(D10,Constants!$A$1:$B$16,2,FALSE())</f>
        <v>4,3,4</v>
      </c>
      <c r="E11" s="0" t="str">
        <f aca="false">VLOOKUP(E10,Constants!$A$1:$B$16,2,FALSE())</f>
        <v>4,3,4</v>
      </c>
      <c r="F11" s="0" t="str">
        <f aca="false">VLOOKUP(F10,Constants!$A$1:$B$16,2,FALSE())</f>
        <v>4,3,4</v>
      </c>
      <c r="G11" s="0" t="str">
        <f aca="false">VLOOKUP(G10,Constants!$A$1:$B$16,2,FALSE())</f>
        <v>4,3,4</v>
      </c>
      <c r="H11" s="0" t="str">
        <f aca="false">VLOOKUP(H10,Constants!$A$1:$B$16,2,FALSE())</f>
        <v>4,3,4</v>
      </c>
      <c r="I11" s="0" t="str">
        <f aca="false">VLOOKUP(I10,Constants!$A$1:$B$16,2,FALSE())</f>
        <v>4,3,4</v>
      </c>
      <c r="J11" s="0" t="str">
        <f aca="false">VLOOKUP(J10,Constants!$A$1:$B$16,2,FALSE())</f>
        <v>4,3,4</v>
      </c>
      <c r="K11" s="0" t="str">
        <f aca="false">VLOOKUP(K10,Constants!$A$1:$B$16,2,FALSE())</f>
        <v>4,3,4</v>
      </c>
      <c r="L11" s="0" t="str">
        <f aca="false">VLOOKUP(L10,Constants!$A$1:$B$16,2,FALSE())</f>
        <v>4,3,4</v>
      </c>
      <c r="M11" s="0" t="str">
        <f aca="false">VLOOKUP(M10,Constants!$A$1:$B$16,2,FALSE())</f>
        <v>4,3,4</v>
      </c>
      <c r="N11" s="0" t="str">
        <f aca="false">VLOOKUP(N10,Constants!$A$1:$B$16,2,FALSE())</f>
        <v>4,3,4</v>
      </c>
      <c r="O11" s="0" t="str">
        <f aca="false">VLOOKUP(O10,Constants!$A$1:$B$16,2,FALSE())</f>
        <v>4,3,4</v>
      </c>
      <c r="P11" s="0" t="str">
        <f aca="false">VLOOKUP(P10,Constants!$A$1:$B$16,2,FALSE())</f>
        <v>4,3,4</v>
      </c>
      <c r="Q11" s="0" t="str">
        <f aca="false">VLOOKUP(Q10,Constants!$A$1:$B$16,2,FALSE())</f>
        <v>4,3,4</v>
      </c>
      <c r="R11" s="0" t="str">
        <f aca="false">VLOOKUP(R10,Constants!$A$1:$B$16,2,FALSE())</f>
        <v>4,3,4</v>
      </c>
      <c r="S11" s="0" t="str">
        <f aca="false">VLOOKUP(S10,Constants!$A$1:$B$16,2,FALSE())</f>
        <v>4,3,4</v>
      </c>
      <c r="T11" s="0" t="str">
        <f aca="false">VLOOKUP(T10,Constants!$A$1:$B$16,2,FALSE())</f>
        <v>4,5,4</v>
      </c>
      <c r="U11" s="0" t="str">
        <f aca="false">VLOOKUP(U10,Constants!$A$1:$B$16,2,FALSE())</f>
        <v>4,5,4</v>
      </c>
    </row>
    <row r="13" customFormat="false" ht="14.25" hidden="false" customHeight="false" outlineLevel="0" collapsed="false">
      <c r="B13" s="0"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0" t="str">
        <f aca="false">_xlfn.TEXTJOIN(",",TRUE(),  B8:U8)</f>
        <v>1,1,1,0,0,0,1,0,0,0,0,0,0,0,0,0,0,0,1,1</v>
      </c>
    </row>
    <row r="15" customFormat="false" ht="14.25" hidden="false" customHeight="false" outlineLevel="0" collapsed="false">
      <c r="B15" s="0" t="str">
        <f aca="false">_xlfn.TEXTJOIN(",",TRUE(),  B11:U11)</f>
        <v>4,5,4,4,5,4,4,3,4,4,3,4,4,3,4,4,3,4,4,3,4,4,3,4,4,3,4,4,3,4,4,3,4,4,3,4,4,3,4,4,3,4,4,3,4,4,3,4,4,3,4,4,3,4,4,5,4,4,5,4</v>
      </c>
    </row>
    <row r="16" customFormat="false" ht="14.25" hidden="false" customHeight="false" outlineLevel="0" collapsed="false">
      <c r="B16" s="0" t="str">
        <f aca="false">_xlfn.TEXTJOIN(",",TRUE(),  B10:U10)</f>
        <v>13,13,11,11,11,11,11,11,11,11,11,11,11,11,11,11,11,11,13,13</v>
      </c>
    </row>
    <row r="18" customFormat="false" ht="14.25" hidden="false" customHeight="false" outlineLevel="0" collapsed="false">
      <c r="B18" s="0" t="s">
        <v>2010</v>
      </c>
    </row>
    <row r="19" customFormat="false" ht="14.25" hidden="false" customHeight="false" outlineLevel="0" collapsed="false">
      <c r="A19" s="0" t="s">
        <v>1996</v>
      </c>
      <c r="B19" s="0" t="s">
        <v>1690</v>
      </c>
      <c r="C19" s="0" t="s">
        <v>2003</v>
      </c>
      <c r="D19" s="0" t="s">
        <v>2004</v>
      </c>
      <c r="E19" s="0" t="s">
        <v>2005</v>
      </c>
      <c r="F19" s="0" t="s">
        <v>2004</v>
      </c>
      <c r="G19" s="0" t="s">
        <v>2005</v>
      </c>
      <c r="H19" s="0" t="s">
        <v>2006</v>
      </c>
      <c r="I19" s="0" t="s">
        <v>2007</v>
      </c>
    </row>
    <row r="20" customFormat="false" ht="14.25" hidden="false" customHeight="false" outlineLevel="0" collapsed="false">
      <c r="A20" s="0" t="s">
        <v>2001</v>
      </c>
      <c r="B20" s="0" t="n">
        <v>0</v>
      </c>
      <c r="C20" s="0" t="n">
        <v>0</v>
      </c>
      <c r="D20" s="0" t="n">
        <v>0</v>
      </c>
      <c r="E20" s="0" t="n">
        <v>0</v>
      </c>
      <c r="F20" s="0" t="n">
        <v>0</v>
      </c>
      <c r="G20" s="0" t="n">
        <v>0</v>
      </c>
      <c r="H20" s="0" t="n">
        <v>0</v>
      </c>
      <c r="I20" s="0" t="n">
        <v>0</v>
      </c>
    </row>
    <row r="21" customFormat="false" ht="14.25" hidden="false" customHeight="false" outlineLevel="0" collapsed="false">
      <c r="A21" s="0" t="s">
        <v>1929</v>
      </c>
      <c r="B21" s="0" t="n">
        <v>22.15</v>
      </c>
      <c r="C21" s="0" t="n">
        <v>21.84</v>
      </c>
      <c r="D21" s="0" t="n">
        <v>18.7</v>
      </c>
      <c r="E21" s="0" t="n">
        <v>18.7</v>
      </c>
      <c r="F21" s="0" t="n">
        <v>18.7</v>
      </c>
      <c r="G21" s="0" t="n">
        <v>18.7</v>
      </c>
      <c r="H21" s="0" t="n">
        <v>21.84</v>
      </c>
      <c r="I21" s="0" t="n">
        <v>22.15</v>
      </c>
    </row>
    <row r="22" customFormat="false" ht="14.25" hidden="false" customHeight="false" outlineLevel="0" collapsed="false">
      <c r="A22" s="0" t="s">
        <v>2008</v>
      </c>
      <c r="B22" s="0" t="n">
        <f aca="false">ROUND(15*((B21*10)/256),0)</f>
        <v>13</v>
      </c>
      <c r="C22" s="0" t="n">
        <f aca="false">ROUND(15*((C21*10)/256),0)</f>
        <v>13</v>
      </c>
      <c r="D22" s="0" t="n">
        <f aca="false">ROUND(15*((D21*10)/256),0)</f>
        <v>11</v>
      </c>
      <c r="E22" s="0" t="n">
        <f aca="false">ROUND(15*((E21*10)/256),0)</f>
        <v>11</v>
      </c>
      <c r="F22" s="0" t="n">
        <f aca="false">ROUND(15*((F21*10)/256),0)</f>
        <v>11</v>
      </c>
      <c r="G22" s="0" t="n">
        <f aca="false">ROUND(15*((G21*10)/256),0)</f>
        <v>11</v>
      </c>
      <c r="H22" s="0" t="n">
        <f aca="false">ROUND(15*((H21*10)/256),0)</f>
        <v>13</v>
      </c>
      <c r="I22" s="0" t="n">
        <f aca="false">ROUND(15*((I21*10)/256),0)</f>
        <v>13</v>
      </c>
    </row>
    <row r="23" customFormat="false" ht="14.25" hidden="false" customHeight="false" outlineLevel="0" collapsed="false">
      <c r="A23" s="0" t="s">
        <v>2009</v>
      </c>
      <c r="B23" s="0" t="str">
        <f aca="false">VLOOKUP(B22,Constants!$A$1:$B$16,2,FALSE())</f>
        <v>4,5,4</v>
      </c>
      <c r="C23" s="0" t="str">
        <f aca="false">VLOOKUP(C22,Constants!$A$1:$B$16,2,FALSE())</f>
        <v>4,5,4</v>
      </c>
      <c r="D23" s="0" t="str">
        <f aca="false">VLOOKUP(D22,Constants!$A$1:$B$16,2,FALSE())</f>
        <v>4,3,4</v>
      </c>
      <c r="E23" s="0" t="str">
        <f aca="false">VLOOKUP(E22,Constants!$A$1:$B$16,2,FALSE())</f>
        <v>4,3,4</v>
      </c>
      <c r="F23" s="0" t="str">
        <f aca="false">VLOOKUP(F22,Constants!$A$1:$B$16,2,FALSE())</f>
        <v>4,3,4</v>
      </c>
      <c r="G23" s="0" t="str">
        <f aca="false">VLOOKUP(G22,Constants!$A$1:$B$16,2,FALSE())</f>
        <v>4,3,4</v>
      </c>
      <c r="H23" s="0" t="str">
        <f aca="false">VLOOKUP(H22,Constants!$A$1:$B$16,2,FALSE())</f>
        <v>4,5,4</v>
      </c>
      <c r="I23" s="0" t="str">
        <f aca="false">VLOOKUP(I22,Constants!$A$1:$B$16,2,FALSE())</f>
        <v>4,5,4</v>
      </c>
    </row>
    <row r="25" customFormat="false" ht="14.25" hidden="false" customHeight="false" outlineLevel="0" collapsed="false">
      <c r="B25" s="0" t="str">
        <f aca="false">_xlfn.TEXTJOIN(",",TRUE(),  B19:P19)</f>
        <v>eurostar,eurostar_motor,eurostar_mid,eurostar_tbk,eurostar_mid,eurostar_tbk,eurostar_motor_rev,eurostar_rear</v>
      </c>
    </row>
    <row r="26" customFormat="false" ht="14.25" hidden="false" customHeight="false" outlineLevel="0" collapsed="false">
      <c r="B26" s="0" t="str">
        <f aca="false">_xlfn.TEXTJOIN(",",TRUE(),  B20:P20)</f>
        <v>0,0,0,0,0,0,0,0</v>
      </c>
    </row>
    <row r="27" customFormat="false" ht="14.25" hidden="false" customHeight="false" outlineLevel="0" collapsed="false">
      <c r="B27" s="0" t="str">
        <f aca="false">_xlfn.TEXTJOIN(",",TRUE(),  B23:P23)</f>
        <v>4,5,4,4,5,4,4,3,4,4,3,4,4,3,4,4,3,4,4,5,4,4,5,4</v>
      </c>
    </row>
    <row r="28" customFormat="false" ht="14.25" hidden="false" customHeight="false" outlineLevel="0" collapsed="false">
      <c r="B28" s="0" t="str">
        <f aca="false">_xlfn.TEXTJOIN(",",TRUE(),  B22:U22)</f>
        <v>13,13,11,11,11,11,13,13</v>
      </c>
    </row>
    <row r="30" customFormat="false" ht="14.25" hidden="false" customHeight="false" outlineLevel="0" collapsed="false">
      <c r="B30" s="0" t="s">
        <v>2011</v>
      </c>
    </row>
    <row r="31" customFormat="false" ht="14.25" hidden="false" customHeight="false" outlineLevel="0" collapsed="false">
      <c r="A31" s="0" t="s">
        <v>1996</v>
      </c>
      <c r="B31" s="0" t="s">
        <v>1690</v>
      </c>
      <c r="C31" s="0" t="s">
        <v>2003</v>
      </c>
      <c r="D31" s="0" t="s">
        <v>2004</v>
      </c>
      <c r="E31" s="0" t="s">
        <v>2006</v>
      </c>
      <c r="F31" s="0" t="s">
        <v>2007</v>
      </c>
    </row>
    <row r="32" customFormat="false" ht="14.25" hidden="false" customHeight="false" outlineLevel="0" collapsed="false">
      <c r="A32" s="0" t="s">
        <v>2001</v>
      </c>
      <c r="B32" s="0" t="n">
        <v>0</v>
      </c>
      <c r="C32" s="0" t="n">
        <v>0</v>
      </c>
      <c r="D32" s="0" t="n">
        <v>0</v>
      </c>
      <c r="E32" s="0" t="n">
        <v>0</v>
      </c>
      <c r="F32" s="0" t="n">
        <v>0</v>
      </c>
    </row>
    <row r="33" customFormat="false" ht="14.25" hidden="false" customHeight="false" outlineLevel="0" collapsed="false">
      <c r="A33" s="0" t="s">
        <v>1929</v>
      </c>
      <c r="B33" s="0" t="n">
        <v>22.15</v>
      </c>
      <c r="C33" s="0" t="n">
        <v>21.84</v>
      </c>
      <c r="D33" s="0" t="n">
        <v>18.7</v>
      </c>
      <c r="E33" s="0" t="n">
        <v>21.84</v>
      </c>
      <c r="F33" s="0" t="n">
        <v>22.15</v>
      </c>
    </row>
    <row r="34" customFormat="false" ht="14.25" hidden="false" customHeight="false" outlineLevel="0" collapsed="false">
      <c r="A34" s="0" t="s">
        <v>2008</v>
      </c>
      <c r="B34" s="0" t="n">
        <f aca="false">ROUND(15*((B33*10)/256),0)</f>
        <v>13</v>
      </c>
      <c r="C34" s="0" t="n">
        <f aca="false">ROUND(15*((C33*10)/256),0)</f>
        <v>13</v>
      </c>
      <c r="D34" s="0" t="n">
        <f aca="false">ROUND(15*((D33*10)/256),0)</f>
        <v>11</v>
      </c>
      <c r="E34" s="0" t="n">
        <f aca="false">ROUND(15*((E33*10)/256),0)</f>
        <v>13</v>
      </c>
      <c r="F34" s="0" t="n">
        <f aca="false">ROUND(15*((F33*10)/256),0)</f>
        <v>13</v>
      </c>
    </row>
    <row r="35" customFormat="false" ht="14.25" hidden="false" customHeight="false" outlineLevel="0" collapsed="false">
      <c r="A35" s="0" t="s">
        <v>2009</v>
      </c>
      <c r="B35" s="0" t="str">
        <f aca="false">VLOOKUP(B34,Constants!$A$1:$B$16,2,FALSE())</f>
        <v>4,5,4</v>
      </c>
      <c r="C35" s="0" t="str">
        <f aca="false">VLOOKUP(C34,Constants!$A$1:$B$16,2,FALSE())</f>
        <v>4,5,4</v>
      </c>
      <c r="D35" s="0" t="str">
        <f aca="false">VLOOKUP(D34,Constants!$A$1:$B$16,2,FALSE())</f>
        <v>4,3,4</v>
      </c>
      <c r="E35" s="0" t="str">
        <f aca="false">VLOOKUP(E34,Constants!$A$1:$B$16,2,FALSE())</f>
        <v>4,5,4</v>
      </c>
      <c r="F35" s="0" t="str">
        <f aca="false">VLOOKUP(F34,Constants!$A$1:$B$16,2,FALSE())</f>
        <v>4,5,4</v>
      </c>
    </row>
    <row r="37" customFormat="false" ht="14.25" hidden="false" customHeight="false" outlineLevel="0" collapsed="false">
      <c r="B37" s="0" t="str">
        <f aca="false">_xlfn.TEXTJOIN(",",TRUE(),  B31:P31)</f>
        <v>eurostar,eurostar_motor,eurostar_mid,eurostar_motor_rev,eurostar_rear</v>
      </c>
    </row>
    <row r="38" customFormat="false" ht="14.25" hidden="false" customHeight="false" outlineLevel="0" collapsed="false">
      <c r="B38" s="0" t="str">
        <f aca="false">_xlfn.TEXTJOIN(",",TRUE(),  B32:P32)</f>
        <v>0,0,0,0,0</v>
      </c>
    </row>
    <row r="39" customFormat="false" ht="14.25" hidden="false" customHeight="false" outlineLevel="0" collapsed="false">
      <c r="B39" s="0" t="str">
        <f aca="false">_xlfn.TEXTJOIN(",",TRUE(),  B35:P35)</f>
        <v>4,5,4,4,5,4,4,3,4,4,5,4,4,5,4</v>
      </c>
    </row>
    <row r="40" customFormat="false" ht="14.25" hidden="false" customHeight="false" outlineLevel="0" collapsed="false">
      <c r="B40" s="0" t="str">
        <f aca="false">_xlfn.TEXTJOIN(",",TRUE(),  B34:U34)</f>
        <v>13,13,11,13,13</v>
      </c>
    </row>
    <row r="42" customFormat="false" ht="14.25" hidden="false" customHeight="false" outlineLevel="0" collapsed="false">
      <c r="B42" s="0" t="s">
        <v>2012</v>
      </c>
    </row>
    <row r="43" customFormat="false" ht="14.25" hidden="false" customHeight="false" outlineLevel="0" collapsed="false">
      <c r="A43" s="0" t="s">
        <v>1996</v>
      </c>
      <c r="B43" s="0" t="s">
        <v>1010</v>
      </c>
      <c r="C43" s="0" t="s">
        <v>2013</v>
      </c>
      <c r="D43" s="0" t="s">
        <v>2014</v>
      </c>
      <c r="E43" s="0" t="s">
        <v>1014</v>
      </c>
      <c r="F43" s="0" t="s">
        <v>2015</v>
      </c>
    </row>
    <row r="44" customFormat="false" ht="14.25" hidden="false" customHeight="false" outlineLevel="0" collapsed="false">
      <c r="A44" s="0" t="s">
        <v>2001</v>
      </c>
      <c r="B44" s="0" t="n">
        <v>1</v>
      </c>
      <c r="C44" s="0" t="n">
        <v>1</v>
      </c>
      <c r="D44" s="0" t="n">
        <v>1</v>
      </c>
      <c r="E44" s="0" t="n">
        <v>1</v>
      </c>
      <c r="F44" s="0" t="n">
        <v>1</v>
      </c>
    </row>
    <row r="45" customFormat="false" ht="14.25" hidden="false" customHeight="false" outlineLevel="0" collapsed="false">
      <c r="A45" s="0" t="s">
        <v>1929</v>
      </c>
      <c r="B45" s="0" t="n">
        <v>20.2</v>
      </c>
      <c r="C45" s="0" t="n">
        <v>15.7</v>
      </c>
      <c r="D45" s="0" t="n">
        <v>10</v>
      </c>
      <c r="E45" s="0" t="n">
        <v>15.7</v>
      </c>
      <c r="F45" s="0" t="n">
        <v>20.2</v>
      </c>
    </row>
    <row r="46" customFormat="false" ht="14.25" hidden="false" customHeight="false" outlineLevel="0" collapsed="false">
      <c r="A46" s="0" t="s">
        <v>2008</v>
      </c>
      <c r="B46" s="0" t="n">
        <f aca="false">ROUND(15*((B45*10)/256),0)</f>
        <v>12</v>
      </c>
      <c r="C46" s="0" t="n">
        <f aca="false">ROUND(15*((C45*10)/256),0)</f>
        <v>9</v>
      </c>
      <c r="D46" s="0" t="n">
        <f aca="false">ROUND(15*((D45*10)/256),0)</f>
        <v>6</v>
      </c>
      <c r="E46" s="0" t="n">
        <f aca="false">ROUND(15*((E45*10)/256),0)</f>
        <v>9</v>
      </c>
      <c r="F46" s="0" t="n">
        <f aca="false">ROUND(15*((F45*10)/256),0)</f>
        <v>12</v>
      </c>
    </row>
    <row r="47" customFormat="false" ht="14.25" hidden="false" customHeight="false" outlineLevel="0" collapsed="false">
      <c r="A47" s="0" t="s">
        <v>2009</v>
      </c>
      <c r="B47" s="0" t="str">
        <f aca="false">VLOOKUP(B46,Constants!$A$1:$B$16,2,FALSE())</f>
        <v>4,4,4</v>
      </c>
      <c r="C47" s="0" t="str">
        <f aca="false">VLOOKUP(C46,Constants!$A$1:$B$16,2,FALSE())</f>
        <v>2,5,2</v>
      </c>
      <c r="D47" s="0" t="str">
        <f aca="false">VLOOKUP(D46,Constants!$A$1:$B$16,2,FALSE())</f>
        <v>2,2,2</v>
      </c>
      <c r="E47" s="0" t="str">
        <f aca="false">VLOOKUP(E46,Constants!$A$1:$B$16,2,FALSE())</f>
        <v>2,5,2</v>
      </c>
      <c r="F47" s="0" t="str">
        <f aca="false">VLOOKUP(F46,Constants!$A$1:$B$16,2,FALSE())</f>
        <v>4,4,4</v>
      </c>
    </row>
    <row r="49" customFormat="false" ht="14.25" hidden="false" customHeight="false" outlineLevel="0" collapsed="false">
      <c r="B49" s="0" t="str">
        <f aca="false">_xlfn.TEXTJOIN(",",TRUE(),  B43:P43)</f>
        <v>stadler_class_755,stadler_class_755_mid,stadler_class_755_motor,stadler_class_755_mid_rev,stadler_class_755_rear</v>
      </c>
    </row>
    <row r="50" customFormat="false" ht="14.25" hidden="false" customHeight="false" outlineLevel="0" collapsed="false">
      <c r="B50" s="0" t="str">
        <f aca="false">_xlfn.TEXTJOIN(",",TRUE(),  B44:P44)</f>
        <v>1,1,1,1,1</v>
      </c>
    </row>
    <row r="51" customFormat="false" ht="14.25" hidden="false" customHeight="false" outlineLevel="0" collapsed="false">
      <c r="B51" s="0" t="str">
        <f aca="false">_xlfn.TEXTJOIN(",",TRUE(),  B47:P47)</f>
        <v>4,4,4,2,5,2,2,2,2,2,5,2,4,4,4</v>
      </c>
    </row>
    <row r="52" customFormat="false" ht="14.25" hidden="false" customHeight="false" outlineLevel="0" collapsed="false">
      <c r="B52" s="0" t="str">
        <f aca="false">_xlfn.TEXTJOIN(",",TRUE(),  B46:U46)</f>
        <v>12,9,6,9,12</v>
      </c>
    </row>
    <row r="54" customFormat="false" ht="14.25" hidden="false" customHeight="false" outlineLevel="0" collapsed="false">
      <c r="A54" s="40"/>
      <c r="B54" s="40" t="s">
        <v>2016</v>
      </c>
      <c r="C54" s="40"/>
      <c r="D54" s="40"/>
      <c r="E54" s="40"/>
      <c r="F54" s="40"/>
      <c r="G54" s="40"/>
      <c r="H54" s="40"/>
      <c r="I54" s="40"/>
      <c r="J54" s="40"/>
      <c r="K54" s="40"/>
      <c r="L54" s="40"/>
      <c r="M54" s="40"/>
    </row>
    <row r="55" customFormat="false" ht="14.25" hidden="false" customHeight="false" outlineLevel="0" collapsed="false">
      <c r="A55" s="40" t="s">
        <v>1996</v>
      </c>
      <c r="B55" s="40" t="s">
        <v>1010</v>
      </c>
      <c r="C55" s="40" t="s">
        <v>2017</v>
      </c>
      <c r="D55" s="40" t="s">
        <v>2018</v>
      </c>
      <c r="E55" s="40" t="s">
        <v>2019</v>
      </c>
      <c r="F55" s="40" t="s">
        <v>2018</v>
      </c>
      <c r="G55" s="40" t="s">
        <v>2019</v>
      </c>
      <c r="H55" s="40" t="s">
        <v>2018</v>
      </c>
      <c r="I55" s="40" t="s">
        <v>2019</v>
      </c>
      <c r="J55" s="40" t="s">
        <v>2018</v>
      </c>
      <c r="K55" s="40" t="s">
        <v>2019</v>
      </c>
      <c r="L55" s="40" t="s">
        <v>2020</v>
      </c>
      <c r="M55" s="40" t="s">
        <v>2015</v>
      </c>
    </row>
    <row r="56" customFormat="false" ht="14.25" hidden="false" customHeight="false" outlineLevel="0" collapsed="false">
      <c r="A56" s="40" t="s">
        <v>2001</v>
      </c>
      <c r="B56" s="40" t="n">
        <v>0</v>
      </c>
      <c r="C56" s="40" t="n">
        <v>1</v>
      </c>
      <c r="D56" s="40" t="n">
        <v>1</v>
      </c>
      <c r="E56" s="40" t="n">
        <v>1</v>
      </c>
      <c r="F56" s="40" t="n">
        <v>0</v>
      </c>
      <c r="G56" s="40" t="n">
        <v>0</v>
      </c>
      <c r="H56" s="40" t="n">
        <v>0</v>
      </c>
      <c r="I56" s="40" t="n">
        <v>0</v>
      </c>
      <c r="J56" s="40" t="n">
        <v>0</v>
      </c>
      <c r="K56" s="40" t="n">
        <v>0</v>
      </c>
      <c r="L56" s="40" t="n">
        <v>1</v>
      </c>
      <c r="M56" s="40" t="n">
        <v>0</v>
      </c>
    </row>
    <row r="57" customFormat="false" ht="14.25" hidden="false" customHeight="false" outlineLevel="0" collapsed="false">
      <c r="A57" s="40" t="s">
        <v>1929</v>
      </c>
      <c r="B57" s="40" t="n">
        <v>20</v>
      </c>
      <c r="C57" s="40" t="n">
        <v>20</v>
      </c>
      <c r="D57" s="40" t="n">
        <v>20</v>
      </c>
      <c r="E57" s="40" t="n">
        <v>20</v>
      </c>
      <c r="F57" s="40" t="n">
        <v>20</v>
      </c>
      <c r="G57" s="40" t="n">
        <v>20</v>
      </c>
      <c r="H57" s="40" t="n">
        <v>20</v>
      </c>
      <c r="I57" s="40" t="n">
        <v>20</v>
      </c>
      <c r="J57" s="40" t="n">
        <v>20</v>
      </c>
      <c r="K57" s="40" t="n">
        <v>20</v>
      </c>
      <c r="L57" s="40" t="n">
        <v>20</v>
      </c>
      <c r="M57" s="40" t="n">
        <v>20</v>
      </c>
    </row>
    <row r="58" customFormat="false" ht="14.25" hidden="false" customHeight="false" outlineLevel="0" collapsed="false">
      <c r="A58" s="40" t="s">
        <v>2008</v>
      </c>
      <c r="B58" s="40" t="n">
        <f aca="false">ROUND(15*((B57*10)/256),0)</f>
        <v>12</v>
      </c>
      <c r="C58" s="40" t="n">
        <f aca="false">ROUND(15*((C57*10)/256),0)</f>
        <v>12</v>
      </c>
      <c r="D58" s="40" t="n">
        <f aca="false">ROUND(15*((D57*10)/256),0)</f>
        <v>12</v>
      </c>
      <c r="E58" s="40" t="n">
        <f aca="false">ROUND(15*((E57*10)/256),0)</f>
        <v>12</v>
      </c>
      <c r="F58" s="40" t="n">
        <f aca="false">ROUND(15*((F57*10)/256),0)</f>
        <v>12</v>
      </c>
      <c r="G58" s="40" t="n">
        <f aca="false">ROUND(15*((G57*10)/256),0)</f>
        <v>12</v>
      </c>
      <c r="H58" s="40" t="n">
        <f aca="false">ROUND(15*((H57*10)/256),0)</f>
        <v>12</v>
      </c>
      <c r="I58" s="40" t="n">
        <f aca="false">ROUND(15*((I57*10)/256),0)</f>
        <v>12</v>
      </c>
      <c r="J58" s="40" t="n">
        <f aca="false">ROUND(15*((J57*10)/256),0)</f>
        <v>12</v>
      </c>
      <c r="K58" s="40" t="n">
        <f aca="false">ROUND(15*((K57*10)/256),0)</f>
        <v>12</v>
      </c>
      <c r="L58" s="40" t="n">
        <f aca="false">ROUND(15*((L57*10)/256),0)</f>
        <v>12</v>
      </c>
      <c r="M58" s="40" t="n">
        <f aca="false">ROUND(15*((M57*10)/256),0)</f>
        <v>12</v>
      </c>
    </row>
    <row r="59" customFormat="false" ht="14.25" hidden="false" customHeight="false" outlineLevel="0" collapsed="false">
      <c r="A59" s="40" t="s">
        <v>2009</v>
      </c>
      <c r="B59" s="40" t="str">
        <f aca="false">VLOOKUP(B58,[1]Constants!$A$1:$B$16,2,FALSE())</f>
        <v>4,4,4</v>
      </c>
      <c r="C59" s="40" t="str">
        <f aca="false">VLOOKUP(C58,[1]Constants!$A$1:$B$16,2,FALSE())</f>
        <v>4,4,4</v>
      </c>
      <c r="D59" s="40" t="str">
        <f aca="false">VLOOKUP(D58,[1]Constants!$A$1:$B$16,2,FALSE())</f>
        <v>4,4,4</v>
      </c>
      <c r="E59" s="40" t="str">
        <f aca="false">VLOOKUP(E58,[1]Constants!$A$1:$B$16,2,FALSE())</f>
        <v>4,4,4</v>
      </c>
      <c r="F59" s="40" t="str">
        <f aca="false">VLOOKUP(F58,[1]Constants!$A$1:$B$16,2,FALSE())</f>
        <v>4,4,4</v>
      </c>
      <c r="G59" s="40" t="str">
        <f aca="false">VLOOKUP(G58,[1]Constants!$A$1:$B$16,2,FALSE())</f>
        <v>4,4,4</v>
      </c>
      <c r="H59" s="40" t="str">
        <f aca="false">VLOOKUP(H58,[1]Constants!$A$1:$B$16,2,FALSE())</f>
        <v>4,4,4</v>
      </c>
      <c r="I59" s="40" t="str">
        <f aca="false">VLOOKUP(I58,[1]Constants!$A$1:$B$16,2,FALSE())</f>
        <v>4,4,4</v>
      </c>
      <c r="J59" s="40" t="str">
        <f aca="false">VLOOKUP(J58,[1]Constants!$A$1:$B$16,2,FALSE())</f>
        <v>4,4,4</v>
      </c>
      <c r="K59" s="40" t="str">
        <f aca="false">VLOOKUP(K58,[1]Constants!$A$1:$B$16,2,FALSE())</f>
        <v>4,4,4</v>
      </c>
      <c r="L59" s="40" t="str">
        <f aca="false">VLOOKUP(L58,[1]Constants!$A$1:$B$16,2,FALSE())</f>
        <v>4,4,4</v>
      </c>
      <c r="M59" s="40" t="str">
        <f aca="false">VLOOKUP(M58,[1]Constants!$A$1:$B$16,2,FALSE())</f>
        <v>4,4,4</v>
      </c>
    </row>
    <row r="60" customFormat="false" ht="14.25" hidden="false" customHeight="false" outlineLevel="0" collapsed="false">
      <c r="A60" s="40"/>
      <c r="B60" s="40"/>
      <c r="C60" s="40"/>
      <c r="D60" s="40"/>
      <c r="E60" s="40"/>
      <c r="F60" s="40"/>
      <c r="G60" s="40"/>
      <c r="H60" s="40"/>
      <c r="I60" s="40"/>
      <c r="J60" s="40"/>
      <c r="K60" s="40"/>
      <c r="L60" s="40"/>
      <c r="M60" s="40"/>
    </row>
    <row r="61" customFormat="false" ht="14.25" hidden="false" customHeight="false" outlineLevel="0" collapsed="false">
      <c r="A61" s="40"/>
      <c r="B61" s="40"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40"/>
      <c r="D61" s="40"/>
      <c r="E61" s="40"/>
      <c r="F61" s="40"/>
      <c r="G61" s="40"/>
      <c r="H61" s="40"/>
      <c r="I61" s="40"/>
      <c r="J61" s="40"/>
      <c r="K61" s="40"/>
      <c r="L61" s="40"/>
      <c r="M61" s="40"/>
    </row>
    <row r="62" customFormat="false" ht="14.25" hidden="false" customHeight="false" outlineLevel="0" collapsed="false">
      <c r="A62" s="40"/>
      <c r="B62" s="40" t="str">
        <f aca="false">_xlfn.TEXTJOIN(",",TRUE(),  B56:Z56)</f>
        <v>0,1,1,1,0,0,0,0,0,0,1,0</v>
      </c>
      <c r="C62" s="40"/>
      <c r="D62" s="40"/>
      <c r="E62" s="40"/>
      <c r="F62" s="40"/>
      <c r="G62" s="40"/>
      <c r="H62" s="40"/>
      <c r="I62" s="40"/>
      <c r="J62" s="40"/>
      <c r="K62" s="40"/>
      <c r="L62" s="40"/>
      <c r="M62" s="40"/>
    </row>
    <row r="63" customFormat="false" ht="14.25" hidden="false" customHeight="false" outlineLevel="0" collapsed="false">
      <c r="A63" s="40"/>
      <c r="B63" s="40" t="str">
        <f aca="false">_xlfn.TEXTJOIN(",",TRUE(),  B57:Z57)</f>
        <v>20,20,20,20,20,20,20,20,20,20,20,20</v>
      </c>
      <c r="C63" s="40"/>
      <c r="D63" s="40"/>
      <c r="E63" s="40"/>
      <c r="F63" s="40"/>
      <c r="G63" s="40"/>
      <c r="H63" s="40"/>
      <c r="I63" s="40"/>
      <c r="J63" s="40"/>
      <c r="K63" s="40"/>
      <c r="L63" s="40"/>
      <c r="M63" s="40"/>
    </row>
    <row r="64" customFormat="false" ht="14.25" hidden="false" customHeight="false" outlineLevel="0" collapsed="false">
      <c r="A64" s="40"/>
      <c r="B64" s="40" t="str">
        <f aca="false">_xlfn.TEXTJOIN(",",TRUE(),  B58:Z58)</f>
        <v>12,12,12,12,12,12,12,12,12,12,12,12</v>
      </c>
      <c r="C64" s="40"/>
      <c r="D64" s="40"/>
      <c r="E64" s="40"/>
      <c r="F64" s="40"/>
      <c r="G64" s="40"/>
      <c r="H64" s="40"/>
      <c r="I64" s="40"/>
      <c r="J64" s="40"/>
      <c r="K64" s="40"/>
      <c r="L64" s="40"/>
      <c r="M64" s="40"/>
    </row>
    <row r="65" customFormat="false" ht="14.25" hidden="false" customHeight="false" outlineLevel="0" collapsed="false">
      <c r="A65" s="40"/>
      <c r="B65" s="40" t="str">
        <f aca="false">_xlfn.TEXTJOIN(",",TRUE(),  B59:Z59)</f>
        <v>4,4,4,4,4,4,4,4,4,4,4,4,4,4,4,4,4,4,4,4,4,4,4,4,4,4,4,4,4,4,4,4,4,4,4,4</v>
      </c>
      <c r="C65" s="40"/>
      <c r="D65" s="40"/>
      <c r="E65" s="40"/>
      <c r="F65" s="40"/>
      <c r="G65" s="40"/>
      <c r="H65" s="40"/>
      <c r="I65" s="40"/>
      <c r="J65" s="40"/>
      <c r="K65" s="40"/>
      <c r="L65" s="40"/>
      <c r="M65" s="40"/>
    </row>
    <row r="66" customFormat="false" ht="14.25" hidden="false" customHeight="false" outlineLevel="0" collapsed="false">
      <c r="A66" s="40"/>
      <c r="B66" s="40"/>
      <c r="C66" s="40"/>
      <c r="D66" s="40"/>
      <c r="E66" s="40"/>
      <c r="F66" s="40"/>
      <c r="G66" s="40"/>
      <c r="H66" s="40"/>
      <c r="I66" s="40"/>
      <c r="J66" s="40"/>
      <c r="K66" s="40"/>
      <c r="L66" s="40"/>
      <c r="M66" s="40"/>
    </row>
    <row r="67" customFormat="false" ht="14.25" hidden="false" customHeight="false" outlineLevel="0" collapsed="false">
      <c r="A67" s="40"/>
      <c r="B67" s="40"/>
      <c r="C67" s="40"/>
      <c r="D67" s="40"/>
      <c r="E67" s="40"/>
      <c r="F67" s="40"/>
      <c r="G67" s="40"/>
      <c r="H67" s="40"/>
      <c r="I67" s="40"/>
      <c r="J67" s="40"/>
      <c r="K67" s="40"/>
      <c r="L67" s="40"/>
      <c r="M67" s="4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6" activeCellId="0" sqref="B26"/>
    </sheetView>
  </sheetViews>
  <sheetFormatPr defaultColWidth="8.6796875" defaultRowHeight="14.25" customHeight="false" zeroHeight="false" outlineLevelRow="0" outlineLevelCol="0"/>
  <cols>
    <col collapsed="false" customWidth="true" hidden="false" outlineLevel="0" max="1" min="1" style="0" width="14.27"/>
    <col collapsed="false" customWidth="true" hidden="false" outlineLevel="0" max="2" min="2" style="0" width="22.27"/>
    <col collapsed="false" customWidth="true" hidden="false" outlineLevel="0" max="3" min="3" style="0" width="39.45"/>
    <col collapsed="false" customWidth="true" hidden="false" outlineLevel="0" max="6" min="6" style="0" width="11.54"/>
    <col collapsed="false" customWidth="true" hidden="false" outlineLevel="0" max="7" min="7" style="0" width="19.82"/>
    <col collapsed="false" customWidth="true" hidden="false" outlineLevel="0" max="8" min="8" style="0" width="12.82"/>
    <col collapsed="false" customWidth="true" hidden="false" outlineLevel="0" max="10" min="10" style="0" width="14.45"/>
  </cols>
  <sheetData>
    <row r="1" customFormat="false" ht="14.25" hidden="false" customHeight="false" outlineLevel="0" collapsed="false">
      <c r="A1" s="7" t="s">
        <v>2021</v>
      </c>
      <c r="B1" s="7" t="s">
        <v>2022</v>
      </c>
      <c r="C1" s="7" t="s">
        <v>2023</v>
      </c>
      <c r="F1" s="7" t="s">
        <v>2024</v>
      </c>
      <c r="G1" s="7" t="s">
        <v>1919</v>
      </c>
      <c r="H1" s="7" t="s">
        <v>2025</v>
      </c>
      <c r="J1" s="7" t="s">
        <v>2026</v>
      </c>
      <c r="K1" s="7" t="s">
        <v>2027</v>
      </c>
      <c r="L1" s="7" t="s">
        <v>2028</v>
      </c>
      <c r="M1" s="7" t="s">
        <v>2029</v>
      </c>
      <c r="N1" s="7" t="s">
        <v>2030</v>
      </c>
      <c r="O1" s="7" t="s">
        <v>2031</v>
      </c>
      <c r="P1" s="7" t="s">
        <v>2032</v>
      </c>
      <c r="Q1" s="7" t="s">
        <v>2033</v>
      </c>
      <c r="R1" s="7" t="s">
        <v>2034</v>
      </c>
    </row>
    <row r="2" customFormat="false" ht="15.75" hidden="false" customHeight="true" outlineLevel="0" collapsed="false">
      <c r="A2" s="0" t="s">
        <v>2035</v>
      </c>
      <c r="B2" s="0" t="s">
        <v>2036</v>
      </c>
      <c r="C2" s="0" t="s">
        <v>2037</v>
      </c>
      <c r="D2" s="0" t="str">
        <f aca="false">CONCATENATE("""", A2, """,")</f>
        <v>"ACID",</v>
      </c>
      <c r="F2" s="0" t="s">
        <v>2038</v>
      </c>
      <c r="G2" s="58" t="str">
        <f aca="false">VLOOKUP(F2,A:B,2, FALSE())</f>
        <v>Batteries</v>
      </c>
      <c r="H2" s="58" t="s">
        <v>2031</v>
      </c>
      <c r="J2" s="0" t="s">
        <v>2039</v>
      </c>
      <c r="K2" s="0" t="n">
        <v>136</v>
      </c>
      <c r="L2" s="0" t="n">
        <v>38</v>
      </c>
      <c r="M2" s="0" t="n">
        <v>28</v>
      </c>
      <c r="N2" s="0" t="n">
        <f aca="false">K2/45</f>
        <v>3.02222222222222</v>
      </c>
      <c r="O2" s="0" t="n">
        <f aca="false">K2/30</f>
        <v>4.53333333333333</v>
      </c>
      <c r="P2" s="0" t="n">
        <f aca="false">K2/34</f>
        <v>4</v>
      </c>
      <c r="Q2" s="0" t="n">
        <f aca="false">K2/68</f>
        <v>2</v>
      </c>
      <c r="R2" s="0" t="n">
        <f aca="false">K2/60</f>
        <v>2.26666666666667</v>
      </c>
    </row>
    <row r="3" customFormat="false" ht="14.25" hidden="false" customHeight="false" outlineLevel="0" collapsed="false">
      <c r="A3" s="0" t="s">
        <v>2040</v>
      </c>
      <c r="B3" s="0" t="s">
        <v>2041</v>
      </c>
      <c r="C3" s="0" t="s">
        <v>2042</v>
      </c>
      <c r="D3" s="0" t="str">
        <f aca="false">CONCATENATE("""", A3, """,")</f>
        <v>"AORE",</v>
      </c>
      <c r="F3" s="0" t="s">
        <v>1796</v>
      </c>
      <c r="G3" s="58" t="str">
        <f aca="false">VLOOKUP(F3,A:B,2, FALSE())</f>
        <v>Bulding Materials</v>
      </c>
      <c r="H3" s="58" t="s">
        <v>2030</v>
      </c>
      <c r="J3" s="0" t="s">
        <v>2043</v>
      </c>
      <c r="K3" s="0" t="n">
        <v>70</v>
      </c>
      <c r="L3" s="0" t="n">
        <v>38</v>
      </c>
      <c r="M3" s="0" t="n">
        <v>28</v>
      </c>
      <c r="N3" s="0" t="n">
        <f aca="false">K3/45</f>
        <v>1.55555555555556</v>
      </c>
      <c r="O3" s="0" t="n">
        <f aca="false">K3/30</f>
        <v>2.33333333333333</v>
      </c>
      <c r="P3" s="0" t="n">
        <f aca="false">K3/34</f>
        <v>2.05882352941176</v>
      </c>
      <c r="Q3" s="0" t="n">
        <f aca="false">K3/68</f>
        <v>1.02941176470588</v>
      </c>
      <c r="R3" s="0" t="n">
        <f aca="false">K3/60</f>
        <v>1.16666666666667</v>
      </c>
    </row>
    <row r="4" customFormat="false" ht="14.25" hidden="false" customHeight="false" outlineLevel="0" collapsed="false">
      <c r="A4" s="0" t="s">
        <v>2038</v>
      </c>
      <c r="B4" s="0" t="s">
        <v>2044</v>
      </c>
      <c r="C4" s="0" t="s">
        <v>2045</v>
      </c>
      <c r="D4" s="0" t="str">
        <f aca="false">CONCATENATE("""", A4, """,")</f>
        <v>"BATT",</v>
      </c>
      <c r="F4" s="0" t="s">
        <v>2046</v>
      </c>
      <c r="G4" s="58" t="str">
        <f aca="false">VLOOKUP(F4,A:B,2, FALSE())</f>
        <v>Beer</v>
      </c>
      <c r="H4" s="58" t="s">
        <v>2031</v>
      </c>
      <c r="J4" s="0" t="s">
        <v>2047</v>
      </c>
      <c r="K4" s="0" t="n">
        <v>136</v>
      </c>
      <c r="L4" s="0" t="n">
        <v>38</v>
      </c>
      <c r="M4" s="0" t="n">
        <v>28</v>
      </c>
      <c r="N4" s="0" t="n">
        <f aca="false">K4/45</f>
        <v>3.02222222222222</v>
      </c>
      <c r="O4" s="0" t="n">
        <f aca="false">K4/30</f>
        <v>4.53333333333333</v>
      </c>
      <c r="P4" s="0" t="n">
        <f aca="false">K4/34</f>
        <v>4</v>
      </c>
      <c r="Q4" s="0" t="n">
        <f aca="false">K4/68</f>
        <v>2</v>
      </c>
      <c r="R4" s="0" t="n">
        <f aca="false">K4/60</f>
        <v>2.26666666666667</v>
      </c>
    </row>
    <row r="5" customFormat="false" ht="14.25" hidden="false" customHeight="false" outlineLevel="0" collapsed="false">
      <c r="A5" s="0" t="s">
        <v>1796</v>
      </c>
      <c r="B5" s="0" t="s">
        <v>2048</v>
      </c>
      <c r="C5" s="0" t="s">
        <v>2049</v>
      </c>
      <c r="D5" s="0" t="str">
        <f aca="false">CONCATENATE("""", A5, """,")</f>
        <v>"BDMT",</v>
      </c>
      <c r="F5" s="0" t="s">
        <v>1401</v>
      </c>
      <c r="G5" s="58" t="str">
        <f aca="false">VLOOKUP(F5,A:B,2, FALSE())</f>
        <v>Explosives</v>
      </c>
      <c r="H5" s="58" t="s">
        <v>2031</v>
      </c>
      <c r="J5" s="0" t="s">
        <v>2050</v>
      </c>
      <c r="K5" s="0" t="n">
        <v>46</v>
      </c>
      <c r="L5" s="0" t="n">
        <v>38</v>
      </c>
      <c r="M5" s="0" t="n">
        <v>28</v>
      </c>
      <c r="N5" s="0" t="n">
        <f aca="false">K5/45</f>
        <v>1.02222222222222</v>
      </c>
      <c r="O5" s="0" t="n">
        <f aca="false">K5/30</f>
        <v>1.53333333333333</v>
      </c>
      <c r="P5" s="0" t="n">
        <f aca="false">K5/34</f>
        <v>1.35294117647059</v>
      </c>
      <c r="Q5" s="0" t="n">
        <f aca="false">K5/68</f>
        <v>0.676470588235294</v>
      </c>
      <c r="R5" s="0" t="n">
        <f aca="false">K5/60</f>
        <v>0.766666666666667</v>
      </c>
    </row>
    <row r="6" customFormat="false" ht="14.25" hidden="false" customHeight="false" outlineLevel="0" collapsed="false">
      <c r="A6" s="0" t="s">
        <v>2051</v>
      </c>
      <c r="B6" s="0" t="s">
        <v>2052</v>
      </c>
      <c r="C6" s="0" t="s">
        <v>2042</v>
      </c>
      <c r="D6" s="0" t="str">
        <f aca="false">CONCATENATE("""", A6, """,")</f>
        <v>"BEAN",</v>
      </c>
      <c r="F6" s="0" t="s">
        <v>2053</v>
      </c>
      <c r="G6" s="58" t="str">
        <f aca="false">VLOOKUP(F6,A:B,2, FALSE())</f>
        <v>Bricks</v>
      </c>
      <c r="H6" s="58" t="s">
        <v>2030</v>
      </c>
      <c r="J6" s="0" t="s">
        <v>2054</v>
      </c>
      <c r="K6" s="0" t="n">
        <v>70</v>
      </c>
      <c r="L6" s="0" t="n">
        <v>38</v>
      </c>
      <c r="M6" s="0" t="n">
        <v>28</v>
      </c>
      <c r="N6" s="0" t="n">
        <f aca="false">K6/45</f>
        <v>1.55555555555556</v>
      </c>
      <c r="O6" s="0" t="n">
        <f aca="false">K6/30</f>
        <v>2.33333333333333</v>
      </c>
      <c r="P6" s="0" t="n">
        <f aca="false">K6/34</f>
        <v>2.05882352941176</v>
      </c>
      <c r="Q6" s="0" t="n">
        <f aca="false">K6/68</f>
        <v>1.02941176470588</v>
      </c>
      <c r="R6" s="0" t="n">
        <f aca="false">K6/60</f>
        <v>1.16666666666667</v>
      </c>
    </row>
    <row r="7" customFormat="false" ht="14.25" hidden="false" customHeight="false" outlineLevel="0" collapsed="false">
      <c r="A7" s="0" t="s">
        <v>2046</v>
      </c>
      <c r="B7" s="0" t="s">
        <v>2055</v>
      </c>
      <c r="C7" s="0" t="s">
        <v>2056</v>
      </c>
      <c r="D7" s="0" t="str">
        <f aca="false">CONCATENATE("""", A7, """,")</f>
        <v>"BEER",</v>
      </c>
      <c r="F7" s="0" t="s">
        <v>2057</v>
      </c>
      <c r="G7" s="58" t="str">
        <f aca="false">VLOOKUP(F7,A:B,2, FALSE())</f>
        <v>Bubbles</v>
      </c>
      <c r="H7" s="58" t="s">
        <v>2031</v>
      </c>
      <c r="J7" s="0" t="s">
        <v>2058</v>
      </c>
      <c r="K7" s="0" t="n">
        <v>180</v>
      </c>
      <c r="L7" s="0" t="n">
        <v>38</v>
      </c>
      <c r="M7" s="0" t="n">
        <v>28</v>
      </c>
      <c r="N7" s="0" t="n">
        <f aca="false">K7/45</f>
        <v>4</v>
      </c>
      <c r="O7" s="0" t="n">
        <f aca="false">K7/30</f>
        <v>6</v>
      </c>
      <c r="P7" s="0" t="n">
        <f aca="false">K7/34</f>
        <v>5.29411764705882</v>
      </c>
      <c r="Q7" s="0" t="n">
        <f aca="false">K7/68</f>
        <v>2.64705882352941</v>
      </c>
      <c r="R7" s="0" t="n">
        <f aca="false">K7/60</f>
        <v>3</v>
      </c>
    </row>
    <row r="8" customFormat="false" ht="14.25" hidden="false" customHeight="false" outlineLevel="0" collapsed="false">
      <c r="A8" s="0" t="s">
        <v>1401</v>
      </c>
      <c r="B8" s="0" t="s">
        <v>2059</v>
      </c>
      <c r="C8" s="0" t="s">
        <v>2060</v>
      </c>
      <c r="D8" s="0" t="str">
        <f aca="false">CONCATENATE("""", A8, """,")</f>
        <v>"BOOM",</v>
      </c>
      <c r="F8" s="0" t="s">
        <v>2061</v>
      </c>
      <c r="G8" s="58" t="str">
        <f aca="false">VLOOKUP(F8,A:B,2, FALSE())</f>
        <v>Ceramics</v>
      </c>
      <c r="H8" s="58" t="s">
        <v>2031</v>
      </c>
      <c r="J8" s="0" t="s">
        <v>2062</v>
      </c>
      <c r="K8" s="0" t="n">
        <v>180</v>
      </c>
      <c r="L8" s="0" t="n">
        <v>38</v>
      </c>
      <c r="M8" s="0" t="n">
        <v>28</v>
      </c>
      <c r="N8" s="0" t="n">
        <f aca="false">K8/45</f>
        <v>4</v>
      </c>
      <c r="O8" s="0" t="n">
        <f aca="false">K8/30</f>
        <v>6</v>
      </c>
      <c r="P8" s="0" t="n">
        <f aca="false">K8/34</f>
        <v>5.29411764705882</v>
      </c>
      <c r="Q8" s="0" t="n">
        <f aca="false">K8/68</f>
        <v>2.64705882352941</v>
      </c>
      <c r="R8" s="0" t="n">
        <f aca="false">K8/60</f>
        <v>3</v>
      </c>
    </row>
    <row r="9" customFormat="false" ht="14.25" hidden="false" customHeight="false" outlineLevel="0" collapsed="false">
      <c r="A9" s="0" t="s">
        <v>2053</v>
      </c>
      <c r="B9" s="0" t="s">
        <v>2063</v>
      </c>
      <c r="C9" s="0" t="s">
        <v>2045</v>
      </c>
      <c r="D9" s="0" t="str">
        <f aca="false">CONCATENATE("""", A9, """,")</f>
        <v>"BRCK",</v>
      </c>
      <c r="F9" s="0" t="s">
        <v>2064</v>
      </c>
      <c r="G9" s="58" t="str">
        <f aca="false">VLOOKUP(F9,A:B,2, FALSE())</f>
        <v>Copper</v>
      </c>
      <c r="H9" s="58" t="s">
        <v>2065</v>
      </c>
      <c r="J9" s="0" t="s">
        <v>2066</v>
      </c>
      <c r="K9" s="0" t="n">
        <v>116</v>
      </c>
      <c r="L9" s="0" t="n">
        <v>38</v>
      </c>
      <c r="M9" s="0" t="n">
        <v>22</v>
      </c>
      <c r="N9" s="0" t="n">
        <f aca="false">K9/45</f>
        <v>2.57777777777778</v>
      </c>
      <c r="O9" s="0" t="n">
        <f aca="false">K9/30</f>
        <v>3.86666666666667</v>
      </c>
      <c r="P9" s="0" t="n">
        <f aca="false">K9/34</f>
        <v>3.41176470588235</v>
      </c>
      <c r="Q9" s="0" t="n">
        <f aca="false">K9/68</f>
        <v>1.70588235294118</v>
      </c>
      <c r="R9" s="0" t="n">
        <f aca="false">K9/60</f>
        <v>1.93333333333333</v>
      </c>
    </row>
    <row r="10" customFormat="false" ht="14.25" hidden="false" customHeight="false" outlineLevel="0" collapsed="false">
      <c r="A10" s="0" t="s">
        <v>2057</v>
      </c>
      <c r="B10" s="0" t="s">
        <v>2067</v>
      </c>
      <c r="C10" s="0" t="s">
        <v>2045</v>
      </c>
      <c r="D10" s="0" t="str">
        <f aca="false">CONCATENATE("""", A10, """,")</f>
        <v>"BUBL",</v>
      </c>
      <c r="F10" s="0" t="s">
        <v>2068</v>
      </c>
      <c r="G10" s="58" t="str">
        <f aca="false">VLOOKUP(F10,A:B,2, FALSE())</f>
        <v>Cast Iron</v>
      </c>
      <c r="H10" s="58" t="s">
        <v>2065</v>
      </c>
    </row>
    <row r="11" customFormat="false" ht="14.25" hidden="false" customHeight="false" outlineLevel="0" collapsed="false">
      <c r="A11" s="0" t="s">
        <v>2069</v>
      </c>
      <c r="B11" s="0" t="s">
        <v>2070</v>
      </c>
      <c r="C11" s="0" t="s">
        <v>2042</v>
      </c>
      <c r="D11" s="0" t="str">
        <f aca="false">CONCATENATE("""", A11, """,")</f>
        <v>"CASS",</v>
      </c>
      <c r="F11" s="0" t="s">
        <v>2071</v>
      </c>
      <c r="G11" s="58" t="str">
        <f aca="false">VLOOKUP(F11,A:B,2, FALSE())</f>
        <v>Fizzy Drinks</v>
      </c>
      <c r="H11" s="58" t="s">
        <v>2031</v>
      </c>
    </row>
    <row r="12" customFormat="false" ht="14.25" hidden="false" customHeight="false" outlineLevel="0" collapsed="false">
      <c r="A12" s="0" t="s">
        <v>2072</v>
      </c>
      <c r="B12" s="0" t="s">
        <v>2073</v>
      </c>
      <c r="C12" s="0" t="s">
        <v>2074</v>
      </c>
      <c r="D12" s="0" t="str">
        <f aca="false">CONCATENATE("""", A12, """,")</f>
        <v>"CBLK",</v>
      </c>
      <c r="F12" s="0" t="s">
        <v>2075</v>
      </c>
      <c r="G12" s="58" t="str">
        <f aca="false">VLOOKUP(F12,A:B,2, FALSE())</f>
        <v>Iron</v>
      </c>
      <c r="H12" s="58" t="s">
        <v>2065</v>
      </c>
    </row>
    <row r="13" customFormat="false" ht="14.25" hidden="false" customHeight="false" outlineLevel="0" collapsed="false">
      <c r="A13" s="0" t="s">
        <v>2061</v>
      </c>
      <c r="B13" s="0" t="s">
        <v>2076</v>
      </c>
      <c r="C13" s="0" t="s">
        <v>2045</v>
      </c>
      <c r="D13" s="0" t="str">
        <f aca="false">CONCATENATE("""", A13, """,")</f>
        <v>"CERA",</v>
      </c>
      <c r="F13" s="0" t="s">
        <v>2077</v>
      </c>
      <c r="G13" s="58" t="str">
        <f aca="false">VLOOKUP(F13,A:B,2, FALSE())</f>
        <v>Coffee</v>
      </c>
      <c r="H13" s="58" t="s">
        <v>2031</v>
      </c>
    </row>
    <row r="14" customFormat="false" ht="14.25" hidden="false" customHeight="false" outlineLevel="0" collapsed="false">
      <c r="A14" s="0" t="s">
        <v>2078</v>
      </c>
      <c r="B14" s="0" t="s">
        <v>2079</v>
      </c>
      <c r="C14" s="0" t="s">
        <v>2080</v>
      </c>
      <c r="D14" s="0" t="str">
        <f aca="false">CONCATENATE("""", A14, """,")</f>
        <v>"CERE",</v>
      </c>
      <c r="F14" s="0" t="s">
        <v>2081</v>
      </c>
      <c r="G14" s="58" t="str">
        <f aca="false">VLOOKUP(F14,A:B,2, FALSE())</f>
        <v>Metal</v>
      </c>
      <c r="H14" s="58" t="s">
        <v>2065</v>
      </c>
    </row>
    <row r="15" customFormat="false" ht="14.25" hidden="false" customHeight="false" outlineLevel="0" collapsed="false">
      <c r="A15" s="0" t="s">
        <v>2082</v>
      </c>
      <c r="B15" s="0" t="s">
        <v>2083</v>
      </c>
      <c r="C15" s="0" t="s">
        <v>2037</v>
      </c>
      <c r="D15" s="0" t="str">
        <f aca="false">CONCATENATE("""", A15, """,")</f>
        <v>"CHLO",</v>
      </c>
      <c r="F15" s="0" t="s">
        <v>2084</v>
      </c>
      <c r="G15" s="58" t="str">
        <f aca="false">VLOOKUP(F15,A:B,2, FALSE())</f>
        <v>Nuts</v>
      </c>
      <c r="H15" s="58" t="s">
        <v>2031</v>
      </c>
    </row>
    <row r="16" customFormat="false" ht="14.25" hidden="false" customHeight="false" outlineLevel="0" collapsed="false">
      <c r="A16" s="0" t="s">
        <v>2085</v>
      </c>
      <c r="B16" s="0" t="s">
        <v>2086</v>
      </c>
      <c r="C16" s="0" t="s">
        <v>2087</v>
      </c>
      <c r="D16" s="0" t="str">
        <f aca="false">CONCATENATE("""", A16, """,")</f>
        <v>"CLAY",</v>
      </c>
      <c r="F16" s="0" t="s">
        <v>2088</v>
      </c>
      <c r="G16" s="58" t="str">
        <f aca="false">VLOOKUP(F16,A:B,2, FALSE())</f>
        <v>Paper</v>
      </c>
      <c r="H16" s="58" t="s">
        <v>2031</v>
      </c>
    </row>
    <row r="17" customFormat="false" ht="14.25" hidden="false" customHeight="false" outlineLevel="0" collapsed="false">
      <c r="A17" s="0" t="s">
        <v>2089</v>
      </c>
      <c r="B17" s="0" t="s">
        <v>2090</v>
      </c>
      <c r="C17" s="0" t="s">
        <v>2087</v>
      </c>
      <c r="D17" s="0" t="str">
        <f aca="false">CONCATENATE("""", A17, """,")</f>
        <v>"CMNT",</v>
      </c>
      <c r="F17" s="0" t="s">
        <v>2091</v>
      </c>
      <c r="G17" s="58" t="str">
        <f aca="false">VLOOKUP(F17,A:B,2, FALSE())</f>
        <v>Pipe</v>
      </c>
      <c r="H17" s="58" t="s">
        <v>2092</v>
      </c>
    </row>
    <row r="18" customFormat="false" ht="14.25" hidden="false" customHeight="false" outlineLevel="0" collapsed="false">
      <c r="A18" s="0" t="s">
        <v>265</v>
      </c>
      <c r="B18" s="0" t="s">
        <v>2093</v>
      </c>
      <c r="C18" s="0" t="s">
        <v>2042</v>
      </c>
      <c r="D18" s="0" t="str">
        <f aca="false">CONCATENATE("""", A18, """,")</f>
        <v>"COAL",</v>
      </c>
      <c r="F18" s="0" t="s">
        <v>2094</v>
      </c>
      <c r="G18" s="58" t="str">
        <f aca="false">VLOOKUP(F18,A:B,2, FALSE())</f>
        <v>Electrical Equipment</v>
      </c>
      <c r="H18" s="58" t="s">
        <v>2031</v>
      </c>
    </row>
    <row r="19" customFormat="false" ht="14.25" hidden="false" customHeight="false" outlineLevel="0" collapsed="false">
      <c r="A19" s="0" t="s">
        <v>2095</v>
      </c>
      <c r="B19" s="0" t="s">
        <v>2096</v>
      </c>
      <c r="C19" s="0" t="s">
        <v>2042</v>
      </c>
      <c r="D19" s="0" t="str">
        <f aca="false">CONCATENATE("""", A19, """,")</f>
        <v>"COKE",</v>
      </c>
      <c r="F19" s="0" t="s">
        <v>2097</v>
      </c>
      <c r="G19" s="58" t="str">
        <f aca="false">VLOOKUP(F19,A:B,2, FALSE())</f>
        <v>Alloy Steel</v>
      </c>
      <c r="H19" s="58" t="s">
        <v>2065</v>
      </c>
    </row>
    <row r="20" customFormat="false" ht="14.25" hidden="false" customHeight="false" outlineLevel="0" collapsed="false">
      <c r="A20" s="0" t="s">
        <v>2098</v>
      </c>
      <c r="B20" s="0" t="s">
        <v>2099</v>
      </c>
      <c r="C20" s="0" t="s">
        <v>2100</v>
      </c>
      <c r="D20" s="0" t="str">
        <f aca="false">CONCATENATE("""", A20, """,")</f>
        <v>"COLA",</v>
      </c>
      <c r="F20" s="0" t="s">
        <v>2101</v>
      </c>
      <c r="G20" s="58" t="str">
        <f aca="false">VLOOKUP(F20,A:B,2, FALSE())</f>
        <v>Carbon Steel</v>
      </c>
      <c r="H20" s="58" t="s">
        <v>2065</v>
      </c>
    </row>
    <row r="21" customFormat="false" ht="14.25" hidden="false" customHeight="false" outlineLevel="0" collapsed="false">
      <c r="A21" s="0" t="s">
        <v>2064</v>
      </c>
      <c r="B21" s="0" t="s">
        <v>2102</v>
      </c>
      <c r="C21" s="0" t="s">
        <v>2045</v>
      </c>
      <c r="D21" s="0" t="str">
        <f aca="false">CONCATENATE("""", A21, """,")</f>
        <v>"COPR",</v>
      </c>
      <c r="F21" s="0" t="s">
        <v>350</v>
      </c>
      <c r="G21" s="58" t="str">
        <f aca="false">VLOOKUP(F21,A:B,2, FALSE())</f>
        <v>Steel</v>
      </c>
      <c r="H21" s="58" t="s">
        <v>2065</v>
      </c>
    </row>
    <row r="22" customFormat="false" ht="14.25" hidden="false" customHeight="false" outlineLevel="0" collapsed="false">
      <c r="A22" s="0" t="s">
        <v>2103</v>
      </c>
      <c r="B22" s="0" t="s">
        <v>2104</v>
      </c>
      <c r="C22" s="0" t="s">
        <v>2042</v>
      </c>
      <c r="D22" s="0" t="str">
        <f aca="false">CONCATENATE("""", A22, """,")</f>
        <v>"CORE",</v>
      </c>
      <c r="F22" s="0" t="s">
        <v>2105</v>
      </c>
      <c r="G22" s="58" t="str">
        <f aca="false">VLOOKUP(F22,A:B,2, FALSE())</f>
        <v>Stainless Steel</v>
      </c>
      <c r="H22" s="58" t="s">
        <v>2065</v>
      </c>
    </row>
    <row r="23" customFormat="false" ht="14.25" hidden="false" customHeight="false" outlineLevel="0" collapsed="false">
      <c r="A23" s="0" t="s">
        <v>2068</v>
      </c>
      <c r="B23" s="0" t="s">
        <v>2106</v>
      </c>
      <c r="C23" s="0" t="s">
        <v>2045</v>
      </c>
      <c r="D23" s="0" t="str">
        <f aca="false">CONCATENATE("""", A23, """,")</f>
        <v>"CSTI",</v>
      </c>
      <c r="F23" s="0" t="s">
        <v>2107</v>
      </c>
      <c r="G23" s="58" t="str">
        <f aca="false">VLOOKUP(F23,A:B,2, FALSE())</f>
        <v>Toys</v>
      </c>
      <c r="H23" s="58" t="s">
        <v>2031</v>
      </c>
    </row>
    <row r="24" customFormat="false" ht="14.25" hidden="false" customHeight="false" outlineLevel="0" collapsed="false">
      <c r="A24" s="0" t="s">
        <v>2108</v>
      </c>
      <c r="B24" s="0" t="s">
        <v>2109</v>
      </c>
      <c r="C24" s="0" t="s">
        <v>2037</v>
      </c>
      <c r="D24" s="0" t="str">
        <f aca="false">CONCATENATE("""", A24, """,")</f>
        <v>"CTAR",</v>
      </c>
      <c r="F24" s="0" t="s">
        <v>2110</v>
      </c>
      <c r="G24" s="58" t="str">
        <f aca="false">VLOOKUP(F24,A:B,2, FALSE())</f>
        <v>Tyres</v>
      </c>
      <c r="H24" s="58" t="s">
        <v>2111</v>
      </c>
    </row>
    <row r="25" customFormat="false" ht="14.25" hidden="false" customHeight="false" outlineLevel="0" collapsed="false">
      <c r="A25" s="0" t="s">
        <v>2112</v>
      </c>
      <c r="B25" s="0" t="s">
        <v>2113</v>
      </c>
      <c r="C25" s="0" t="s">
        <v>2042</v>
      </c>
      <c r="D25" s="0" t="str">
        <f aca="false">CONCATENATE("""", A25, """,")</f>
        <v>"CTCD",</v>
      </c>
      <c r="F25" s="0" t="s">
        <v>2114</v>
      </c>
      <c r="G25" s="58" t="str">
        <f aca="false">VLOOKUP(F25,A:B,2, FALSE())</f>
        <v>Vehicle Bodies</v>
      </c>
      <c r="H25" s="58" t="s">
        <v>2115</v>
      </c>
    </row>
    <row r="26" customFormat="false" ht="14.25" hidden="false" customHeight="false" outlineLevel="0" collapsed="false">
      <c r="A26" s="0" t="s">
        <v>2116</v>
      </c>
      <c r="B26" s="0" t="s">
        <v>2117</v>
      </c>
      <c r="C26" s="0" t="s">
        <v>2118</v>
      </c>
      <c r="D26" s="0" t="str">
        <f aca="false">CONCATENATE("""", A26, """,")</f>
        <v>"DIAM",</v>
      </c>
      <c r="F26" s="0" t="s">
        <v>2119</v>
      </c>
      <c r="G26" s="58" t="str">
        <f aca="false">VLOOKUP(F26,A:B,2, FALSE())</f>
        <v>Vehicle Engines</v>
      </c>
      <c r="H26" s="58" t="s">
        <v>2031</v>
      </c>
    </row>
    <row r="27" customFormat="false" ht="14.25" hidden="false" customHeight="false" outlineLevel="0" collapsed="false">
      <c r="A27" s="0" t="s">
        <v>2120</v>
      </c>
      <c r="B27" s="0" t="s">
        <v>2121</v>
      </c>
      <c r="C27" s="0" t="s">
        <v>2122</v>
      </c>
      <c r="D27" s="0" t="str">
        <f aca="false">CONCATENATE("""", A27, """,")</f>
        <v>"DYES",</v>
      </c>
      <c r="F27" s="0" t="s">
        <v>317</v>
      </c>
      <c r="G27" s="58" t="str">
        <f aca="false">VLOOKUP(F27,A:B,2, FALSE())</f>
        <v>Wood</v>
      </c>
      <c r="H27" s="58" t="s">
        <v>2123</v>
      </c>
    </row>
    <row r="28" customFormat="false" ht="14.25" hidden="false" customHeight="false" outlineLevel="0" collapsed="false">
      <c r="A28" s="0" t="s">
        <v>2124</v>
      </c>
      <c r="B28" s="0" t="s">
        <v>2125</v>
      </c>
      <c r="C28" s="0" t="s">
        <v>2060</v>
      </c>
      <c r="D28" s="0" t="str">
        <f aca="false">CONCATENATE("""", A28, """,")</f>
        <v>"ENSP",</v>
      </c>
      <c r="F28" s="0" t="s">
        <v>2126</v>
      </c>
      <c r="G28" s="58" t="str">
        <f aca="false">VLOOKUP(F28,A:B,2, FALSE())</f>
        <v>Zinc</v>
      </c>
      <c r="H28" s="58" t="s">
        <v>2065</v>
      </c>
    </row>
    <row r="29" customFormat="false" ht="14.25" hidden="false" customHeight="false" outlineLevel="0" collapsed="false">
      <c r="A29" s="0" t="s">
        <v>2127</v>
      </c>
      <c r="B29" s="0" t="s">
        <v>2128</v>
      </c>
      <c r="C29" s="0" t="s">
        <v>2122</v>
      </c>
      <c r="D29" s="0" t="str">
        <f aca="false">CONCATENATE("""", A29, """,")</f>
        <v>"EOIL",</v>
      </c>
      <c r="F29" s="0" t="s">
        <v>2124</v>
      </c>
      <c r="G29" s="58" t="str">
        <f aca="false">VLOOKUP(F29,A:B,2, FALSE())</f>
        <v>Engineering Supplies</v>
      </c>
      <c r="H29" s="58" t="s">
        <v>2129</v>
      </c>
    </row>
    <row r="30" customFormat="false" ht="14.25" hidden="false" customHeight="false" outlineLevel="0" collapsed="false">
      <c r="A30" s="0" t="s">
        <v>2130</v>
      </c>
      <c r="B30" s="0" t="s">
        <v>2131</v>
      </c>
      <c r="C30" s="0" t="s">
        <v>2042</v>
      </c>
      <c r="D30" s="0" t="str">
        <f aca="false">CONCATENATE("""", A30, """,")</f>
        <v>"FECR",</v>
      </c>
      <c r="F30" s="0" t="s">
        <v>2132</v>
      </c>
      <c r="G30" s="58" t="str">
        <f aca="false">VLOOKUP(F30,A:B,2, FALSE())</f>
        <v>Farm Supplies</v>
      </c>
      <c r="H30" s="58" t="s">
        <v>2033</v>
      </c>
    </row>
    <row r="31" customFormat="false" ht="14.25" hidden="false" customHeight="false" outlineLevel="0" collapsed="false">
      <c r="A31" s="0" t="s">
        <v>2133</v>
      </c>
      <c r="B31" s="0" t="s">
        <v>2134</v>
      </c>
      <c r="C31" s="0" t="s">
        <v>2135</v>
      </c>
      <c r="D31" s="0" t="str">
        <f aca="false">CONCATENATE("""", A31, """,")</f>
        <v>"FERT",</v>
      </c>
      <c r="F31" s="0" t="s">
        <v>2136</v>
      </c>
      <c r="G31" s="58" t="str">
        <f aca="false">VLOOKUP(F31,A:B,2, FALSE())</f>
        <v>Vehicle Parts</v>
      </c>
      <c r="H31" s="58" t="s">
        <v>2031</v>
      </c>
    </row>
    <row r="32" customFormat="false" ht="14.25" hidden="false" customHeight="false" outlineLevel="0" collapsed="false">
      <c r="A32" s="0" t="s">
        <v>2137</v>
      </c>
      <c r="B32" s="0" t="s">
        <v>2138</v>
      </c>
      <c r="C32" s="0" t="s">
        <v>2135</v>
      </c>
      <c r="D32" s="0" t="str">
        <f aca="false">CONCATENATE("""", A32, """,")</f>
        <v>"FICR",</v>
      </c>
      <c r="F32" s="0" t="s">
        <v>2139</v>
      </c>
      <c r="G32" s="58" t="str">
        <f aca="false">VLOOKUP(F32,A:B,2, FALSE())</f>
        <v>Timber</v>
      </c>
      <c r="H32" s="58" t="s">
        <v>2032</v>
      </c>
    </row>
    <row r="33" customFormat="false" ht="14.25" hidden="false" customHeight="false" outlineLevel="0" collapsed="false">
      <c r="A33" s="0" t="s">
        <v>2140</v>
      </c>
      <c r="B33" s="0" t="s">
        <v>2141</v>
      </c>
      <c r="C33" s="0" t="s">
        <v>2142</v>
      </c>
      <c r="D33" s="0" t="str">
        <f aca="false">CONCATENATE("""", A33, """,")</f>
        <v>"FISH",</v>
      </c>
      <c r="F33" s="0" t="s">
        <v>2143</v>
      </c>
      <c r="G33" s="58" t="str">
        <f aca="false">VLOOKUP(F33,A:B,2, FALSE())</f>
        <v>Plastics</v>
      </c>
      <c r="H33" s="58" t="s">
        <v>2031</v>
      </c>
    </row>
    <row r="34" customFormat="false" ht="14.25" hidden="false" customHeight="false" outlineLevel="0" collapsed="false">
      <c r="A34" s="0" t="s">
        <v>2132</v>
      </c>
      <c r="B34" s="0" t="s">
        <v>2144</v>
      </c>
      <c r="C34" s="0" t="s">
        <v>2060</v>
      </c>
      <c r="D34" s="0" t="str">
        <f aca="false">CONCATENATE("""", A34, """,")</f>
        <v>"FMSP",</v>
      </c>
      <c r="F34" s="0" t="s">
        <v>2120</v>
      </c>
      <c r="G34" s="58" t="str">
        <f aca="false">VLOOKUP(F34,A:B,2, FALSE())</f>
        <v>Dyes</v>
      </c>
      <c r="H34" s="58" t="s">
        <v>2031</v>
      </c>
    </row>
    <row r="35" customFormat="false" ht="14.25" hidden="false" customHeight="false" outlineLevel="0" collapsed="false">
      <c r="A35" s="0" t="s">
        <v>2145</v>
      </c>
      <c r="B35" s="0" t="s">
        <v>2146</v>
      </c>
      <c r="C35" s="0" t="s">
        <v>2142</v>
      </c>
      <c r="D35" s="0" t="str">
        <f aca="false">CONCATENATE("""", A35, """,")</f>
        <v>"FOOD",</v>
      </c>
      <c r="F35" s="0" t="s">
        <v>2147</v>
      </c>
      <c r="G35" s="58" t="str">
        <f aca="false">VLOOKUP(F35,A:B,2, FALSE())</f>
        <v>Vehicles</v>
      </c>
      <c r="H35" s="58" t="s">
        <v>2148</v>
      </c>
    </row>
    <row r="36" customFormat="false" ht="14.25" hidden="false" customHeight="false" outlineLevel="0" collapsed="false">
      <c r="A36" s="0" t="s">
        <v>2149</v>
      </c>
      <c r="B36" s="0" t="s">
        <v>2150</v>
      </c>
      <c r="C36" s="0" t="s">
        <v>2151</v>
      </c>
      <c r="D36" s="0" t="str">
        <f aca="false">CONCATENATE("""", A36, """,")</f>
        <v>"FRUT",</v>
      </c>
      <c r="F36" s="0" t="s">
        <v>2137</v>
      </c>
      <c r="G36" s="58" t="str">
        <f aca="false">VLOOKUP(F36,A:B,2, FALSE())</f>
        <v>Fibre Crops</v>
      </c>
      <c r="H36" s="58" t="s">
        <v>2031</v>
      </c>
    </row>
    <row r="37" customFormat="false" ht="14.25" hidden="false" customHeight="false" outlineLevel="0" collapsed="false">
      <c r="A37" s="0" t="s">
        <v>2152</v>
      </c>
      <c r="B37" s="0" t="s">
        <v>2153</v>
      </c>
      <c r="C37" s="0" t="s">
        <v>2154</v>
      </c>
      <c r="D37" s="0" t="str">
        <f aca="false">CONCATENATE("""", A37, """,")</f>
        <v>"FRVG",</v>
      </c>
      <c r="F37" s="0" t="s">
        <v>2155</v>
      </c>
      <c r="G37" s="58" t="str">
        <f aca="false">VLOOKUP(F37,A:B,2, FALSE())</f>
        <v>Packaging</v>
      </c>
      <c r="H37" s="58" t="s">
        <v>2031</v>
      </c>
    </row>
    <row r="38" customFormat="false" ht="14.25" hidden="false" customHeight="false" outlineLevel="0" collapsed="false">
      <c r="A38" s="0" t="s">
        <v>2071</v>
      </c>
      <c r="B38" s="0" t="s">
        <v>2156</v>
      </c>
      <c r="C38" s="0" t="s">
        <v>2045</v>
      </c>
      <c r="D38" s="0" t="str">
        <f aca="false">CONCATENATE("""", A38, """,")</f>
        <v>"FZDR",</v>
      </c>
      <c r="F38" s="0" t="s">
        <v>2157</v>
      </c>
      <c r="G38" s="58" t="str">
        <f aca="false">VLOOKUP(F38,A:B,2, FALSE())</f>
        <v>Steel Sheet</v>
      </c>
      <c r="H38" s="58"/>
    </row>
    <row r="39" customFormat="false" ht="14.25" hidden="false" customHeight="false" outlineLevel="0" collapsed="false">
      <c r="A39" s="0" t="s">
        <v>2158</v>
      </c>
      <c r="B39" s="0" t="s">
        <v>2159</v>
      </c>
      <c r="C39" s="0" t="s">
        <v>2118</v>
      </c>
      <c r="D39" s="0" t="str">
        <f aca="false">CONCATENATE("""", A39, """,")</f>
        <v>"GOLD",</v>
      </c>
      <c r="F39" s="0" t="s">
        <v>2160</v>
      </c>
      <c r="G39" s="58" t="str">
        <f aca="false">VLOOKUP(F39,A:B,2, FALSE())</f>
        <v>Steel Wire Rod</v>
      </c>
      <c r="H39" s="58"/>
    </row>
    <row r="40" customFormat="false" ht="14.25" hidden="false" customHeight="false" outlineLevel="0" collapsed="false">
      <c r="A40" s="0" t="s">
        <v>302</v>
      </c>
      <c r="B40" s="0" t="s">
        <v>2161</v>
      </c>
      <c r="C40" s="0" t="s">
        <v>2162</v>
      </c>
      <c r="D40" s="0" t="str">
        <f aca="false">CONCATENATE("""", A40, """,")</f>
        <v>"GOOD",</v>
      </c>
      <c r="F40" s="0" t="s">
        <v>2163</v>
      </c>
      <c r="G40" s="58" t="str">
        <f aca="false">VLOOKUP(F40,A:B,2, FALSE())</f>
        <v>Rebar</v>
      </c>
      <c r="H40" s="58"/>
    </row>
    <row r="41" customFormat="false" ht="14.25" hidden="false" customHeight="false" outlineLevel="0" collapsed="false">
      <c r="A41" s="0" t="s">
        <v>1813</v>
      </c>
      <c r="B41" s="0" t="s">
        <v>2164</v>
      </c>
      <c r="C41" s="0" t="s">
        <v>2042</v>
      </c>
      <c r="D41" s="0" t="str">
        <f aca="false">CONCATENATE("""", A41, """,")</f>
        <v>"GRAI",</v>
      </c>
      <c r="F41" s="58" t="s">
        <v>2165</v>
      </c>
      <c r="G41" s="58" t="str">
        <f aca="false">VLOOKUP(F41,A:B,2, FALSE())</f>
        <v>Cleaning Agents</v>
      </c>
      <c r="H41" s="58" t="s">
        <v>2031</v>
      </c>
    </row>
    <row r="42" customFormat="false" ht="14.25" hidden="false" customHeight="false" outlineLevel="0" collapsed="false">
      <c r="A42" s="0" t="s">
        <v>2166</v>
      </c>
      <c r="B42" s="0" t="s">
        <v>2167</v>
      </c>
      <c r="C42" s="0" t="s">
        <v>2042</v>
      </c>
      <c r="D42" s="0" t="str">
        <f aca="false">CONCATENATE("""", A42, """,")</f>
        <v>"GRVL",</v>
      </c>
      <c r="F42" s="58" t="s">
        <v>2168</v>
      </c>
      <c r="G42" s="58" t="str">
        <f aca="false">VLOOKUP(F42,A:B,2, FALSE())</f>
        <v>Paints and coatings</v>
      </c>
      <c r="H42" s="58" t="s">
        <v>2031</v>
      </c>
    </row>
    <row r="43" customFormat="false" ht="14.25" hidden="false" customHeight="false" outlineLevel="0" collapsed="false">
      <c r="A43" s="0" t="s">
        <v>2169</v>
      </c>
      <c r="B43" s="0" t="s">
        <v>2170</v>
      </c>
      <c r="C43" s="0" t="s">
        <v>2042</v>
      </c>
      <c r="D43" s="0" t="str">
        <f aca="false">CONCATENATE("""", A43, """,")</f>
        <v>"IORE",</v>
      </c>
    </row>
    <row r="44" customFormat="false" ht="14.25" hidden="false" customHeight="false" outlineLevel="0" collapsed="false">
      <c r="A44" s="0" t="s">
        <v>2075</v>
      </c>
      <c r="B44" s="0" t="s">
        <v>2171</v>
      </c>
      <c r="C44" s="0" t="s">
        <v>2045</v>
      </c>
      <c r="D44" s="0" t="str">
        <f aca="false">CONCATENATE("""", A44, """,")</f>
        <v>"IRON",</v>
      </c>
    </row>
    <row r="45" customFormat="false" ht="14.25" hidden="false" customHeight="false" outlineLevel="0" collapsed="false">
      <c r="A45" s="0" t="s">
        <v>2077</v>
      </c>
      <c r="B45" s="0" t="s">
        <v>2172</v>
      </c>
      <c r="C45" s="0" t="s">
        <v>2045</v>
      </c>
      <c r="D45" s="0" t="str">
        <f aca="false">CONCATENATE("""", A45, """,")</f>
        <v>"JAVA",</v>
      </c>
    </row>
    <row r="46" customFormat="false" ht="14.25" hidden="false" customHeight="false" outlineLevel="0" collapsed="false">
      <c r="A46" s="0" t="s">
        <v>2173</v>
      </c>
      <c r="B46" s="0" t="s">
        <v>2174</v>
      </c>
      <c r="C46" s="0" t="s">
        <v>2175</v>
      </c>
      <c r="D46" s="0" t="str">
        <f aca="false">CONCATENATE("""", A46, """,")</f>
        <v>"KAOL",</v>
      </c>
    </row>
    <row r="47" customFormat="false" ht="14.25" hidden="false" customHeight="false" outlineLevel="0" collapsed="false">
      <c r="A47" s="0" t="s">
        <v>2176</v>
      </c>
      <c r="B47" s="0" t="s">
        <v>2177</v>
      </c>
      <c r="C47" s="0" t="s">
        <v>2042</v>
      </c>
      <c r="D47" s="0" t="str">
        <f aca="false">CONCATENATE("""", A47, """,")</f>
        <v>"LIME",</v>
      </c>
    </row>
    <row r="48" customFormat="false" ht="14.25" hidden="false" customHeight="false" outlineLevel="0" collapsed="false">
      <c r="A48" s="0" t="s">
        <v>375</v>
      </c>
      <c r="B48" s="0" t="s">
        <v>374</v>
      </c>
      <c r="C48" s="0" t="s">
        <v>2045</v>
      </c>
      <c r="D48" s="0" t="str">
        <f aca="false">CONCATENATE("""", A48, """,")</f>
        <v>"LVST",</v>
      </c>
    </row>
    <row r="49" customFormat="false" ht="14.25" hidden="false" customHeight="false" outlineLevel="0" collapsed="false">
      <c r="A49" s="0" t="s">
        <v>220</v>
      </c>
      <c r="B49" s="0" t="s">
        <v>2178</v>
      </c>
      <c r="C49" s="0" t="s">
        <v>2179</v>
      </c>
      <c r="D49" s="0" t="str">
        <f aca="false">CONCATENATE("""", A49, """,")</f>
        <v>"MAIL",</v>
      </c>
    </row>
    <row r="50" customFormat="false" ht="14.25" hidden="false" customHeight="false" outlineLevel="0" collapsed="false">
      <c r="A50" s="0" t="s">
        <v>2180</v>
      </c>
      <c r="B50" s="0" t="s">
        <v>2181</v>
      </c>
      <c r="C50" s="0" t="s">
        <v>2042</v>
      </c>
      <c r="D50" s="0" t="str">
        <f aca="false">CONCATENATE("""", A50, """,")</f>
        <v>"MAIZ",</v>
      </c>
    </row>
    <row r="51" customFormat="false" ht="14.25" hidden="false" customHeight="false" outlineLevel="0" collapsed="false">
      <c r="A51" s="0" t="s">
        <v>2081</v>
      </c>
      <c r="B51" s="0" t="s">
        <v>2182</v>
      </c>
      <c r="C51" s="0" t="s">
        <v>2045</v>
      </c>
      <c r="D51" s="0" t="str">
        <f aca="false">CONCATENATE("""", A51, """,")</f>
        <v>"METL",</v>
      </c>
    </row>
    <row r="52" customFormat="false" ht="14.25" hidden="false" customHeight="false" outlineLevel="0" collapsed="false">
      <c r="A52" s="0" t="s">
        <v>2183</v>
      </c>
      <c r="B52" s="0" t="s">
        <v>2184</v>
      </c>
      <c r="C52" s="0" t="s">
        <v>2185</v>
      </c>
      <c r="D52" s="0" t="str">
        <f aca="false">CONCATENATE("""", A52, """,")</f>
        <v>"MILK",</v>
      </c>
    </row>
    <row r="53" customFormat="false" ht="14.25" hidden="false" customHeight="false" outlineLevel="0" collapsed="false">
      <c r="A53" s="0" t="s">
        <v>2186</v>
      </c>
      <c r="B53" s="0" t="s">
        <v>2187</v>
      </c>
      <c r="C53" s="0" t="s">
        <v>2042</v>
      </c>
      <c r="D53" s="0" t="str">
        <f aca="false">CONCATENATE("""", A53, """,")</f>
        <v>"MNO2",</v>
      </c>
    </row>
    <row r="54" customFormat="false" ht="14.25" hidden="false" customHeight="false" outlineLevel="0" collapsed="false">
      <c r="A54" s="0" t="s">
        <v>2155</v>
      </c>
      <c r="B54" s="0" t="s">
        <v>2188</v>
      </c>
      <c r="C54" s="0" t="s">
        <v>2189</v>
      </c>
      <c r="D54" s="0" t="str">
        <f aca="false">CONCATENATE("""", A54, """,")</f>
        <v>"MNSP",</v>
      </c>
    </row>
    <row r="55" customFormat="false" ht="14.25" hidden="false" customHeight="false" outlineLevel="0" collapsed="false">
      <c r="A55" s="0" t="s">
        <v>2190</v>
      </c>
      <c r="B55" s="0" t="s">
        <v>2191</v>
      </c>
      <c r="C55" s="0" t="s">
        <v>2042</v>
      </c>
      <c r="D55" s="0" t="str">
        <f aca="false">CONCATENATE("""", A55, """,")</f>
        <v>"NITR",</v>
      </c>
    </row>
    <row r="56" customFormat="false" ht="14.25" hidden="false" customHeight="false" outlineLevel="0" collapsed="false">
      <c r="A56" s="0" t="s">
        <v>2084</v>
      </c>
      <c r="B56" s="0" t="s">
        <v>2192</v>
      </c>
      <c r="C56" s="0" t="s">
        <v>2045</v>
      </c>
      <c r="D56" s="0" t="str">
        <f aca="false">CONCATENATE("""", A56, """,")</f>
        <v>"NUTS",</v>
      </c>
    </row>
    <row r="57" customFormat="false" ht="14.25" hidden="false" customHeight="false" outlineLevel="0" collapsed="false">
      <c r="A57" s="0" t="s">
        <v>358</v>
      </c>
      <c r="B57" s="0" t="s">
        <v>2193</v>
      </c>
      <c r="C57" s="0" t="s">
        <v>2100</v>
      </c>
      <c r="D57" s="0" t="str">
        <f aca="false">CONCATENATE("""", A57, """,")</f>
        <v>"OIL_",</v>
      </c>
    </row>
    <row r="58" customFormat="false" ht="14.25" hidden="false" customHeight="false" outlineLevel="0" collapsed="false">
      <c r="A58" s="0" t="s">
        <v>2194</v>
      </c>
      <c r="B58" s="0" t="s">
        <v>2195</v>
      </c>
      <c r="C58" s="0" t="s">
        <v>2080</v>
      </c>
      <c r="D58" s="0" t="str">
        <f aca="false">CONCATENATE("""", A58, """,")</f>
        <v>"OLSD",</v>
      </c>
    </row>
    <row r="59" customFormat="false" ht="14.25" hidden="false" customHeight="false" outlineLevel="0" collapsed="false">
      <c r="A59" s="0" t="s">
        <v>2088</v>
      </c>
      <c r="B59" s="0" t="s">
        <v>2196</v>
      </c>
      <c r="C59" s="0" t="s">
        <v>2045</v>
      </c>
      <c r="D59" s="0" t="str">
        <f aca="false">CONCATENATE("""", A59, """,")</f>
        <v>"PAPR",</v>
      </c>
    </row>
    <row r="60" customFormat="false" ht="14.25" hidden="false" customHeight="false" outlineLevel="0" collapsed="false">
      <c r="A60" s="0" t="s">
        <v>148</v>
      </c>
      <c r="B60" s="0" t="s">
        <v>147</v>
      </c>
      <c r="C60" s="0" t="s">
        <v>2197</v>
      </c>
      <c r="D60" s="0" t="str">
        <f aca="false">CONCATENATE("""", A60, """,")</f>
        <v>"PASS",</v>
      </c>
    </row>
    <row r="61" customFormat="false" ht="14.25" hidden="false" customHeight="false" outlineLevel="0" collapsed="false">
      <c r="A61" s="0" t="s">
        <v>2198</v>
      </c>
      <c r="B61" s="0" t="s">
        <v>2199</v>
      </c>
      <c r="C61" s="0" t="s">
        <v>2042</v>
      </c>
      <c r="D61" s="0" t="str">
        <f aca="false">CONCATENATE("""", A61, """,")</f>
        <v>"PEAT",</v>
      </c>
    </row>
    <row r="62" customFormat="false" ht="14.25" hidden="false" customHeight="false" outlineLevel="0" collapsed="false">
      <c r="A62" s="0" t="s">
        <v>2200</v>
      </c>
      <c r="B62" s="0" t="s">
        <v>1972</v>
      </c>
      <c r="C62" s="0" t="s">
        <v>2100</v>
      </c>
      <c r="D62" s="0" t="str">
        <f aca="false">CONCATENATE("""", A62, """,")</f>
        <v>"PETR",</v>
      </c>
    </row>
    <row r="63" customFormat="false" ht="14.25" hidden="false" customHeight="false" outlineLevel="0" collapsed="false">
      <c r="A63" s="0" t="s">
        <v>2201</v>
      </c>
      <c r="B63" s="0" t="s">
        <v>2202</v>
      </c>
      <c r="C63" s="0" t="s">
        <v>2042</v>
      </c>
      <c r="D63" s="0" t="str">
        <f aca="false">CONCATENATE("""", A63, """,")</f>
        <v>"PHOS",</v>
      </c>
    </row>
    <row r="64" customFormat="false" ht="14.25" hidden="false" customHeight="false" outlineLevel="0" collapsed="false">
      <c r="A64" s="0" t="s">
        <v>2091</v>
      </c>
      <c r="B64" s="0" t="s">
        <v>2203</v>
      </c>
      <c r="C64" s="0" t="s">
        <v>2045</v>
      </c>
      <c r="D64" s="0" t="str">
        <f aca="false">CONCATENATE("""", A64, """,")</f>
        <v>"PIPE",</v>
      </c>
    </row>
    <row r="65" customFormat="false" ht="14.25" hidden="false" customHeight="false" outlineLevel="0" collapsed="false">
      <c r="A65" s="0" t="s">
        <v>2143</v>
      </c>
      <c r="B65" s="0" t="s">
        <v>2204</v>
      </c>
      <c r="C65" s="0" t="s">
        <v>2205</v>
      </c>
      <c r="D65" s="0" t="str">
        <f aca="false">CONCATENATE("""", A65, """,")</f>
        <v>"PLAS",</v>
      </c>
    </row>
    <row r="66" customFormat="false" ht="14.25" hidden="false" customHeight="false" outlineLevel="0" collapsed="false">
      <c r="A66" s="0" t="s">
        <v>2206</v>
      </c>
      <c r="B66" s="0" t="s">
        <v>2207</v>
      </c>
      <c r="C66" s="0" t="s">
        <v>2100</v>
      </c>
      <c r="D66" s="0" t="str">
        <f aca="false">CONCATENATE("""", A66, """,")</f>
        <v>"PLST",</v>
      </c>
    </row>
    <row r="67" customFormat="false" ht="14.25" hidden="false" customHeight="false" outlineLevel="0" collapsed="false">
      <c r="A67" s="0" t="s">
        <v>2208</v>
      </c>
      <c r="B67" s="0" t="s">
        <v>2209</v>
      </c>
      <c r="C67" s="0" t="s">
        <v>2042</v>
      </c>
      <c r="D67" s="0" t="str">
        <f aca="false">CONCATENATE("""", A67, """,")</f>
        <v>"PORE",</v>
      </c>
    </row>
    <row r="68" customFormat="false" ht="14.25" hidden="false" customHeight="false" outlineLevel="0" collapsed="false">
      <c r="A68" s="0" t="s">
        <v>2210</v>
      </c>
      <c r="B68" s="0" t="s">
        <v>2211</v>
      </c>
      <c r="C68" s="0" t="s">
        <v>2080</v>
      </c>
      <c r="D68" s="0" t="str">
        <f aca="false">CONCATENATE("""", A68, """,")</f>
        <v>"POTA",</v>
      </c>
    </row>
    <row r="69" customFormat="false" ht="14.25" hidden="false" customHeight="false" outlineLevel="0" collapsed="false">
      <c r="A69" s="0" t="s">
        <v>2094</v>
      </c>
      <c r="B69" s="0" t="s">
        <v>2212</v>
      </c>
      <c r="C69" s="0" t="s">
        <v>2045</v>
      </c>
      <c r="D69" s="0" t="str">
        <f aca="false">CONCATENATE("""", A69, """,")</f>
        <v>"POWR",</v>
      </c>
    </row>
    <row r="70" customFormat="false" ht="14.25" hidden="false" customHeight="false" outlineLevel="0" collapsed="false">
      <c r="A70" s="0" t="s">
        <v>2213</v>
      </c>
      <c r="B70" s="0" t="s">
        <v>2214</v>
      </c>
      <c r="C70" s="0" t="s">
        <v>2080</v>
      </c>
      <c r="D70" s="0" t="str">
        <f aca="false">CONCATENATE("""", A70, """,")</f>
        <v>"QLME",</v>
      </c>
    </row>
    <row r="71" customFormat="false" ht="14.25" hidden="false" customHeight="false" outlineLevel="0" collapsed="false">
      <c r="A71" s="0" t="s">
        <v>2215</v>
      </c>
      <c r="B71" s="0" t="s">
        <v>2216</v>
      </c>
      <c r="C71" s="0" t="s">
        <v>2217</v>
      </c>
      <c r="D71" s="0" t="str">
        <f aca="false">CONCATENATE("""", A71, """,")</f>
        <v>"RCYC",</v>
      </c>
    </row>
    <row r="72" customFormat="false" ht="14.25" hidden="false" customHeight="false" outlineLevel="0" collapsed="false">
      <c r="A72" s="0" t="s">
        <v>2218</v>
      </c>
      <c r="B72" s="0" t="s">
        <v>2219</v>
      </c>
      <c r="C72" s="0" t="s">
        <v>2100</v>
      </c>
      <c r="D72" s="0" t="str">
        <f aca="false">CONCATENATE("""", A72, """,")</f>
        <v>"RFPR",</v>
      </c>
    </row>
    <row r="73" customFormat="false" ht="14.25" hidden="false" customHeight="false" outlineLevel="0" collapsed="false">
      <c r="A73" s="0" t="s">
        <v>2220</v>
      </c>
      <c r="B73" s="0" t="s">
        <v>2221</v>
      </c>
      <c r="C73" s="0" t="s">
        <v>2100</v>
      </c>
      <c r="D73" s="0" t="str">
        <f aca="false">CONCATENATE("""", A73, """,")</f>
        <v>"RUBR",</v>
      </c>
    </row>
    <row r="74" customFormat="false" ht="14.25" hidden="false" customHeight="false" outlineLevel="0" collapsed="false">
      <c r="A74" s="0" t="s">
        <v>1792</v>
      </c>
      <c r="B74" s="0" t="s">
        <v>2222</v>
      </c>
      <c r="C74" s="0" t="s">
        <v>2042</v>
      </c>
      <c r="D74" s="0" t="str">
        <f aca="false">CONCATENATE("""", A74, """,")</f>
        <v>"SALT",</v>
      </c>
    </row>
    <row r="75" customFormat="false" ht="14.25" hidden="false" customHeight="false" outlineLevel="0" collapsed="false">
      <c r="A75" s="0" t="s">
        <v>2223</v>
      </c>
      <c r="B75" s="0" t="s">
        <v>2224</v>
      </c>
      <c r="C75" s="0" t="s">
        <v>2042</v>
      </c>
      <c r="D75" s="0" t="str">
        <f aca="false">CONCATENATE("""", A75, """,")</f>
        <v>"SAND",</v>
      </c>
    </row>
    <row r="76" customFormat="false" ht="14.25" hidden="false" customHeight="false" outlineLevel="0" collapsed="false">
      <c r="A76" s="0" t="s">
        <v>2225</v>
      </c>
      <c r="B76" s="0" t="s">
        <v>2226</v>
      </c>
      <c r="C76" s="0" t="s">
        <v>2080</v>
      </c>
      <c r="D76" s="0" t="str">
        <f aca="false">CONCATENATE("""", A76, """,")</f>
        <v>"SASH",</v>
      </c>
    </row>
    <row r="77" customFormat="false" ht="14.25" hidden="false" customHeight="false" outlineLevel="0" collapsed="false">
      <c r="A77" s="0" t="s">
        <v>2227</v>
      </c>
      <c r="B77" s="0" t="s">
        <v>2228</v>
      </c>
      <c r="C77" s="0" t="s">
        <v>2229</v>
      </c>
      <c r="D77" s="0" t="str">
        <f aca="false">CONCATENATE("""", A77, """,")</f>
        <v>"SCMT",</v>
      </c>
    </row>
    <row r="78" customFormat="false" ht="14.25" hidden="false" customHeight="false" outlineLevel="0" collapsed="false">
      <c r="A78" s="0" t="s">
        <v>2230</v>
      </c>
      <c r="B78" s="0" t="s">
        <v>2231</v>
      </c>
      <c r="C78" s="0" t="s">
        <v>2042</v>
      </c>
      <c r="D78" s="0" t="str">
        <f aca="false">CONCATENATE("""", A78, """,")</f>
        <v>"SGBT",</v>
      </c>
    </row>
    <row r="79" customFormat="false" ht="14.25" hidden="false" customHeight="false" outlineLevel="0" collapsed="false">
      <c r="A79" s="0" t="s">
        <v>2232</v>
      </c>
      <c r="B79" s="0" t="s">
        <v>2233</v>
      </c>
      <c r="C79" s="0" t="s">
        <v>2229</v>
      </c>
      <c r="D79" s="0" t="str">
        <f aca="false">CONCATENATE("""", A79, """,")</f>
        <v>"SGCN",</v>
      </c>
    </row>
    <row r="80" customFormat="false" ht="14.25" hidden="false" customHeight="false" outlineLevel="0" collapsed="false">
      <c r="A80" s="0" t="s">
        <v>2234</v>
      </c>
      <c r="B80" s="0" t="s">
        <v>2235</v>
      </c>
      <c r="C80" s="0" t="s">
        <v>2042</v>
      </c>
      <c r="D80" s="0" t="str">
        <f aca="false">CONCATENATE("""", A80, """,")</f>
        <v>"SLAG",</v>
      </c>
    </row>
    <row r="81" customFormat="false" ht="14.25" hidden="false" customHeight="false" outlineLevel="0" collapsed="false">
      <c r="A81" s="0" t="s">
        <v>2097</v>
      </c>
      <c r="B81" s="0" t="s">
        <v>2236</v>
      </c>
      <c r="C81" s="0" t="s">
        <v>2045</v>
      </c>
      <c r="D81" s="0" t="str">
        <f aca="false">CONCATENATE("""", A81, """,")</f>
        <v>"STAL",</v>
      </c>
    </row>
    <row r="82" customFormat="false" ht="14.25" hidden="false" customHeight="false" outlineLevel="0" collapsed="false">
      <c r="A82" s="0" t="s">
        <v>2101</v>
      </c>
      <c r="B82" s="0" t="s">
        <v>2237</v>
      </c>
      <c r="C82" s="0" t="s">
        <v>2045</v>
      </c>
      <c r="D82" s="0" t="str">
        <f aca="false">CONCATENATE("""", A82, """,")</f>
        <v>"STCB",</v>
      </c>
    </row>
    <row r="83" customFormat="false" ht="14.25" hidden="false" customHeight="false" outlineLevel="0" collapsed="false">
      <c r="A83" s="0" t="s">
        <v>350</v>
      </c>
      <c r="B83" s="0" t="s">
        <v>349</v>
      </c>
      <c r="C83" s="0" t="s">
        <v>2045</v>
      </c>
      <c r="D83" s="0" t="str">
        <f aca="false">CONCATENATE("""", A83, """,")</f>
        <v>"STEL",</v>
      </c>
    </row>
    <row r="84" customFormat="false" ht="14.25" hidden="false" customHeight="false" outlineLevel="0" collapsed="false">
      <c r="A84" s="0" t="s">
        <v>2105</v>
      </c>
      <c r="B84" s="0" t="s">
        <v>2238</v>
      </c>
      <c r="C84" s="0" t="s">
        <v>2045</v>
      </c>
      <c r="D84" s="0" t="str">
        <f aca="false">CONCATENATE("""", A84, """,")</f>
        <v>"STST",</v>
      </c>
    </row>
    <row r="85" customFormat="false" ht="14.25" hidden="false" customHeight="false" outlineLevel="0" collapsed="false">
      <c r="A85" s="0" t="s">
        <v>2239</v>
      </c>
      <c r="B85" s="0" t="s">
        <v>2240</v>
      </c>
      <c r="C85" s="0" t="s">
        <v>2042</v>
      </c>
      <c r="D85" s="0" t="str">
        <f aca="false">CONCATENATE("""", A85, """,")</f>
        <v>"SUGR",</v>
      </c>
    </row>
    <row r="86" customFormat="false" ht="14.25" hidden="false" customHeight="false" outlineLevel="0" collapsed="false">
      <c r="A86" s="0" t="s">
        <v>2241</v>
      </c>
      <c r="B86" s="0" t="s">
        <v>2242</v>
      </c>
      <c r="C86" s="0" t="s">
        <v>2080</v>
      </c>
      <c r="D86" s="0" t="str">
        <f aca="false">CONCATENATE("""", A86, """,")</f>
        <v>"SULP",</v>
      </c>
    </row>
    <row r="87" customFormat="false" ht="14.25" hidden="false" customHeight="false" outlineLevel="0" collapsed="false">
      <c r="A87" s="0" t="s">
        <v>2243</v>
      </c>
      <c r="B87" s="0" t="s">
        <v>2244</v>
      </c>
      <c r="C87" s="0" t="s">
        <v>2162</v>
      </c>
      <c r="D87" s="0" t="str">
        <f aca="false">CONCATENATE("""", A87, """,")</f>
        <v>"SWET",</v>
      </c>
    </row>
    <row r="88" customFormat="false" ht="14.25" hidden="false" customHeight="false" outlineLevel="0" collapsed="false">
      <c r="A88" s="0" t="s">
        <v>2245</v>
      </c>
      <c r="B88" s="0" t="s">
        <v>2246</v>
      </c>
      <c r="C88" s="0" t="s">
        <v>2042</v>
      </c>
      <c r="D88" s="0" t="str">
        <f aca="false">CONCATENATE("""", A88, """,")</f>
        <v>"TOFF",</v>
      </c>
    </row>
    <row r="89" customFormat="false" ht="14.25" hidden="false" customHeight="false" outlineLevel="0" collapsed="false">
      <c r="A89" s="0" t="s">
        <v>2247</v>
      </c>
      <c r="B89" s="0" t="s">
        <v>2248</v>
      </c>
      <c r="C89" s="0" t="s">
        <v>2249</v>
      </c>
      <c r="D89" s="0" t="str">
        <f aca="false">CONCATENATE("""", A89, """,")</f>
        <v>"TOUR",</v>
      </c>
    </row>
    <row r="90" customFormat="false" ht="14.25" hidden="false" customHeight="false" outlineLevel="0" collapsed="false">
      <c r="A90" s="0" t="s">
        <v>2107</v>
      </c>
      <c r="B90" s="0" t="s">
        <v>2250</v>
      </c>
      <c r="C90" s="0" t="s">
        <v>2045</v>
      </c>
      <c r="D90" s="0" t="str">
        <f aca="false">CONCATENATE("""", A90, """,")</f>
        <v>"TOYS",</v>
      </c>
    </row>
    <row r="91" customFormat="false" ht="14.25" hidden="false" customHeight="false" outlineLevel="0" collapsed="false">
      <c r="A91" s="0" t="s">
        <v>2110</v>
      </c>
      <c r="B91" s="0" t="s">
        <v>2251</v>
      </c>
      <c r="C91" s="0" t="s">
        <v>2045</v>
      </c>
      <c r="D91" s="0" t="str">
        <f aca="false">CONCATENATE("""", A91, """,")</f>
        <v>"TYRE",</v>
      </c>
    </row>
    <row r="92" customFormat="false" ht="14.25" hidden="false" customHeight="false" outlineLevel="0" collapsed="false">
      <c r="A92" s="0" t="s">
        <v>2252</v>
      </c>
      <c r="B92" s="0" t="s">
        <v>2253</v>
      </c>
      <c r="C92" s="0" t="s">
        <v>2254</v>
      </c>
      <c r="D92" s="0" t="str">
        <f aca="false">CONCATENATE("""", A92, """,")</f>
        <v>"URAN",</v>
      </c>
    </row>
    <row r="93" customFormat="false" ht="14.25" hidden="false" customHeight="false" outlineLevel="0" collapsed="false">
      <c r="A93" s="0" t="s">
        <v>2255</v>
      </c>
      <c r="B93" s="0" t="s">
        <v>2256</v>
      </c>
      <c r="C93" s="0" t="s">
        <v>2118</v>
      </c>
      <c r="D93" s="0" t="str">
        <f aca="false">CONCATENATE("""", A93, """,")</f>
        <v>"VALU",</v>
      </c>
    </row>
    <row r="94" customFormat="false" ht="14.25" hidden="false" customHeight="false" outlineLevel="0" collapsed="false">
      <c r="A94" s="0" t="s">
        <v>2114</v>
      </c>
      <c r="B94" s="0" t="s">
        <v>2257</v>
      </c>
      <c r="C94" s="0" t="s">
        <v>2045</v>
      </c>
      <c r="D94" s="0" t="str">
        <f aca="false">CONCATENATE("""", A94, """,")</f>
        <v>"VBOD",</v>
      </c>
    </row>
    <row r="95" customFormat="false" ht="14.25" hidden="false" customHeight="false" outlineLevel="0" collapsed="false">
      <c r="A95" s="0" t="s">
        <v>2147</v>
      </c>
      <c r="B95" s="0" t="s">
        <v>2258</v>
      </c>
      <c r="C95" s="0" t="s">
        <v>2259</v>
      </c>
      <c r="D95" s="0" t="str">
        <f aca="false">CONCATENATE("""", A95, """,")</f>
        <v>"VEHI",</v>
      </c>
    </row>
    <row r="96" customFormat="false" ht="14.25" hidden="false" customHeight="false" outlineLevel="0" collapsed="false">
      <c r="A96" s="0" t="s">
        <v>2119</v>
      </c>
      <c r="B96" s="0" t="s">
        <v>2260</v>
      </c>
      <c r="C96" s="0" t="s">
        <v>2045</v>
      </c>
      <c r="D96" s="0" t="str">
        <f aca="false">CONCATENATE("""", A96, """,")</f>
        <v>"VENG",</v>
      </c>
    </row>
    <row r="97" customFormat="false" ht="14.25" hidden="false" customHeight="false" outlineLevel="0" collapsed="false">
      <c r="A97" s="0" t="s">
        <v>2136</v>
      </c>
      <c r="B97" s="0" t="s">
        <v>2261</v>
      </c>
      <c r="C97" s="0" t="s">
        <v>2189</v>
      </c>
      <c r="D97" s="0" t="str">
        <f aca="false">CONCATENATE("""", A97, """,")</f>
        <v>"VPTS",</v>
      </c>
    </row>
    <row r="98" customFormat="false" ht="14.25" hidden="false" customHeight="false" outlineLevel="0" collapsed="false">
      <c r="A98" s="0" t="s">
        <v>2262</v>
      </c>
      <c r="B98" s="0" t="s">
        <v>2263</v>
      </c>
      <c r="C98" s="0" t="s">
        <v>2100</v>
      </c>
      <c r="D98" s="0" t="str">
        <f aca="false">CONCATENATE("""", A98, """,")</f>
        <v>"WATR",</v>
      </c>
    </row>
    <row r="99" customFormat="false" ht="14.25" hidden="false" customHeight="false" outlineLevel="0" collapsed="false">
      <c r="A99" s="0" t="s">
        <v>2139</v>
      </c>
      <c r="B99" s="0" t="s">
        <v>2264</v>
      </c>
      <c r="C99" s="0" t="s">
        <v>2135</v>
      </c>
      <c r="D99" s="0" t="str">
        <f aca="false">CONCATENATE("""", A99, """,")</f>
        <v>"WDPR",</v>
      </c>
    </row>
    <row r="100" customFormat="false" ht="14.25" hidden="false" customHeight="false" outlineLevel="0" collapsed="false">
      <c r="A100" s="0" t="s">
        <v>2265</v>
      </c>
      <c r="B100" s="0" t="s">
        <v>2266</v>
      </c>
      <c r="C100" s="0" t="s">
        <v>2042</v>
      </c>
      <c r="D100" s="0" t="str">
        <f aca="false">CONCATENATE("""", A100, """,")</f>
        <v>"WHEA",</v>
      </c>
    </row>
    <row r="101" customFormat="false" ht="14.25" hidden="false" customHeight="false" outlineLevel="0" collapsed="false">
      <c r="A101" s="0" t="s">
        <v>317</v>
      </c>
      <c r="B101" s="0" t="s">
        <v>2267</v>
      </c>
      <c r="C101" s="0" t="s">
        <v>2045</v>
      </c>
      <c r="D101" s="0" t="str">
        <f aca="false">CONCATENATE("""", A101, """,")</f>
        <v>"WOOD",</v>
      </c>
    </row>
    <row r="102" customFormat="false" ht="14.25" hidden="false" customHeight="false" outlineLevel="0" collapsed="false">
      <c r="A102" s="0" t="s">
        <v>2268</v>
      </c>
      <c r="B102" s="0" t="s">
        <v>2269</v>
      </c>
      <c r="C102" s="0" t="s">
        <v>2049</v>
      </c>
      <c r="D102" s="0" t="str">
        <f aca="false">CONCATENATE("""", A102, """,")</f>
        <v>"WOOL",</v>
      </c>
    </row>
    <row r="103" customFormat="false" ht="14.25" hidden="false" customHeight="false" outlineLevel="0" collapsed="false">
      <c r="A103" s="0" t="s">
        <v>2270</v>
      </c>
      <c r="B103" s="0" t="s">
        <v>2271</v>
      </c>
      <c r="C103" s="0" t="s">
        <v>2272</v>
      </c>
      <c r="D103" s="0" t="str">
        <f aca="false">CONCATENATE("""", A103, """,")</f>
        <v>"YETI",</v>
      </c>
    </row>
    <row r="104" customFormat="false" ht="14.25" hidden="false" customHeight="false" outlineLevel="0" collapsed="false">
      <c r="A104" s="0" t="s">
        <v>2273</v>
      </c>
      <c r="B104" s="0" t="s">
        <v>2274</v>
      </c>
      <c r="C104" s="0" t="s">
        <v>2272</v>
      </c>
      <c r="D104" s="0" t="str">
        <f aca="false">CONCATENATE("""", A104, """,")</f>
        <v>"YETY",</v>
      </c>
    </row>
    <row r="105" customFormat="false" ht="14.25" hidden="false" customHeight="false" outlineLevel="0" collapsed="false">
      <c r="A105" s="0" t="s">
        <v>2126</v>
      </c>
      <c r="B105" s="0" t="s">
        <v>2275</v>
      </c>
      <c r="C105" s="0" t="s">
        <v>2045</v>
      </c>
      <c r="D105" s="0" t="str">
        <f aca="false">CONCATENATE("""", A105, """,")</f>
        <v>"ZINC",</v>
      </c>
    </row>
    <row r="106" customFormat="false" ht="14.25" hidden="false" customHeight="false" outlineLevel="0" collapsed="false">
      <c r="A106" s="0" t="s">
        <v>2165</v>
      </c>
      <c r="B106" s="0" t="s">
        <v>2276</v>
      </c>
      <c r="C106" s="0" t="s">
        <v>2205</v>
      </c>
      <c r="D106" s="0" t="str">
        <f aca="false">CONCATENATE("""", A106, """,")</f>
        <v>"SOAP",</v>
      </c>
    </row>
    <row r="107" customFormat="false" ht="14.25" hidden="false" customHeight="false" outlineLevel="0" collapsed="false">
      <c r="A107" s="0" t="s">
        <v>2277</v>
      </c>
      <c r="B107" s="0" t="s">
        <v>2278</v>
      </c>
      <c r="C107" s="0" t="s">
        <v>2037</v>
      </c>
      <c r="D107" s="0" t="str">
        <f aca="false">CONCATENATE("""", A107, """,")</f>
        <v>"NH3_",</v>
      </c>
    </row>
    <row r="108" customFormat="false" ht="14.25" hidden="false" customHeight="false" outlineLevel="0" collapsed="false">
      <c r="A108" s="0" t="s">
        <v>2279</v>
      </c>
      <c r="B108" s="0" t="s">
        <v>2280</v>
      </c>
      <c r="C108" s="0" t="s">
        <v>2037</v>
      </c>
      <c r="D108" s="0" t="str">
        <f aca="false">CONCATENATE("""", A108, """,")</f>
        <v>"O2__",</v>
      </c>
    </row>
    <row r="109" customFormat="false" ht="14.25" hidden="false" customHeight="false" outlineLevel="0" collapsed="false">
      <c r="A109" s="0" t="s">
        <v>2168</v>
      </c>
      <c r="B109" s="0" t="s">
        <v>2281</v>
      </c>
      <c r="C109" s="0" t="s">
        <v>2205</v>
      </c>
      <c r="D109" s="0" t="str">
        <f aca="false">CONCATENATE("""", A109, """,")</f>
        <v>"COAT",</v>
      </c>
    </row>
    <row r="110" customFormat="false" ht="14.25" hidden="false" customHeight="false" outlineLevel="0" collapsed="false">
      <c r="A110" s="0" t="s">
        <v>2163</v>
      </c>
      <c r="B110" s="0" t="s">
        <v>2282</v>
      </c>
      <c r="C110" s="0" t="s">
        <v>2045</v>
      </c>
      <c r="D110" s="0" t="str">
        <f aca="false">CONCATENATE("""", A110, """,")</f>
        <v>"RBAR",</v>
      </c>
    </row>
    <row r="111" customFormat="false" ht="14.25" hidden="false" customHeight="false" outlineLevel="0" collapsed="false">
      <c r="A111" s="0" t="s">
        <v>2157</v>
      </c>
      <c r="B111" s="0" t="s">
        <v>2283</v>
      </c>
      <c r="C111" s="0" t="s">
        <v>2045</v>
      </c>
      <c r="D111" s="0" t="str">
        <f aca="false">CONCATENATE("""", A111, """,")</f>
        <v>"STSH",</v>
      </c>
    </row>
    <row r="112" customFormat="false" ht="14.25" hidden="false" customHeight="false" outlineLevel="0" collapsed="false">
      <c r="A112" s="0" t="s">
        <v>2160</v>
      </c>
      <c r="B112" s="0" t="s">
        <v>2284</v>
      </c>
      <c r="C112" s="0" t="s">
        <v>2045</v>
      </c>
      <c r="D112" s="0"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2026-05-09T21:34:52Z</dcterms:modified>
  <cp:revision>30</cp:revision>
  <dc:subject/>
  <dc:title/>
</cp:coreProperties>
</file>

<file path=docProps/custom.xml><?xml version="1.0" encoding="utf-8"?>
<Properties xmlns="http://schemas.openxmlformats.org/officeDocument/2006/custom-properties" xmlns:vt="http://schemas.openxmlformats.org/officeDocument/2006/docPropsVTypes"/>
</file>