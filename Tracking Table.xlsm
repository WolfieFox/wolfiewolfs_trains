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Table!$A$1:$CK$373</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<sst xmlns="http://schemas.openxmlformats.org/spreadsheetml/2006/main" count="6611" uniqueCount="2461">
  <si>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</si>
  <si>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</si>
  <si>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</si>
  <si>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</si>
  <si>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</si>
  <si>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</si>
  <si>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</si>
  <si>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</si>
  <si>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</si>
  <si>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</si>
  <si>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</si>
  <si>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</si>
  <si>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</si>
  <si>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</si>
  <si>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</si>
  <si>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</si>
  <si>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</si>
  <si>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</si>
  <si>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</si>
  <si>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</si>
  <si>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</si>
  <si>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</si>
  <si>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</si>
  <si>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</si>
  <si>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</si>
  <si>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</si>
  <si>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</si>
  <si>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</si>
  <si>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</si>
  <si>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</si>
  <si>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</si>
  <si>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</si>
  <si>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</si>
  <si>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</si>
  <si>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</si>
  <si>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</si>
  <si>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</si>
  <si>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</si>
  <si>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</si>
  <si>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</si>
  <si>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</si>
  <si>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</si>
  <si>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</si>
  <si>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</si>
  <si>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</si>
  <si>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</si>
  <si>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</si>
  <si>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</si>
  <si>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</si>
  <si>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</si>
  <si>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</si>
  <si>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</si>
  <si>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</si>
  <si>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</si>
  <si>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</si>
  <si>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</si>
  <si>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</si>
  <si>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</si>
  <si>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</si>
  <si>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</si>
  <si>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</si>
  <si>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</si>
  <si>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</si>
  <si>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</si>
  <si>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</si>
  <si>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</si>
  <si>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</si>
  <si>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</si>
  <si>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</si>
  <si>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</si>
  <si>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</si>
  <si>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</si>
  <si>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</si>
  <si>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</si>
  <si>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</si>
  <si>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</si>
  <si>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</si>
  <si>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</si>
  <si>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</si>
  <si>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</si>
  <si>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</si>
  <si>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</si>
  <si>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</si>
  <si>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</si>
  <si>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</si>
  <si>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</si>
  <si>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</si>
  <si>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</si>
  <si>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</si>
  <si>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</si>
  <si>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</si>
  <si>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</si>
  <si>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</si>
  <si>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</si>
  <si>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</si>
  <si>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</si>
  <si>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</si>
  <si>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</si>
  <si>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</si>
  <si>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</si>
  <si>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</si>
  <si>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</si>
  <si>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</si>
  <si>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</si>
  <si>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</si>
  <si>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</si>
  <si>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</si>
  <si>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</si>
  <si>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</si>
  <si>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</si>
  <si>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</si>
  <si>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</si>
  <si>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</si>
  <si>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</si>
  <si>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</si>
  <si>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</si>
  <si>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</si>
  <si>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</si>
  <si>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</si>
  <si>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</si>
  <si>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</si>
  <si>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</si>
  <si>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</si>
  <si>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</si>
  <si>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</si>
  <si>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</si>
  <si>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</si>
  <si>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</si>
  <si>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</si>
  <si>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</si>
  <si>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</si>
  <si>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</si>
  <si>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</si>
  <si>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</si>
  <si>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</si>
  <si>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</si>
  <si>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</si>
  <si>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</si>
  <si>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</si>
  <si>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</si>
  <si>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</si>
  <si>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</si>
  <si>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</si>
  <si>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</si>
  <si>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</si>
  <si>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</si>
  <si>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</si>
  <si>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</si>
  <si>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</si>
  <si>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</si>
  <si>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</si>
  <si>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</si>
  <si>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</si>
  <si>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</si>
  <si>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</si>
  <si>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</si>
  <si>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</si>
  <si>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</si>
  <si>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</si>
  <si>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</si>
  <si>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</si>
  <si>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</si>
  <si>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</si>
  <si>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</si>
  <si>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</si>
  <si>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</si>
  <si>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</si>
  <si>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</si>
  <si>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</si>
  <si>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</si>
  <si>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</si>
  <si>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</si>
  <si>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</si>
  <si>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</si>
  <si>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</si>
  <si>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</si>
  <si>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</si>
  <si>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</si>
  <si>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</si>
  <si>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</si>
  <si>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</si>
  <si>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</si>
  <si>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</si>
  <si>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</si>
  <si>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</si>
  <si>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</si>
  <si>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</si>
  <si>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</si>
  <si>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</si>
  <si>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</si>
  <si>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</si>
  <si>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</si>
  <si>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</si>
  <si>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</si>
  <si>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</si>
  <si>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</si>
  <si>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</si>
  <si>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</si>
  <si>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</si>
  <si>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</si>
  <si>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</si>
  <si>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</si>
  <si>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</si>
  <si>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</si>
  <si>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</si>
  <si>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</si>
  <si>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</si>
  <si>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</si>
  <si>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</si>
  <si>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</si>
  <si>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</si>
  <si>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</si>
  <si>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</si>
  <si>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</si>
  <si>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</si>
  <si>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</si>
  <si>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</si>
  <si>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</si>
  <si>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</si>
  <si>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</si>
  <si>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</si>
  <si>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</si>
  <si>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</si>
  <si>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</si>
  <si>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</si>
  <si>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</si>
  <si>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</si>
  <si>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</si>
  <si>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</si>
  <si>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</si>
  <si>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</si>
  <si>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</si>
  <si>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</si>
  <si>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</si>
  <si>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</si>
  <si>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</si>
  <si>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</si>
  <si>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</si>
  <si>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</si>
  <si>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</si>
  <si>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</si>
  <si>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</si>
  <si>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</si>
  <si>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</si>
  <si>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</si>
  <si>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</si>
  <si>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</si>
  <si>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</si>
  <si>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</si>
  <si>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</si>
  <si>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</si>
  <si>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</si>
  <si>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</si>
  <si>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</si>
  <si>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</si>
  <si>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</si>
  <si>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</si>
  <si>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</si>
  <si>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</si>
  <si>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</si>
  <si>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</si>
  <si>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</si>
  <si>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</si>
  <si>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</si>
  <si>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</si>
  <si>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</si>
  <si>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</si>
  <si>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</si>
  <si>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</si>
  <si>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</si>
  <si>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</si>
  <si>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</si>
  <si>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</si>
  <si>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</si>
  <si>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</si>
  <si>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</si>
  <si>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</si>
  <si>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</si>
  <si>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</si>
  <si>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</si>
  <si>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</si>
  <si>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</si>
  <si>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</si>
  <si>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</si>
  <si>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</si>
  <si>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</si>
  <si>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</si>
  <si>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</si>
  <si>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</si>
  <si>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</si>
  <si>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</si>
  <si>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</si>
  <si>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</si>
  <si>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</si>
  <si>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</si>
  <si>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</si>
  <si>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</si>
  <si>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</si>
  <si>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</si>
  <si>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</si>
  <si>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</si>
  <si>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</si>
  <si>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</si>
  <si>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</si>
  <si>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</si>
  <si>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</si>
  <si>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</si>
  <si>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</si>
  <si>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</si>
  <si>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</si>
  <si>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</si>
  <si>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</si>
  <si>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</si>
  <si>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</si>
  <si>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</si>
  <si>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</si>
  <si>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</si>
  <si>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</si>
  <si>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</si>
  <si>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</si>
  <si>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</si>
  <si>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</si>
  <si>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</si>
  <si>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</si>
  <si>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</si>
  <si>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</si>
  <si>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</si>
  <si>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</si>
  <si>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</si>
  <si>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</si>
  <si>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</si>
  <si>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</si>
  <si>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</si>
  <si>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</si>
  <si>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</si>
  <si>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</si>
  <si>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</si>
  <si>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</si>
  <si>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</si>
  <si>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</si>
  <si>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</si>
  <si>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</si>
  <si>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</si>
  <si>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</si>
  <si>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</si>
  <si>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</si>
  <si>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</si>
  <si>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</si>
  <si>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</si>
  <si>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</si>
  <si>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</si>
  <si>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</si>
  <si>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</si>
  <si>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</si>
  <si>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</si>
  <si>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</si>
  <si>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</si>
  <si>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</si>
  <si>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</si>
  <si>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</si>
  <si>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</si>
  <si>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</si>
  <si>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</si>
  <si>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</si>
  <si>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</si>
  <si>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</si>
  <si>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</si>
  <si>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</si>
  <si>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</si>
  <si>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</si>
  <si>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</si>
  <si>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</si>
  <si>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</si>
  <si>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</si>
  <si>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</si>
  <si>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</si>
  <si>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</si>
  <si>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</si>
  <si>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</si>
  <si>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</si>
  <si>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</si>
  <si>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</si>
  <si>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</si>
  <si>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</si>
  <si>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</si>
  <si>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</si>
  <si>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</si>
  <si>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</si>
  <si>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</si>
  <si>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</si>
  <si>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</si>
  <si>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</si>
  <si>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</si>
  <si>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</si>
  <si>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</si>
  <si>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</si>
  <si>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</si>
  <si>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</si>
  <si>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</si>
  <si>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</si>
  <si>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</si>
  <si>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</si>
  <si>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</si>
  <si>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</si>
  <si>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</si>
  <si>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</si>
  <si>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</si>
  <si>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</si>
  <si>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</si>
  <si>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</si>
  <si>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</si>
  <si>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</si>
  <si>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</si>
  <si>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</si>
  <si>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</si>
  <si>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</si>
  <si>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</si>
  <si>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</si>
  <si>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</si>
  <si>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</si>
  <si>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</si>
  <si>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</si>
  <si>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</si>
  <si>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</si>
  <si>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</si>
  <si>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</si>
  <si>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</si>
  <si>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</si>
  <si>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</si>
  <si>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</si>
  <si>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</si>
  <si>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</si>
  <si>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</si>
  <si>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</si>
  <si>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</si>
  <si>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</si>
  <si>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</si>
  <si>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</si>
  <si>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</si>
  <si>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</si>
  <si>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</si>
  <si>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</si>
  <si>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</si>
  <si>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</si>
  <si>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</si>
  <si>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</si>
  <si>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</si>
  <si>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</si>
  <si>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</si>
  <si>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</si>
  <si>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</si>
  <si>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</si>
  <si>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</si>
  <si>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</si>
  <si>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</si>
  <si>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</si>
  <si>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</si>
  <si>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</si>
  <si>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</si>
  <si>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</si>
  <si>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</si>
  <si>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</si>
  <si>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</si>
  <si>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</si>
  <si>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</si>
  <si>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</si>
  <si>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</si>
  <si>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</si>
  <si>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</si>
  <si>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</si>
  <si>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</si>
  <si>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</si>
  <si>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</si>
  <si>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</si>
  <si>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</si>
  <si>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</si>
  <si>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</si>
  <si>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</si>
  <si>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</si>
  <si>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</si>
  <si>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</si>
  <si>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</si>
  <si>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</si>
  <si>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</si>
  <si>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</si>
  <si>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</si>
  <si>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</si>
  <si>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</si>
  <si>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</si>
  <si>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</si>
  <si>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</si>
  <si>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</si>
  <si>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</si>
  <si>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</si>
  <si>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</si>
  <si>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</si>
  <si>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</si>
  <si>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</si>
  <si>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</si>
  <si>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</si>
  <si>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</si>
  <si>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</si>
  <si>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</si>
  <si>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</si>
  <si>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</si>
  <si>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</si>
  <si>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</si>
  <si>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</si>
  <si>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</si>
  <si>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</si>
  <si>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</si>
  <si>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</si>
  <si>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</si>
  <si>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</si>
  <si>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</si>
  <si>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</si>
  <si>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</si>
  <si>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</si>
  <si>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</si>
  <si>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</si>
  <si>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</si>
  <si>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</si>
  <si>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</si>
  <si>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</si>
  <si>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</si>
  <si>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</si>
  <si>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</si>
  <si>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</si>
  <si>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</si>
  <si>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</si>
  <si>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</si>
  <si>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</si>
  <si>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</si>
  <si>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</si>
  <si>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</si>
  <si>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</si>
  <si>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</si>
  <si>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</si>
  <si>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</si>
  <si>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</si>
  <si>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</si>
  <si>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</si>
  <si>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</si>
  <si>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</si>
  <si>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</si>
  <si>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</si>
  <si>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</si>
  <si>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</si>
  <si>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</si>
  <si>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</si>
  <si>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</si>
  <si>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</si>
  <si>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</si>
  <si>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</si>
  <si>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</si>
  <si>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</si>
  <si>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Express (Electric)</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</si>
  <si>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</si>
  <si>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</si>
  <si>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</si>
  <si>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</si>
  <si>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</si>
  <si>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</si>
  <si>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</si>
  <si>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</si>
  <si>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</si>
  <si>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</si>
  <si>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</si>
  <si>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</si>
  <si>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</si>
  <si>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</si>
  <si>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</si>
  <si>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</si>
  <si>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</si>
  <si>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</si>
  <si>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</si>
  <si>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</si>
  <si>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</si>
  <si>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</si>
  <si>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</si>
  <si>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</si>
  <si>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</si>
  <si>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</si>
  <si>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</si>
  <si>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</si>
  <si>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</si>
  <si>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</si>
  <si>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</si>
  <si>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</si>
  <si>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</si>
  <si>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</si>
  <si>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</si>
  <si>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</si>
  <si>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</si>
  <si>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</si>
  <si>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</si>
  <si>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</si>
  <si>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</si>
  <si>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</si>
  <si>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</si>
  <si>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</si>
  <si>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</si>
  <si>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</si>
  <si>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</si>
  <si>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</si>
  <si>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</si>
  <si>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</si>
  <si>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</si>
  <si>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</si>
  <si>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</si>
  <si>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</si>
  <si>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</si>
  <si>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</si>
  <si>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</si>
  <si>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</si>
  <si>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</si>
  <si>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</si>
  <si>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</si>
  <si>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</si>
  <si>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</si>
  <si>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</si>
  <si>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</si>
  <si>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</si>
  <si>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</si>
  <si>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</si>
  <si>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</si>
  <si>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</si>
  <si>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</si>
  <si>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</si>
  <si>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</si>
  <si>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</si>
  <si>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</si>
  <si>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</si>
  <si>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</si>
  <si>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</si>
  <si>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</si>
  <si>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</si>
  <si>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</si>
  <si>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</si>
  <si>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</si>
  <si>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</si>
  <si>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</si>
  <si>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</si>
  <si>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</si>
  <si>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</si>
  <si>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</si>
  <si>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</si>
  <si>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</si>
  <si>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</si>
  <si>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</si>
  <si>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</si>
  <si>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</si>
  <si>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</si>
  <si>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</si>
  <si>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</si>
  <si>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</si>
  <si>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</si>
  <si>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</si>
  <si>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</si>
  <si>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</si>
  <si>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concept_trains</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</si>
  <si>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</si>
  <si>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</si>
  <si>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</si>
  <si>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</si>
  <si>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</si>
  <si>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</si>
  <si>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</si>
  <si>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</si>
  <si>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</si>
  <si>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</si>
  <si>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</si>
  <si>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</si>
  <si>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</si>
  <si>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</si>
  <si>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</si>
  <si>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</si>
  <si>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</si>
  <si>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</si>
  <si>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</si>
  <si>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</si>
  <si>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</si>
  <si>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</si>
  <si>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</si>
  <si>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</si>
  <si>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</si>
  <si>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</si>
  <si>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</si>
  <si>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</si>
  <si>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</si>
  <si>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</si>
  <si>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</si>
  <si>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</si>
  <si>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</si>
  <si>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</si>
  <si>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</si>
  <si>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</si>
  <si>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</si>
  <si>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</si>
  <si>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</si>
  <si>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</si>
  <si>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</si>
  <si>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</si>
  <si>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</si>
  <si>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</si>
  <si>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</si>
  <si>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</si>
  <si>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</si>
  <si>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</si>
  <si>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</si>
  <si>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</si>
  <si>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</si>
  <si>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</si>
  <si>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</si>
  <si>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</si>
  <si>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</si>
  <si>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</si>
  <si>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</si>
  <si>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</si>
  <si>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</si>
  <si>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</si>
  <si>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</si>
  <si>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</si>
  <si>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</si>
  <si>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</si>
  <si>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</si>
  <si>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</si>
  <si>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</si>
  <si>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</si>
  <si>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</si>
  <si>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</si>
  <si>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</si>
  <si>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</si>
  <si>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</si>
  <si>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</si>
  <si>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</si>
  <si>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</si>
  <si>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</si>
  <si>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</si>
  <si>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</si>
  <si>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</si>
  <si>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</si>
  <si>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</si>
  <si>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</si>
  <si>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</si>
  <si>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</si>
  <si>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</si>
  <si>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</si>
  <si>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</si>
  <si>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</si>
  <si>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</si>
  <si>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</si>
  <si>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</si>
  <si>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</si>
  <si>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</si>
  <si>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</si>
  <si>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</si>
  <si>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</si>
  <si>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</si>
  <si>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</si>
  <si>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</si>
  <si>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</si>
  <si>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</si>
  <si>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</si>
  <si>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</si>
  <si>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</si>
  <si>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</si>
  <si>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</si>
  <si>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</si>
  <si>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</si>
  <si>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</si>
  <si>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</si>
  <si>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</si>
  <si>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</si>
  <si>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</si>
  <si>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</si>
  <si>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</si>
  <si>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</si>
  <si>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</si>
  <si>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</si>
  <si>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</si>
  <si>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</si>
  <si>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</si>
  <si>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</si>
  <si>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</si>
  <si>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</si>
  <si>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</si>
  <si>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</si>
  <si>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</si>
  <si>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</si>
  <si>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</si>
  <si>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</si>
  <si>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</si>
  <si>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</si>
  <si>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</si>
  <si>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</si>
  <si>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</si>
  <si>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</si>
  <si>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</si>
  <si>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</si>
  <si>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</si>
  <si>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</si>
  <si>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</si>
  <si>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</si>
  <si>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</si>
  <si>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</si>
  <si>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</si>
  <si>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</si>
  <si>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</si>
  <si>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</si>
  <si>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</si>
  <si>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</si>
  <si>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</si>
  <si>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</si>
  <si>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</si>
  <si>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</si>
  <si>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</si>
  <si>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</si>
  <si>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</si>
  <si>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</si>
  <si>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</si>
  <si>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</si>
  <si>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</si>
  <si>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</si>
  <si>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</si>
  <si>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</si>
  <si>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</si>
  <si>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</si>
  <si>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</si>
  <si>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</si>
  <si>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</si>
  <si>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</si>
  <si>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</si>
  <si>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</si>
  <si>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</si>
  <si>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</si>
  <si>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</si>
  <si>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</si>
  <si>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</si>
  <si>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</si>
  <si>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</si>
  <si>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</si>
  <si>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</si>
  <si>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</si>
  <si>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</si>
  <si>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</si>
  <si>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</si>
  <si>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</si>
  <si>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</si>
  <si>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</si>
  <si>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</si>
  <si>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</si>
  <si>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</si>
  <si>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</si>
  <si>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</si>
  <si>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</si>
  <si>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</si>
  <si>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</si>
  <si>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</si>
  <si>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</si>
  <si>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</si>
  <si>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</si>
  <si>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</si>
  <si>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</si>
  <si>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</si>
  <si>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</si>
  <si>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</si>
  <si>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</si>
  <si>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</si>
  <si>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</si>
  <si>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</si>
  <si>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</si>
  <si>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</si>
  <si>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</si>
  <si>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</si>
  <si>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</si>
  <si>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</si>
  <si>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</si>
  <si>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</si>
  <si>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</si>
  <si>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</si>
  <si>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</si>
  <si>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</si>
  <si>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</si>
  <si>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</si>
  <si>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</si>
  <si>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</si>
  <si>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</si>
  <si>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</si>
  <si>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</si>
  <si>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</si>
  <si>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</si>
  <si>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</si>
  <si>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</si>
  <si>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</si>
  <si>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</si>
  <si>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</si>
  <si>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</si>
  <si>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</si>
  <si>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</si>
  <si>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</si>
  <si>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</si>
  <si>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</si>
  <si>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</si>
  <si>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</si>
  <si>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</si>
  <si>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</si>
  <si>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</si>
  <si>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</si>
  <si>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</si>
  <si>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</si>
  <si>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</si>
  <si>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</si>
  <si>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</si>
  <si>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</si>
  <si>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</si>
  <si>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</si>
  <si>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</si>
  <si>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</si>
  <si>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</si>
  <si>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</si>
  <si>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</si>
  <si>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</si>
  <si>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</si>
  <si>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</si>
  <si>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</si>
  <si>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</si>
  <si>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</si>
  <si>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</si>
  <si>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</si>
  <si>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</si>
  <si>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</si>
  <si>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</si>
  <si>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</si>
  <si>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</si>
  <si>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</si>
  <si>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</si>
  <si>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</si>
  <si>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</si>
  <si>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</si>
  <si>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</si>
  <si>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</si>
  <si>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</si>
  <si>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</si>
  <si>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</si>
  <si>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</si>
  <si>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</si>
  <si>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</si>
  <si>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</si>
  <si>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</si>
  <si>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</si>
  <si>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</si>
  <si>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</si>
  <si>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</si>
  <si>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</si>
  <si>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</si>
  <si>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</si>
  <si>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</si>
  <si>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</si>
  <si>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</si>
  <si>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</si>
  <si>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</si>
  <si>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</si>
  <si>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</si>
  <si>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</si>
  <si>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</si>
  <si>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</si>
  <si>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</si>
  <si>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</si>
  <si>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</si>
  <si>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</si>
  <si>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</si>
  <si>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</si>
  <si>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</si>
  <si>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</si>
  <si>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</si>
  <si>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</si>
  <si>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</si>
  <si>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</si>
  <si>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</si>
  <si>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</si>
  <si>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</si>
  <si>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</si>
  <si>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</si>
  <si>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</si>
  <si>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</si>
  <si>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</si>
  <si>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</si>
  <si>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</si>
  <si>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</si>
  <si>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</si>
  <si>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</si>
  <si>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</si>
  <si>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</si>
  <si>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</si>
  <si>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</si>
  <si>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</si>
  <si>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</si>
  <si>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</si>
  <si>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</si>
  <si>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</si>
  <si>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</si>
  <si>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</si>
  <si>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</si>
  <si>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</si>
  <si>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</si>
  <si>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</si>
  <si>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</si>
  <si>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</si>
  <si>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</si>
  <si>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</si>
  <si>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</si>
  <si>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</si>
  <si>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</si>
  <si>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</si>
  <si>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</si>
  <si>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</si>
  <si>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</si>
  <si>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</si>
  <si>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</si>
  <si>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</si>
  <si>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</si>
  <si>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</si>
  <si>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</si>
  <si>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</si>
  <si>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</si>
  <si>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</si>
  <si>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</si>
  <si>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</si>
  <si>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</si>
  <si>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</si>
  <si>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</si>
  <si>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</si>
  <si>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</si>
  <si>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</si>
  <si>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</si>
  <si>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</si>
  <si>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</si>
  <si>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</si>
  <si>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</si>
  <si>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</si>
  <si>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</si>
  <si>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</si>
  <si>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</si>
  <si>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</si>
  <si>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</si>
  <si>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</si>
  <si>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</si>
  <si>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</si>
  <si>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</si>
  <si>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</si>
  <si>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</si>
  <si>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</si>
  <si>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</si>
  <si>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</si>
  <si>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</si>
  <si>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</si>
  <si>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</si>
  <si>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</si>
  <si>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</si>
  <si>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</si>
  <si>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</si>
  <si>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</si>
  <si>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</si>
  <si>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</si>
  <si>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</si>
  <si>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</si>
  <si>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</si>
  <si>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</si>
  <si>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</si>
  <si>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</si>
  <si>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</si>
  <si>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</si>
  <si>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</si>
  <si>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</si>
  <si>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</si>
  <si>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</si>
  <si>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</si>
  <si>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</si>
  <si>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</si>
  <si>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</si>
  <si>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</si>
  <si>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</si>
  <si>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</si>
  <si>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</si>
  <si>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</si>
  <si>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</si>
  <si>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</si>
  <si>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</si>
  <si>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</si>
  <si>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</si>
  <si>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</si>
  <si>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</si>
  <si>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</si>
  <si>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</si>
  <si>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</si>
  <si>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</si>
  <si>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</si>
  <si>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</si>
  <si>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</si>
  <si>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</si>
  <si>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</si>
  <si>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</si>
  <si>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</si>
  <si>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</si>
  <si>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</si>
  <si>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</si>
  <si>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</si>
  <si>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</si>
  <si>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</si>
  <si>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</si>
  <si>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</si>
  <si>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</si>
  <si>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</si>
  <si>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</si>
  <si>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</si>
  <si>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</si>
  <si>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</si>
  <si>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</si>
  <si>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</si>
  <si>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</si>
  <si>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</si>
  <si>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</si>
  <si>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</si>
  <si>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</si>
  <si>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</si>
  <si>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</si>
  <si>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</si>
  <si>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</si>
  <si>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</si>
  <si>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</si>
  <si>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</si>
  <si>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</si>
  <si>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</si>
  <si>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</si>
  <si>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</si>
  <si>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</si>
  <si>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</si>
  <si>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</si>
  <si>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</si>
  <si>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</si>
  <si>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</si>
  <si>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</si>
  <si>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</si>
  <si>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</si>
  <si>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</si>
  <si>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</si>
  <si>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</si>
  <si>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</si>
  <si>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</si>
  <si>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</si>
  <si>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</si>
  <si>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</si>
  <si>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</si>
  <si>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</si>
  <si>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</si>
  <si>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</si>
  <si>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</si>
  <si>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</si>
  <si>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</si>
  <si>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</si>
  <si>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</si>
  <si>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</si>
  <si>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</si>
  <si>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</si>
  <si>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</si>
  <si>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</si>
  <si>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</si>
  <si>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</si>
  <si>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</si>
  <si>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</si>
  <si>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</si>
  <si>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</si>
  <si>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</si>
  <si>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</si>
  <si>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</si>
  <si>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</si>
  <si>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</si>
  <si>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</si>
  <si>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</si>
  <si>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</si>
  <si>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</si>
  <si>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</si>
  <si>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</si>
  <si>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</si>
  <si>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</si>
  <si>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</si>
  <si>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</si>
  <si>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</si>
  <si>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</si>
  <si>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</si>
  <si>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</si>
  <si>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</si>
  <si>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</si>
  <si>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</si>
  <si>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</si>
  <si>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</si>
  <si>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</si>
  <si>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</si>
  <si>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</si>
  <si>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</si>
  <si>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</si>
  <si>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</si>
  <si>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</si>
  <si>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</si>
  <si>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</si>
  <si>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</si>
  <si>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</si>
  <si>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</si>
  <si>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</si>
  <si>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</si>
  <si>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</si>
  <si>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</si>
  <si>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</si>
  <si>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</si>
  <si>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</si>
  <si>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</si>
  <si>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</si>
  <si>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</si>
  <si>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</si>
  <si>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</si>
  <si>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</si>
  <si>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</si>
  <si>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</si>
  <si>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</si>
  <si>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</si>
  <si>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</si>
  <si>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</si>
  <si>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</si>
  <si>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</si>
  <si>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</si>
  <si>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</si>
  <si>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</si>
  <si>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</si>
  <si>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</si>
  <si>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</si>
  <si>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</si>
  <si>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</si>
  <si>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</si>
  <si>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</si>
  <si>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</si>
  <si>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</si>
  <si>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</si>
  <si>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</si>
  <si>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</si>
  <si>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</si>
  <si>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</si>
  <si>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</si>
  <si>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</si>
  <si>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</si>
  <si>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</si>
  <si>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</si>
  <si>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</si>
  <si>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</si>
  <si>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</si>
  <si>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</si>
  <si>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</si>
  <si>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</si>
  <si>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</si>
  <si>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</si>
  <si>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</si>
  <si>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</si>
  <si>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</si>
  <si>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</si>
  <si>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</si>
  <si>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</si>
  <si>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</si>
  <si>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</si>
  <si>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</si>
  <si>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</si>
  <si>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</si>
  <si>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</si>
  <si>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</si>
  <si>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</si>
  <si>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</si>
  <si>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</si>
  <si>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</si>
  <si>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</si>
  <si>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</si>
  <si>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</si>
  <si>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</si>
  <si>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</si>
  <si>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</si>
  <si>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</si>
  <si>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</si>
  <si>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</si>
  <si>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</si>
  <si>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</si>
  <si>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</si>
  <si>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</si>
  <si>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</si>
  <si>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</si>
  <si>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</si>
  <si>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</si>
  <si>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</si>
  <si>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</si>
  <si>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</si>
  <si>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</si>
  <si>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</si>
  <si>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</si>
  <si>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</si>
  <si>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</si>
  <si>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</si>
  <si>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</si>
  <si>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</si>
  <si>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</si>
  <si>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</si>
  <si>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</si>
  <si>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</si>
  <si>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</si>
  <si>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</si>
  <si>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</si>
  <si>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</si>
  <si>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</si>
  <si>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</si>
  <si>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</si>
  <si>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</si>
  <si>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</si>
  <si>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</si>
  <si>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</si>
  <si>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</si>
  <si>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</si>
  <si>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</si>
  <si>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</si>
  <si>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</si>
  <si>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</si>
  <si>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</si>
  <si>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</si>
  <si>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</si>
  <si>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</si>
  <si>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</si>
  <si>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</si>
  <si>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</si>
  <si>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</si>
  <si>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</si>
  <si>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</si>
  <si>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</si>
  <si>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</si>
  <si>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</si>
  <si>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</si>
  <si>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</si>
  <si>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</si>
  <si>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</si>
  <si>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</si>
  <si>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</si>
  <si>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</si>
  <si>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</si>
  <si>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</si>
  <si>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</si>
  <si>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</si>
  <si>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</si>
  <si>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</si>
  <si>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</si>
  <si>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</si>
  <si>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</si>
  <si>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</si>
  <si>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</si>
  <si>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</si>
  <si>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</si>
  <si>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</si>
  <si>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</si>
  <si>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</si>
  <si>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</si>
  <si>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</si>
  <si>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</si>
  <si>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</si>
  <si>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</si>
  <si>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</si>
  <si>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</si>
  <si>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</si>
  <si>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</si>
  <si>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</si>
  <si>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</si>
  <si>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</si>
  <si>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</si>
  <si>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</si>
  <si>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</si>
  <si>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</si>
  <si>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</si>
  <si>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</si>
  <si>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</si>
  <si>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</si>
  <si>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</si>
  <si>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</si>
  <si>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</si>
  <si>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</si>
  <si>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</si>
  <si>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</si>
  <si>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</si>
  <si>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</si>
  <si>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</si>
  <si>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</si>
  <si>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</si>
  <si>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</si>
  <si>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</si>
  <si>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</si>
  <si>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</si>
  <si>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</si>
  <si>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</si>
  <si>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</si>
  <si>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</si>
  <si>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</si>
  <si>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</si>
  <si>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</si>
  <si>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</si>
  <si>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</si>
  <si>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</si>
  <si>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</si>
  <si>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</si>
  <si>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</si>
  <si>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</si>
  <si>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</si>
  <si>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</si>
  <si>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</si>
  <si>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</si>
  <si>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</si>
  <si>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</si>
  <si>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</si>
  <si>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</si>
  <si>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</si>
  <si>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</si>
  <si>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</si>
  <si>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</si>
  <si>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</si>
  <si>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</si>
  <si>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</si>
  <si>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</si>
  <si>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</si>
  <si>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</si>
  <si>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</si>
  <si>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</si>
  <si>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</si>
  <si>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</si>
  <si>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</si>
  <si>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</si>
  <si>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</si>
  <si>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</si>
  <si>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</si>
  <si>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</si>
  <si>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</si>
  <si>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</si>
  <si>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</si>
  <si>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</si>
  <si>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</si>
  <si>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</si>
  <si>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</si>
  <si>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</si>
  <si>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</si>
  <si>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</si>
  <si>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</si>
  <si>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</si>
  <si>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</si>
  <si>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</si>
  <si>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</si>
  <si>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</si>
  <si>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</si>
  <si>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</si>
  <si>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</si>
  <si>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</si>
  <si>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</si>
  <si>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</si>
  <si>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</si>
  <si>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</si>
  <si>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</si>
  <si>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</si>
  <si>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</si>
  <si>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</si>
  <si>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</si>
  <si>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</si>
  <si>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</si>
  <si>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</si>
  <si>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</si>
  <si>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</si>
  <si>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</si>
  <si>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</si>
  <si>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</si>
  <si>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</si>
  <si>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</si>
  <si>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</si>
  <si>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</si>
  <si>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</si>
  <si>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</si>
  <si>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</si>
  <si>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</si>
  <si>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</si>
  <si>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</si>
  <si>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</si>
  <si>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</si>
  <si>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</si>
  <si>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</si>
  <si>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</si>
  <si>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</si>
  <si>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</si>
  <si>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</si>
  <si>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</si>
  <si>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</si>
  <si>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</si>
  <si>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</si>
  <si>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</si>
  <si>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</si>
  <si>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</si>
  <si>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</si>
  <si>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</si>
  <si>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</si>
  <si>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</si>
  <si>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</si>
  <si>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</si>
  <si>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</si>
  <si>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</si>
  <si>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</si>
  <si>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</si>
  <si>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</si>
  <si>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</si>
  <si>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</si>
  <si>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</si>
  <si>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</si>
  <si>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</si>
  <si>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</si>
  <si>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</si>
  <si>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</si>
  <si>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</si>
  <si>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</si>
  <si>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</si>
  <si>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</si>
  <si>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</si>
  <si>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</si>
  <si>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</si>
  <si>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</si>
  <si>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</si>
  <si>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</si>
  <si>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</si>
  <si>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</si>
  <si>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</si>
  <si>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</si>
  <si>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</si>
  <si>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</si>
  <si>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</si>
  <si>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</si>
  <si>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</si>
  <si>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</si>
  <si>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</si>
  <si>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</si>
  <si>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</si>
  <si>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</si>
  <si>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</si>
  <si>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</si>
  <si>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</si>
  <si>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</si>
  <si>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</si>
  <si>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</si>
  <si>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</si>
  <si>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</si>
  <si>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</si>
  <si>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</si>
  <si>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</si>
  <si>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</si>
  <si>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</si>
  <si>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</si>
  <si>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</si>
  <si>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</si>
  <si>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</si>
  <si>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</si>
  <si>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</si>
  <si>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</si>
  <si>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</si>
  <si>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</si>
  <si>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</si>
  <si>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</si>
  <si>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</si>
  <si>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</si>
  <si>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</si>
  <si>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</si>
  <si>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</si>
  <si>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</si>
  <si>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</si>
  <si>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</si>
  <si>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</si>
  <si>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</si>
  <si>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BR Mk3b (BFO)</t>
  </si>
  <si>
    <t xml:space="preserve">passenger_coach_mk3b_bfo</t>
  </si>
  <si>
    <t xml:space="preserve">replace_last,passenger_coach_mk3b_bfo_rev</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</si>
  <si>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</si>
  <si>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</si>
  <si>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</si>
  <si>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</si>
  <si>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</si>
  <si>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</si>
  <si>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</si>
  <si>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</si>
  <si>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</si>
  <si>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</si>
  <si>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</si>
  <si>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</si>
  <si>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</si>
  <si>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</si>
  <si>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</si>
  <si>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</si>
  <si>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</si>
  <si>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</si>
  <si>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</si>
  <si>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</si>
  <si>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</si>
  <si>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</si>
  <si>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</si>
  <si>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</si>
  <si>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</si>
  <si>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</si>
  <si>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</si>
  <si>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</si>
  <si>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</si>
  <si>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</si>
  <si>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</si>
  <si>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</si>
  <si>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</si>
  <si>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</si>
  <si>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</si>
  <si>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</si>
  <si>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</si>
  <si>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</si>
  <si>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</si>
  <si>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</si>
  <si>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</si>
  <si>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</si>
  <si>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</si>
  <si>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</si>
  <si>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</si>
  <si>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</si>
  <si>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</si>
  <si>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</si>
  <si>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</si>
  <si>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</si>
  <si>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</si>
  <si>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</si>
  <si>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</si>
  <si>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</si>
  <si>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</si>
  <si>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</si>
  <si>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</si>
  <si>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</si>
  <si>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</si>
  <si>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</si>
  <si>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</si>
  <si>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</si>
  <si>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</si>
  <si>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</si>
  <si>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</si>
  <si>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</si>
  <si>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 (Prototype)</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</si>
  <si>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</si>
  <si>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</si>
  <si>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</si>
  <si>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</si>
  <si>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</si>
  <si>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</si>
  <si>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</si>
  <si>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</si>
  <si>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</si>
  <si>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</si>
  <si>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</si>
  <si>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</si>
  <si>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</si>
  <si>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</si>
  <si>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</si>
  <si>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</si>
  <si>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</si>
  <si>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</si>
  <si>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</si>
  <si>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</si>
  <si>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</si>
  <si>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</si>
  <si>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</si>
  <si>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</si>
  <si>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</si>
  <si>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</si>
  <si>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</si>
  <si>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</si>
  <si>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</si>
  <si>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</si>
  <si>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</si>
  <si>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</si>
  <si>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</si>
  <si>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</si>
  <si>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</si>
  <si>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</si>
  <si>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</si>
  <si>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</si>
  <si>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</si>
  <si>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</si>
  <si>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</si>
  <si>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</si>
  <si>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</si>
  <si>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</si>
  <si>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</si>
  <si>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</si>
  <si>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</si>
  <si>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</si>
  <si>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</si>
  <si>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</si>
  <si>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</si>
  <si>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</si>
  <si>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</si>
  <si>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</si>
  <si>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</si>
  <si>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</si>
  <si>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</si>
  <si>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</si>
  <si>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</si>
  <si>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</si>
  <si>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</si>
  <si>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</si>
  <si>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</si>
  <si>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</si>
  <si>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</si>
  <si>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</si>
  <si>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</si>
  <si>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</si>
  <si>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</si>
  <si>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</si>
  <si>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</si>
  <si>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</si>
  <si>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</si>
  <si>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</si>
  <si>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</si>
  <si>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</si>
  <si>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</si>
  <si>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</si>
  <si>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</si>
  <si>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</si>
  <si>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</si>
  <si>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</si>
  <si>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</si>
  <si>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</si>
  <si>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</si>
  <si>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</si>
  <si>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</si>
  <si>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</si>
  <si>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</si>
  <si>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</si>
  <si>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</si>
  <si>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</si>
  <si>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</si>
  <si>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</si>
  <si>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</si>
  <si>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</si>
  <si>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</si>
  <si>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</si>
  <si>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</si>
  <si>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</si>
  <si>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</si>
  <si>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</si>
  <si>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</si>
  <si>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</si>
  <si>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</si>
  <si>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</si>
  <si>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</si>
  <si>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</si>
  <si>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</si>
  <si>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</si>
  <si>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</si>
  <si>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</si>
  <si>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</si>
  <si>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</si>
  <si>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</si>
  <si>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</si>
  <si>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</si>
  <si>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</si>
  <si>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</si>
  <si>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</si>
  <si>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</si>
  <si>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</si>
  <si>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</si>
  <si>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</si>
  <si>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</si>
  <si>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</si>
  <si>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</si>
  <si>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</si>
  <si>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</si>
  <si>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</si>
  <si>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</si>
  <si>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</si>
  <si>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</si>
  <si>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</si>
  <si>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</si>
  <si>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</si>
  <si>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</si>
  <si>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</si>
  <si>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</si>
  <si>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</si>
  <si>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</si>
  <si>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</si>
  <si>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</si>
  <si>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</si>
  <si>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</si>
  <si>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</si>
  <si>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</si>
  <si>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</si>
  <si>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</si>
  <si>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</si>
  <si>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</si>
  <si>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</si>
  <si>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</si>
  <si>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</si>
  <si>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</si>
  <si>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</si>
  <si>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</si>
  <si>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</si>
  <si>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</si>
  <si>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</si>
  <si>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</si>
  <si>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</si>
  <si>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</si>
  <si>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</si>
  <si>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</si>
  <si>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</si>
  <si>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</si>
  <si>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</si>
  <si>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</si>
  <si>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</si>
  <si>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</si>
  <si>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</si>
  <si>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</si>
  <si>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</si>
  <si>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</si>
  <si>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</si>
  <si>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</si>
  <si>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</si>
  <si>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</si>
  <si>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</si>
  <si>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</si>
  <si>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</si>
  <si>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</si>
  <si>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</si>
  <si>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</si>
  <si>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</si>
  <si>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</si>
  <si>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</si>
  <si>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</si>
  <si>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</si>
  <si>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</si>
  <si>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</si>
  <si>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</si>
  <si>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</si>
  <si>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</si>
  <si>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</si>
  <si>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</si>
  <si>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</si>
  <si>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</si>
  <si>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</si>
  <si>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</si>
  <si>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</si>
  <si>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</si>
  <si>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</si>
  <si>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</si>
  <si>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</si>
  <si>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</si>
  <si>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</si>
  <si>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</si>
  <si>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</si>
  <si>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</si>
  <si>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</si>
  <si>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</si>
  <si>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</si>
  <si>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</si>
  <si>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</si>
  <si>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</si>
  <si>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</si>
  <si>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</si>
  <si>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</si>
  <si>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</si>
  <si>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</si>
  <si>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</si>
  <si>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</si>
  <si>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</si>
  <si>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</si>
  <si>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</si>
  <si>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</si>
  <si>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</si>
  <si>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</si>
  <si>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</si>
  <si>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</si>
  <si>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</si>
  <si>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</si>
  <si>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</si>
  <si>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</si>
  <si>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</si>
  <si>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</si>
  <si>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</si>
  <si>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</si>
  <si>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</si>
  <si>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</si>
  <si>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</si>
  <si>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</si>
  <si>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</si>
  <si>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</si>
  <si>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</si>
  <si>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</si>
  <si>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</si>
  <si>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</si>
  <si>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</si>
  <si>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</si>
  <si>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</si>
  <si>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</si>
  <si>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</si>
  <si>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</si>
  <si>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</si>
  <si>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</si>
  <si>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</si>
  <si>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</si>
  <si>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</si>
  <si>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</si>
  <si>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</si>
  <si>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</si>
  <si>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</si>
  <si>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</si>
  <si>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</si>
  <si>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</si>
  <si>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</si>
  <si>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</si>
  <si>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</si>
  <si>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</si>
  <si>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</si>
  <si>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</si>
  <si>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</si>
  <si>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</si>
  <si>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</si>
  <si>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</si>
  <si>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</si>
  <si>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</si>
  <si>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</si>
  <si>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</si>
  <si>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</si>
  <si>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</si>
  <si>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</si>
  <si>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</si>
  <si>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</si>
  <si>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</si>
  <si>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</si>
  <si>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</si>
  <si>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</si>
  <si>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</si>
  <si>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</si>
  <si>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</si>
  <si>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</si>
  <si>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</si>
  <si>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</si>
  <si>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</si>
  <si>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</si>
  <si>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</si>
  <si>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</si>
  <si>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</si>
  <si>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</si>
  <si>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</si>
  <si>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</si>
  <si>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</si>
  <si>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</si>
  <si>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</si>
  <si>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</si>
  <si>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</si>
  <si>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</si>
  <si>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</si>
  <si>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</si>
  <si>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</si>
  <si>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</si>
  <si>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</si>
  <si>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</si>
  <si>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</si>
  <si>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</si>
  <si>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</si>
  <si>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</si>
  <si>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</si>
  <si>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</si>
  <si>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</si>
  <si>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</si>
  <si>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</si>
  <si>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</si>
  <si>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</si>
  <si>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</si>
  <si>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</si>
  <si>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</si>
  <si>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</si>
  <si>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</si>
  <si>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</si>
  <si>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</si>
  <si>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</si>
  <si>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</si>
  <si>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</si>
  <si>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</si>
  <si>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</si>
  <si>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</si>
  <si>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</si>
  <si>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</si>
  <si>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</si>
  <si>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</si>
  <si>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</si>
  <si>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</si>
  <si>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</si>
  <si>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</si>
  <si>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</si>
  <si>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</si>
  <si>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</si>
  <si>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</si>
  <si>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</si>
  <si>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</si>
  <si>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</si>
  <si>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</si>
  <si>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</si>
  <si>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</si>
  <si>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</si>
  <si>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</si>
  <si>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</si>
  <si>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</si>
  <si>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</si>
  <si>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</si>
  <si>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</si>
  <si>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</si>
  <si>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</si>
  <si>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</si>
  <si>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</si>
  <si>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</si>
  <si>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</si>
  <si>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</si>
  <si>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</si>
  <si>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</si>
  <si>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</si>
  <si>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</si>
  <si>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</si>
  <si>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</si>
  <si>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</si>
  <si>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</si>
  <si>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</si>
  <si>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</si>
  <si>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</si>
  <si>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</si>
  <si>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</si>
  <si>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</si>
  <si>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</si>
  <si>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</si>
  <si>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</si>
  <si>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</si>
  <si>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</si>
  <si>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</si>
  <si>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</si>
  <si>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</si>
  <si>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</si>
  <si>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</si>
  <si>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</si>
  <si>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</si>
  <si>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</si>
  <si>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</si>
  <si>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</si>
  <si>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</si>
  <si>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</si>
  <si>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</si>
  <si>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</si>
  <si>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</si>
  <si>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</si>
  <si>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</si>
  <si>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</si>
  <si>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</si>
  <si>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</si>
  <si>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</si>
  <si>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</si>
  <si>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</si>
  <si>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</si>
  <si>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</si>
  <si>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</si>
  <si>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</si>
  <si>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</si>
  <si>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</si>
  <si>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</si>
  <si>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</si>
  <si>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</si>
  <si>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</si>
  <si>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</si>
  <si>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</si>
  <si>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</si>
  <si>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</si>
  <si>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</si>
  <si>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flag/GB</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</si>
  <si>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</si>
  <si>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</si>
  <si>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</si>
  <si>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</si>
  <si>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</si>
  <si>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</si>
  <si>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</si>
  <si>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</si>
  <si>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</si>
  <si>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</si>
  <si>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flag/GB,power/electric,power/diesel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</si>
  <si>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</si>
  <si>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</si>
  <si>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</si>
  <si>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</si>
  <si>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</si>
  <si>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</si>
  <si>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</si>
  <si>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</si>
  <si>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</si>
  <si>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</si>
  <si>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</si>
  <si>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</si>
  <si>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</si>
  <si>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</si>
  <si>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</si>
  <si>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</si>
  <si>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</si>
  <si>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</si>
  <si>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</si>
  <si>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</si>
  <si>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</si>
  <si>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</si>
  <si>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</si>
  <si>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</si>
  <si>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</si>
  <si>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</si>
  <si>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</si>
  <si>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</si>
  <si>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</si>
  <si>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flag/GB,power/electric,power/battery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</si>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</sst>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theme="4" tint="0.4"/>
        <bgColor rgb="FFA5A5A5"/>
      </patternFill>
    </fill>
    <fill>
      <patternFill patternType="solid">
        <fgColor rgb="FFCCFFCC"/>
        <bgColor rgb="FFC6EFCE"/>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B40" activePane="bottomRight" state="frozen"/>
      <selection pane="topLeft" activeCell="A1" activeCellId="0" sqref="A1"/>
      <selection pane="topRight" activeCell="B1" activeCellId="0" sqref="B1"/>
      <selection pane="bottomLeft" activeCell="A40" activeCellId="0" sqref="A40"/>
      <selection pane="bottomRight" activeCell="A40" activeCellId="0" sqref="A40"/>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4" min="51"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C21" s="1" t="n">
        <v>-1</v>
      </c>
      <c r="E21" s="1" t="n">
        <v>-1</v>
      </c>
      <c r="J21" s="1" t="s">
        <v>41</v>
      </c>
      <c r="K21" s="1" t="s">
        <v>41</v>
      </c>
      <c r="L21" s="1" t="s">
        <v>149</v>
      </c>
      <c r="M21" s="1" t="n">
        <v>1900</v>
      </c>
      <c r="Z21" s="1" t="n">
        <v>42</v>
      </c>
      <c r="AD21" s="4" t="str">
        <f aca="false">IF(AND(Z21&gt;0,AC21&gt;0),(AC21/((Z21+AA21)*10)),"")</f>
        <v/>
      </c>
      <c r="AI21" s="1" t="n">
        <v>7.5</v>
      </c>
      <c r="AJ21" s="1" t="n">
        <v>8</v>
      </c>
      <c r="AM21" s="5" t="n">
        <v>0</v>
      </c>
      <c r="AN21" s="1" t="str">
        <f aca="false">CONCATENATE(VLOOKUP(AO21, 'Voxel Sizes'!$A$2:$B$18,2,FALSE()),"x",INT(AK21*15), "x", INT(AL21*15))</f>
        <v>82x0x0</v>
      </c>
      <c r="AO21" s="1" t="n">
        <f aca="false">ROUND(15*((AJ21*10)/256),0)</f>
        <v>5</v>
      </c>
      <c r="AQ21" s="1" t="str">
        <f aca="false">CONCATENATE(VLOOKUP(AO21,Constants!$A$2:$C$16,IF(AP21&lt;&gt;"", 3, 2), FALSE()),IF(AP21&lt;&gt;"",CONCATENATE(",",VLOOKUP(AP21,$B:$AQ,39,FALSE())),""))</f>
        <v>2,1,2</v>
      </c>
      <c r="BA21" s="1" t="n">
        <v>30</v>
      </c>
      <c r="BB21" s="16" t="str">
        <f aca="false">IF(O21&lt;&gt;"",MAX(16,(O21-M21)+8),"")</f>
        <v/>
      </c>
      <c r="BE21" s="1" t="n">
        <f aca="false">MIN(AE21/150, 1)*30</f>
        <v>0</v>
      </c>
      <c r="BF21" s="1" t="n">
        <f aca="false">MIN(Q21/4000, 1)*20</f>
        <v>0</v>
      </c>
      <c r="BG21" s="1" t="n">
        <f aca="false">MIN(AC21/400,1)*20</f>
        <v>0</v>
      </c>
      <c r="BH21" s="4" t="n">
        <f aca="false">1-(MAX(M21-1900, 0)/750)</f>
        <v>1</v>
      </c>
      <c r="BI21" s="1" t="n">
        <f aca="false">((MAX($P21,1)*MIN($AM21/300,1)))*IF(J21="Wagon",50,10)</f>
        <v>0</v>
      </c>
      <c r="BJ21" s="1" t="n">
        <f aca="false">VLOOKUP($K21,Constants!$I:$K, 2, FALSE())</f>
        <v>0</v>
      </c>
      <c r="BK21" s="1" t="n">
        <f aca="false">VLOOKUP($K21,Constants!$I:$K, 3, FALSE())*IF(AND(J21="multiple_unit",AE21&lt;110),0.75,1)</f>
        <v>0</v>
      </c>
      <c r="BL21" s="1" t="n">
        <f aca="false">INT(POWER(((Constants!$G$2+$BE21+$BF21+$BG21+$BI21)*$BH21)*$BK21, 1.05))+$BD21</f>
        <v>0</v>
      </c>
      <c r="BM21" s="1" t="n">
        <f aca="false">INT(POWER((((Constants!$G$1+$BE21+$BF21+$BG21+$BI21)*($BH21))*$BJ21),IF($J21="wagon",1,1.2)))+$BC21</f>
        <v>0</v>
      </c>
      <c r="BN21" s="17" t="n">
        <f aca="false">BL21*IF($J21="wagon",62.5,781.25)</f>
        <v>0</v>
      </c>
      <c r="BO21" s="17" t="n">
        <f aca="false">BM21*IF($J21="wagon",2.73,81.25)</f>
        <v>0</v>
      </c>
      <c r="CD21" s="1" t="str">
        <f aca="false">VLOOKUP(M21,Eras!$A$2:$C$10, 2, TRUE())</f>
        <v>edw</v>
      </c>
      <c r="CF21" s="1" t="str">
        <f aca="false">CONCATENATE(CD21,"_",CE21)</f>
        <v>edw_</v>
      </c>
      <c r="CG21" s="1" t="str">
        <f aca="false">_xlfn.CONCAT(K21, "_",L21)</f>
        <v>tender_RAIL</v>
      </c>
      <c r="CH21" s="7" t="str">
        <f aca="false">_xlfn.CONCAT("{BLACK}Length: {GOLD}", TEXT(ROUNDUP(IF(AT21&lt;&gt;"",SUM(VALUE(_xlfn.TEXTSPLIT(AT21, ","))), SUM(VALUE(_xlfn.TEXTSPLIT(AQ21, ",")))*IF(P21, P21, 1))/16, 1), "#,##0.0"), " tiles{}")</f>
        <v>{BLACK}Length: {GOLD}0.4 tiles{}</v>
      </c>
      <c r="CI21" s="1" t="n">
        <f aca="false">VLOOKUP($CG21, Constants!$M:$N, 2, FALSE())</f>
        <v>0</v>
      </c>
      <c r="CJ21" s="1" t="str">
        <f aca="false">IF(P21&gt;1,_xlfn.CONCAT("{BLACK}Cars: {GOLD}", P21),"")</f>
        <v/>
      </c>
      <c r="CL21" s="1" t="str">
        <f aca="false">IF($BX21="!param_no_gameplay_units","{GREEN}Included for gameplay purposes","")</f>
        <v/>
      </c>
      <c r="CM21" s="1" t="str">
        <f aca="false">IF(CA21="buffet","{YELLOW}25% long distance bonus for consist{}",IF(CC21="BRAKE","{YELLOW}Speed bonus for slow wagons{}",IF(BZ21&gt;190,CONCATENATE("{YELLOW}",INT((BZ21-185)/1.85),"% bonus for long distance travel{}"),IF(AND(BZ21&lt;180,BZ21&lt;&gt;0),CONCATENATE("{YELLOW}",INT((185-BZ21)/1.85),"% penalty for long distance travel{}"),""))))</f>
        <v/>
      </c>
      <c r="CN21" s="1" t="str">
        <f aca="false">_xlfn.CONCAT(CI21,IF(CI21&lt;&gt;""," ",""),CJ21,IF(OR(CJ21&lt;&gt;"",CI21&lt;&gt;""),"{}",""),CH21,CM21,"{SILVER}",CK21,IF(CL21&lt;&gt;"","{}{}",""),CL21)</f>
        <v>{BLACK}Length: {GOLD}0.4 tiles{}{SILVER}</v>
      </c>
    </row>
    <row r="22" customFormat="false" ht="14.25" hidden="false" customHeight="false" outlineLevel="0" collapsed="false">
      <c r="A22" s="1" t="s">
        <v>150</v>
      </c>
      <c r="B22" s="15" t="s">
        <v>151</v>
      </c>
      <c r="C22" s="1" t="n">
        <v>-1</v>
      </c>
      <c r="E22" s="1" t="n">
        <v>-1</v>
      </c>
      <c r="J22" s="1" t="s">
        <v>41</v>
      </c>
      <c r="K22" s="1" t="s">
        <v>41</v>
      </c>
      <c r="L22" s="1" t="s">
        <v>149</v>
      </c>
      <c r="M22" s="1" t="n">
        <v>1815</v>
      </c>
      <c r="Z22" s="1" t="n">
        <v>42</v>
      </c>
      <c r="AD22" s="4" t="str">
        <f aca="false">IF(AND(Z22&gt;0,AC22&gt;0),(AC22/((Z22+AA22)*10)),"")</f>
        <v/>
      </c>
      <c r="AI22" s="1" t="n">
        <v>7.5</v>
      </c>
      <c r="AJ22" s="1" t="n">
        <v>6</v>
      </c>
      <c r="AM22" s="5" t="n">
        <v>0</v>
      </c>
      <c r="AN22" s="1" t="str">
        <f aca="false">CONCATENATE(VLOOKUP(AO22, 'Voxel Sizes'!$A$2:$B$18,2,FALSE()),"x",INT(AK22*15), "x", INT(AL22*15))</f>
        <v>60x0x0</v>
      </c>
      <c r="AO22" s="1" t="n">
        <f aca="false">ROUND(15*((AJ22*10)/256),0)</f>
        <v>4</v>
      </c>
      <c r="AQ22" s="1" t="str">
        <f aca="false">CONCATENATE(VLOOKUP(AO22,Constants!$A$2:$C$16,IF(AP22&lt;&gt;"", 3, 2), FALSE()),IF(AP22&lt;&gt;"",CONCATENATE(",",VLOOKUP(AP22,$B:$AQ,39,FALSE())),""))</f>
        <v>1,2,1</v>
      </c>
      <c r="BA22" s="1" t="n">
        <v>30</v>
      </c>
      <c r="BB22" s="16" t="str">
        <f aca="false">IF(O22&lt;&gt;"",MAX(16,(O22-M22)+8),"")</f>
        <v/>
      </c>
      <c r="BE22" s="1" t="n">
        <f aca="false">MIN(AE22/150, 1)*30</f>
        <v>0</v>
      </c>
      <c r="BF22" s="1" t="n">
        <f aca="false">MIN(Q22/4000, 1)*20</f>
        <v>0</v>
      </c>
      <c r="BG22" s="1" t="n">
        <f aca="false">MIN(AC22/400,1)*20</f>
        <v>0</v>
      </c>
      <c r="BH22" s="4" t="n">
        <f aca="false">1-(MAX(M22-1900, 0)/750)</f>
        <v>1</v>
      </c>
      <c r="BI22" s="1" t="n">
        <f aca="false">((MAX($P22,1)*MIN($AM22/300,1)))*IF(J22="Wagon",50,10)</f>
        <v>0</v>
      </c>
      <c r="BJ22" s="1" t="n">
        <f aca="false">VLOOKUP($K22,Constants!$I:$K, 2, FALSE())</f>
        <v>0</v>
      </c>
      <c r="BK22" s="1" t="n">
        <f aca="false">VLOOKUP($K22,Constants!$I:$K, 3, FALSE())*IF(AND(J22="multiple_unit",AE22&lt;110),0.75,1)</f>
        <v>0</v>
      </c>
      <c r="BL22" s="1" t="n">
        <f aca="false">INT(POWER(((Constants!$G$2+$BE22+$BF22+$BG22+$BI22)*$BH22)*$BK22, 1.05))+$BD22</f>
        <v>0</v>
      </c>
      <c r="BM22" s="1" t="n">
        <f aca="false">INT(POWER((((Constants!$G$1+$BE22+$BF22+$BG22+$BI22)*($BH22))*$BJ22),IF($J22="wagon",1,1.2)))+$BC22</f>
        <v>0</v>
      </c>
      <c r="BN22" s="17" t="n">
        <f aca="false">BL22*IF($J22="wagon",62.5,781.25)</f>
        <v>0</v>
      </c>
      <c r="BO22" s="17" t="n">
        <f aca="false">BM22*IF($J22="wagon",2.73,81.25)</f>
        <v>0</v>
      </c>
      <c r="CD22" s="1" t="str">
        <f aca="false">VLOOKUP(M22,Eras!$A$2:$C$10, 2, TRUE())</f>
        <v>early</v>
      </c>
      <c r="CF22" s="1" t="str">
        <f aca="false">CONCATENATE(CD22,"_",CE22)</f>
        <v>early_</v>
      </c>
      <c r="CG22" s="1" t="str">
        <f aca="false">_xlfn.CONCAT(K22, "_",L22)</f>
        <v>tender_RAIL</v>
      </c>
      <c r="CH22" s="7" t="str">
        <f aca="false">_xlfn.CONCAT("{BLACK}Length: {GOLD}", TEXT(ROUNDUP(IF(AT22&lt;&gt;"",SUM(VALUE(_xlfn.TEXTSPLIT(AT22, ","))), SUM(VALUE(_xlfn.TEXTSPLIT(AQ22, ",")))*IF(P22, P22, 1))/16, 1), "#,##0.0"), " tiles{}")</f>
        <v>{BLACK}Length: {GOLD}0.3 tiles{}</v>
      </c>
      <c r="CI22" s="1" t="n">
        <f aca="false">VLOOKUP($CG22, Constants!$M:$N, 2, FALSE())</f>
        <v>0</v>
      </c>
      <c r="CJ22" s="1" t="str">
        <f aca="false">IF(P22&gt;1,_xlfn.CONCAT("{BLACK}Cars: {GOLD}", P22),"")</f>
        <v/>
      </c>
      <c r="CL22" s="1" t="str">
        <f aca="false">IF($BX22="!param_no_gameplay_units","{GREEN}Included for gameplay purposes","")</f>
        <v/>
      </c>
      <c r="CM22" s="1" t="str">
        <f aca="false">IF(CA22="buffet","{YELLOW}25% long distance bonus for consist{}",IF(CC22="BRAKE","{YELLOW}Speed bonus for slow wagons{}",IF(BZ22&gt;190,CONCATENATE("{YELLOW}",INT((BZ22-185)/1.85),"% bonus for long distance travel{}"),IF(AND(BZ22&lt;180,BZ22&lt;&gt;0),CONCATENATE("{YELLOW}",INT((185-BZ22)/1.85),"% penalty for long distance travel{}"),""))))</f>
        <v/>
      </c>
      <c r="CN22" s="1" t="str">
        <f aca="false">_xlfn.CONCAT(CI22,IF(CI22&lt;&gt;""," ",""),CJ22,IF(OR(CJ22&lt;&gt;"",CI22&lt;&gt;""),"{}",""),CH22,CM22,"{SILVER}",CK22,IF(CL22&lt;&gt;"","{}{}",""),CL22)</f>
        <v>{BLACK}Length: {GOLD}0.3 tiles{}{SILVER}</v>
      </c>
    </row>
    <row r="23" customFormat="false" ht="14.25" hidden="false" customHeight="false" outlineLevel="0" collapsed="false">
      <c r="A23" s="1" t="s">
        <v>152</v>
      </c>
      <c r="B23" s="15" t="s">
        <v>153</v>
      </c>
      <c r="C23" s="1" t="n">
        <v>-1</v>
      </c>
      <c r="E23" s="1" t="n">
        <v>-1</v>
      </c>
      <c r="J23" s="1" t="s">
        <v>41</v>
      </c>
      <c r="K23" s="1" t="s">
        <v>41</v>
      </c>
      <c r="L23" s="1" t="s">
        <v>149</v>
      </c>
      <c r="M23" s="1" t="n">
        <v>1825</v>
      </c>
      <c r="Z23" s="1" t="n">
        <v>42</v>
      </c>
      <c r="AD23" s="4" t="str">
        <f aca="false">IF(AND(Z23&gt;0,AC23&gt;0),(AC23/((Z23+AA23)*10)),"")</f>
        <v/>
      </c>
      <c r="AI23" s="1" t="n">
        <v>7.5</v>
      </c>
      <c r="AJ23" s="1" t="n">
        <v>6</v>
      </c>
      <c r="AM23" s="5" t="n">
        <v>0</v>
      </c>
      <c r="AN23" s="1" t="str">
        <f aca="false">CONCATENATE(VLOOKUP(AO23, 'Voxel Sizes'!$A$2:$B$18,2,FALSE()),"x",INT(AK23*15), "x", INT(AL23*15))</f>
        <v>60x0x0</v>
      </c>
      <c r="AO23" s="1" t="n">
        <f aca="false">ROUND(15*((AJ23*10)/256),0)</f>
        <v>4</v>
      </c>
      <c r="AQ23" s="1" t="str">
        <f aca="false">CONCATENATE(VLOOKUP(AO23,Constants!$A$2:$C$16,IF(AP23&lt;&gt;"", 3, 2), FALSE()),IF(AP23&lt;&gt;"",CONCATENATE(",",VLOOKUP(AP23,$B:$AQ,39,FALSE())),""))</f>
        <v>1,2,1</v>
      </c>
      <c r="BA23" s="1" t="n">
        <v>30</v>
      </c>
      <c r="BB23" s="16" t="str">
        <f aca="false">IF(O23&lt;&gt;"",MAX(16,(O23-M23)+8),"")</f>
        <v/>
      </c>
      <c r="BE23" s="1" t="n">
        <f aca="false">MIN(AE23/150, 1)*30</f>
        <v>0</v>
      </c>
      <c r="BF23" s="1" t="n">
        <f aca="false">MIN(Q23/4000, 1)*20</f>
        <v>0</v>
      </c>
      <c r="BG23" s="1" t="n">
        <f aca="false">MIN(AC23/400,1)*20</f>
        <v>0</v>
      </c>
      <c r="BH23" s="4" t="n">
        <f aca="false">1-(MAX(M23-1900, 0)/750)</f>
        <v>1</v>
      </c>
      <c r="BI23" s="1" t="n">
        <f aca="false">((MAX($P23,1)*MIN($AM23/300,1)))*IF(J23="Wagon",50,10)</f>
        <v>0</v>
      </c>
      <c r="BJ23" s="1" t="n">
        <f aca="false">VLOOKUP($K23,Constants!$I:$K, 2, FALSE())</f>
        <v>0</v>
      </c>
      <c r="BK23" s="1" t="n">
        <f aca="false">VLOOKUP($K23,Constants!$I:$K, 3, FALSE())*IF(AND(J23="multiple_unit",AE23&lt;110),0.75,1)</f>
        <v>0</v>
      </c>
      <c r="BL23" s="1" t="n">
        <f aca="false">INT(POWER(((Constants!$G$2+$BE23+$BF23+$BG23+$BI23)*$BH23)*$BK23, 1.05))+$BD23</f>
        <v>0</v>
      </c>
      <c r="BM23" s="1" t="n">
        <f aca="false">INT(POWER((((Constants!$G$1+$BE23+$BF23+$BG23+$BI23)*($BH23))*$BJ23),IF($J23="wagon",1,1.2)))+$BC23</f>
        <v>0</v>
      </c>
      <c r="BN23" s="17" t="n">
        <f aca="false">BL23*IF($J23="wagon",62.5,781.25)</f>
        <v>0</v>
      </c>
      <c r="BO23" s="17" t="n">
        <f aca="false">BM23*IF($J23="wagon",2.73,81.25)</f>
        <v>0</v>
      </c>
      <c r="CD23" s="1" t="str">
        <f aca="false">VLOOKUP(M23,Eras!$A$2:$C$10, 2, TRUE())</f>
        <v>early</v>
      </c>
      <c r="CF23" s="1" t="str">
        <f aca="false">CONCATENATE(CD23,"_",CE23)</f>
        <v>early_</v>
      </c>
      <c r="CG23" s="1" t="str">
        <f aca="false">_xlfn.CONCAT(K23, "_",L23)</f>
        <v>tender_RAIL</v>
      </c>
      <c r="CH23" s="7" t="str">
        <f aca="false">_xlfn.CONCAT("{BLACK}Length: {GOLD}", TEXT(ROUNDUP(IF(AT23&lt;&gt;"",SUM(VALUE(_xlfn.TEXTSPLIT(AT23, ","))), SUM(VALUE(_xlfn.TEXTSPLIT(AQ23, ",")))*IF(P23, P23, 1))/16, 1), "#,##0.0"), " tiles{}")</f>
        <v>{BLACK}Length: {GOLD}0.3 tiles{}</v>
      </c>
      <c r="CI23" s="1" t="n">
        <f aca="false">VLOOKUP($CG23, Constants!$M:$N, 2, FALSE())</f>
        <v>0</v>
      </c>
      <c r="CJ23" s="1" t="str">
        <f aca="false">IF(P23&gt;1,_xlfn.CONCAT("{BLACK}Cars: {GOLD}", P23),"")</f>
        <v/>
      </c>
      <c r="CL23" s="1" t="str">
        <f aca="false">IF($BX23="!param_no_gameplay_units","{GREEN}Included for gameplay purposes","")</f>
        <v/>
      </c>
      <c r="CM23" s="1" t="str">
        <f aca="false">IF(CA23="buffet","{YELLOW}25% long distance bonus for consist{}",IF(CC23="BRAKE","{YELLOW}Speed bonus for slow wagons{}",IF(BZ23&gt;190,CONCATENATE("{YELLOW}",INT((BZ23-185)/1.85),"% bonus for long distance travel{}"),IF(AND(BZ23&lt;180,BZ23&lt;&gt;0),CONCATENATE("{YELLOW}",INT((185-BZ23)/1.85),"% penalty for long distance travel{}"),""))))</f>
        <v/>
      </c>
      <c r="CN23" s="1" t="str">
        <f aca="false">_xlfn.CONCAT(CI23,IF(CI23&lt;&gt;""," ",""),CJ23,IF(OR(CJ23&lt;&gt;"",CI23&lt;&gt;""),"{}",""),CH23,CM23,"{SILVER}",CK23,IF(CL23&lt;&gt;"","{}{}",""),CL23)</f>
        <v>{BLACK}Length: {GOLD}0.3 tiles{}{SILVER}</v>
      </c>
    </row>
    <row r="24" customFormat="false" ht="14.25" hidden="false" customHeight="false" outlineLevel="0" collapsed="false">
      <c r="A24" s="1" t="s">
        <v>154</v>
      </c>
      <c r="B24" s="15" t="s">
        <v>155</v>
      </c>
      <c r="C24" s="1" t="n">
        <v>-1</v>
      </c>
      <c r="E24" s="1" t="n">
        <v>-1</v>
      </c>
      <c r="J24" s="1" t="s">
        <v>41</v>
      </c>
      <c r="K24" s="1" t="s">
        <v>41</v>
      </c>
      <c r="L24" s="1" t="s">
        <v>149</v>
      </c>
      <c r="M24" s="1" t="n">
        <v>1815</v>
      </c>
      <c r="Z24" s="1" t="n">
        <v>42</v>
      </c>
      <c r="AD24" s="4" t="str">
        <f aca="false">IF(AND(Z24&gt;0,AC24&gt;0),(AC24/((Z24+AA24)*10)),"")</f>
        <v/>
      </c>
      <c r="AI24" s="1" t="n">
        <v>7.5</v>
      </c>
      <c r="AJ24" s="1" t="n">
        <v>6</v>
      </c>
      <c r="AM24" s="5" t="n">
        <v>0</v>
      </c>
      <c r="AN24" s="1" t="str">
        <f aca="false">CONCATENATE(VLOOKUP(AO24, 'Voxel Sizes'!$A$2:$B$18,2,FALSE()),"x",INT(AK24*15), "x", INT(AL24*15))</f>
        <v>60x0x0</v>
      </c>
      <c r="AO24" s="1" t="n">
        <f aca="false">ROUND(15*((AJ24*10)/256),0)</f>
        <v>4</v>
      </c>
      <c r="AQ24" s="1" t="str">
        <f aca="false">CONCATENATE(VLOOKUP(AO24,Constants!$A$2:$C$16,IF(AP24&lt;&gt;"", 3, 2), FALSE()),IF(AP24&lt;&gt;"",CONCATENATE(",",VLOOKUP(AP24,$B:$AQ,39,FALSE())),""))</f>
        <v>1,2,1</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early</v>
      </c>
      <c r="CF24" s="1" t="str">
        <f aca="false">CONCATENATE(CD24,"_",CE24)</f>
        <v>early_</v>
      </c>
      <c r="CG24" s="1" t="str">
        <f aca="false">_xlfn.CONCAT(K24, "_",L24)</f>
        <v>tender_RAIL</v>
      </c>
      <c r="CH24" s="7" t="str">
        <f aca="false">_xlfn.CONCAT("{BLACK}Length: {GOLD}", TEXT(ROUNDUP(IF(AT24&lt;&gt;"",SUM(VALUE(_xlfn.TEXTSPLIT(AT24, ","))), SUM(VALUE(_xlfn.TEXTSPLIT(AQ24, ",")))*IF(P24, P24, 1))/16, 1), "#,##0.0"), " tiles{}")</f>
        <v>{BLACK}Length: {GOLD}0.3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{GOLD}0.3 tiles{}{SILVER}</v>
      </c>
    </row>
    <row r="25" customFormat="false" ht="14.25" hidden="false" customHeight="false" outlineLevel="0" collapsed="false">
      <c r="A25" s="1" t="s">
        <v>156</v>
      </c>
      <c r="B25" s="15" t="s">
        <v>157</v>
      </c>
      <c r="C25" s="1" t="n">
        <v>-1</v>
      </c>
      <c r="E25" s="1" t="n">
        <v>-1</v>
      </c>
      <c r="J25" s="1" t="s">
        <v>41</v>
      </c>
      <c r="K25" s="1" t="s">
        <v>41</v>
      </c>
      <c r="L25" s="1" t="s">
        <v>149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158</v>
      </c>
      <c r="B26" s="15" t="s">
        <v>159</v>
      </c>
      <c r="C26" s="1" t="n">
        <v>-1</v>
      </c>
      <c r="E26" s="1" t="n">
        <v>-1</v>
      </c>
      <c r="J26" s="1" t="s">
        <v>41</v>
      </c>
      <c r="K26" s="1" t="s">
        <v>41</v>
      </c>
      <c r="L26" s="1" t="s">
        <v>149</v>
      </c>
      <c r="M26" s="1" t="n">
        <v>1830</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160</v>
      </c>
      <c r="B27" s="15" t="s">
        <v>161</v>
      </c>
      <c r="C27" s="1" t="n">
        <v>-1</v>
      </c>
      <c r="E27" s="1" t="n">
        <v>-1</v>
      </c>
      <c r="J27" s="1" t="s">
        <v>41</v>
      </c>
      <c r="K27" s="1" t="s">
        <v>41</v>
      </c>
      <c r="L27" s="1" t="s">
        <v>149</v>
      </c>
      <c r="M27" s="1" t="n">
        <v>1830</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162</v>
      </c>
      <c r="B28" s="15" t="s">
        <v>163</v>
      </c>
      <c r="C28" s="1" t="n">
        <v>-1</v>
      </c>
      <c r="E28" s="1" t="n">
        <v>-1</v>
      </c>
      <c r="J28" s="1" t="s">
        <v>41</v>
      </c>
      <c r="K28" s="1" t="s">
        <v>41</v>
      </c>
      <c r="L28" s="1" t="s">
        <v>149</v>
      </c>
      <c r="M28" s="1" t="n">
        <v>1850</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vct</v>
      </c>
      <c r="CF28" s="1" t="str">
        <f aca="false">CONCATENATE(CD28,"_",CE28)</f>
        <v>vct_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164</v>
      </c>
      <c r="B29" s="15" t="s">
        <v>165</v>
      </c>
      <c r="C29" s="1" t="n">
        <v>-1</v>
      </c>
      <c r="E29" s="1" t="n">
        <v>-1</v>
      </c>
      <c r="J29" s="1" t="s">
        <v>41</v>
      </c>
      <c r="K29" s="1" t="s">
        <v>41</v>
      </c>
      <c r="L29" s="1" t="s">
        <v>149</v>
      </c>
      <c r="M29" s="1" t="n">
        <v>1850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vct</v>
      </c>
      <c r="CF29" s="1" t="str">
        <f aca="false">CONCATENATE(CD29,"_",CE29)</f>
        <v>vct_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166</v>
      </c>
      <c r="B30" s="15" t="s">
        <v>167</v>
      </c>
      <c r="C30" s="1" t="n">
        <v>-1</v>
      </c>
      <c r="E30" s="1" t="n">
        <v>-1</v>
      </c>
      <c r="J30" s="1" t="s">
        <v>41</v>
      </c>
      <c r="K30" s="1" t="s">
        <v>41</v>
      </c>
      <c r="L30" s="1" t="s">
        <v>149</v>
      </c>
      <c r="M30" s="1" t="n">
        <v>1875</v>
      </c>
      <c r="Z30" s="1" t="n">
        <v>42</v>
      </c>
      <c r="AD30" s="4" t="str">
        <f aca="false">IF(AND(Z30&gt;0,AC30&gt;0),(AC30/((Z30+AA30)*10)),"")</f>
        <v/>
      </c>
      <c r="AI30" s="1" t="n">
        <v>7.5</v>
      </c>
      <c r="AJ30" s="1" t="n">
        <v>8</v>
      </c>
      <c r="AM30" s="5" t="n">
        <v>0</v>
      </c>
      <c r="AN30" s="1" t="str">
        <f aca="false">CONCATENATE(VLOOKUP(AO30, 'Voxel Sizes'!$A$2:$B$18,2,FALSE()),"x",INT(AK30*15), "x", INT(AL30*15))</f>
        <v>82x0x0</v>
      </c>
      <c r="AO30" s="1" t="n">
        <f aca="false">ROUND(15*((AJ30*10)/256),0)</f>
        <v>5</v>
      </c>
      <c r="AQ30" s="1" t="str">
        <f aca="false">CONCATENATE(VLOOKUP(AO30,Constants!$A$2:$C$16,IF(AP30&lt;&gt;"", 3, 2), FALSE()),IF(AP30&lt;&gt;"",CONCATENATE(",",VLOOKUP(AP30,$B:$AQ,39,FALSE())),""))</f>
        <v>2,1,2</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vct</v>
      </c>
      <c r="CF30" s="1" t="str">
        <f aca="false">CONCATENATE(CD30,"_",CE30)</f>
        <v>vct_</v>
      </c>
      <c r="CG30" s="1" t="str">
        <f aca="false">_xlfn.CONCAT(K30, "_",L30)</f>
        <v>tender_RAIL</v>
      </c>
      <c r="CH30" s="7" t="str">
        <f aca="false">_xlfn.CONCAT("{BLACK}Length: {GOLD}", TEXT(ROUNDUP(IF(AT30&lt;&gt;"",SUM(VALUE(_xlfn.TEXTSPLIT(AT30, ","))), SUM(VALUE(_xlfn.TEXTSPLIT(AQ30, ",")))*IF(P30, P30, 1))/16, 1), "#,##0.0"), " tiles{}")</f>
        <v>{BLACK}Length: {GOLD}0.4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{GOLD}0.4 tiles{}{SILVER}</v>
      </c>
    </row>
    <row r="31" customFormat="false" ht="14.25" hidden="false" customHeight="false" outlineLevel="0" collapsed="false">
      <c r="A31" s="1" t="s">
        <v>168</v>
      </c>
      <c r="B31" s="15" t="s">
        <v>169</v>
      </c>
      <c r="C31" s="1" t="n">
        <v>-1</v>
      </c>
      <c r="E31" s="1" t="n">
        <v>-1</v>
      </c>
      <c r="J31" s="1" t="s">
        <v>41</v>
      </c>
      <c r="K31" s="1" t="s">
        <v>41</v>
      </c>
      <c r="L31" s="1" t="s">
        <v>149</v>
      </c>
      <c r="M31" s="1" t="n">
        <v>1900</v>
      </c>
      <c r="Z31" s="1" t="n">
        <v>42</v>
      </c>
      <c r="AD31" s="4" t="str">
        <f aca="false">IF(AND(Z31&gt;0,AC31&gt;0),(AC31/((Z31+AA31)*10)),"")</f>
        <v/>
      </c>
      <c r="AI31" s="1" t="n">
        <v>7.5</v>
      </c>
      <c r="AJ31" s="1" t="n">
        <v>8</v>
      </c>
      <c r="AM31" s="5" t="n">
        <v>0</v>
      </c>
      <c r="AN31" s="1" t="str">
        <f aca="false">CONCATENATE(VLOOKUP(AO31, 'Voxel Sizes'!$A$2:$B$18,2,FALSE()),"x",INT(AK31*15), "x", INT(AL31*15))</f>
        <v>82x0x0</v>
      </c>
      <c r="AO31" s="1" t="n">
        <f aca="false">ROUND(15*((AJ31*10)/256),0)</f>
        <v>5</v>
      </c>
      <c r="AQ31" s="1" t="str">
        <f aca="false">CONCATENATE(VLOOKUP(AO31,Constants!$A$2:$C$16,IF(AP31&lt;&gt;"", 3, 2), FALSE()),IF(AP31&lt;&gt;"",CONCATENATE(",",VLOOKUP(AP31,$B:$AQ,39,FALSE())),""))</f>
        <v>2,1,2</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edw</v>
      </c>
      <c r="CF31" s="1" t="str">
        <f aca="false">CONCATENATE(CD31,"_",CE31)</f>
        <v>edw_</v>
      </c>
      <c r="CG31" s="1" t="str">
        <f aca="false">_xlfn.CONCAT(K31, "_",L31)</f>
        <v>tender_RAIL</v>
      </c>
      <c r="CH31" s="7" t="str">
        <f aca="false">_xlfn.CONCAT("{BLACK}Length: {GOLD}", TEXT(ROUNDUP(IF(AT31&lt;&gt;"",SUM(VALUE(_xlfn.TEXTSPLIT(AT31, ","))), SUM(VALUE(_xlfn.TEXTSPLIT(AQ31, ",")))*IF(P31, P31, 1))/16, 1), "#,##0.0"), " tiles{}")</f>
        <v>{BLACK}Length: {GOLD}0.4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{GOLD}0.4 tiles{}{SILVER}</v>
      </c>
    </row>
    <row r="32" customFormat="false" ht="14.25" hidden="false" customHeight="false" outlineLevel="0" collapsed="false">
      <c r="A32" s="1" t="s">
        <v>170</v>
      </c>
      <c r="B32" s="15" t="s">
        <v>171</v>
      </c>
      <c r="C32" s="1" t="n">
        <v>-1</v>
      </c>
      <c r="E32" s="1" t="n">
        <v>-1</v>
      </c>
      <c r="J32" s="1" t="s">
        <v>41</v>
      </c>
      <c r="K32" s="1" t="s">
        <v>41</v>
      </c>
      <c r="L32" s="1" t="s">
        <v>149</v>
      </c>
      <c r="M32" s="1" t="n">
        <v>1900</v>
      </c>
      <c r="Z32" s="1" t="n">
        <v>42</v>
      </c>
      <c r="AD32" s="4" t="str">
        <f aca="false">IF(AND(Z32&gt;0,AC32&gt;0),(AC32/((Z32+AA32)*10)),"")</f>
        <v/>
      </c>
      <c r="AI32" s="1" t="n">
        <v>7.5</v>
      </c>
      <c r="AJ32" s="1" t="n">
        <v>8</v>
      </c>
      <c r="AM32" s="5" t="n">
        <v>0</v>
      </c>
      <c r="AN32" s="1" t="str">
        <f aca="false">CONCATENATE(VLOOKUP(AO32, 'Voxel Sizes'!$A$2:$B$18,2,FALSE()),"x",INT(AK32*15), "x", INT(AL32*15))</f>
        <v>82x0x0</v>
      </c>
      <c r="AO32" s="1" t="n">
        <f aca="false">ROUND(15*((AJ32*10)/256),0)</f>
        <v>5</v>
      </c>
      <c r="AQ32" s="1" t="str">
        <f aca="false">CONCATENATE(VLOOKUP(AO32,Constants!$A$2:$C$16,IF(AP32&lt;&gt;"", 3, 2), FALSE()),IF(AP32&lt;&gt;"",CONCATENATE(",",VLOOKUP(AP32,$B:$AQ,39,FALSE())),""))</f>
        <v>2,1,2</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edw</v>
      </c>
      <c r="CF32" s="1" t="str">
        <f aca="false">CONCATENATE(CD32,"_",CE32)</f>
        <v>edw_</v>
      </c>
      <c r="CG32" s="1" t="str">
        <f aca="false">_xlfn.CONCAT(K32, "_",L32)</f>
        <v>tender_RAIL</v>
      </c>
      <c r="CH32" s="7" t="str">
        <f aca="false">_xlfn.CONCAT("{BLACK}Length: {GOLD}", TEXT(ROUNDUP(IF(AT32&lt;&gt;"",SUM(VALUE(_xlfn.TEXTSPLIT(AT32, ","))), SUM(VALUE(_xlfn.TEXTSPLIT(AQ32, ",")))*IF(P32, P32, 1))/16, 1), "#,##0.0"), " tiles{}")</f>
        <v>{BLACK}Length: {GOLD}0.4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{GOLD}0.4 tiles{}{SILVER}</v>
      </c>
    </row>
    <row r="33" customFormat="false" ht="14.25" hidden="false" customHeight="false" outlineLevel="0" collapsed="false">
      <c r="A33" s="1" t="s">
        <v>172</v>
      </c>
      <c r="B33" s="15" t="s">
        <v>173</v>
      </c>
      <c r="C33" s="1" t="n">
        <v>-1</v>
      </c>
      <c r="E33" s="1" t="n">
        <v>-1</v>
      </c>
      <c r="J33" s="1" t="s">
        <v>41</v>
      </c>
      <c r="K33" s="1" t="s">
        <v>41</v>
      </c>
      <c r="L33" s="1" t="s">
        <v>149</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174</v>
      </c>
      <c r="B34" s="15" t="s">
        <v>175</v>
      </c>
      <c r="C34" s="1" t="n">
        <v>-1</v>
      </c>
      <c r="E34" s="1" t="n">
        <v>-1</v>
      </c>
      <c r="J34" s="1" t="s">
        <v>41</v>
      </c>
      <c r="K34" s="1" t="s">
        <v>41</v>
      </c>
      <c r="L34" s="1" t="s">
        <v>149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176</v>
      </c>
      <c r="B35" s="15" t="s">
        <v>177</v>
      </c>
      <c r="C35" s="1" t="n">
        <v>-1</v>
      </c>
      <c r="E35" s="1" t="n">
        <v>-1</v>
      </c>
      <c r="J35" s="1" t="s">
        <v>41</v>
      </c>
      <c r="K35" s="1" t="s">
        <v>41</v>
      </c>
      <c r="L35" s="1" t="s">
        <v>149</v>
      </c>
      <c r="M35" s="1" t="n">
        <v>1920</v>
      </c>
      <c r="Z35" s="1" t="n">
        <v>52</v>
      </c>
      <c r="AD35" s="4" t="str">
        <f aca="false">IF(AND(Z35&gt;0,AC35&gt;0),(AC35/((Z35+AA35)*10)),"")</f>
        <v/>
      </c>
      <c r="AI35" s="1" t="n">
        <v>7.64</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0.973333333333333</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178</v>
      </c>
      <c r="B36" s="15" t="s">
        <v>179</v>
      </c>
      <c r="C36" s="1" t="n">
        <v>-1</v>
      </c>
      <c r="E36" s="1" t="n">
        <v>-1</v>
      </c>
      <c r="J36" s="1" t="s">
        <v>41</v>
      </c>
      <c r="K36" s="1" t="s">
        <v>41</v>
      </c>
      <c r="L36" s="1" t="s">
        <v>149</v>
      </c>
      <c r="M36" s="1" t="n">
        <v>1925</v>
      </c>
      <c r="Z36" s="1" t="n">
        <v>52</v>
      </c>
      <c r="AD36" s="4" t="str">
        <f aca="false">IF(AND(Z36&gt;0,AC36&gt;0),(AC36/((Z36+AA36)*10)),"")</f>
        <v/>
      </c>
      <c r="AI36" s="1" t="n">
        <v>7.64</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0.966666666666667</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big4</v>
      </c>
      <c r="CF36" s="1" t="str">
        <f aca="false">CONCATENATE(CD36,"_",CE36)</f>
        <v>big4_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180</v>
      </c>
      <c r="B37" s="15" t="s">
        <v>181</v>
      </c>
      <c r="C37" s="1" t="n">
        <v>-1</v>
      </c>
      <c r="E37" s="1" t="n">
        <v>-1</v>
      </c>
      <c r="J37" s="1" t="s">
        <v>41</v>
      </c>
      <c r="K37" s="1" t="s">
        <v>41</v>
      </c>
      <c r="L37" s="1" t="s">
        <v>149</v>
      </c>
      <c r="M37" s="1" t="n">
        <v>1925</v>
      </c>
      <c r="Z37" s="1" t="n">
        <v>52</v>
      </c>
      <c r="AD37" s="4" t="str">
        <f aca="false">IF(AND(Z37&gt;0,AC37&gt;0),(AC37/((Z37+AA37)*10)),"")</f>
        <v/>
      </c>
      <c r="AI37" s="1" t="n">
        <v>7.64</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0.966666666666667</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big4</v>
      </c>
      <c r="CF37" s="1" t="str">
        <f aca="false">CONCATENATE(CD37,"_",CE37)</f>
        <v>big4_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182</v>
      </c>
      <c r="B38" s="15" t="s">
        <v>183</v>
      </c>
      <c r="C38" s="1" t="n">
        <v>-1</v>
      </c>
      <c r="E38" s="1" t="n">
        <v>-1</v>
      </c>
      <c r="J38" s="1" t="s">
        <v>41</v>
      </c>
      <c r="K38" s="1" t="s">
        <v>41</v>
      </c>
      <c r="L38" s="1" t="s">
        <v>149</v>
      </c>
      <c r="M38" s="1" t="n">
        <v>1925</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0.966666666666667</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big4</v>
      </c>
      <c r="CF38" s="1" t="str">
        <f aca="false">CONCATENATE(CD38,"_",CE38)</f>
        <v>big4_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184</v>
      </c>
      <c r="B39" s="15" t="s">
        <v>185</v>
      </c>
      <c r="C39" s="1" t="n">
        <v>-1</v>
      </c>
      <c r="E39" s="1" t="n">
        <v>-1</v>
      </c>
      <c r="J39" s="1" t="s">
        <v>41</v>
      </c>
      <c r="K39" s="1" t="s">
        <v>41</v>
      </c>
      <c r="L39" s="1" t="s">
        <v>149</v>
      </c>
      <c r="M39" s="1" t="n">
        <v>1927</v>
      </c>
      <c r="Z39" s="1" t="n">
        <v>53</v>
      </c>
      <c r="AD39" s="4" t="str">
        <f aca="false">IF(AND(Z39&gt;0,AC39&gt;0),(AC39/((Z39+AA39)*10)),"")</f>
        <v/>
      </c>
      <c r="AI39" s="1" t="n">
        <v>7.5</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0.964</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186</v>
      </c>
      <c r="B40" s="15" t="s">
        <v>187</v>
      </c>
      <c r="C40" s="1" t="n">
        <v>-1</v>
      </c>
      <c r="E40" s="1" t="n">
        <v>-1</v>
      </c>
      <c r="J40" s="1" t="s">
        <v>41</v>
      </c>
      <c r="K40" s="1" t="s">
        <v>41</v>
      </c>
      <c r="L40" s="1" t="s">
        <v>149</v>
      </c>
      <c r="M40" s="1" t="n">
        <v>1935</v>
      </c>
      <c r="Z40" s="1" t="n">
        <v>42</v>
      </c>
      <c r="AD40" s="4" t="str">
        <f aca="false">IF(AND(Z40&gt;0,AC40&gt;0),(AC40/((Z40+AA40)*10)),"")</f>
        <v/>
      </c>
      <c r="AI40" s="1" t="n">
        <v>7.5</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0.953333333333333</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3.5" hidden="false" customHeight="true" outlineLevel="0" collapsed="false">
      <c r="A41" s="1" t="s">
        <v>188</v>
      </c>
      <c r="B41" s="15" t="s">
        <v>189</v>
      </c>
      <c r="C41" s="1" t="n">
        <v>-1</v>
      </c>
      <c r="E41" s="1" t="n">
        <v>-1</v>
      </c>
      <c r="J41" s="1" t="s">
        <v>41</v>
      </c>
      <c r="K41" s="1" t="s">
        <v>41</v>
      </c>
      <c r="L41" s="1" t="s">
        <v>149</v>
      </c>
      <c r="M41" s="1" t="n">
        <v>1941</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0.945333333333333</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190</v>
      </c>
      <c r="B42" s="15" t="s">
        <v>191</v>
      </c>
      <c r="C42" s="1" t="n">
        <v>-1</v>
      </c>
      <c r="E42" s="1" t="n">
        <v>-1</v>
      </c>
      <c r="J42" s="1" t="s">
        <v>41</v>
      </c>
      <c r="K42" s="1" t="s">
        <v>41</v>
      </c>
      <c r="L42" s="1" t="s">
        <v>149</v>
      </c>
      <c r="M42" s="1" t="n">
        <v>1942</v>
      </c>
      <c r="Z42" s="1" t="n">
        <v>52</v>
      </c>
      <c r="AD42" s="4" t="str">
        <f aca="false">IF(AND(Z42&gt;0,AC42&gt;0),(AC42/((Z42+AA42)*10)),"")</f>
        <v/>
      </c>
      <c r="AI42" s="1" t="n">
        <v>6</v>
      </c>
      <c r="AJ42" s="1" t="n">
        <v>6</v>
      </c>
      <c r="AM42" s="5" t="n">
        <v>0</v>
      </c>
      <c r="AN42" s="1" t="str">
        <f aca="false">CONCATENATE(VLOOKUP(AO42, 'Voxel Sizes'!$A$2:$B$18,2,FALSE()),"x",INT(AK42*15), "x", INT(AL42*15))</f>
        <v>60x0x0</v>
      </c>
      <c r="AO42" s="1" t="n">
        <f aca="false">ROUND(15*((AJ42*10)/256),0)</f>
        <v>4</v>
      </c>
      <c r="AQ42" s="1" t="str">
        <f aca="false">CONCATENATE(VLOOKUP(AO42,Constants!$A$2:$C$16,IF(AP42&lt;&gt;"", 3, 2), FALSE()),IF(AP42&lt;&gt;"",CONCATENATE(",",VLOOKUP(AP42,$B:$AQ,39,FALSE())),""))</f>
        <v>1,2,1</v>
      </c>
      <c r="BA42" s="1" t="n">
        <v>30</v>
      </c>
      <c r="BB42" s="16" t="str">
        <f aca="false">IF(O42&lt;&gt;"",MAX(16,(O42-M42)+8),"")</f>
        <v/>
      </c>
      <c r="BE42" s="1" t="n">
        <f aca="false">MIN(AE42/150, 1)*30</f>
        <v>0</v>
      </c>
      <c r="BF42" s="1" t="n">
        <f aca="false">MIN(Q42/4000, 1)*20</f>
        <v>0</v>
      </c>
      <c r="BG42" s="1" t="n">
        <f aca="false">MIN(AC42/400,1)*20</f>
        <v>0</v>
      </c>
      <c r="BH42" s="4" t="n">
        <f aca="false">1-(MAX(M42-1900, 0)/750)</f>
        <v>0.944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{GOLD}0.3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192</v>
      </c>
      <c r="B43" s="15" t="s">
        <v>193</v>
      </c>
      <c r="C43" s="1" t="n">
        <v>-1</v>
      </c>
      <c r="E43" s="1" t="n">
        <v>-1</v>
      </c>
      <c r="J43" s="1" t="s">
        <v>41</v>
      </c>
      <c r="K43" s="1" t="s">
        <v>41</v>
      </c>
      <c r="L43" s="1" t="s">
        <v>149</v>
      </c>
      <c r="M43" s="1" t="n">
        <v>1943</v>
      </c>
      <c r="Z43" s="1" t="n">
        <v>52</v>
      </c>
      <c r="AD43" s="4" t="str">
        <f aca="false">IF(AND(Z43&gt;0,AC43&gt;0),(AC43/((Z43+AA43)*10)),"")</f>
        <v/>
      </c>
      <c r="AI43" s="1" t="n">
        <v>6</v>
      </c>
      <c r="AJ43" s="1" t="n">
        <v>6</v>
      </c>
      <c r="AM43" s="5" t="n">
        <v>0</v>
      </c>
      <c r="AN43" s="1" t="str">
        <f aca="false">CONCATENATE(VLOOKUP(AO43, 'Voxel Sizes'!$A$2:$B$18,2,FALSE()),"x",INT(AK43*15), "x", INT(AL43*15))</f>
        <v>60x0x0</v>
      </c>
      <c r="AO43" s="1" t="n">
        <f aca="false">ROUND(15*((AJ43*10)/256),0)</f>
        <v>4</v>
      </c>
      <c r="AQ43" s="1" t="str">
        <f aca="false">CONCATENATE(VLOOKUP(AO43,Constants!$A$2:$C$16,IF(AP43&lt;&gt;"", 3, 2), FALSE()),IF(AP43&lt;&gt;"",CONCATENATE(",",VLOOKUP(AP43,$B:$AQ,39,FALSE())),""))</f>
        <v>1,2,1</v>
      </c>
      <c r="BA43" s="1" t="n">
        <v>30</v>
      </c>
      <c r="BB43" s="16" t="str">
        <f aca="false">IF(O43&lt;&gt;"",MAX(16,(O43-M43)+8),"")</f>
        <v/>
      </c>
      <c r="BE43" s="1" t="n">
        <f aca="false">MIN(AE43/150, 1)*30</f>
        <v>0</v>
      </c>
      <c r="BF43" s="1" t="n">
        <f aca="false">MIN(Q43/4000, 1)*20</f>
        <v>0</v>
      </c>
      <c r="BG43" s="1" t="n">
        <f aca="false">MIN(AC43/400,1)*20</f>
        <v>0</v>
      </c>
      <c r="BH43" s="4" t="n">
        <f aca="false">1-(MAX(M43-1900, 0)/750)</f>
        <v>0.942666666666667</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{GOLD}0.3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194</v>
      </c>
      <c r="B44" s="15" t="s">
        <v>195</v>
      </c>
      <c r="C44" s="1" t="n">
        <v>-1</v>
      </c>
      <c r="E44" s="1" t="n">
        <v>-1</v>
      </c>
      <c r="J44" s="1" t="s">
        <v>41</v>
      </c>
      <c r="K44" s="1" t="s">
        <v>41</v>
      </c>
      <c r="L44" s="1" t="s">
        <v>149</v>
      </c>
      <c r="M44" s="1" t="n">
        <v>1946</v>
      </c>
      <c r="Z44" s="1" t="n">
        <v>52</v>
      </c>
      <c r="AD44" s="4" t="str">
        <f aca="false">IF(AND(Z44&gt;0,AC44&gt;0),(AC44/((Z44+AA44)*10)),"")</f>
        <v/>
      </c>
      <c r="AI44" s="1" t="n">
        <v>6</v>
      </c>
      <c r="AJ44" s="1" t="n">
        <v>6</v>
      </c>
      <c r="AM44" s="5" t="n">
        <v>0</v>
      </c>
      <c r="AN44" s="1" t="str">
        <f aca="false">CONCATENATE(VLOOKUP(AO44, 'Voxel Sizes'!$A$2:$B$18,2,FALSE()),"x",INT(AK44*15), "x", INT(AL44*15))</f>
        <v>60x0x0</v>
      </c>
      <c r="AO44" s="1" t="n">
        <f aca="false">ROUND(15*((AJ44*10)/256),0)</f>
        <v>4</v>
      </c>
      <c r="AQ44" s="1" t="str">
        <f aca="false">CONCATENATE(VLOOKUP(AO44,Constants!$A$2:$C$16,IF(AP44&lt;&gt;"", 3, 2), FALSE()),IF(AP44&lt;&gt;"",CONCATENATE(",",VLOOKUP(AP44,$B:$AQ,39,FALSE())),""))</f>
        <v>1,2,1</v>
      </c>
      <c r="BA44" s="1" t="n">
        <v>30</v>
      </c>
      <c r="BB44" s="16" t="str">
        <f aca="false">IF(O44&lt;&gt;"",MAX(16,(O44-M44)+8),"")</f>
        <v/>
      </c>
      <c r="BE44" s="1" t="n">
        <f aca="false">MIN(AE44/150, 1)*30</f>
        <v>0</v>
      </c>
      <c r="BF44" s="1" t="n">
        <f aca="false">MIN(Q44/4000, 1)*20</f>
        <v>0</v>
      </c>
      <c r="BG44" s="1" t="n">
        <f aca="false">MIN(AC44/400,1)*20</f>
        <v>0</v>
      </c>
      <c r="BH44" s="4" t="n">
        <f aca="false">1-(MAX(M44-1900, 0)/750)</f>
        <v>0.938666666666667</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{GOLD}0.3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{GOLD}0.3 tiles{}{SILVER}</v>
      </c>
    </row>
    <row r="45" customFormat="false" ht="14.25" hidden="false" customHeight="false" outlineLevel="0" collapsed="false">
      <c r="A45" s="1" t="s">
        <v>196</v>
      </c>
      <c r="B45" s="15" t="s">
        <v>197</v>
      </c>
      <c r="C45" s="1" t="n">
        <v>98</v>
      </c>
      <c r="E45" s="1" t="n">
        <v>1</v>
      </c>
      <c r="G45" s="1" t="str">
        <f aca="false">IF($F45&lt;&gt;"",_xlfn.CONCAT(VLOOKUP($CE45, Constants!$T:$U, 2, FALSE()),",",$F45),VLOOKUP($CE45, Constants!$T:$U, 2, FALSE()))</f>
        <v>role/mixed</v>
      </c>
      <c r="H45" s="1" t="str">
        <f aca="false">IF($G45&lt;&gt;"",_xlfn.CONCAT(VLOOKUP($CG45, Constants!$M:$P, 4, FALSE()),",",$G45),VLOOKUP($CG45, Constants!$M:$P, 4, FALSE()))</f>
        <v>flag/GB,power/animal,role/mixed</v>
      </c>
      <c r="I45" s="1" t="s">
        <v>198</v>
      </c>
      <c r="J45" s="1" t="s">
        <v>199</v>
      </c>
      <c r="K45" s="1" t="s">
        <v>199</v>
      </c>
      <c r="L45" s="1" t="s">
        <v>200</v>
      </c>
      <c r="M45" s="1" t="n">
        <v>1700</v>
      </c>
      <c r="O45" s="1" t="n">
        <v>1870</v>
      </c>
      <c r="Q45" s="1" t="n">
        <v>5</v>
      </c>
      <c r="W45" s="18"/>
      <c r="Z45" s="1" t="n">
        <v>1</v>
      </c>
      <c r="AC45" s="1" t="n">
        <v>3</v>
      </c>
      <c r="AD45" s="4" t="n">
        <f aca="false">IF(AND(Z45&gt;0,AC45&gt;0),(AC45/((Z45+AA45)*10)),"")</f>
        <v>0.3</v>
      </c>
      <c r="AE45" s="1" t="n">
        <v>18</v>
      </c>
      <c r="AF45" s="1" t="n">
        <f aca="false">ROUND(AE45*1.6, 0)</f>
        <v>29</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AY45" s="1" t="n">
        <v>1</v>
      </c>
      <c r="BA45" s="1" t="n">
        <v>12</v>
      </c>
      <c r="BB45" s="16" t="n">
        <f aca="false">IF(O45&lt;&gt;"",MAX(16,(O45-M45)+8),"")</f>
        <v>178</v>
      </c>
      <c r="BC45" s="1" t="n">
        <v>-13</v>
      </c>
      <c r="BD45" s="1" t="n">
        <v>-3</v>
      </c>
      <c r="BE45" s="1" t="n">
        <f aca="false">MIN(AE45/150, 1)*30</f>
        <v>3.6</v>
      </c>
      <c r="BF45" s="1" t="n">
        <f aca="false">MIN(Q45/4000, 1)*20</f>
        <v>0.025</v>
      </c>
      <c r="BG45" s="1" t="n">
        <f aca="false">MIN(AC45/400,1)*20</f>
        <v>0.15</v>
      </c>
      <c r="BH45" s="4" t="n">
        <f aca="false">1-(MAX(M45-1900, 0)/750)</f>
        <v>1</v>
      </c>
      <c r="BI45" s="1" t="n">
        <f aca="false">((MAX($P45,1)*MIN($AM45/300,1)))*IF(J45="Wagon",50,10)</f>
        <v>0</v>
      </c>
      <c r="BJ45" s="1" t="n">
        <f aca="false">VLOOKUP($K45,Constants!$I:$K, 2, FALSE())</f>
        <v>0.5</v>
      </c>
      <c r="BK45" s="1" t="n">
        <f aca="false">VLOOKUP($K45,Constants!$I:$K, 3, FALSE())*IF(AND(J45="multiple_unit",AE45&lt;110),0.75,1)</f>
        <v>0.5</v>
      </c>
      <c r="BL45" s="1" t="n">
        <f aca="false">INT(POWER(((Constants!$G$2+$BE45+$BF45+$BG45+$BI45)*$BH45)*$BK45, 1.05))+$BD45</f>
        <v>1</v>
      </c>
      <c r="BM45" s="1" t="n">
        <f aca="false">INT(POWER((((Constants!$G$1+$BE45+$BF45+$BG45+$BI45)*($BH45))*$BJ45),IF($J45="wagon",1,1.2)))+$BC45</f>
        <v>1</v>
      </c>
      <c r="BN45" s="17" t="n">
        <f aca="false">BL45*IF($J45="wagon",62.5,781.25)</f>
        <v>781.25</v>
      </c>
      <c r="BO45" s="17" t="n">
        <f aca="false">BM45*IF($J45="wagon",2.73,81.25)</f>
        <v>81.25</v>
      </c>
      <c r="BY45" s="1" t="n">
        <v>1</v>
      </c>
      <c r="CD45" s="1" t="str">
        <f aca="false">VLOOKUP(M45,Eras!$A$2:$C$10, 2, TRUE())</f>
        <v>early</v>
      </c>
      <c r="CE45" s="1" t="s">
        <v>129</v>
      </c>
      <c r="CF45" s="1" t="str">
        <f aca="false">CONCATENATE(CD45,"_",CE45)</f>
        <v>early_Mixed Traffic</v>
      </c>
      <c r="CG45" s="1" t="str">
        <f aca="false">_xlfn.CONCAT(K45, "_",L45)</f>
        <v>horses_PLATEWAY</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K45" s="1" t="s">
        <v>201</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tiles{}{SILVER}Most early industrial railways used two sources of power: horses and gravity. Often horses would ride downhill in dandy wagons, to save their energy for pulling the train uphill.</v>
      </c>
    </row>
    <row r="46" customFormat="false" ht="14.25" hidden="false" customHeight="false" outlineLevel="0" collapsed="false">
      <c r="A46" s="1" t="s">
        <v>202</v>
      </c>
      <c r="B46" s="15" t="s">
        <v>199</v>
      </c>
      <c r="C46" s="1" t="n">
        <v>99</v>
      </c>
      <c r="E46" s="1" t="n">
        <v>2</v>
      </c>
      <c r="G46" s="1" t="str">
        <f aca="false">IF($F46&lt;&gt;"",_xlfn.CONCAT(VLOOKUP($CE46, Constants!$T:$U, 2, FALSE()),",",$F46),VLOOKUP($CE46, Constants!$T:$U, 2, FALSE()))</f>
        <v>role/mixed</v>
      </c>
      <c r="H46" s="1" t="str">
        <f aca="false">IF($G46&lt;&gt;"",_xlfn.CONCAT(VLOOKUP($CG46, Constants!$M:$P, 4, FALSE()),",",$G46),VLOOKUP($CG46, Constants!$M:$P, 4, FALSE()))</f>
        <v>flag/GB,power/animal,role/mixed</v>
      </c>
      <c r="I46" s="1" t="s">
        <v>198</v>
      </c>
      <c r="J46" s="1" t="s">
        <v>199</v>
      </c>
      <c r="K46" s="1" t="s">
        <v>199</v>
      </c>
      <c r="L46" s="1" t="s">
        <v>200</v>
      </c>
      <c r="M46" s="1" t="n">
        <v>1700</v>
      </c>
      <c r="O46" s="1" t="n">
        <v>1870</v>
      </c>
      <c r="Q46" s="1" t="n">
        <v>10</v>
      </c>
      <c r="W46" s="18"/>
      <c r="Z46" s="1" t="n">
        <v>2</v>
      </c>
      <c r="AC46" s="1" t="n">
        <v>6</v>
      </c>
      <c r="AD46" s="4" t="n">
        <f aca="false">IF(AND(Z46&gt;0,AC46&gt;0),(AC46/((Z46+AA46)*10)),"")</f>
        <v>0.3</v>
      </c>
      <c r="AE46" s="1" t="n">
        <v>18</v>
      </c>
      <c r="AF46" s="1" t="n">
        <f aca="false">ROUND(AE46*1.6, 0)</f>
        <v>29</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AY46" s="1" t="n">
        <v>1</v>
      </c>
      <c r="BA46" s="1" t="n">
        <v>12</v>
      </c>
      <c r="BB46" s="16" t="n">
        <f aca="false">IF(O46&lt;&gt;"",MAX(16,(O46-M46)+8),"")</f>
        <v>178</v>
      </c>
      <c r="BC46" s="1" t="n">
        <v>-12</v>
      </c>
      <c r="BD46" s="1" t="n">
        <v>-2</v>
      </c>
      <c r="BE46" s="1" t="n">
        <f aca="false">MIN(AE46/150, 1)*30</f>
        <v>3.6</v>
      </c>
      <c r="BF46" s="1" t="n">
        <f aca="false">MIN(Q46/4000, 1)*20</f>
        <v>0.05</v>
      </c>
      <c r="BG46" s="1" t="n">
        <f aca="false">MIN(AC46/400,1)*20</f>
        <v>0.3</v>
      </c>
      <c r="BH46" s="4" t="n">
        <f aca="false">1-(MAX(M46-1900, 0)/750)</f>
        <v>1</v>
      </c>
      <c r="BI46" s="1" t="n">
        <f aca="false">((MAX($P46,1)*MIN($AM46/300,1)))*IF(J46="Wagon",50,10)</f>
        <v>0</v>
      </c>
      <c r="BJ46" s="1" t="n">
        <f aca="false">VLOOKUP($K46,Constants!$I:$K, 2, FALSE())</f>
        <v>0.5</v>
      </c>
      <c r="BK46" s="1" t="n">
        <f aca="false">VLOOKUP($K46,Constants!$I:$K, 3, FALSE())*IF(AND(J46="multiple_unit",AE46&lt;110),0.75,1)</f>
        <v>0.5</v>
      </c>
      <c r="BL46" s="1" t="n">
        <f aca="false">INT(POWER(((Constants!$G$2+$BE46+$BF46+$BG46+$BI46)*$BH46)*$BK46, 1.05))+$BD46</f>
        <v>2</v>
      </c>
      <c r="BM46" s="1" t="n">
        <f aca="false">INT(POWER((((Constants!$G$1+$BE46+$BF46+$BG46+$BI46)*($BH46))*$BJ46),IF($J46="wagon",1,1.2)))+$BC46</f>
        <v>2</v>
      </c>
      <c r="BN46" s="17" t="n">
        <f aca="false">BL46*IF($J46="wagon",62.5,781.25)</f>
        <v>1562.5</v>
      </c>
      <c r="BO46" s="17" t="n">
        <f aca="false">BM46*IF($J46="wagon",2.73,81.25)</f>
        <v>162.5</v>
      </c>
      <c r="BY46" s="1" t="n">
        <v>1</v>
      </c>
      <c r="CD46" s="1" t="str">
        <f aca="false">VLOOKUP(M46,Eras!$A$2:$C$10, 2, TRUE())</f>
        <v>early</v>
      </c>
      <c r="CE46" s="1" t="s">
        <v>129</v>
      </c>
      <c r="CF46" s="1" t="str">
        <f aca="false">CONCATENATE(CD46,"_",CE46)</f>
        <v>early_Mixed Traffic</v>
      </c>
      <c r="CG46" s="1" t="str">
        <f aca="false">_xlfn.CONCAT(K46, "_",L46)</f>
        <v>horses_PLATEWAY</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K46" s="1" t="s">
        <v>203</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tiles{}{SILVER}The power of a horse-drawn train can easily be doubled by the expedient addition of a second horse.</v>
      </c>
    </row>
    <row r="47" customFormat="false" ht="14.25" hidden="false" customHeight="false" outlineLevel="0" collapsed="false">
      <c r="A47" s="1" t="s">
        <v>204</v>
      </c>
      <c r="B47" s="15" t="s">
        <v>205</v>
      </c>
      <c r="C47" s="1" t="n">
        <v>100</v>
      </c>
      <c r="E47" s="1" t="n">
        <v>3</v>
      </c>
      <c r="G47" s="1" t="str">
        <f aca="false">IF($F47&lt;&gt;"",_xlfn.CONCAT(VLOOKUP($CE47, Constants!$T:$U, 2, FALSE()),",",$F47),VLOOKUP($CE47, Constants!$T:$U, 2, FALSE()))</f>
        <v>role/mixed</v>
      </c>
      <c r="H47" s="1" t="str">
        <f aca="false">IF($G47&lt;&gt;"",_xlfn.CONCAT(VLOOKUP($CG47, Constants!$M:$P, 4, FALSE()),",",$G47),VLOOKUP($CG47, Constants!$M:$P, 4, FALSE()))</f>
        <v>flag/GB,power/steam,role/mixed</v>
      </c>
      <c r="I47" s="1" t="s">
        <v>198</v>
      </c>
      <c r="J47" s="1" t="s">
        <v>206</v>
      </c>
      <c r="K47" s="1" t="s">
        <v>207</v>
      </c>
      <c r="L47" s="1" t="s">
        <v>200</v>
      </c>
      <c r="M47" s="1" t="n">
        <v>1813</v>
      </c>
      <c r="O47" s="1" t="n">
        <v>1862</v>
      </c>
      <c r="Q47" s="1" t="n">
        <v>15</v>
      </c>
      <c r="S47" s="3" t="n">
        <v>9</v>
      </c>
      <c r="T47" s="3" t="n">
        <v>36</v>
      </c>
      <c r="U47" s="3" t="n">
        <v>2</v>
      </c>
      <c r="V47" s="3" t="n">
        <v>50</v>
      </c>
      <c r="W47" s="18" t="n">
        <f aca="false">((($AE47/2)/60)*5280)/($X47*3.2*PI())</f>
        <v>60.7883463198211</v>
      </c>
      <c r="X47" s="3" t="n">
        <v>1.44</v>
      </c>
      <c r="Y47" s="3" t="n">
        <f aca="false">((($S47*$S47/4)*PI())*($T47/12)*$U47*$V47*$W47)/(33000*1.1)</f>
        <v>31.9602272727273</v>
      </c>
      <c r="Z47" s="1" t="n">
        <v>4</v>
      </c>
      <c r="AA47" s="2" t="n">
        <v>3</v>
      </c>
      <c r="AC47" s="1" t="n">
        <v>7</v>
      </c>
      <c r="AD47" s="4" t="n">
        <f aca="false">IF(AND(Z47&gt;0,AC47&gt;0),(AC47/((Z47+AA47)*10)),"")</f>
        <v>0.1</v>
      </c>
      <c r="AE47" s="1" t="n">
        <v>20</v>
      </c>
      <c r="AF47" s="1" t="n">
        <f aca="false">ROUND(AE47*1.6, 0)</f>
        <v>32</v>
      </c>
      <c r="AJ47" s="1" t="n">
        <v>6</v>
      </c>
      <c r="AM47" s="5" t="n">
        <v>0</v>
      </c>
      <c r="AN47" s="1" t="str">
        <f aca="false">CONCATENATE(VLOOKUP(AO47, 'Voxel Sizes'!$A$2:$B$18,2,FALSE()),"x",INT(AK47*15), "x", INT(AL47*15))</f>
        <v>60x0x0</v>
      </c>
      <c r="AO47" s="1" t="n">
        <f aca="false">ROUND(15*((AJ47*10)/256),0)</f>
        <v>4</v>
      </c>
      <c r="AP47" s="1" t="s">
        <v>151</v>
      </c>
      <c r="AQ47" s="1" t="str">
        <f aca="false">CONCATENATE(VLOOKUP(AO47,Constants!$A$2:$C$16,IF(AP47&lt;&gt;"", 3, 2), FALSE()),IF(AP47&lt;&gt;"",CONCATENATE(",",VLOOKUP(AP47,$B:$AQ,42,FALSE())),""))</f>
        <v>1,2,1,1,2,1</v>
      </c>
      <c r="BA47" s="1" t="n">
        <v>28</v>
      </c>
      <c r="BB47" s="16" t="n">
        <f aca="false">IF(O47&lt;&gt;"",MAX(16,(O47-M47)+8),"")</f>
        <v>57</v>
      </c>
      <c r="BC47" s="1" t="n">
        <v>-35</v>
      </c>
      <c r="BD47" s="1" t="n">
        <v>-12</v>
      </c>
      <c r="BE47" s="1" t="n">
        <f aca="false">MIN(AE47/150, 1)*30</f>
        <v>4</v>
      </c>
      <c r="BF47" s="1" t="n">
        <f aca="false">MIN(Q47/4000, 1)*20</f>
        <v>0.075</v>
      </c>
      <c r="BG47" s="1" t="n">
        <f aca="false">MIN(AC47/400,1)*20</f>
        <v>0.35</v>
      </c>
      <c r="BH47" s="4" t="n">
        <f aca="false">1-(MAX(M47-1900, 0)/750)</f>
        <v>1</v>
      </c>
      <c r="BI47" s="1" t="n">
        <f aca="false">((MAX($P47,1)*MIN($AM47/300,1)))*IF(J47="Wagon",50,10)</f>
        <v>0</v>
      </c>
      <c r="BJ47" s="1" t="n">
        <f aca="false">VLOOKUP($K47,Constants!$I:$K, 2, FALSE())</f>
        <v>1.15</v>
      </c>
      <c r="BK47" s="1" t="n">
        <f aca="false">VLOOKUP($K47,Constants!$I:$K, 3, FALSE())*IF(AND(J47="multiple_unit",AE47&lt;110),0.75,1)</f>
        <v>1.7</v>
      </c>
      <c r="BL47" s="1" t="n">
        <f aca="false">INT(POWER(((Constants!$G$2+$BE47+$BF47+$BG47+$BI47)*$BH47)*$BK47, 1.05))+$BD47</f>
        <v>6</v>
      </c>
      <c r="BM47" s="1" t="n">
        <f aca="false">INT(POWER((((Constants!$G$1+$BE47+$BF47+$BG47+$BI47)*($BH47))*$BJ47),IF($J47="wagon",1,1.2)))+$BC47</f>
        <v>6</v>
      </c>
      <c r="BN47" s="17" t="n">
        <f aca="false">BL47*IF($J47="wagon",62.5,781.25)</f>
        <v>4687.5</v>
      </c>
      <c r="BO47" s="17" t="n">
        <f aca="false">BM47*IF($J47="wagon",2.73,81.25)</f>
        <v>487.5</v>
      </c>
      <c r="BY47" s="1" t="n">
        <v>3</v>
      </c>
      <c r="CD47" s="1" t="str">
        <f aca="false">VLOOKUP(M47,Eras!$A$2:$C$10, 2, TRUE())</f>
        <v>early</v>
      </c>
      <c r="CE47" s="1" t="s">
        <v>129</v>
      </c>
      <c r="CF47" s="1" t="str">
        <f aca="false">CONCATENATE(CD47,"_",CE47)</f>
        <v>early_Mixed Traffic</v>
      </c>
      <c r="CG47" s="1" t="str">
        <f aca="false">_xlfn.CONCAT(K47, "_",L47)</f>
        <v>steam_PLATEWAY</v>
      </c>
      <c r="CH47" s="7" t="str">
        <f aca="false">_xlfn.CONCAT("{BLACK}Length: {GOLD}", TEXT(ROUNDUP(IF(AT47&lt;&gt;"",SUM(VALUE(_xlfn.TEXTSPLIT(AT47, ","))), SUM(VALUE(_xlfn.TEXTSPLIT(AQ47, ",")))*IF(P47, P47, 1))/16, 1), "#,##0.0"), " tiles{}")</f>
        <v>{BLACK}Length: {GOLD}0.5 tiles{}</v>
      </c>
      <c r="CI47" s="1" t="n">
        <f aca="false">VLOOKUP($CG47, Constants!$M:$N, 2, FALSE())</f>
        <v>0</v>
      </c>
      <c r="CJ47" s="1" t="str">
        <f aca="false">IF(P47&gt;1,_xlfn.CONCAT("{BLACK}Cars: {GOLD}", P47),"")</f>
        <v/>
      </c>
      <c r="CK47" s="1" t="s">
        <v>208</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{GOLD}0.5 tiles{}{SILVER}Puffing Billy was the first steam locomotive to operate by the adhesion of the wheels alone, all previous locomotives using a rack by the railside. The real version was very slow, capable only of walking speeds.</v>
      </c>
    </row>
    <row r="48" customFormat="false" ht="14.25" hidden="false" customHeight="false" outlineLevel="0" collapsed="false">
      <c r="A48" s="1" t="s">
        <v>209</v>
      </c>
      <c r="B48" s="15" t="s">
        <v>210</v>
      </c>
      <c r="C48" s="1" t="n">
        <v>101</v>
      </c>
      <c r="E48" s="1" t="n">
        <v>4</v>
      </c>
      <c r="G48" s="1" t="str">
        <f aca="false">IF($F48&lt;&gt;"",_xlfn.CONCAT(VLOOKUP($CE48, Constants!$T:$U, 2, FALSE()),",",$F48),VLOOKUP($CE48, Constants!$T:$U, 2, FALSE()))</f>
        <v>role/mixed</v>
      </c>
      <c r="H48" s="1" t="str">
        <f aca="false">IF($G48&lt;&gt;"",_xlfn.CONCAT(VLOOKUP($CG48, Constants!$M:$P, 4, FALSE()),",",$G48),VLOOKUP($CG48, Constants!$M:$P, 4, FALSE()))</f>
        <v>flag/GB,power/steam,role/mixed</v>
      </c>
      <c r="I48" s="1" t="s">
        <v>198</v>
      </c>
      <c r="J48" s="1" t="s">
        <v>206</v>
      </c>
      <c r="K48" s="1" t="s">
        <v>207</v>
      </c>
      <c r="L48" s="1" t="s">
        <v>200</v>
      </c>
      <c r="M48" s="1" t="n">
        <v>1825</v>
      </c>
      <c r="O48" s="1" t="n">
        <v>1857</v>
      </c>
      <c r="Q48" s="1" t="n">
        <v>25</v>
      </c>
      <c r="S48" s="3" t="n">
        <v>9</v>
      </c>
      <c r="T48" s="3" t="n">
        <v>24</v>
      </c>
      <c r="U48" s="3" t="n">
        <v>2</v>
      </c>
      <c r="V48" s="3" t="n">
        <v>50</v>
      </c>
      <c r="W48" s="18" t="n">
        <f aca="false">((($AE48/2)/60)*5280)/($X48*3.2*PI())</f>
        <v>53.8126344470548</v>
      </c>
      <c r="X48" s="3" t="n">
        <v>1.22</v>
      </c>
      <c r="Y48" s="3" t="n">
        <f aca="false">((($S48*$S48/4)*PI())*($T48/12)*$U48*$V48*$W48)/(33000*1.1)</f>
        <v>18.8617734724292</v>
      </c>
      <c r="Z48" s="1" t="n">
        <v>4</v>
      </c>
      <c r="AA48" s="2" t="n">
        <v>3</v>
      </c>
      <c r="AC48" s="1" t="n">
        <v>10</v>
      </c>
      <c r="AD48" s="4" t="n">
        <f aca="false">IF(AND(Z48&gt;0,AC48&gt;0),(AC48/((Z48+AA48)*10)),"")</f>
        <v>0.142857142857143</v>
      </c>
      <c r="AE48" s="1" t="n">
        <v>15</v>
      </c>
      <c r="AF48" s="1" t="n">
        <f aca="false">ROUND(AE48*1.6, 0)</f>
        <v>24</v>
      </c>
      <c r="AJ48" s="1" t="n">
        <v>6</v>
      </c>
      <c r="AM48" s="5" t="n">
        <v>0</v>
      </c>
      <c r="AN48" s="1" t="str">
        <f aca="false">CONCATENATE(VLOOKUP(AO48, 'Voxel Sizes'!$A$2:$B$18,2,FALSE()),"x",INT(AK48*15), "x", INT(AL48*15))</f>
        <v>60x0x0</v>
      </c>
      <c r="AO48" s="1" t="n">
        <f aca="false">ROUND(15*((AJ48*10)/256),0)</f>
        <v>4</v>
      </c>
      <c r="AP48" s="1" t="s">
        <v>153</v>
      </c>
      <c r="AQ48" s="1" t="str">
        <f aca="false">CONCATENATE(VLOOKUP(AO48,Constants!$A$2:$C$16,IF(AP48&lt;&gt;"", 3, 2), FALSE()),IF(AP48&lt;&gt;"",CONCATENATE(",",VLOOKUP(AP48,$B:$AQ,42,FALSE())),""))</f>
        <v>1,2,1,1,2,1</v>
      </c>
      <c r="AY48" s="1" t="n">
        <v>1</v>
      </c>
      <c r="BA48" s="1" t="n">
        <v>24</v>
      </c>
      <c r="BB48" s="16" t="n">
        <f aca="false">IF(O48&lt;&gt;"",MAX(16,(O48-M48)+8),"")</f>
        <v>40</v>
      </c>
      <c r="BC48" s="1" t="n">
        <v>-29</v>
      </c>
      <c r="BD48" s="1" t="n">
        <v>-8</v>
      </c>
      <c r="BE48" s="1" t="n">
        <f aca="false">MIN(AE48/150, 1)*30</f>
        <v>3</v>
      </c>
      <c r="BF48" s="1" t="n">
        <f aca="false">MIN(Q48/4000, 1)*20</f>
        <v>0.125</v>
      </c>
      <c r="BG48" s="1" t="n">
        <f aca="false">MIN(AC48/400,1)*20</f>
        <v>0.5</v>
      </c>
      <c r="BH48" s="4" t="n">
        <f aca="false">1-(MAX(M48-1900, 0)/750)</f>
        <v>1</v>
      </c>
      <c r="BI48" s="1" t="n">
        <f aca="false">((MAX($P48,1)*MIN($AM48/300,1)))*IF(J48="Wagon",50,10)</f>
        <v>0</v>
      </c>
      <c r="BJ48" s="1" t="n">
        <f aca="false">VLOOKUP($K48,Constants!$I:$K, 2, FALSE())</f>
        <v>1.15</v>
      </c>
      <c r="BK48" s="1" t="n">
        <f aca="false">VLOOKUP($K48,Constants!$I:$K, 3, FALSE())*IF(AND(J48="multiple_unit",AE48&lt;110),0.75,1)</f>
        <v>1.7</v>
      </c>
      <c r="BL48" s="1" t="n">
        <f aca="false">INT(POWER(((Constants!$G$2+$BE48+$BF48+$BG48+$BI48)*$BH48)*$BK48, 1.05))+$BD48</f>
        <v>8</v>
      </c>
      <c r="BM48" s="1" t="n">
        <f aca="false">INT(POWER((((Constants!$G$1+$BE48+$BF48+$BG48+$BI48)*($BH48))*$BJ48),IF($J48="wagon",1,1.2)))+$BC48</f>
        <v>10</v>
      </c>
      <c r="BN48" s="17" t="n">
        <f aca="false">BL48*IF($J48="wagon",62.5,781.25)</f>
        <v>6250</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steam_PLATEWAY</v>
      </c>
      <c r="CH48" s="7" t="str">
        <f aca="false">_xlfn.CONCAT("{BLACK}Length: {GOLD}", TEXT(ROUNDUP(IF(AT48&lt;&gt;"",SUM(VALUE(_xlfn.TEXTSPLIT(AT48, ","))), SUM(VALUE(_xlfn.TEXTSPLIT(AQ48, ",")))*IF(P48, P48, 1))/16, 1), "#,##0.0"), " tiles{}")</f>
        <v>{BLACK}Length: {GOLD}0.5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{GOLD}0.5 tiles{}{SILVER}Originally named "Active", the Stockton and Darlington's Locomotion No. 1 was the first steam locomotive to operate on a public railway. Unfortunately the early design was flawed and it soon became obsolete.</v>
      </c>
    </row>
    <row r="49" customFormat="false" ht="14.25" hidden="false" customHeight="false" outlineLevel="0" collapsed="false">
      <c r="A49" s="1" t="s">
        <v>212</v>
      </c>
      <c r="B49" s="15" t="s">
        <v>213</v>
      </c>
      <c r="C49" s="1" t="n">
        <v>102</v>
      </c>
      <c r="E49" s="1" t="n">
        <v>5</v>
      </c>
      <c r="G49" s="1" t="str">
        <f aca="false">IF($F49&lt;&gt;"",_xlfn.CONCAT(VLOOKUP($CE49, Constants!$T:$U, 2, FALSE()),",",$F49),VLOOKUP($CE49, Constants!$T:$U, 2, FALSE()))</f>
        <v>role/mixed</v>
      </c>
      <c r="H49" s="1" t="str">
        <f aca="false">IF($G49&lt;&gt;"",_xlfn.CONCAT(VLOOKUP($CG49, Constants!$M:$P, 4, FALSE()),",",$G49),VLOOKUP($CG49, Constants!$M:$P, 4, FALSE()))</f>
        <v>flag/GB,power/steam,role/mixed</v>
      </c>
      <c r="I49" s="1" t="s">
        <v>198</v>
      </c>
      <c r="J49" s="1" t="s">
        <v>206</v>
      </c>
      <c r="K49" s="1" t="s">
        <v>207</v>
      </c>
      <c r="L49" s="1" t="s">
        <v>200</v>
      </c>
      <c r="M49" s="1" t="n">
        <v>1827</v>
      </c>
      <c r="O49" s="1" t="n">
        <v>1858</v>
      </c>
      <c r="Q49" s="1" t="n">
        <v>30</v>
      </c>
      <c r="S49" s="3" t="n">
        <v>9</v>
      </c>
      <c r="T49" s="3" t="n">
        <v>36</v>
      </c>
      <c r="U49" s="3" t="n">
        <v>2</v>
      </c>
      <c r="V49" s="3" t="n">
        <v>50</v>
      </c>
      <c r="W49" s="18" t="n">
        <f aca="false">((($AE49/2)/60)*5280)/($X49*3.2*PI())</f>
        <v>54.709511687839</v>
      </c>
      <c r="X49" s="3" t="n">
        <v>1.44</v>
      </c>
      <c r="Y49" s="3" t="n">
        <f aca="false">((($S49*$S49/4)*PI())*($T49/12)*$U49*$V49*$W49)/(33000*1.1)</f>
        <v>28.7642045454546</v>
      </c>
      <c r="Z49" s="1" t="n">
        <v>5</v>
      </c>
      <c r="AA49" s="2" t="n">
        <v>3</v>
      </c>
      <c r="AC49" s="1" t="n">
        <v>11</v>
      </c>
      <c r="AD49" s="4" t="n">
        <f aca="false">IF(AND(Z49&gt;0,AC49&gt;0),(AC49/((Z49+AA49)*10)),"")</f>
        <v>0.1375</v>
      </c>
      <c r="AE49" s="1" t="n">
        <v>18</v>
      </c>
      <c r="AF49" s="1" t="n">
        <f aca="false">ROUND(AE49*1.6, 0)</f>
        <v>29</v>
      </c>
      <c r="AJ49" s="1" t="n">
        <v>8</v>
      </c>
      <c r="AM49" s="5" t="n">
        <v>0</v>
      </c>
      <c r="AN49" s="1" t="str">
        <f aca="false">CONCATENATE(VLOOKUP(AO49, 'Voxel Sizes'!$A$2:$B$18,2,FALSE()),"x",INT(AK49*15), "x", INT(AL49*15))</f>
        <v>82x0x0</v>
      </c>
      <c r="AO49" s="1" t="n">
        <f aca="false">ROUND(15*((AJ49*10)/256),0)</f>
        <v>5</v>
      </c>
      <c r="AP49" s="1" t="s">
        <v>153</v>
      </c>
      <c r="AQ49" s="1" t="str">
        <f aca="false">CONCATENATE(VLOOKUP(AO49,Constants!$A$2:$C$16,IF(AP49&lt;&gt;"", 3, 2), FALSE()),IF(AP49&lt;&gt;"",CONCATENATE(",",VLOOKUP(AP49,$B:$AQ,42,FALSE())),""))</f>
        <v>2,1,2,1,2,1</v>
      </c>
      <c r="AY49" s="1" t="n">
        <v>1</v>
      </c>
      <c r="BA49" s="1" t="n">
        <v>26</v>
      </c>
      <c r="BB49" s="16" t="n">
        <f aca="false">IF(O49&lt;&gt;"",MAX(16,(O49-M49)+8),"")</f>
        <v>39</v>
      </c>
      <c r="BC49" s="1" t="n">
        <v>-26</v>
      </c>
      <c r="BD49" s="1" t="n">
        <v>-8</v>
      </c>
      <c r="BE49" s="1" t="n">
        <f aca="false">MIN(AE49/150, 1)*30</f>
        <v>3.6</v>
      </c>
      <c r="BF49" s="1" t="n">
        <f aca="false">MIN(Q49/4000, 1)*20</f>
        <v>0.15</v>
      </c>
      <c r="BG49" s="1" t="n">
        <f aca="false">MIN(AC49/400,1)*20</f>
        <v>0.55</v>
      </c>
      <c r="BH49" s="4" t="n">
        <f aca="false">1-(MAX(M49-1900, 0)/750)</f>
        <v>1</v>
      </c>
      <c r="BI49" s="1" t="n">
        <f aca="false">((MAX($P49,1)*MIN($AM49/300,1)))*IF(J49="Wagon",50,10)</f>
        <v>0</v>
      </c>
      <c r="BJ49" s="1" t="n">
        <f aca="false">VLOOKUP($K49,Constants!$I:$K, 2, FALSE())</f>
        <v>1.15</v>
      </c>
      <c r="BK49" s="1" t="n">
        <f aca="false">VLOOKUP($K49,Constants!$I:$K, 3, FALSE())*IF(AND(J49="multiple_unit",AE49&lt;110),0.75,1)</f>
        <v>1.7</v>
      </c>
      <c r="BL49" s="1" t="n">
        <f aca="false">INT(POWER(((Constants!$G$2+$BE49+$BF49+$BG49+$BI49)*$BH49)*$BK49, 1.05))+$BD49</f>
        <v>10</v>
      </c>
      <c r="BM49" s="1" t="n">
        <f aca="false">INT(POWER((((Constants!$G$1+$BE49+$BF49+$BG49+$BI49)*($BH49))*$BJ49),IF($J49="wagon",1,1.2)))+$BC49</f>
        <v>15</v>
      </c>
      <c r="BN49" s="17" t="n">
        <f aca="false">BL49*IF($J49="wagon",62.5,781.25)</f>
        <v>7812.5</v>
      </c>
      <c r="BO49" s="17" t="n">
        <f aca="false">BM49*IF($J49="wagon",2.73,81.25)</f>
        <v>1218.75</v>
      </c>
      <c r="BY49" s="1" t="n">
        <v>11</v>
      </c>
      <c r="CD49" s="1" t="str">
        <f aca="false">VLOOKUP(M49,Eras!$A$2:$C$10, 2, TRUE())</f>
        <v>early</v>
      </c>
      <c r="CE49" s="1" t="s">
        <v>129</v>
      </c>
      <c r="CF49" s="1" t="str">
        <f aca="false">CONCATENATE(CD49,"_",CE49)</f>
        <v>early_Mixed Traffic</v>
      </c>
      <c r="CG49" s="1" t="str">
        <f aca="false">_xlfn.CONCAT(K49, "_",L49)</f>
        <v>steam_PLATEWAY</v>
      </c>
      <c r="CH49" s="7" t="str">
        <f aca="false">_xlfn.CONCAT("{BLACK}Length: {GOLD}", TEXT(ROUNDUP(IF(AT49&lt;&gt;"",SUM(VALUE(_xlfn.TEXTSPLIT(AT49, ","))), SUM(VALUE(_xlfn.TEXTSPLIT(AQ49, ",")))*IF(P49, P49, 1))/16, 1), "#,##0.0"), " tiles{}")</f>
        <v>{BLACK}Length: {GOLD}0.6 tiles{}</v>
      </c>
      <c r="CI49" s="1" t="n">
        <f aca="false">VLOOKUP($CG49, Constants!$M:$N, 2, FALSE())</f>
        <v>0</v>
      </c>
      <c r="CJ49" s="1" t="str">
        <f aca="false">IF(P49&gt;1,_xlfn.CONCAT("{BLACK}Cars: {GOLD}", P49),"")</f>
        <v/>
      </c>
      <c r="CK49" s="1" t="s">
        <v>214</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{GOLD}0.6 tiles{}{SILVER}Timothy Hackworth was an influential early locomotive engineer. The Royal George locomotive was built around the boiler from an earlier locomotive Chittaprat, and was capable of hauling heavy coal trains.</v>
      </c>
    </row>
    <row r="50" customFormat="false" ht="14.25" hidden="false" customHeight="false" outlineLevel="0" collapsed="false">
      <c r="A50" s="1" t="s">
        <v>215</v>
      </c>
      <c r="B50" s="15" t="s">
        <v>216</v>
      </c>
      <c r="C50" s="1" t="n">
        <v>103</v>
      </c>
      <c r="E50" s="1" t="n">
        <v>6</v>
      </c>
      <c r="G50" s="1" t="str">
        <f aca="false">IF($F50&lt;&gt;"",_xlfn.CONCAT(VLOOKUP($CE50, Constants!$T:$U, 2, FALSE()),",",$F50),VLOOKUP($CE50, Constants!$T:$U, 2, FALSE()))</f>
        <v>role/mixed</v>
      </c>
      <c r="H50" s="1" t="str">
        <f aca="false">IF($G50&lt;&gt;"",_xlfn.CONCAT(VLOOKUP($CG50, Constants!$M:$P, 4, FALSE()),",",$G50),VLOOKUP($CG50, Constants!$M:$P, 4, FALSE()))</f>
        <v>flag/GB,power/animal,role/mixed</v>
      </c>
      <c r="I50" s="1" t="s">
        <v>198</v>
      </c>
      <c r="J50" s="1" t="s">
        <v>216</v>
      </c>
      <c r="K50" s="1" t="s">
        <v>199</v>
      </c>
      <c r="L50" s="1" t="s">
        <v>200</v>
      </c>
      <c r="M50" s="1" t="n">
        <v>1829</v>
      </c>
      <c r="O50" s="1" t="n">
        <v>1842</v>
      </c>
      <c r="Q50" s="1" t="n">
        <v>10</v>
      </c>
      <c r="W50" s="18"/>
      <c r="Z50" s="1" t="n">
        <v>3</v>
      </c>
      <c r="AC50" s="1" t="n">
        <v>8</v>
      </c>
      <c r="AD50" s="4" t="n">
        <f aca="false">IF(AND(Z50&gt;0,AC50&gt;0),(AC50/((Z50+AA50)*10)),"")</f>
        <v>0.266666666666667</v>
      </c>
      <c r="AE50" s="1" t="n">
        <v>22</v>
      </c>
      <c r="AF50" s="1" t="n">
        <f aca="false">ROUND(AE50*1.6, 0)</f>
        <v>35</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FALSE()),IF(AP50&lt;&gt;"",CONCATENATE(",",VLOOKUP(AP50,$B:$AQ,42,FALSE())),""))</f>
        <v>2,1,2</v>
      </c>
      <c r="AY50" s="1" t="n">
        <v>1</v>
      </c>
      <c r="BA50" s="1" t="n">
        <v>12</v>
      </c>
      <c r="BB50" s="16" t="n">
        <f aca="false">IF(O50&lt;&gt;"",MAX(16,(O50-M50)+8),"")</f>
        <v>21</v>
      </c>
      <c r="BC50" s="1" t="n">
        <v>-13</v>
      </c>
      <c r="BD50" s="1" t="n">
        <v>-1</v>
      </c>
      <c r="BE50" s="1" t="n">
        <f aca="false">MIN(AE50/150, 1)*30</f>
        <v>4.4</v>
      </c>
      <c r="BF50" s="1" t="n">
        <f aca="false">MIN(Q50/4000, 1)*20</f>
        <v>0.05</v>
      </c>
      <c r="BG50" s="1" t="n">
        <f aca="false">MIN(AC50/400,1)*20</f>
        <v>0.4</v>
      </c>
      <c r="BH50" s="4" t="n">
        <f aca="false">1-(MAX(M50-1900, 0)/750)</f>
        <v>1</v>
      </c>
      <c r="BI50" s="1" t="n">
        <f aca="false">((MAX($P50,1)*MIN($AM50/300,1)))*IF(J50="Wagon",50,10)</f>
        <v>0</v>
      </c>
      <c r="BJ50" s="1" t="n">
        <f aca="false">VLOOKUP($K50,Constants!$I:$K, 2, FALSE())</f>
        <v>0.5</v>
      </c>
      <c r="BK50" s="1" t="n">
        <f aca="false">VLOOKUP($K50,Constants!$I:$K, 3, FALSE())*IF(AND(J50="multiple_unit",AE50&lt;110),0.75,1)</f>
        <v>0.5</v>
      </c>
      <c r="BL50" s="1" t="n">
        <f aca="false">INT(POWER(((Constants!$G$2+$BE50+$BF50+$BG50+$BI50)*$BH50)*$BK50, 1.05))+$BD50</f>
        <v>4</v>
      </c>
      <c r="BM50" s="1" t="n">
        <f aca="false">INT(POWER((((Constants!$G$1+$BE50+$BF50+$BG50+$BI50)*($BH50))*$BJ50),IF($J50="wagon",1,1.2)))+$BC50</f>
        <v>2</v>
      </c>
      <c r="BN50" s="17" t="n">
        <f aca="false">BL50*IF($J50="wagon",62.5,781.25)</f>
        <v>3125</v>
      </c>
      <c r="BO50" s="17" t="n">
        <f aca="false">BM50*IF($J50="wagon",2.73,81.25)</f>
        <v>162.5</v>
      </c>
      <c r="BY50" s="1" t="n">
        <v>3</v>
      </c>
      <c r="CD50" s="1" t="str">
        <f aca="false">VLOOKUP(M50,Eras!$A$2:$C$10, 2, TRUE())</f>
        <v>early</v>
      </c>
      <c r="CE50" s="1" t="s">
        <v>129</v>
      </c>
      <c r="CF50" s="1" t="str">
        <f aca="false">CONCATENATE(CD50,"_",CE50)</f>
        <v>early_Mixed Traffic</v>
      </c>
      <c r="CG50" s="1" t="str">
        <f aca="false">_xlfn.CONCAT(K50, "_",L50)</f>
        <v>horses_PLATEWAY</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K50" s="1" t="s">
        <v>217</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tiles{}{SILVER}Brandreth's "Cycloped" was the only entry in the Rainhill Trials not powered by steam. Unfortunately during the trials the horse burst through the floor, withdrawing it from the competition.</v>
      </c>
    </row>
    <row r="51" customFormat="false" ht="14.25" hidden="false" customHeight="false" outlineLevel="0" collapsed="false">
      <c r="A51" s="1" t="s">
        <v>218</v>
      </c>
      <c r="B51" s="15" t="s">
        <v>219</v>
      </c>
      <c r="C51" s="1" t="n">
        <v>104</v>
      </c>
      <c r="E51" s="1" t="n">
        <v>7</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198</v>
      </c>
      <c r="J51" s="1" t="s">
        <v>206</v>
      </c>
      <c r="K51" s="1" t="s">
        <v>207</v>
      </c>
      <c r="L51" s="1" t="s">
        <v>200</v>
      </c>
      <c r="M51" s="1" t="n">
        <v>1829</v>
      </c>
      <c r="O51" s="1" t="n">
        <v>1846</v>
      </c>
      <c r="Q51" s="1" t="n">
        <v>30</v>
      </c>
      <c r="S51" s="3" t="n">
        <v>8</v>
      </c>
      <c r="T51" s="3" t="n">
        <v>17</v>
      </c>
      <c r="U51" s="3" t="n">
        <v>2</v>
      </c>
      <c r="V51" s="3" t="n">
        <v>50</v>
      </c>
      <c r="W51" s="18" t="n">
        <f aca="false">((($AE51/2)/60)*5280)/($X51*3.2*PI())</f>
        <v>91.1825194797317</v>
      </c>
      <c r="X51" s="3" t="n">
        <v>1.44</v>
      </c>
      <c r="Y51" s="3" t="n">
        <f aca="false">((($S51*$S51/4)*PI())*($T51/12)*$U51*$V51*$W51)/(33000*1.1)</f>
        <v>17.8872053872054</v>
      </c>
      <c r="Z51" s="1" t="n">
        <v>4</v>
      </c>
      <c r="AA51" s="2" t="n">
        <v>3</v>
      </c>
      <c r="AC51" s="1" t="n">
        <v>8.5</v>
      </c>
      <c r="AD51" s="4" t="n">
        <f aca="false">IF(AND(Z51&gt;0,AC51&gt;0),(AC51/((Z51+AA51)*10)),"")</f>
        <v>0.121428571428571</v>
      </c>
      <c r="AE51" s="1" t="n">
        <v>30</v>
      </c>
      <c r="AF51" s="1" t="n">
        <f aca="false">ROUND(AE51*1.6, 0)</f>
        <v>48</v>
      </c>
      <c r="AJ51" s="1" t="n">
        <v>6</v>
      </c>
      <c r="AM51" s="5" t="n">
        <v>0</v>
      </c>
      <c r="AN51" s="1" t="str">
        <f aca="false">CONCATENATE(VLOOKUP(AO51, 'Voxel Sizes'!$A$2:$B$18,2,FALSE()),"x",INT(AK51*15), "x", INT(AL51*15))</f>
        <v>60x0x0</v>
      </c>
      <c r="AO51" s="1" t="n">
        <f aca="false">ROUND(15*((AJ51*10)/256),0)</f>
        <v>4</v>
      </c>
      <c r="AP51" s="1" t="s">
        <v>155</v>
      </c>
      <c r="AQ51" s="1" t="str">
        <f aca="false">CONCATENATE(VLOOKUP(AO51,Constants!$A$2:$C$16,IF(AP51&lt;&gt;"", 3, 2), FALSE()),IF(AP51&lt;&gt;"",CONCATENATE(",",VLOOKUP(AP51,$B:$AQ,42,FALSE())),""))</f>
        <v>1,2,1,1,2,1</v>
      </c>
      <c r="AY51" s="1" t="n">
        <v>1</v>
      </c>
      <c r="BA51" s="1" t="n">
        <v>22</v>
      </c>
      <c r="BB51" s="16" t="n">
        <f aca="false">IF(O51&lt;&gt;"",MAX(16,(O51-M51)+8),"")</f>
        <v>25</v>
      </c>
      <c r="BC51" s="1" t="n">
        <v>-28</v>
      </c>
      <c r="BD51" s="1" t="n">
        <v>-12</v>
      </c>
      <c r="BE51" s="1" t="n">
        <f aca="false">MIN(AE51/150, 1)*30</f>
        <v>6</v>
      </c>
      <c r="BF51" s="1" t="n">
        <f aca="false">MIN(Q51/4000, 1)*20</f>
        <v>0.15</v>
      </c>
      <c r="BG51" s="1" t="n">
        <f aca="false">MIN(AC51/400,1)*20</f>
        <v>0.425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10</v>
      </c>
      <c r="BM51" s="1" t="n">
        <f aca="false">INT(POWER((((Constants!$G$1+$BE51+$BF51+$BG51+$BI51)*($BH51))*$BJ51),IF($J51="wagon",1,1.2)))+$BC51</f>
        <v>19</v>
      </c>
      <c r="BN51" s="17" t="n">
        <f aca="false">BL51*IF($J51="wagon",62.5,781.25)</f>
        <v>7812.5</v>
      </c>
      <c r="BO51" s="17" t="n">
        <f aca="false">BM51*IF($J51="wagon",2.73,81.25)</f>
        <v>1543.75</v>
      </c>
      <c r="BY51" s="1" t="n">
        <v>3</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220</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tiles{}{SILVER}Although not the first steam locomotive, Rocket's advanced design and success in the Rainhill trials made it the pivotal design for steam engines to replace horses on the railway.</v>
      </c>
    </row>
    <row r="52" customFormat="false" ht="14.25" hidden="false" customHeight="false" outlineLevel="0" collapsed="false">
      <c r="A52" s="1" t="s">
        <v>221</v>
      </c>
      <c r="B52" s="15" t="s">
        <v>222</v>
      </c>
      <c r="C52" s="1" t="n">
        <v>105</v>
      </c>
      <c r="E52" s="1" t="n">
        <v>8</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198</v>
      </c>
      <c r="J52" s="1" t="s">
        <v>206</v>
      </c>
      <c r="K52" s="1" t="s">
        <v>207</v>
      </c>
      <c r="L52" s="1" t="s">
        <v>200</v>
      </c>
      <c r="M52" s="1" t="n">
        <v>1830</v>
      </c>
      <c r="O52" s="1" t="n">
        <v>1850</v>
      </c>
      <c r="Q52" s="1" t="n">
        <v>50</v>
      </c>
      <c r="S52" s="3" t="n">
        <v>11</v>
      </c>
      <c r="T52" s="3" t="n">
        <v>16</v>
      </c>
      <c r="U52" s="3" t="n">
        <v>2</v>
      </c>
      <c r="V52" s="3" t="n">
        <v>50</v>
      </c>
      <c r="W52" s="18" t="n">
        <f aca="false">((($AE52/2)/60)*5280)/($X52*3.2*PI())</f>
        <v>100.780679424967</v>
      </c>
      <c r="X52" s="3" t="n">
        <v>1.52</v>
      </c>
      <c r="Y52" s="3" t="n">
        <f aca="false">((($S52*$S52/4)*PI())*($T52/12)*$U52*$V52*$W52)/(33000*1.1)</f>
        <v>35.1790935672515</v>
      </c>
      <c r="Z52" s="1" t="n">
        <v>4.3</v>
      </c>
      <c r="AA52" s="2" t="n">
        <v>3</v>
      </c>
      <c r="AC52" s="1" t="n">
        <v>8.5</v>
      </c>
      <c r="AD52" s="4" t="n">
        <f aca="false">IF(AND(Z52&gt;0,AC52&gt;0),(AC52/((Z52+AA52)*10)),"")</f>
        <v>0.116438356164384</v>
      </c>
      <c r="AE52" s="1" t="n">
        <v>35</v>
      </c>
      <c r="AF52" s="1" t="n">
        <f aca="false">ROUND(AE52*1.6, 0)</f>
        <v>56</v>
      </c>
      <c r="AJ52" s="1" t="n">
        <v>6</v>
      </c>
      <c r="AM52" s="5" t="n">
        <v>0</v>
      </c>
      <c r="AN52" s="1" t="str">
        <f aca="false">CONCATENATE(VLOOKUP(AO52, 'Voxel Sizes'!$A$2:$B$18,2,FALSE()),"x",INT(AK52*15), "x", INT(AL52*15))</f>
        <v>60x0x0</v>
      </c>
      <c r="AO52" s="1" t="n">
        <f aca="false">ROUND(15*((AJ52*10)/256),0)</f>
        <v>4</v>
      </c>
      <c r="AP52" s="1" t="s">
        <v>157</v>
      </c>
      <c r="AQ52" s="1" t="str">
        <f aca="false">CONCATENATE(VLOOKUP(AO52,Constants!$A$2:$C$16,IF(AP52&lt;&gt;"", 3, 2), FALSE()),IF(AP52&lt;&gt;"",CONCATENATE(",",VLOOKUP(AP52,$B:$AQ,42,FALSE())),""))</f>
        <v>1,2,1,1,2,1</v>
      </c>
      <c r="BA52" s="1" t="n">
        <v>26</v>
      </c>
      <c r="BB52" s="16" t="n">
        <f aca="false">IF(O52&lt;&gt;"",MAX(16,(O52-M52)+8),"")</f>
        <v>28</v>
      </c>
      <c r="BC52" s="1" t="n">
        <v>-24</v>
      </c>
      <c r="BD52" s="1" t="n">
        <v>-12</v>
      </c>
      <c r="BE52" s="1" t="n">
        <f aca="false">MIN(AE52/150, 1)*30</f>
        <v>7</v>
      </c>
      <c r="BF52" s="1" t="n">
        <f aca="false">MIN(Q52/4000, 1)*20</f>
        <v>0.25</v>
      </c>
      <c r="BG52" s="1" t="n">
        <f aca="false">MIN(AC52/400,1)*20</f>
        <v>0.425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13</v>
      </c>
      <c r="BM52" s="1" t="n">
        <f aca="false">INT(POWER((((Constants!$G$1+$BE52+$BF52+$BG52+$BI52)*($BH52))*$BJ52),IF($J52="wagon",1,1.2)))+$BC52</f>
        <v>26</v>
      </c>
      <c r="BN52" s="17" t="n">
        <f aca="false">BL52*IF($J52="wagon",62.5,781.25)</f>
        <v>10156.25</v>
      </c>
      <c r="BO52" s="17" t="n">
        <f aca="false">BM52*IF($J52="wagon",2.73,81.25)</f>
        <v>2112.5</v>
      </c>
      <c r="BY52" s="1" t="n">
        <v>9</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{GOLD}0.5 tiles{}</v>
      </c>
      <c r="CI52" s="1" t="n">
        <f aca="false">VLOOKUP($CG52, Constants!$M:$N, 2, FALSE())</f>
        <v>0</v>
      </c>
      <c r="CJ52" s="1" t="str">
        <f aca="false">IF(P52&gt;1,_xlfn.CONCAT("{BLACK}Cars: {GOLD}", P52),"")</f>
        <v/>
      </c>
      <c r="CK52" s="1" t="s">
        <v>223</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{GOLD}0.5 tiles{}{SILVER}Stephenson's "Planet" locomotives made several improvements to the Rocket design, including being the first locomotive to feature cylinders inside the frame.</v>
      </c>
    </row>
    <row r="53" customFormat="false" ht="14.25" hidden="false" customHeight="false" outlineLevel="0" collapsed="false">
      <c r="A53" s="1" t="s">
        <v>224</v>
      </c>
      <c r="B53" s="15" t="s">
        <v>225</v>
      </c>
      <c r="C53" s="1" t="n">
        <v>106</v>
      </c>
      <c r="E53" s="1" t="n">
        <v>9</v>
      </c>
      <c r="G53" s="1" t="str">
        <f aca="false">IF($F53&lt;&gt;"",_xlfn.CONCAT(VLOOKUP($CE53, Constants!$T:$U, 2, FALSE()),",",$F53),VLOOKUP($CE53, Constants!$T:$U, 2, FALSE()))</f>
        <v>role/mixed</v>
      </c>
      <c r="H53" s="1" t="str">
        <f aca="false">IF($G53&lt;&gt;"",_xlfn.CONCAT(VLOOKUP($CG53, Constants!$M:$P, 4, FALSE()),",",$G53),VLOOKUP($CG53, Constants!$M:$P, 4, FALSE()))</f>
        <v>flag/GB,power/steam,role/mixed</v>
      </c>
      <c r="I53" s="1" t="s">
        <v>198</v>
      </c>
      <c r="J53" s="1" t="s">
        <v>206</v>
      </c>
      <c r="K53" s="1" t="s">
        <v>207</v>
      </c>
      <c r="L53" s="1" t="s">
        <v>149</v>
      </c>
      <c r="M53" s="1" t="n">
        <v>1833</v>
      </c>
      <c r="O53" s="1" t="n">
        <v>1865</v>
      </c>
      <c r="Q53" s="1" t="n">
        <v>75</v>
      </c>
      <c r="S53" s="3" t="n">
        <v>11</v>
      </c>
      <c r="T53" s="3" t="n">
        <v>16</v>
      </c>
      <c r="U53" s="3" t="n">
        <v>2</v>
      </c>
      <c r="V53" s="3" t="n">
        <v>50</v>
      </c>
      <c r="W53" s="18" t="n">
        <f aca="false">((($AE53/2)/60)*5280)/($X53*3.2*PI())</f>
        <v>109.419023375678</v>
      </c>
      <c r="X53" s="3" t="n">
        <v>1.52</v>
      </c>
      <c r="Y53" s="3" t="n">
        <f aca="false">((($S53*$S53/4)*PI())*($T53/12)*$U53*$V53*$W53)/(33000*1.1)</f>
        <v>38.1944444444444</v>
      </c>
      <c r="Z53" s="1" t="n">
        <v>5</v>
      </c>
      <c r="AA53" s="2" t="n">
        <v>3</v>
      </c>
      <c r="AC53" s="1" t="n">
        <v>11</v>
      </c>
      <c r="AD53" s="4" t="n">
        <f aca="false">IF(AND(Z53&gt;0,AC53&gt;0),(AC53/((Z53+AA53)*10)),"")</f>
        <v>0.1375</v>
      </c>
      <c r="AE53" s="1" t="n">
        <v>38</v>
      </c>
      <c r="AF53" s="1" t="n">
        <f aca="false">ROUND(AE53*1.6, 0)</f>
        <v>61</v>
      </c>
      <c r="AJ53" s="1" t="n">
        <v>8</v>
      </c>
      <c r="AM53" s="5" t="n">
        <v>0</v>
      </c>
      <c r="AN53" s="1" t="str">
        <f aca="false">CONCATENATE(VLOOKUP(AO53, 'Voxel Sizes'!$A$2:$B$18,2,FALSE()),"x",INT(AK53*15), "x", INT(AL53*15))</f>
        <v>82x0x0</v>
      </c>
      <c r="AO53" s="1" t="n">
        <f aca="false">ROUND(15*((AJ53*10)/256),0)</f>
        <v>5</v>
      </c>
      <c r="AP53" s="1" t="s">
        <v>157</v>
      </c>
      <c r="AQ53" s="1" t="str">
        <f aca="false">CONCATENATE(VLOOKUP(AO53,Constants!$A$2:$C$16,IF(AP53&lt;&gt;"", 3, 2), FALSE()),IF(AP53&lt;&gt;"",CONCATENATE(",",VLOOKUP(AP53,$B:$AQ,42,FALSE())),""))</f>
        <v>2,1,2,1,2,1</v>
      </c>
      <c r="BA53" s="1" t="n">
        <v>28</v>
      </c>
      <c r="BB53" s="16" t="n">
        <f aca="false">IF(O53&lt;&gt;"",MAX(16,(O53-M53)+8),"")</f>
        <v>40</v>
      </c>
      <c r="BC53" s="1" t="n">
        <v>-16</v>
      </c>
      <c r="BD53" s="1" t="n">
        <v>-10</v>
      </c>
      <c r="BE53" s="1" t="n">
        <f aca="false">MIN(AE53/150, 1)*30</f>
        <v>7.6</v>
      </c>
      <c r="BF53" s="1" t="n">
        <f aca="false">MIN(Q53/4000, 1)*20</f>
        <v>0.375</v>
      </c>
      <c r="BG53" s="1" t="n">
        <f aca="false">MIN(AC53/400,1)*20</f>
        <v>0.55</v>
      </c>
      <c r="BH53" s="4" t="n">
        <f aca="false">1-(MAX(M53-1900, 0)/750)</f>
        <v>1</v>
      </c>
      <c r="BI53" s="1" t="n">
        <f aca="false">((MAX($P53,1)*MIN($AM53/300,1)))*IF(J53="Wagon",50,10)</f>
        <v>0</v>
      </c>
      <c r="BJ53" s="1" t="n">
        <f aca="false">VLOOKUP($K53,Constants!$I:$K, 2, FALSE())</f>
        <v>1.15</v>
      </c>
      <c r="BK53" s="1" t="n">
        <f aca="false">VLOOKUP($K53,Constants!$I:$K, 3, FALSE())*IF(AND(J53="multiple_unit",AE53&lt;110),0.75,1)</f>
        <v>1.7</v>
      </c>
      <c r="BL53" s="1" t="n">
        <f aca="false">INT(POWER(((Constants!$G$2+$BE53+$BF53+$BG53+$BI53)*$BH53)*$BK53, 1.05))+$BD53</f>
        <v>16</v>
      </c>
      <c r="BM53" s="1" t="n">
        <f aca="false">INT(POWER((((Constants!$G$1+$BE53+$BF53+$BG53+$BI53)*($BH53))*$BJ53),IF($J53="wagon",1,1.2)))+$BC53</f>
        <v>36</v>
      </c>
      <c r="BN53" s="17" t="n">
        <f aca="false">BL53*IF($J53="wagon",62.5,781.25)</f>
        <v>12500</v>
      </c>
      <c r="BO53" s="17" t="n">
        <f aca="false">BM53*IF($J53="wagon",2.73,81.25)</f>
        <v>2925</v>
      </c>
      <c r="BY53" s="1" t="n">
        <v>9</v>
      </c>
      <c r="CD53" s="1" t="str">
        <f aca="false">VLOOKUP(M53,Eras!$A$2:$C$10, 2, TRUE())</f>
        <v>early</v>
      </c>
      <c r="CE53" s="1" t="s">
        <v>129</v>
      </c>
      <c r="CF53" s="1" t="str">
        <f aca="false">CONCATENATE(CD53,"_",CE53)</f>
        <v>early_Mixed Traffic</v>
      </c>
      <c r="CG53" s="1" t="str">
        <f aca="false">_xlfn.CONCAT(K53, "_",L53)</f>
        <v>steam_RAIL</v>
      </c>
      <c r="CH53" s="7" t="str">
        <f aca="false">_xlfn.CONCAT("{BLACK}Length: {GOLD}", TEXT(ROUNDUP(IF(AT53&lt;&gt;"",SUM(VALUE(_xlfn.TEXTSPLIT(AT53, ","))), SUM(VALUE(_xlfn.TEXTSPLIT(AQ53, ",")))*IF(P53, P53, 1))/16, 1), "#,##0.0"), " tiles{}")</f>
        <v>{BLACK}Length: {GOLD}0.6 tiles{}</v>
      </c>
      <c r="CI53" s="1" t="n">
        <f aca="false">VLOOKUP($CG53, Constants!$M:$N, 2, FALSE())</f>
        <v>0</v>
      </c>
      <c r="CJ53" s="1" t="str">
        <f aca="false">IF(P53&gt;1,_xlfn.CONCAT("{BLACK}Cars: {GOLD}", P53),"")</f>
        <v/>
      </c>
      <c r="CK53" s="1" t="s">
        <v>226</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{GOLD}0.6 tiles{}{SILVER}The Patentee was an enlarged version of the Planet type with an additional trailing rear axle, making it more stable and allowing a larger firebox.</v>
      </c>
    </row>
    <row r="54" customFormat="false" ht="14.25" hidden="false" customHeight="false" outlineLevel="0" collapsed="false">
      <c r="A54" s="1" t="s">
        <v>227</v>
      </c>
      <c r="B54" s="19" t="s">
        <v>228</v>
      </c>
      <c r="C54" s="1" t="n">
        <v>1021</v>
      </c>
      <c r="E54" s="1" t="n">
        <v>10</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198</v>
      </c>
      <c r="J54" s="1" t="s">
        <v>206</v>
      </c>
      <c r="K54" s="1" t="s">
        <v>207</v>
      </c>
      <c r="L54" s="1" t="s">
        <v>149</v>
      </c>
      <c r="M54" s="1" t="n">
        <v>1834</v>
      </c>
      <c r="O54" s="1" t="n">
        <v>1860</v>
      </c>
      <c r="Q54" s="1" t="n">
        <v>85</v>
      </c>
      <c r="S54" s="3" t="n">
        <v>11</v>
      </c>
      <c r="T54" s="3" t="n">
        <v>16</v>
      </c>
      <c r="U54" s="3" t="n">
        <v>2</v>
      </c>
      <c r="V54" s="3" t="n">
        <v>50</v>
      </c>
      <c r="W54" s="18" t="n">
        <f aca="false">((($AE54/2)/60)*5280)/($X54*3.2*PI())</f>
        <v>106.750266707979</v>
      </c>
      <c r="X54" s="3" t="n">
        <v>1.435</v>
      </c>
      <c r="Y54" s="3" t="n">
        <f aca="false">((($S54*$S54/4)*PI())*($T54/12)*$U54*$V54*$W54)/(33000*1.1)</f>
        <v>37.2628726287263</v>
      </c>
      <c r="Z54" s="1" t="n">
        <v>6</v>
      </c>
      <c r="AA54" s="2" t="n">
        <v>4</v>
      </c>
      <c r="AC54" s="1" t="n">
        <v>15</v>
      </c>
      <c r="AD54" s="4" t="n">
        <f aca="false">IF(AND(Z54&gt;0,AC54&gt;0),(AC54/((Z54+AA54)*10)),"")</f>
        <v>0.15</v>
      </c>
      <c r="AE54" s="1" t="n">
        <v>35</v>
      </c>
      <c r="AF54" s="1" t="n">
        <f aca="false">ROUND(AE54*1.6, 0)</f>
        <v>56</v>
      </c>
      <c r="AJ54" s="1" t="n">
        <v>8</v>
      </c>
      <c r="AM54" s="5" t="n">
        <v>0</v>
      </c>
      <c r="AN54" s="16" t="s">
        <v>229</v>
      </c>
      <c r="AO54" s="16" t="n">
        <f aca="false">ROUND(15*((AJ54*10)/256),0)</f>
        <v>5</v>
      </c>
      <c r="AQ54" s="1" t="str">
        <f aca="false">CONCATENATE(VLOOKUP(AO54,Constants!$A$2:$C$16,IF(AP54&lt;&gt;"", 3, 2), FALSE()),IF(AP54&lt;&gt;"",CONCATENATE(",",VLOOKUP(AP54,$B:$AQ,42,FALSE())),""))</f>
        <v>2,1,2</v>
      </c>
      <c r="AY54" s="1" t="n">
        <v>1</v>
      </c>
      <c r="BA54" s="1" t="n">
        <v>29</v>
      </c>
      <c r="BB54" s="16" t="n">
        <f aca="false">IF(O54&lt;&gt;"",MAX(16,(O54-M54)+8),"")</f>
        <v>34</v>
      </c>
      <c r="BC54" s="1" t="n">
        <v>-16</v>
      </c>
      <c r="BD54" s="1" t="n">
        <v>-8</v>
      </c>
      <c r="BE54" s="20" t="n">
        <f aca="false">MIN(AE54/150, 1)*30</f>
        <v>7</v>
      </c>
      <c r="BF54" s="20" t="n">
        <f aca="false">MIN(Q54/4000, 1)*20</f>
        <v>0.425</v>
      </c>
      <c r="BG54" s="20" t="n">
        <f aca="false">MIN(AC54/400,1)*20</f>
        <v>0.75</v>
      </c>
      <c r="BH54" s="21" t="n">
        <f aca="false">1-(MAX(M54-1900, 0)/750)</f>
        <v>1</v>
      </c>
      <c r="BI54" s="20" t="n">
        <f aca="false">((MAX($P54,1)*MIN($AM54/300,1)))*IF(J54="Wagon",50,10)</f>
        <v>0</v>
      </c>
      <c r="BJ54" s="1" t="n">
        <f aca="false">VLOOKUP($K54,Constants!$I:$K, 2, FALSE())</f>
        <v>1.15</v>
      </c>
      <c r="BK54" s="1" t="n">
        <f aca="false">VLOOKUP($K54,Constants!$I:$K, 3, FALSE())*IF(AND(J54="multiple_unit",AE54&lt;110),0.75,1)</f>
        <v>1.7</v>
      </c>
      <c r="BL54" s="20" t="n">
        <v>18</v>
      </c>
      <c r="BM54" s="20" t="n">
        <v>35</v>
      </c>
      <c r="BN54" s="22" t="n">
        <f aca="false">BL54*IF($J54="wagon",62.5,781.25)</f>
        <v>14062.5</v>
      </c>
      <c r="BO54" s="22" t="n">
        <f aca="false">BM54*IF($J54="wagon",2.73,81.25)</f>
        <v>2843.75</v>
      </c>
      <c r="BY54" s="1" t="n">
        <v>5</v>
      </c>
      <c r="CD54" s="23" t="s">
        <v>230</v>
      </c>
      <c r="CE54" s="1" t="s">
        <v>129</v>
      </c>
      <c r="CF54" s="23" t="str">
        <f aca="false">CONCATENATE(CD54,"_",CE54)</f>
        <v>early_Mixed Traffic</v>
      </c>
      <c r="CG54" s="23" t="str">
        <f aca="false">_xlfn.CONCAT(K54, "_",L54)</f>
        <v>steam_RAIL</v>
      </c>
      <c r="CH54" s="7" t="str">
        <f aca="false">_xlfn.CONCAT("{BLACK}Length: {GOLD}", TEXT(ROUNDUP(IF(AT54&lt;&gt;"",SUM(VALUE(_xlfn.TEXTSPLIT(AT54, ","))), SUM(VALUE(_xlfn.TEXTSPLIT(AQ54, ",")))*IF(P54, P54, 1))/16, 1), "#,##0.0"), " tiles{}")</f>
        <v>{BLACK}Length: {GOLD}0.4 tiles{}</v>
      </c>
      <c r="CI54" s="1" t="n">
        <f aca="false">VLOOKUP($CG54, Constants!$M:$N, 2, FALSE())</f>
        <v>0</v>
      </c>
      <c r="CJ54" s="1" t="str">
        <f aca="false">IF(P54&gt;1,_xlfn.CONCAT("{BLACK}Cars: {GOLD}", P54),"")</f>
        <v/>
      </c>
      <c r="CK54" s="1" t="s">
        <v>231</v>
      </c>
      <c r="CL54" s="1" t="str">
        <f aca="false">IF($BX54="!param_no_gameplay_units","{GREEN}Included for gameplay purposes","")</f>
        <v/>
      </c>
      <c r="CM54" s="1" t="str">
        <f aca="false">IF(CA54="buffet","{YELLOW}25% long distance bonus for consist{}",IF(CB54="DANDY","{YELLOW}Faster downhill speeds for horse-drawn trains (1 required per 2 horses){}",IF(CB54="BRAKE","{YELLOW}Speed bonus for slow wagons{}",IF(CB54="NGPassengers","{YELLOW}Preserved railway bonus: passengers pay more when hauled by old locomotives{}",IF(AND(BZ54&gt;190,NOT(AND(L54="NARROW_GAUGE",CB54&lt;&gt;"PASS"))),CONCATENATE("{YELLOW}",INT((BZ54-185)/1.85),"%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tiles{}{SILVER}George Forrester and Company built the first passenger tank locomotive to enter service. They were supplied to multiple railways in both tank and tender forms.</v>
      </c>
    </row>
    <row r="55" customFormat="false" ht="14.25" hidden="false" customHeight="false" outlineLevel="0" collapsed="false">
      <c r="A55" s="1" t="s">
        <v>232</v>
      </c>
      <c r="B55" s="15" t="s">
        <v>233</v>
      </c>
      <c r="C55" s="1" t="n">
        <v>107</v>
      </c>
      <c r="E55" s="1" t="n">
        <v>11</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198</v>
      </c>
      <c r="J55" s="1" t="s">
        <v>206</v>
      </c>
      <c r="K55" s="1" t="s">
        <v>207</v>
      </c>
      <c r="L55" s="1" t="s">
        <v>149</v>
      </c>
      <c r="M55" s="1" t="n">
        <v>1838</v>
      </c>
      <c r="O55" s="1" t="n">
        <v>1870</v>
      </c>
      <c r="Q55" s="1" t="n">
        <v>100</v>
      </c>
      <c r="S55" s="3" t="n">
        <v>14</v>
      </c>
      <c r="T55" s="3" t="n">
        <v>18</v>
      </c>
      <c r="U55" s="3" t="n">
        <v>2</v>
      </c>
      <c r="V55" s="3" t="n">
        <v>50</v>
      </c>
      <c r="W55" s="18" t="n">
        <f aca="false">((($AE55/2)/60)*5280)/($X55*3.2*PI())</f>
        <v>116.713624934057</v>
      </c>
      <c r="X55" s="3" t="n">
        <v>1.5</v>
      </c>
      <c r="Y55" s="3" t="n">
        <f aca="false">((($S55*$S55/4)*PI())*($T55/12)*$U55*$V55*$W55)/(33000*1.1)</f>
        <v>74.2424242424242</v>
      </c>
      <c r="Z55" s="1" t="n">
        <v>8</v>
      </c>
      <c r="AA55" s="2" t="n">
        <v>4</v>
      </c>
      <c r="AC55" s="1" t="n">
        <v>18</v>
      </c>
      <c r="AD55" s="4" t="n">
        <f aca="false">IF(AND(Z55&gt;0,AC55&gt;0),(AC55/((Z55+AA55)*10)),"")</f>
        <v>0.15</v>
      </c>
      <c r="AE55" s="1" t="n">
        <v>40</v>
      </c>
      <c r="AF55" s="1" t="n">
        <f aca="false">ROUND(AE55*1.6, 0)</f>
        <v>64</v>
      </c>
      <c r="AJ55" s="1" t="n">
        <v>8</v>
      </c>
      <c r="AM55" s="5" t="n">
        <v>0</v>
      </c>
      <c r="AN55" s="1" t="str">
        <f aca="false">CONCATENATE(VLOOKUP(AO55, 'Voxel Sizes'!$A$2:$B$18,2,FALSE()),"x",INT(AK55*15), "x", INT(AL55*15))</f>
        <v>82x0x0</v>
      </c>
      <c r="AO55" s="1" t="n">
        <f aca="false">ROUND(15*((AJ55*10)/256),0)</f>
        <v>5</v>
      </c>
      <c r="AP55" s="1" t="s">
        <v>159</v>
      </c>
      <c r="AQ55" s="1" t="str">
        <f aca="false">CONCATENATE(VLOOKUP(AO55,Constants!$A$2:$C$16,IF(AP55&lt;&gt;"", 3, 2), FALSE()),IF(AP55&lt;&gt;"",CONCATENATE(",",VLOOKUP(AP55,$B:$AQ,42,FALSE())),""))</f>
        <v>2,1,2,1,2,1</v>
      </c>
      <c r="AY55" s="1" t="n">
        <v>1</v>
      </c>
      <c r="BA55" s="1" t="n">
        <v>32</v>
      </c>
      <c r="BB55" s="16" t="n">
        <f aca="false">IF(O55&lt;&gt;"",MAX(16,(O55-M55)+8),"")</f>
        <v>40</v>
      </c>
      <c r="BC55" s="1" t="n">
        <v>-5</v>
      </c>
      <c r="BD55" s="1" t="n">
        <v>-8</v>
      </c>
      <c r="BE55" s="1" t="n">
        <f aca="false">MIN(AE55/150, 1)*30</f>
        <v>8</v>
      </c>
      <c r="BF55" s="1" t="n">
        <f aca="false">MIN(Q55/4000, 1)*20</f>
        <v>0.5</v>
      </c>
      <c r="BG55" s="1" t="n">
        <f aca="false">MIN(AC55/400,1)*20</f>
        <v>0.9</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20</v>
      </c>
      <c r="BM55" s="1" t="n">
        <f aca="false">INT(POWER((((Constants!$G$1+$BE55+$BF55+$BG55+$BI55)*($BH55))*$BJ55),IF($J55="wagon",1,1.2)))+$BC55</f>
        <v>49</v>
      </c>
      <c r="BN55" s="17" t="n">
        <f aca="false">BL55*IF($J55="wagon",62.5,781.25)</f>
        <v>15625</v>
      </c>
      <c r="BO55" s="17" t="n">
        <f aca="false">BM55*IF($J55="wagon",2.73,81.25)</f>
        <v>3981.25</v>
      </c>
      <c r="BY55" s="1" t="n">
        <v>5</v>
      </c>
      <c r="CD55" s="1" t="str">
        <f aca="false">VLOOKUP(M55,Eras!$A$2:$C$10, 2, TRUE())</f>
        <v>early</v>
      </c>
      <c r="CE55" s="1" t="s">
        <v>129</v>
      </c>
      <c r="CF55" s="1" t="str">
        <f aca="false">CONCATENATE(CD55,"_",CE55)</f>
        <v>early_Mixed Traffic</v>
      </c>
      <c r="CG55" s="1" t="str">
        <f aca="false">_xlfn.CONCAT(K55, "_",L55)</f>
        <v>steam_RAIL</v>
      </c>
      <c r="CH55" s="7" t="str">
        <f aca="false">_xlfn.CONCAT("{BLACK}Length: {GOLD}", TEXT(ROUNDUP(IF(AT55&lt;&gt;"",SUM(VALUE(_xlfn.TEXTSPLIT(AT55, ","))), SUM(VALUE(_xlfn.TEXTSPLIT(AQ55, ",")))*IF(P55, P55, 1))/16, 1), "#,##0.0"), " tiles{}")</f>
        <v>{BLACK}Length: {GOLD}0.6 tiles{}</v>
      </c>
      <c r="CI55" s="1" t="n">
        <f aca="false">VLOOKUP($CG55, Constants!$M:$N, 2, FALSE())</f>
        <v>0</v>
      </c>
      <c r="CJ55" s="1" t="str">
        <f aca="false">IF(P55&gt;1,_xlfn.CONCAT("{BLACK}Cars: {GOLD}", P55),"")</f>
        <v/>
      </c>
      <c r="CK55" s="1" t="s">
        <v>234</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{GOLD}0.6 tiles{}{SILVER}The Liverpool and Manchester Railway's "Lion" is most famous for its appearance in the 1953 film "The Titfield Thunderbolt", in which it sustained a dent which can still be seen today.</v>
      </c>
    </row>
    <row r="56" customFormat="false" ht="14.25" hidden="false" customHeight="false" outlineLevel="0" collapsed="false">
      <c r="A56" s="1" t="s">
        <v>235</v>
      </c>
      <c r="B56" s="19" t="s">
        <v>236</v>
      </c>
      <c r="C56" s="1" t="n">
        <v>-1</v>
      </c>
      <c r="E56" s="1" t="n">
        <v>12</v>
      </c>
      <c r="G56" s="1" t="n">
        <f aca="false">IF($F56&lt;&gt;"",_xlfn.CONCAT(VLOOKUP($CE56, Constants!$T:$U, 2, FALSE()),",",$F56),VLOOKUP($CE56, Constants!$T:$U, 2, FALSE()))</f>
        <v>0</v>
      </c>
      <c r="H56" s="1" t="str">
        <f aca="false">IF($G56&lt;&gt;"",_xlfn.CONCAT(VLOOKUP($CG56, Constants!$M:$P, 4, FALSE()),",",$G56),VLOOKUP($CG56, Constants!$M:$P, 4, FALSE()))</f>
        <v>flag/GB</v>
      </c>
      <c r="J56" s="1" t="s">
        <v>41</v>
      </c>
      <c r="K56" s="1" t="s">
        <v>41</v>
      </c>
      <c r="L56" s="1" t="s">
        <v>149</v>
      </c>
      <c r="M56" s="1" t="n">
        <v>1840</v>
      </c>
      <c r="Z56" s="1" t="n">
        <v>5</v>
      </c>
      <c r="AD56" s="4" t="str">
        <f aca="false">IF(AND(Z56&gt;0,AC56&gt;0),(AC56/((Z56+AA56)*10)),"")</f>
        <v/>
      </c>
      <c r="AI56" s="1" t="n">
        <v>7.5</v>
      </c>
      <c r="AJ56" s="1" t="n">
        <v>6</v>
      </c>
      <c r="AM56" s="5" t="n">
        <v>0</v>
      </c>
      <c r="AN56" s="16" t="s">
        <v>237</v>
      </c>
      <c r="AO56" s="16" t="n">
        <f aca="false">ROUND(15*((AJ56*10)/256),0)</f>
        <v>4</v>
      </c>
      <c r="AQ56" s="1" t="str">
        <f aca="false">CONCATENATE(VLOOKUP(AO56,Constants!$A$2:$C$16,IF(AP56&lt;&gt;"", 3, 2), FALSE()),IF(AP56&lt;&gt;"",CONCATENATE(",",VLOOKUP(AP56,$B:$AQ,42,FALSE())),""))</f>
        <v>1,2,1</v>
      </c>
      <c r="BA56" s="1" t="n">
        <v>30</v>
      </c>
      <c r="BB56" s="16" t="str">
        <f aca="false">IF(O56&lt;&gt;"",MAX(16,(O56-M56)+8),"")</f>
        <v/>
      </c>
      <c r="BE56" s="20" t="n">
        <f aca="false">MIN(AE56/150, 1)*30</f>
        <v>0</v>
      </c>
      <c r="BF56" s="20" t="n">
        <f aca="false">MIN(Q56/4000, 1)*20</f>
        <v>0</v>
      </c>
      <c r="BG56" s="20" t="n">
        <f aca="false">MIN(AC56/400,1)*20</f>
        <v>0</v>
      </c>
      <c r="BH56" s="4" t="n">
        <f aca="false">1-(MAX(M56-1900, 0)/750)</f>
        <v>1</v>
      </c>
      <c r="BI56" s="20" t="n">
        <f aca="false">((MAX($P56,1)*MIN($AM56/300,1)))*IF(J56="Wagon",50,10)</f>
        <v>0</v>
      </c>
      <c r="BJ56" s="1" t="n">
        <f aca="false">VLOOKUP($K56,Constants!$I:$K, 2, FALSE())</f>
        <v>0</v>
      </c>
      <c r="BK56" s="1" t="n">
        <f aca="false">VLOOKUP($K56,Constants!$I:$K, 3, FALSE())*IF(AND(J56="multiple_unit",AE56&lt;110),0.75,1)</f>
        <v>0</v>
      </c>
      <c r="BL56" s="20" t="n">
        <v>0</v>
      </c>
      <c r="BM56" s="20" t="n">
        <v>0</v>
      </c>
      <c r="BN56" s="17" t="n">
        <f aca="false">BL56*IF($J56="wagon",62.5,781.25)</f>
        <v>0</v>
      </c>
      <c r="BO56" s="17" t="n">
        <f aca="false">BM56*IF($J56="wagon",2.73,81.25)</f>
        <v>0</v>
      </c>
      <c r="CD56" s="23" t="s">
        <v>230</v>
      </c>
      <c r="CE56" s="1" t="s">
        <v>238</v>
      </c>
      <c r="CF56" s="23" t="str">
        <f aca="false">CONCATENATE(CD56,"_",CE56)</f>
        <v>early_Tender</v>
      </c>
      <c r="CG56" s="23"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consist{}",IF(CB56="DANDY","{YELLOW}Faster downhill speeds for horse-drawn trains (1 required per 2 horses){}",IF(CB56="BRAKE","{YELLOW}Speed bonus for slow wagons{}",IF(CB56="NGPassengers","{YELLOW}Preserved railway bonus: passengers pay more when hauled by old locomotives{}",IF(AND(BZ56&gt;190,NOT(AND(L56="NARROW_GAUGE",CB56&lt;&gt;"PASS"))),CONCATENATE("{YELLOW}",INT((BZ56-185)/1.85),"%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239</v>
      </c>
      <c r="B57" s="19" t="s">
        <v>240</v>
      </c>
      <c r="C57" s="1" t="n">
        <v>1022</v>
      </c>
      <c r="E57" s="1" t="n">
        <v>13</v>
      </c>
      <c r="G57" s="1" t="str">
        <f aca="false">IF($F57&lt;&gt;"",_xlfn.CONCAT(VLOOKUP($CE57, Constants!$T:$U, 2, FALSE()),",",$F57),VLOOKUP($CE57, Constants!$T:$U, 2, FALSE()))</f>
        <v>role/express_passenger</v>
      </c>
      <c r="H57" s="1" t="str">
        <f aca="false">IF($G57&lt;&gt;"",_xlfn.CONCAT(VLOOKUP($CG57, Constants!$M:$P, 4, FALSE()),",",$G57),VLOOKUP($CG57, Constants!$M:$P, 4, FALSE()))</f>
        <v>flag/GB,power/steam,role/express_passenger</v>
      </c>
      <c r="I57" s="1" t="s">
        <v>198</v>
      </c>
      <c r="J57" s="1" t="s">
        <v>206</v>
      </c>
      <c r="K57" s="1" t="s">
        <v>207</v>
      </c>
      <c r="L57" s="1" t="s">
        <v>149</v>
      </c>
      <c r="M57" s="1" t="n">
        <v>1841</v>
      </c>
      <c r="O57" s="1" t="n">
        <v>1871</v>
      </c>
      <c r="Q57" s="1" t="n">
        <v>220</v>
      </c>
      <c r="S57" s="3" t="n">
        <v>16</v>
      </c>
      <c r="T57" s="3" t="n">
        <v>16</v>
      </c>
      <c r="U57" s="3" t="n">
        <v>2</v>
      </c>
      <c r="V57" s="3" t="n">
        <v>140</v>
      </c>
      <c r="W57" s="18" t="n">
        <f aca="false">((($AE57/2)/60)*5280)/($X57*3.2*PI())</f>
        <v>104.208593691122</v>
      </c>
      <c r="X57" s="3" t="n">
        <v>2.1</v>
      </c>
      <c r="Y57" s="3" t="n">
        <f aca="false">((($S57*$S57/4)*PI())*($T57/12)*$U57*$V57*$W57)/(33000*1.1)</f>
        <v>215.488215488215</v>
      </c>
      <c r="Z57" s="1" t="n">
        <v>11</v>
      </c>
      <c r="AC57" s="1" t="n">
        <v>16</v>
      </c>
      <c r="AD57" s="4" t="n">
        <f aca="false">IF(AND(Z57&gt;0,AC57&gt;0),(AC57/((Z57+AA57)*10)),"")</f>
        <v>0.145454545454545</v>
      </c>
      <c r="AE57" s="1" t="n">
        <v>50</v>
      </c>
      <c r="AF57" s="1" t="n">
        <f aca="false">ROUND(AE57*1.6, 0)</f>
        <v>80</v>
      </c>
      <c r="AI57" s="1" t="n">
        <v>8</v>
      </c>
      <c r="AJ57" s="1" t="n">
        <v>8</v>
      </c>
      <c r="AM57" s="5" t="n">
        <v>0</v>
      </c>
      <c r="AN57" s="16" t="s">
        <v>229</v>
      </c>
      <c r="AO57" s="16" t="n">
        <f aca="false">ROUND(15*((AJ57*10)/256),0)</f>
        <v>5</v>
      </c>
      <c r="AP57" s="1" t="s">
        <v>236</v>
      </c>
      <c r="AQ57" s="1" t="str">
        <f aca="false">CONCATENATE(VLOOKUP(AO57,Constants!$A$2:$C$16,IF(AP57&lt;&gt;"", 3, 2), FALSE()),IF(AP57&lt;&gt;"",CONCATENATE(",",VLOOKUP(AP57,$B:$AQ,42,FALSE())),""))</f>
        <v>2,1,2,1,2,1</v>
      </c>
      <c r="BA57" s="1" t="n">
        <v>30</v>
      </c>
      <c r="BB57" s="16" t="n">
        <f aca="false">IF(O57&lt;&gt;"",MAX(16,(O57-M57)+8),"")</f>
        <v>38</v>
      </c>
      <c r="BE57" s="20" t="n">
        <f aca="false">MIN(AE57/150, 1)*30</f>
        <v>10</v>
      </c>
      <c r="BF57" s="20" t="n">
        <f aca="false">MIN(Q57/4000, 1)*20</f>
        <v>1.1</v>
      </c>
      <c r="BG57" s="20" t="n">
        <f aca="false">MIN(AC57/400,1)*20</f>
        <v>0.8</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33</v>
      </c>
      <c r="BM57" s="20" t="n">
        <v>61</v>
      </c>
      <c r="BN57" s="22" t="n">
        <f aca="false">BL57*IF($J57="wagon",62.5,781.25)</f>
        <v>25781.25</v>
      </c>
      <c r="BO57" s="22" t="n">
        <f aca="false">BM57*IF($J57="wagon",2.73,81.25)</f>
        <v>4956.25</v>
      </c>
      <c r="BY57" s="1" t="n">
        <v>3</v>
      </c>
      <c r="CD57" s="23" t="s">
        <v>230</v>
      </c>
      <c r="CE57" s="1" t="s">
        <v>241</v>
      </c>
      <c r="CF57" s="23" t="str">
        <f aca="false">CONCATENATE(CD57,"_",CE57)</f>
        <v>early_Express</v>
      </c>
      <c r="CG57" s="23" t="str">
        <f aca="false">_xlfn.CONCAT(K57, "_",L57)</f>
        <v>steam_RAIL</v>
      </c>
      <c r="CH57" s="7" t="str">
        <f aca="false">_xlfn.CONCAT("{BLACK}Length: {GOLD}", TEXT(ROUNDUP(IF(AT57&lt;&gt;"",SUM(VALUE(_xlfn.TEXTSPLIT(AT57, ","))), SUM(VALUE(_xlfn.TEXTSPLIT(AQ57, ",")))*IF(P57, P57, 1))/16, 1), "#,##0.0"), " tiles{}")</f>
        <v>{BLACK}Length: {GOLD}0.6 tiles{}</v>
      </c>
      <c r="CI57" s="1" t="n">
        <f aca="false">VLOOKUP($CG57, Constants!$M:$N, 2, FALSE())</f>
        <v>0</v>
      </c>
      <c r="CJ57" s="1" t="str">
        <f aca="false">IF(P57&gt;1,_xlfn.CONCAT("{BLACK}Cars: {GOLD}", P57),"")</f>
        <v/>
      </c>
      <c r="CK57" s="1" t="s">
        <v>242</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{GOLD}0.6 tiles{}{SILVER}The first GWR Star class was typical of a 2-2-2 "single" passenger locomotive. They were given common names of stars, such as "Dog Star" and "Shooting Star"</v>
      </c>
    </row>
    <row r="58" customFormat="false" ht="14.25" hidden="false" customHeight="false" outlineLevel="0" collapsed="false">
      <c r="A58" s="1" t="s">
        <v>243</v>
      </c>
      <c r="B58" s="15" t="s">
        <v>244</v>
      </c>
      <c r="C58" s="1" t="n">
        <v>108</v>
      </c>
      <c r="E58" s="1" t="n">
        <v>14</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198</v>
      </c>
      <c r="J58" s="1" t="s">
        <v>206</v>
      </c>
      <c r="K58" s="1" t="s">
        <v>207</v>
      </c>
      <c r="L58" s="1" t="s">
        <v>149</v>
      </c>
      <c r="M58" s="1" t="n">
        <v>1846</v>
      </c>
      <c r="O58" s="1" t="n">
        <v>1900</v>
      </c>
      <c r="Q58" s="1" t="n">
        <v>250</v>
      </c>
      <c r="S58" s="3" t="n">
        <v>14</v>
      </c>
      <c r="T58" s="3" t="n">
        <v>24</v>
      </c>
      <c r="U58" s="3" t="n">
        <v>2</v>
      </c>
      <c r="V58" s="3" t="n">
        <v>110</v>
      </c>
      <c r="W58" s="18" t="n">
        <f aca="false">((($AE58/2)/60)*5280)/($X58*3.2*PI())</f>
        <v>121.576692639642</v>
      </c>
      <c r="X58" s="3" t="n">
        <v>1.44</v>
      </c>
      <c r="Y58" s="3" t="n">
        <f aca="false">((($S58*$S58/4)*PI())*($T58/12)*$U58*$V58*$W58)/(33000*1.1)</f>
        <v>226.851851851852</v>
      </c>
      <c r="Z58" s="1" t="n">
        <v>19</v>
      </c>
      <c r="AA58" s="2" t="n">
        <v>11</v>
      </c>
      <c r="AC58" s="1" t="n">
        <v>34</v>
      </c>
      <c r="AD58" s="4" t="n">
        <f aca="false">IF(AND(Z58&gt;0,AC58&gt;0),(AC58/((Z58+AA58)*10)),"")</f>
        <v>0.113333333333333</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161</v>
      </c>
      <c r="AQ58" s="1" t="str">
        <f aca="false">CONCATENATE(VLOOKUP(AO58,Constants!$A$2:$C$16,IF(AP58&lt;&gt;"", 3, 2), FALSE()),IF(AP58&lt;&gt;"",CONCATENATE(",",VLOOKUP(AP58,$B:$AQ,42,FALSE())),""))</f>
        <v>2,1,2,1,2,1</v>
      </c>
      <c r="AY58" s="1" t="n">
        <v>1</v>
      </c>
      <c r="BA58" s="1" t="n">
        <v>30</v>
      </c>
      <c r="BB58" s="16" t="n">
        <f aca="false">IF(O58&lt;&gt;"",MAX(16,(O58-M58)+8),"")</f>
        <v>62</v>
      </c>
      <c r="BD58" s="1" t="n">
        <v>-5</v>
      </c>
      <c r="BE58" s="1" t="n">
        <f aca="false">MIN(AE58/150, 1)*30</f>
        <v>8</v>
      </c>
      <c r="BF58" s="1" t="n">
        <f aca="false">MIN(Q58/4000, 1)*20</f>
        <v>1.25</v>
      </c>
      <c r="BG58" s="1" t="n">
        <f aca="false">MIN(AC58/400,1)*20</f>
        <v>1.7</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26</v>
      </c>
      <c r="BM58" s="1" t="n">
        <f aca="false">INT(POWER((((Constants!$G$1+$BE58+$BF58+$BG58+$BI58)*($BH58))*$BJ58),IF($J58="wagon",1,1.2)))+$BC58</f>
        <v>58</v>
      </c>
      <c r="BN58" s="17" t="n">
        <f aca="false">BL58*IF($J58="wagon",62.5,781.25)</f>
        <v>20312.5</v>
      </c>
      <c r="BO58" s="17" t="n">
        <f aca="false">BM58*IF($J58="wagon",2.73,81.25)</f>
        <v>4712.5</v>
      </c>
      <c r="BY58" s="1" t="n">
        <v>7</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245</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tiles{}{SILVER}Bury's bar frame locomotives used iron frames between the wheels to reduce weight. The "Coppernob" was named for its copper-plated firebox.</v>
      </c>
    </row>
    <row r="59" customFormat="false" ht="14.25" hidden="false" customHeight="false" outlineLevel="0" collapsed="false">
      <c r="A59" s="1" t="s">
        <v>246</v>
      </c>
      <c r="B59" s="15" t="s">
        <v>247</v>
      </c>
      <c r="C59" s="1" t="n">
        <v>109</v>
      </c>
      <c r="E59" s="1" t="n">
        <v>15</v>
      </c>
      <c r="G59" s="1" t="str">
        <f aca="false">IF($F59&lt;&gt;"",_xlfn.CONCAT(VLOOKUP($CE59, Constants!$T:$U, 2, FALSE()),",",$F59),VLOOKUP($CE59, Constants!$T:$U, 2, FALSE()))</f>
        <v>role/express_passenger</v>
      </c>
      <c r="H59" s="1" t="str">
        <f aca="false">IF($G59&lt;&gt;"",_xlfn.CONCAT(VLOOKUP($CG59, Constants!$M:$P, 4, FALSE()),",",$G59),VLOOKUP($CG59, Constants!$M:$P, 4, FALSE()))</f>
        <v>flag/GB,power/steam,role/express_passenger</v>
      </c>
      <c r="I59" s="1" t="s">
        <v>198</v>
      </c>
      <c r="J59" s="1" t="s">
        <v>206</v>
      </c>
      <c r="K59" s="1" t="s">
        <v>207</v>
      </c>
      <c r="L59" s="1" t="s">
        <v>149</v>
      </c>
      <c r="M59" s="1" t="n">
        <v>1847</v>
      </c>
      <c r="O59" s="1" t="n">
        <v>1885</v>
      </c>
      <c r="Q59" s="1" t="n">
        <v>300</v>
      </c>
      <c r="S59" s="3" t="n">
        <v>14</v>
      </c>
      <c r="T59" s="3" t="n">
        <v>24</v>
      </c>
      <c r="U59" s="3" t="n">
        <v>2</v>
      </c>
      <c r="V59" s="3" t="n">
        <v>130</v>
      </c>
      <c r="W59" s="18" t="n">
        <f aca="false">((($AE59/2)/60)*5280)/($X59*3.2*PI())</f>
        <v>131.302828050814</v>
      </c>
      <c r="X59" s="3" t="n">
        <v>2</v>
      </c>
      <c r="Y59" s="3" t="n">
        <f aca="false">((($S59*$S59/4)*PI())*($T59/12)*$U59*$V59*$W59)/(33000*1.1)</f>
        <v>289.545454545455</v>
      </c>
      <c r="Z59" s="1" t="n">
        <v>21</v>
      </c>
      <c r="AA59" s="2" t="n">
        <v>11</v>
      </c>
      <c r="AC59" s="1" t="n">
        <v>28</v>
      </c>
      <c r="AD59" s="4" t="n">
        <f aca="false">IF(AND(Z59&gt;0,AC59&gt;0),(AC59/((Z59+AA59)*10)),"")</f>
        <v>0.0875</v>
      </c>
      <c r="AE59" s="1" t="n">
        <v>60</v>
      </c>
      <c r="AF59" s="1" t="n">
        <f aca="false">ROUND(AE59*1.6, 0)</f>
        <v>96</v>
      </c>
      <c r="AI59" s="1" t="n">
        <v>8</v>
      </c>
      <c r="AJ59" s="1" t="n">
        <v>8</v>
      </c>
      <c r="AM59" s="5" t="n">
        <v>0</v>
      </c>
      <c r="AN59" s="1" t="str">
        <f aca="false">CONCATENATE(VLOOKUP(AO59, 'Voxel Sizes'!$A$2:$B$18,2,FALSE()),"x",INT(AK59*15), "x", INT(AL59*15))</f>
        <v>82x0x0</v>
      </c>
      <c r="AO59" s="1" t="n">
        <f aca="false">ROUND(15*((AJ59*10)/256),0)</f>
        <v>5</v>
      </c>
      <c r="AP59" s="1" t="s">
        <v>159</v>
      </c>
      <c r="AQ59" s="1" t="str">
        <f aca="false">CONCATENATE(VLOOKUP(AO59,Constants!$A$2:$C$16,IF(AP59&lt;&gt;"", 3, 2), FALSE()),IF(AP59&lt;&gt;"",CONCATENATE(",",VLOOKUP(AP59,$B:$AQ,42,FALSE())),""))</f>
        <v>2,1,2,1,2,1</v>
      </c>
      <c r="AY59" s="1" t="n">
        <v>1</v>
      </c>
      <c r="BA59" s="1" t="n">
        <v>28</v>
      </c>
      <c r="BB59" s="16" t="n">
        <f aca="false">IF(O59&lt;&gt;"",MAX(16,(O59-M59)+8),"")</f>
        <v>46</v>
      </c>
      <c r="BD59" s="1" t="n">
        <v>-5</v>
      </c>
      <c r="BE59" s="1" t="n">
        <f aca="false">MIN(AE59/150, 1)*30</f>
        <v>12</v>
      </c>
      <c r="BF59" s="1" t="n">
        <f aca="false">MIN(Q59/4000, 1)*20</f>
        <v>1.5</v>
      </c>
      <c r="BG59" s="1" t="n">
        <f aca="false">MIN(AC59/400,1)*20</f>
        <v>1.4</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35</v>
      </c>
      <c r="BM59" s="1" t="n">
        <f aca="false">INT(POWER((((Constants!$G$1+$BE59+$BF59+$BG59+$BI59)*($BH59))*$BJ59),IF($J59="wagon",1,1.2)))+$BC59</f>
        <v>69</v>
      </c>
      <c r="BN59" s="17" t="n">
        <f aca="false">BL59*IF($J59="wagon",62.5,781.25)</f>
        <v>27343.75</v>
      </c>
      <c r="BO59" s="17" t="n">
        <f aca="false">BM59*IF($J59="wagon",2.73,81.25)</f>
        <v>5606.25</v>
      </c>
      <c r="BY59" s="1" t="n">
        <v>9</v>
      </c>
      <c r="CD59" s="1" t="str">
        <f aca="false">VLOOKUP(M59,Eras!$A$2:$C$10, 2, TRUE())</f>
        <v>early</v>
      </c>
      <c r="CE59" s="1" t="s">
        <v>241</v>
      </c>
      <c r="CF59" s="1" t="str">
        <f aca="false">CONCATENATE(CD59,"_",CE59)</f>
        <v>early_Express</v>
      </c>
      <c r="CG59" s="1" t="str">
        <f aca="false">_xlfn.CONCAT(K59, "_",L59)</f>
        <v>steam_RAIL</v>
      </c>
      <c r="CH59" s="7" t="str">
        <f aca="false">_xlfn.CONCAT("{BLACK}Length: {GOLD}", TEXT(ROUNDUP(IF(AT59&lt;&gt;"",SUM(VALUE(_xlfn.TEXTSPLIT(AT59, ","))), SUM(VALUE(_xlfn.TEXTSPLIT(AQ59, ",")))*IF(P59, P59, 1))/16, 1), "#,##0.0"), " tiles{}")</f>
        <v>{BLACK}Length: {GOLD}0.6 tiles{}</v>
      </c>
      <c r="CI59" s="1" t="n">
        <f aca="false">VLOOKUP($CG59, Constants!$M:$N, 2, FALSE())</f>
        <v>0</v>
      </c>
      <c r="CJ59" s="1" t="str">
        <f aca="false">IF(P59&gt;1,_xlfn.CONCAT("{BLACK}Cars: {GOLD}", P59),"")</f>
        <v/>
      </c>
      <c r="CK59" s="1" t="s">
        <v>248</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{GOLD}0.6 tiles{}{SILVER}Crampton locomotives were designed for a low centre of gravity, to run at higher speeds on standard gauge track. Features included large driving wheels and an oval boiler.</v>
      </c>
    </row>
    <row r="60" customFormat="false" ht="14.25" hidden="false" customHeight="false" outlineLevel="0" collapsed="false">
      <c r="A60" s="1" t="s">
        <v>249</v>
      </c>
      <c r="B60" s="19" t="s">
        <v>250</v>
      </c>
      <c r="C60" s="1" t="n">
        <v>-1</v>
      </c>
      <c r="E60" s="1" t="n">
        <v>16</v>
      </c>
      <c r="G60" s="1" t="n">
        <f aca="false">IF($F60&lt;&gt;"",_xlfn.CONCAT(VLOOKUP($CE60, Constants!$T:$U, 2, FALSE()),",",$F60),VLOOKUP($CE60, Constants!$T:$U, 2, FALSE()))</f>
        <v>0</v>
      </c>
      <c r="H60" s="1" t="str">
        <f aca="false">IF($G60&lt;&gt;"",_xlfn.CONCAT(VLOOKUP($CG60, Constants!$M:$P, 4, FALSE()),",",$G60),VLOOKUP($CG60, Constants!$M:$P, 4, FALSE()))</f>
        <v>flag/GB</v>
      </c>
      <c r="J60" s="1" t="s">
        <v>41</v>
      </c>
      <c r="K60" s="1" t="s">
        <v>41</v>
      </c>
      <c r="L60" s="1" t="s">
        <v>149</v>
      </c>
      <c r="M60" s="1" t="n">
        <v>1847</v>
      </c>
      <c r="Z60" s="1" t="n">
        <v>20</v>
      </c>
      <c r="AD60" s="4" t="str">
        <f aca="false">IF(AND(Z60&gt;0,AC60&gt;0),(AC60/((Z60+AA60)*10)),"")</f>
        <v/>
      </c>
      <c r="AI60" s="1" t="n">
        <v>7.5</v>
      </c>
      <c r="AJ60" s="1" t="n">
        <v>6</v>
      </c>
      <c r="AM60" s="5" t="n">
        <v>0</v>
      </c>
      <c r="AN60" s="16" t="s">
        <v>237</v>
      </c>
      <c r="AO60" s="16" t="n">
        <f aca="false">ROUND(15*((AJ60*10)/256),0)</f>
        <v>4</v>
      </c>
      <c r="AQ60" s="1" t="str">
        <f aca="false">CONCATENATE(VLOOKUP(AO60,Constants!$A$2:$C$16,IF(AP60&lt;&gt;"", 3, 2), FALSE()),IF(AP60&lt;&gt;"",CONCATENATE(",",VLOOKUP(AP60,$B:$AQ,42,FALSE())),""))</f>
        <v>1,2,1</v>
      </c>
      <c r="BA60" s="1" t="n">
        <v>30</v>
      </c>
      <c r="BB60" s="16" t="str">
        <f aca="false">IF(O60&lt;&gt;"",MAX(16,(O60-M60)+8),"")</f>
        <v/>
      </c>
      <c r="BE60" s="20" t="n">
        <f aca="false">MIN(AE60/150, 1)*30</f>
        <v>0</v>
      </c>
      <c r="BF60" s="20" t="n">
        <f aca="false">MIN(Q60/4000, 1)*20</f>
        <v>0</v>
      </c>
      <c r="BG60" s="20" t="n">
        <f aca="false">MIN(AC60/400,1)*20</f>
        <v>0</v>
      </c>
      <c r="BH60" s="4" t="n">
        <f aca="false">1-(MAX(M60-1900, 0)/750)</f>
        <v>1</v>
      </c>
      <c r="BI60" s="20" t="n">
        <f aca="false">((MAX($P60,1)*MIN($AM60/300,1)))*IF(J60="Wagon",50,10)</f>
        <v>0</v>
      </c>
      <c r="BJ60" s="1" t="n">
        <f aca="false">VLOOKUP($K60,Constants!$I:$K, 2, FALSE())</f>
        <v>0</v>
      </c>
      <c r="BK60" s="1" t="n">
        <f aca="false">VLOOKUP($K60,Constants!$I:$K, 3, FALSE())*IF(AND(J60="multiple_unit",AE60&lt;110),0.75,1)</f>
        <v>0</v>
      </c>
      <c r="BL60" s="20" t="n">
        <v>0</v>
      </c>
      <c r="BM60" s="20" t="n">
        <v>0</v>
      </c>
      <c r="BN60" s="17" t="n">
        <f aca="false">BL60*IF($J60="wagon",62.5,781.25)</f>
        <v>0</v>
      </c>
      <c r="BO60" s="17" t="n">
        <f aca="false">BM60*IF($J60="wagon",2.73,81.25)</f>
        <v>0</v>
      </c>
      <c r="CD60" s="23" t="s">
        <v>230</v>
      </c>
      <c r="CE60" s="1" t="s">
        <v>238</v>
      </c>
      <c r="CF60" s="23" t="str">
        <f aca="false">CONCATENATE(CD60,"_",CE60)</f>
        <v>early_Tender</v>
      </c>
      <c r="CG60" s="23" t="str">
        <f aca="false">_xlfn.CONCAT(K60, "_",L60)</f>
        <v>tender_RAIL</v>
      </c>
      <c r="CH60" s="7" t="str">
        <f aca="false">_xlfn.CONCAT("{BLACK}Length: {GOLD}", TEXT(ROUNDUP(IF(AT60&lt;&gt;"",SUM(VALUE(_xlfn.TEXTSPLIT(AT60, ","))), SUM(VALUE(_xlfn.TEXTSPLIT(AQ60, ",")))*IF(P60, P60, 1))/16, 1), "#,##0.0"), " tiles{}")</f>
        <v>{BLACK}Length: {GOLD}0.3 tiles{}</v>
      </c>
      <c r="CI60" s="1" t="n">
        <f aca="false">VLOOKUP($CG60, Constants!$M:$N, 2, FALSE())</f>
        <v>0</v>
      </c>
      <c r="CJ60" s="1" t="str">
        <f aca="false">IF(P60&gt;1,_xlfn.CONCAT("{BLACK}Cars: {GOLD}", P60),"")</f>
        <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v>
      </c>
    </row>
    <row r="61" customFormat="false" ht="13.5" hidden="false" customHeight="true" outlineLevel="0" collapsed="false">
      <c r="A61" s="1" t="s">
        <v>251</v>
      </c>
      <c r="B61" s="19" t="s">
        <v>252</v>
      </c>
      <c r="C61" s="1" t="n">
        <v>1023</v>
      </c>
      <c r="E61" s="1" t="n">
        <v>17</v>
      </c>
      <c r="G61" s="1" t="str">
        <f aca="false">IF($F61&lt;&gt;"",_xlfn.CONCAT(VLOOKUP($CE61, Constants!$T:$U, 2, FALSE()),",",$F61),VLOOKUP($CE61, Constants!$T:$U, 2, FALSE()))</f>
        <v>role/express_passenger</v>
      </c>
      <c r="H61" s="1" t="str">
        <f aca="false">IF($G61&lt;&gt;"",_xlfn.CONCAT(VLOOKUP($CG61, Constants!$M:$P, 4, FALSE()),",",$G61),VLOOKUP($CG61, Constants!$M:$P, 4, FALSE()))</f>
        <v>flag/GB,power/steam,role/express_passenger</v>
      </c>
      <c r="I61" s="1" t="s">
        <v>198</v>
      </c>
      <c r="J61" s="1" t="s">
        <v>206</v>
      </c>
      <c r="K61" s="1" t="s">
        <v>207</v>
      </c>
      <c r="L61" s="1" t="s">
        <v>149</v>
      </c>
      <c r="M61" s="1" t="n">
        <v>1847</v>
      </c>
      <c r="O61" s="1" t="n">
        <v>1884</v>
      </c>
      <c r="Q61" s="1" t="n">
        <v>400</v>
      </c>
      <c r="S61" s="3" t="n">
        <v>21</v>
      </c>
      <c r="T61" s="3" t="n">
        <v>26</v>
      </c>
      <c r="U61" s="3" t="n">
        <v>2</v>
      </c>
      <c r="V61" s="3" t="n">
        <v>115</v>
      </c>
      <c r="W61" s="18" t="n">
        <f aca="false">((($AE61/2)/60)*5280)/($X61*3.2*PI())</f>
        <v>140.488622605809</v>
      </c>
      <c r="X61" s="3" t="n">
        <v>2.43</v>
      </c>
      <c r="Y61" s="3" t="n">
        <f aca="false">((($S61*$S61/4)*PI())*($T61/12)*$U61*$V61*$W61)/(33000*1.1)</f>
        <v>668.009960718294</v>
      </c>
      <c r="Z61" s="1" t="n">
        <v>42</v>
      </c>
      <c r="AC61" s="1" t="n">
        <v>35</v>
      </c>
      <c r="AD61" s="4" t="n">
        <f aca="false">IF(AND(Z61&gt;0,AC61&gt;0),(AC61/((Z61+AA61)*10)),"")</f>
        <v>0.0833333333333333</v>
      </c>
      <c r="AE61" s="1" t="n">
        <v>78</v>
      </c>
      <c r="AF61" s="1" t="n">
        <f aca="false">ROUND(AE61*1.6, 0)</f>
        <v>125</v>
      </c>
      <c r="AI61" s="1" t="n">
        <v>9</v>
      </c>
      <c r="AJ61" s="1" t="n">
        <v>9</v>
      </c>
      <c r="AM61" s="5" t="n">
        <v>0</v>
      </c>
      <c r="AN61" s="16" t="s">
        <v>229</v>
      </c>
      <c r="AO61" s="16" t="n">
        <f aca="false">ROUND(15*((AJ61*10)/256),0)</f>
        <v>5</v>
      </c>
      <c r="AP61" s="1" t="s">
        <v>250</v>
      </c>
      <c r="AQ61" s="1" t="str">
        <f aca="false">CONCATENATE(VLOOKUP(AO61,Constants!$A$2:$C$16,IF(AP61&lt;&gt;"", 3, 2), FALSE()),IF(AP61&lt;&gt;"",CONCATENATE(",",VLOOKUP(AP61,$B:$AQ,42,FALSE())),""))</f>
        <v>2,1,2,1,2,1</v>
      </c>
      <c r="BA61" s="1" t="n">
        <v>31</v>
      </c>
      <c r="BB61" s="16" t="n">
        <f aca="false">IF(O61&lt;&gt;"",MAX(16,(O61-M61)+8),"")</f>
        <v>45</v>
      </c>
      <c r="BC61" s="1" t="n">
        <v>15</v>
      </c>
      <c r="BD61" s="1" t="n">
        <v>20</v>
      </c>
      <c r="BE61" s="20" t="n">
        <f aca="false">MIN(AE61/150, 1)*30</f>
        <v>15.6</v>
      </c>
      <c r="BF61" s="20" t="n">
        <f aca="false">MIN(Q61/4000, 1)*20</f>
        <v>2</v>
      </c>
      <c r="BG61" s="20" t="n">
        <f aca="false">MIN(AC61/400,1)*20</f>
        <v>1.75</v>
      </c>
      <c r="BH61" s="21" t="n">
        <f aca="false">1-(MAX(M61-1900, 0)/750)</f>
        <v>1</v>
      </c>
      <c r="BI61" s="20" t="n">
        <f aca="false">((MAX($P61,1)*MIN($AM61/300,1)))*IF(J61="Wagon",50,10)</f>
        <v>0</v>
      </c>
      <c r="BJ61" s="1" t="n">
        <f aca="false">VLOOKUP($K61,Constants!$I:$K, 2, FALSE())</f>
        <v>1.15</v>
      </c>
      <c r="BK61" s="1" t="n">
        <f aca="false">VLOOKUP($K61,Constants!$I:$K, 3, FALSE())*IF(AND(J61="multiple_unit",AE61&lt;110),0.75,1)</f>
        <v>1.7</v>
      </c>
      <c r="BL61" s="20" t="n">
        <v>69</v>
      </c>
      <c r="BM61" s="20" t="n">
        <v>97</v>
      </c>
      <c r="BN61" s="22" t="n">
        <f aca="false">BL61*IF($J61="wagon",62.5,781.25)</f>
        <v>53906.25</v>
      </c>
      <c r="BO61" s="22" t="n">
        <f aca="false">BM61*IF($J61="wagon",2.73,81.25)</f>
        <v>7881.25</v>
      </c>
      <c r="BY61" s="1" t="n">
        <v>7</v>
      </c>
      <c r="CD61" s="23" t="s">
        <v>230</v>
      </c>
      <c r="CE61" s="1" t="s">
        <v>241</v>
      </c>
      <c r="CF61" s="23" t="str">
        <f aca="false">CONCATENATE(CD61,"_",CE61)</f>
        <v>early_Express</v>
      </c>
      <c r="CG61" s="23"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253</v>
      </c>
      <c r="CL61" s="1" t="str">
        <f aca="false">IF($BX61="!param_no_gameplay_units","{GREEN}Included for gameplay purposes","")</f>
        <v/>
      </c>
      <c r="CM61" s="1" t="str">
        <f aca="false">IF(CA61="buffet","{YELLOW}25% long distance bonus for consist{}",IF(CB61="DANDY","{YELLOW}Faster downhill speeds for horse-drawn trains (1 required per 2 horses){}",IF(CB61="BRAKE","{YELLOW}Speed bonus for slow wagons{}",IF(CB61="NGPassengers","{YELLOW}Preserved railway bonus: passengers pay more when hauled by old locomotives{}",IF(AND(BZ61&gt;190,NOT(AND(L61="NARROW_GAUGE",CB61&lt;&gt;"PASS"))),CONCATENATE("{YELLOW}",INT((BZ61-185)/1.85),"%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tiles{}{SILVER}The Iron Duke class was powerful and very fast for its time. Although both leading axles were rigidly mounted, the wide curves and broad gauge of the GWR's track made this less of a problem.</v>
      </c>
    </row>
    <row r="62" customFormat="false" ht="14.25" hidden="false" customHeight="false" outlineLevel="0" collapsed="false">
      <c r="A62" s="1" t="s">
        <v>254</v>
      </c>
      <c r="B62" s="15" t="s">
        <v>255</v>
      </c>
      <c r="C62" s="1" t="n">
        <v>110</v>
      </c>
      <c r="E62" s="1" t="n">
        <v>18</v>
      </c>
      <c r="G62" s="1" t="str">
        <f aca="false">IF($F62&lt;&gt;"",_xlfn.CONCAT(VLOOKUP($CE62, Constants!$T:$U, 2, FALSE()),",",$F62),VLOOKUP($CE62, Constants!$T:$U, 2, FALSE()))</f>
        <v>role/freight</v>
      </c>
      <c r="H62" s="1" t="str">
        <f aca="false">IF($G62&lt;&gt;"",_xlfn.CONCAT(VLOOKUP($CG62, Constants!$M:$P, 4, FALSE()),",",$G62),VLOOKUP($CG62, Constants!$M:$P, 4, FALSE()))</f>
        <v>flag/GB,power/steam,role/freight</v>
      </c>
      <c r="I62" s="1" t="s">
        <v>198</v>
      </c>
      <c r="J62" s="1" t="s">
        <v>206</v>
      </c>
      <c r="K62" s="1" t="s">
        <v>207</v>
      </c>
      <c r="L62" s="1" t="s">
        <v>149</v>
      </c>
      <c r="M62" s="1" t="n">
        <v>1852</v>
      </c>
      <c r="O62" s="1" t="n">
        <v>1923</v>
      </c>
      <c r="Q62" s="1" t="n">
        <v>500</v>
      </c>
      <c r="S62" s="3" t="n">
        <v>17</v>
      </c>
      <c r="T62" s="3" t="n">
        <v>26</v>
      </c>
      <c r="U62" s="3" t="n">
        <v>2</v>
      </c>
      <c r="V62" s="3" t="n">
        <v>140</v>
      </c>
      <c r="W62" s="18" t="n">
        <f aca="false">((($AE62/2)/60)*5280)/($X62*3.2*PI())</f>
        <v>145.892031167571</v>
      </c>
      <c r="X62" s="3" t="n">
        <v>1.5</v>
      </c>
      <c r="Y62" s="3" t="n">
        <f aca="false">((($S62*$S62/4)*PI())*($T62/12)*$U62*$V62*$W62)/(33000*1.1)</f>
        <v>553.430134680135</v>
      </c>
      <c r="Z62" s="1" t="n">
        <v>36</v>
      </c>
      <c r="AA62" s="2" t="n">
        <v>22.5</v>
      </c>
      <c r="AC62" s="1" t="n">
        <v>65</v>
      </c>
      <c r="AD62" s="4" t="n">
        <f aca="false">IF(AND(Z62&gt;0,AC62&gt;0),(AC62/((Z62+AA62)*10)),"")</f>
        <v>0.111111111111111</v>
      </c>
      <c r="AE62" s="1" t="n">
        <v>50</v>
      </c>
      <c r="AF62" s="1" t="n">
        <f aca="false">ROUND(AE62*1.6, 0)</f>
        <v>80</v>
      </c>
      <c r="AJ62" s="1" t="n">
        <v>10</v>
      </c>
      <c r="AM62" s="5" t="n">
        <v>0</v>
      </c>
      <c r="AN62" s="1" t="str">
        <f aca="false">CONCATENATE(VLOOKUP(AO62, 'Voxel Sizes'!$A$2:$B$18,2,FALSE()),"x",INT(AK62*15), "x", INT(AL62*15))</f>
        <v>102x0x0</v>
      </c>
      <c r="AO62" s="1" t="n">
        <f aca="false">ROUND(15*((AJ62*10)/256),0)</f>
        <v>6</v>
      </c>
      <c r="AP62" s="1" t="s">
        <v>163</v>
      </c>
      <c r="AQ62" s="1" t="str">
        <f aca="false">CONCATENATE(VLOOKUP(AO62,Constants!$A$2:$C$16,IF(AP62&lt;&gt;"", 3, 2), FALSE()),IF(AP62&lt;&gt;"",CONCATENATE(",",VLOOKUP(AP62,$B:$AQ,42,FALSE())),""))</f>
        <v>2,2,2,1,2,1</v>
      </c>
      <c r="AY62" s="1" t="n">
        <v>1</v>
      </c>
      <c r="BA62" s="1" t="n">
        <v>30</v>
      </c>
      <c r="BB62" s="16" t="n">
        <f aca="false">IF(O62&lt;&gt;"",MAX(16,(O62-M62)+8),"")</f>
        <v>79</v>
      </c>
      <c r="BE62" s="1" t="n">
        <f aca="false">MIN(AE62/150, 1)*30</f>
        <v>10</v>
      </c>
      <c r="BF62" s="1" t="n">
        <f aca="false">MIN(Q62/4000, 1)*20</f>
        <v>2.5</v>
      </c>
      <c r="BG62" s="1" t="n">
        <f aca="false">MIN(AC62/400,1)*20</f>
        <v>3.25</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42</v>
      </c>
      <c r="BM62" s="1" t="n">
        <f aca="false">INT(POWER((((Constants!$G$1+$BE62+$BF62+$BG62+$BI62)*($BH62))*$BJ62),IF($J62="wagon",1,1.2)))+$BC62</f>
        <v>72</v>
      </c>
      <c r="BN62" s="17" t="n">
        <f aca="false">BL62*IF($J62="wagon",62.5,781.25)</f>
        <v>32812.5</v>
      </c>
      <c r="BO62" s="17" t="n">
        <f aca="false">BM62*IF($J62="wagon",2.73,81.25)</f>
        <v>5850</v>
      </c>
      <c r="BY62" s="1" t="n">
        <v>10</v>
      </c>
      <c r="CD62" s="1" t="str">
        <f aca="false">VLOOKUP(M62,Eras!$A$2:$C$10, 2, TRUE())</f>
        <v>vct</v>
      </c>
      <c r="CE62" s="1" t="s">
        <v>132</v>
      </c>
      <c r="CF62" s="1" t="str">
        <f aca="false">CONCATENATE(CD62,"_",CE62)</f>
        <v>vct_Freight</v>
      </c>
      <c r="CG62" s="1" t="str">
        <f aca="false">_xlfn.CONCAT(K62, "_",L62)</f>
        <v>steam_RAIL</v>
      </c>
      <c r="CH62" s="7" t="str">
        <f aca="false">_xlfn.CONCAT("{BLACK}Length: {GOLD}", TEXT(ROUNDUP(IF(AT62&lt;&gt;"",SUM(VALUE(_xlfn.TEXTSPLIT(AT62, ","))), SUM(VALUE(_xlfn.TEXTSPLIT(AQ62, ",")))*IF(P62, P62, 1))/16, 1), "#,##0.0"), " tiles{}")</f>
        <v>{BLACK}Length: {GOLD}0.7 tiles{}</v>
      </c>
      <c r="CI62" s="1" t="n">
        <f aca="false">VLOOKUP($CG62, Constants!$M:$N, 2, FALSE())</f>
        <v>0</v>
      </c>
      <c r="CJ62" s="1" t="str">
        <f aca="false">IF(P62&gt;1,_xlfn.CONCAT("{BLACK}Cars: {GOLD}", P62),"")</f>
        <v/>
      </c>
      <c r="CK62" s="1" t="s">
        <v>256</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{GOLD}0.7 tiles{}{SILVER}The NER 1001 Class is typical of a "long boiler" freight engine, with a small firebox mounted behind the rear axle.</v>
      </c>
    </row>
    <row r="63" customFormat="false" ht="14.25" hidden="false" customHeight="false" outlineLevel="0" collapsed="false">
      <c r="A63" s="1" t="s">
        <v>257</v>
      </c>
      <c r="B63" s="15" t="s">
        <v>258</v>
      </c>
      <c r="C63" s="1" t="n">
        <v>111</v>
      </c>
      <c r="E63" s="1" t="n">
        <v>19</v>
      </c>
      <c r="G63" s="1" t="str">
        <f aca="false">IF($F63&lt;&gt;"",_xlfn.CONCAT(VLOOKUP($CE63, Constants!$T:$U, 2, FALSE()),",",$F63),VLOOKUP($CE63, Constants!$T:$U, 2, FALSE()))</f>
        <v>role/express_passenger</v>
      </c>
      <c r="H63" s="1" t="str">
        <f aca="false">IF($G63&lt;&gt;"",_xlfn.CONCAT(VLOOKUP($CG63, Constants!$M:$P, 4, FALSE()),",",$G63),VLOOKUP($CG63, Constants!$M:$P, 4, FALSE()))</f>
        <v>flag/GB,power/steam,role/express_passenger</v>
      </c>
      <c r="I63" s="1" t="s">
        <v>198</v>
      </c>
      <c r="J63" s="1" t="s">
        <v>206</v>
      </c>
      <c r="K63" s="1" t="s">
        <v>207</v>
      </c>
      <c r="L63" s="1" t="s">
        <v>149</v>
      </c>
      <c r="M63" s="1" t="n">
        <v>1858</v>
      </c>
      <c r="O63" s="1" t="n">
        <v>1930</v>
      </c>
      <c r="Q63" s="1" t="n">
        <v>450</v>
      </c>
      <c r="S63" s="3" t="n">
        <v>17</v>
      </c>
      <c r="T63" s="3" t="n">
        <v>24</v>
      </c>
      <c r="U63" s="3" t="n">
        <v>2</v>
      </c>
      <c r="V63" s="3" t="n">
        <v>120</v>
      </c>
      <c r="W63" s="18" t="n">
        <f aca="false">((($AE63/2)/60)*5280)/($X63*3.2*PI())</f>
        <v>111.15583327053</v>
      </c>
      <c r="X63" s="3" t="n">
        <v>1.575</v>
      </c>
      <c r="Y63" s="3" t="n">
        <f aca="false">((($S63*$S63/4)*PI())*($T63/12)*$U63*$V63*$W63)/(33000*1.1)</f>
        <v>333.621933621934</v>
      </c>
      <c r="Z63" s="1" t="n">
        <v>19</v>
      </c>
      <c r="AA63" s="2" t="n">
        <v>10</v>
      </c>
      <c r="AC63" s="1" t="n">
        <v>51</v>
      </c>
      <c r="AD63" s="4" t="n">
        <f aca="false">IF(AND(Z63&gt;0,AC63&gt;0),(AC63/((Z63+AA63)*10)),"")</f>
        <v>0.175862068965517</v>
      </c>
      <c r="AE63" s="1" t="n">
        <v>40</v>
      </c>
      <c r="AF63" s="1" t="n">
        <f aca="false">ROUND(AE63*1.6, 0)</f>
        <v>64</v>
      </c>
      <c r="AJ63" s="1" t="n">
        <v>10</v>
      </c>
      <c r="AM63" s="5" t="n">
        <v>0</v>
      </c>
      <c r="AN63" s="1" t="str">
        <f aca="false">CONCATENATE(VLOOKUP(AO63, 'Voxel Sizes'!$A$2:$B$18,2,FALSE()),"x",INT(AK63*15), "x", INT(AL63*15))</f>
        <v>102x0x0</v>
      </c>
      <c r="AO63" s="1" t="n">
        <f aca="false">ROUND(15*((AJ63*10)/256),0)</f>
        <v>6</v>
      </c>
      <c r="AP63" s="1" t="s">
        <v>165</v>
      </c>
      <c r="AQ63" s="1" t="str">
        <f aca="false">CONCATENATE(VLOOKUP(AO63,Constants!$A$2:$C$16,IF(AP63&lt;&gt;"", 3, 2), FALSE()),IF(AP63&lt;&gt;"",CONCATENATE(",",VLOOKUP(AP63,$B:$AQ,42,FALSE())),""))</f>
        <v>2,2,2,1,2,1</v>
      </c>
      <c r="AY63" s="1" t="n">
        <v>1</v>
      </c>
      <c r="BA63" s="1" t="n">
        <v>31</v>
      </c>
      <c r="BB63" s="16" t="n">
        <f aca="false">IF(O63&lt;&gt;"",MAX(16,(O63-M63)+8),"")</f>
        <v>80</v>
      </c>
      <c r="BE63" s="1" t="n">
        <f aca="false">MIN(AE63/150, 1)*30</f>
        <v>8</v>
      </c>
      <c r="BF63" s="1" t="n">
        <f aca="false">MIN(Q63/4000, 1)*20</f>
        <v>2.25</v>
      </c>
      <c r="BG63" s="1" t="n">
        <f aca="false">MIN(AC63/400,1)*20</f>
        <v>2.55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35</v>
      </c>
      <c r="BM63" s="1" t="n">
        <f aca="false">INT(POWER((((Constants!$G$1+$BE63+$BF63+$BG63+$BI63)*($BH63))*$BJ63),IF($J63="wagon",1,1.2)))+$BC63</f>
        <v>63</v>
      </c>
      <c r="BN63" s="17" t="n">
        <f aca="false">BL63*IF($J63="wagon",62.5,781.25)</f>
        <v>27343.75</v>
      </c>
      <c r="BO63" s="17" t="n">
        <f aca="false">BM63*IF($J63="wagon",2.73,81.25)</f>
        <v>5118.75</v>
      </c>
      <c r="BY63" s="1" t="n">
        <v>9</v>
      </c>
      <c r="CD63" s="1" t="str">
        <f aca="false">VLOOKUP(M63,Eras!$A$2:$C$10, 2, TRUE())</f>
        <v>vct</v>
      </c>
      <c r="CE63" s="1" t="s">
        <v>241</v>
      </c>
      <c r="CF63" s="1" t="str">
        <f aca="false">CONCATENATE(CD63,"_",CE63)</f>
        <v>vct_Express</v>
      </c>
      <c r="CG63" s="1" t="str">
        <f aca="false">_xlfn.CONCAT(K63, "_",L63)</f>
        <v>steam_RAIL</v>
      </c>
      <c r="CH63" s="7" t="str">
        <f aca="false">_xlfn.CONCAT("{BLACK}Length: {GOLD}", TEXT(ROUNDUP(IF(AT63&lt;&gt;"",SUM(VALUE(_xlfn.TEXTSPLIT(AT63, ","))), SUM(VALUE(_xlfn.TEXTSPLIT(AQ63, ",")))*IF(P63, P63, 1))/16, 1), "#,##0.0"), " tiles{}")</f>
        <v>{BLACK}Length: {GOLD}0.7 tiles{}</v>
      </c>
      <c r="CI63" s="1" t="n">
        <f aca="false">VLOOKUP($CG63, Constants!$M:$N, 2, FALSE())</f>
        <v>0</v>
      </c>
      <c r="CJ63" s="1" t="str">
        <f aca="false">IF(P63&gt;1,_xlfn.CONCAT("{BLACK}Cars: {GOLD}", P63),"")</f>
        <v/>
      </c>
      <c r="CK63" s="1" t="s">
        <v>259</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{GOLD}0.7 tiles{}{SILVER}More LNWR DX Goods locomotives were produced than any other steam locomotive class: 943 in total.</v>
      </c>
    </row>
    <row r="64" customFormat="false" ht="14.25" hidden="false" customHeight="false" outlineLevel="0" collapsed="false">
      <c r="A64" s="1" t="s">
        <v>260</v>
      </c>
      <c r="B64" s="15" t="s">
        <v>261</v>
      </c>
      <c r="C64" s="1" t="n">
        <v>112</v>
      </c>
      <c r="E64" s="1" t="n">
        <v>20</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198</v>
      </c>
      <c r="J64" s="1" t="s">
        <v>206</v>
      </c>
      <c r="K64" s="1" t="s">
        <v>207</v>
      </c>
      <c r="L64" s="1" t="s">
        <v>149</v>
      </c>
      <c r="M64" s="1" t="n">
        <v>1859</v>
      </c>
      <c r="O64" s="1" t="n">
        <v>1907</v>
      </c>
      <c r="Q64" s="1" t="n">
        <v>400</v>
      </c>
      <c r="S64" s="3" t="n">
        <v>16</v>
      </c>
      <c r="T64" s="3" t="n">
        <v>24</v>
      </c>
      <c r="U64" s="3" t="n">
        <v>2</v>
      </c>
      <c r="V64" s="3" t="n">
        <v>120</v>
      </c>
      <c r="W64" s="18" t="n">
        <f aca="false">((($AE64/2)/60)*5280)/($X64*3.2*PI())</f>
        <v>134.374239233289</v>
      </c>
      <c r="X64" s="3" t="n">
        <v>2.28</v>
      </c>
      <c r="Y64" s="3" t="n">
        <f aca="false">((($S64*$S64/4)*PI())*($T64/12)*$U64*$V64*$W64)/(33000*1.1)</f>
        <v>357.25677830941</v>
      </c>
      <c r="Z64" s="1" t="n">
        <v>27.4</v>
      </c>
      <c r="AA64" s="2" t="n">
        <v>15</v>
      </c>
      <c r="AC64" s="1" t="n">
        <v>31</v>
      </c>
      <c r="AD64" s="4" t="n">
        <f aca="false">IF(AND(Z64&gt;0,AC64&gt;0),(AC64/((Z64+AA64)*10)),"")</f>
        <v>0.0731132075471698</v>
      </c>
      <c r="AE64" s="1" t="n">
        <v>70</v>
      </c>
      <c r="AF64" s="1" t="n">
        <f aca="false">ROUND(AE64*1.6, 0)</f>
        <v>112</v>
      </c>
      <c r="AJ64" s="1" t="n">
        <v>8</v>
      </c>
      <c r="AM64" s="5" t="n">
        <v>0</v>
      </c>
      <c r="AN64" s="1" t="str">
        <f aca="false">CONCATENATE(VLOOKUP(AO64, 'Voxel Sizes'!$A$2:$B$18,2,FALSE()),"x",INT(AK64*15), "x", INT(AL64*15))</f>
        <v>82x0x0</v>
      </c>
      <c r="AO64" s="1" t="n">
        <f aca="false">ROUND(15*((AJ64*10)/256),0)</f>
        <v>5</v>
      </c>
      <c r="AP64" s="1" t="s">
        <v>159</v>
      </c>
      <c r="AQ64" s="1" t="str">
        <f aca="false">CONCATENATE(VLOOKUP(AO64,Constants!$A$2:$C$16,IF(AP64&lt;&gt;"", 3, 2), FALSE()),IF(AP64&lt;&gt;"",CONCATENATE(",",VLOOKUP(AP64,$B:$AQ,42,FALSE())),""))</f>
        <v>2,1,2,1,2,1</v>
      </c>
      <c r="AY64" s="1" t="n">
        <v>1</v>
      </c>
      <c r="BA64" s="1" t="n">
        <v>30</v>
      </c>
      <c r="BB64" s="16" t="n">
        <f aca="false">IF(O64&lt;&gt;"",MAX(16,(O64-M64)+8),"")</f>
        <v>56</v>
      </c>
      <c r="BC64" s="1" t="n">
        <v>5</v>
      </c>
      <c r="BD64" s="1" t="n">
        <v>6</v>
      </c>
      <c r="BE64" s="1" t="n">
        <f aca="false">MIN(AE64/150, 1)*30</f>
        <v>14</v>
      </c>
      <c r="BF64" s="1" t="n">
        <f aca="false">MIN(Q64/4000, 1)*20</f>
        <v>2</v>
      </c>
      <c r="BG64" s="1" t="n">
        <f aca="false">MIN(AC64/400,1)*20</f>
        <v>1.55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52</v>
      </c>
      <c r="BM64" s="1" t="n">
        <f aca="false">INT(POWER((((Constants!$G$1+$BE64+$BF64+$BG64+$BI64)*($BH64))*$BJ64),IF($J64="wagon",1,1.2)))+$BC64</f>
        <v>82</v>
      </c>
      <c r="BN64" s="17" t="n">
        <f aca="false">BL64*IF($J64="wagon",62.5,781.25)</f>
        <v>40625</v>
      </c>
      <c r="BO64" s="17" t="n">
        <f aca="false">BM64*IF($J64="wagon",2.73,81.25)</f>
        <v>6662.5</v>
      </c>
      <c r="BY64" s="1" t="n">
        <v>11</v>
      </c>
      <c r="CD64" s="1" t="str">
        <f aca="false">VLOOKUP(M64,Eras!$A$2:$C$10, 2, TRUE())</f>
        <v>vct</v>
      </c>
      <c r="CE64" s="1" t="s">
        <v>241</v>
      </c>
      <c r="CF64" s="1" t="str">
        <f aca="false">CONCATENATE(CD64,"_",CE64)</f>
        <v>vct_Express</v>
      </c>
      <c r="CG64" s="1"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262</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tiles{}{SILVER}Cast iron coupling rods could not withstand high speeds, so early express locomotives used a large single driving wheel to reduce valve gear speeds.</v>
      </c>
    </row>
    <row r="65" customFormat="false" ht="14.25" hidden="false" customHeight="false" outlineLevel="0" collapsed="false">
      <c r="A65" s="1" t="s">
        <v>263</v>
      </c>
      <c r="B65" s="19" t="s">
        <v>264</v>
      </c>
      <c r="C65" s="1" t="n">
        <v>-1</v>
      </c>
      <c r="E65" s="1" t="n">
        <v>21</v>
      </c>
      <c r="G65" s="1" t="str">
        <f aca="false">IF($F65&lt;&gt;"",_xlfn.CONCAT(VLOOKUP($CE65, Constants!$T:$U, 2, FALSE()),",",$F65),VLOOKUP($CE65, Constants!$T:$U, 2, FALSE()))</f>
        <v>role/mixed</v>
      </c>
      <c r="H65" s="1" t="str">
        <f aca="false">IF($G65&lt;&gt;"",_xlfn.CONCAT(VLOOKUP($CG65, Constants!$M:$P, 4, FALSE()),",",$G65),VLOOKUP($CG65, Constants!$M:$P, 4, FALSE()))</f>
        <v>flag/GB,role/mixed</v>
      </c>
      <c r="J65" s="1" t="s">
        <v>41</v>
      </c>
      <c r="K65" s="1" t="s">
        <v>41</v>
      </c>
      <c r="L65" s="1" t="s">
        <v>149</v>
      </c>
      <c r="M65" s="1" t="n">
        <v>1870</v>
      </c>
      <c r="Z65" s="1" t="n">
        <v>42</v>
      </c>
      <c r="AD65" s="4" t="str">
        <f aca="false">IF(AND(Z65&gt;0,AC65&gt;0),(AC65/((Z65+AA65)*10)),"")</f>
        <v/>
      </c>
      <c r="AI65" s="1" t="n">
        <v>7.5</v>
      </c>
      <c r="AJ65" s="1" t="n">
        <v>8</v>
      </c>
      <c r="AM65" s="5" t="n">
        <v>0</v>
      </c>
      <c r="AN65" s="16" t="s">
        <v>229</v>
      </c>
      <c r="AO65" s="16" t="n">
        <f aca="false">ROUND(15*((AJ65*10)/256),0)</f>
        <v>5</v>
      </c>
      <c r="AQ65" s="1" t="str">
        <f aca="false">CONCATENATE(VLOOKUP(AO65,Constants!$A$2:$C$16,IF(AP65&lt;&gt;"", 3, 2), FALSE()),IF(AP65&lt;&gt;"",CONCATENATE(",",VLOOKUP(AP65,$B:$AQ,42,FALSE())),""))</f>
        <v>2,1,2</v>
      </c>
      <c r="BA65" s="1" t="n">
        <v>30</v>
      </c>
      <c r="BB65" s="16" t="str">
        <f aca="false">IF(O65&lt;&gt;"",MAX(16,(O65-M65)+8),"")</f>
        <v/>
      </c>
      <c r="BE65" s="20" t="n">
        <f aca="false">MIN(AE65/150, 1)*30</f>
        <v>0</v>
      </c>
      <c r="BF65" s="20" t="n">
        <f aca="false">MIN(Q65/4000, 1)*20</f>
        <v>0</v>
      </c>
      <c r="BG65" s="20" t="n">
        <f aca="false">MIN(AC65/400,1)*20</f>
        <v>0</v>
      </c>
      <c r="BH65" s="21" t="n">
        <f aca="false">1-(MAX(M65-1900, 0)/750)</f>
        <v>1</v>
      </c>
      <c r="BI65" s="20" t="n">
        <f aca="false">((MAX($P65,1)*MIN($AM65/300,1)))*IF(J65="Wagon",50,10)</f>
        <v>0</v>
      </c>
      <c r="BJ65" s="1" t="n">
        <f aca="false">VLOOKUP($K65,Constants!$I:$K, 2, FALSE())</f>
        <v>0</v>
      </c>
      <c r="BK65" s="1" t="n">
        <f aca="false">VLOOKUP($K65,Constants!$I:$K, 3, FALSE())*IF(AND(J65="multiple_unit",AE65&lt;110),0.75,1)</f>
        <v>0</v>
      </c>
      <c r="BL65" s="20" t="n">
        <v>0</v>
      </c>
      <c r="BM65" s="20" t="n">
        <v>0</v>
      </c>
      <c r="BN65" s="22" t="n">
        <f aca="false">BL65*IF($J65="wagon",62.5,781.25)</f>
        <v>0</v>
      </c>
      <c r="BO65" s="22" t="n">
        <f aca="false">BM65*IF($J65="wagon",2.73,81.25)</f>
        <v>0</v>
      </c>
      <c r="CD65" s="23" t="s">
        <v>265</v>
      </c>
      <c r="CE65" s="1" t="s">
        <v>129</v>
      </c>
      <c r="CF65" s="23" t="str">
        <f aca="false">CONCATENATE(CD65,"_",CE65)</f>
        <v>vct_Mixed Traffic</v>
      </c>
      <c r="CG65" s="23" t="str">
        <f aca="false">_xlfn.CONCAT(K65, "_",L65)</f>
        <v>tender_RAIL</v>
      </c>
      <c r="CH65" s="7" t="str">
        <f aca="false">_xlfn.CONCAT("{BLACK}Length: {GOLD}", TEXT(ROUNDUP(IF(AT65&lt;&gt;"",SUM(VALUE(_xlfn.TEXTSPLIT(AT65, ","))), SUM(VALUE(_xlfn.TEXTSPLIT(AQ65, ",")))*IF(P65, P65, 1))/16, 1), "#,##0.0"), " tiles{}")</f>
        <v>{BLACK}Length: {GOLD}0.4 tiles{}</v>
      </c>
      <c r="CI65" s="1" t="n">
        <f aca="false">VLOOKUP($CG65, Constants!$M:$N, 2, FALSE())</f>
        <v>0</v>
      </c>
      <c r="CJ65" s="1" t="str">
        <f aca="false">IF(P65&gt;1,_xlfn.CONCAT("{BLACK}Cars: {GOLD}", P65),"")</f>
        <v/>
      </c>
      <c r="CL65" s="1" t="str">
        <f aca="false">IF($BX65="!param_no_gameplay_units","{GREEN}Included for gameplay purposes","")</f>
        <v/>
      </c>
      <c r="CM65" s="1" t="str">
        <f aca="false">IF(CA65="buffet","{YELLOW}25% long distance bonus for consist{}",IF(CB65="DANDY","{YELLOW}Faster downhill speeds for horse-drawn trains (1 required per 2 horses){}",IF(CB65="BRAKE","{YELLOW}Speed bonus for slow wagons{}",IF(CB65="NGPassengers","{YELLOW}Preserved railway bonus: passengers pay more when hauled by old locomotives{}",IF(AND(BZ65&gt;190,NOT(AND(L65="NARROW_GAUGE",CB65&lt;&gt;"PASS"))),CONCATENATE("{YELLOW}",INT((BZ65-185)/1.85),"%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{GOLD}0.4 tiles{}{SILVER}</v>
      </c>
    </row>
    <row r="66" customFormat="false" ht="14.25" hidden="false" customHeight="false" outlineLevel="0" collapsed="false">
      <c r="A66" s="1" t="s">
        <v>266</v>
      </c>
      <c r="B66" s="19" t="s">
        <v>267</v>
      </c>
      <c r="C66" s="1" t="n">
        <v>1025</v>
      </c>
      <c r="E66" s="1" t="n">
        <v>22</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198</v>
      </c>
      <c r="J66" s="1" t="s">
        <v>206</v>
      </c>
      <c r="K66" s="1" t="s">
        <v>207</v>
      </c>
      <c r="L66" s="1" t="s">
        <v>149</v>
      </c>
      <c r="M66" s="1" t="n">
        <v>1866</v>
      </c>
      <c r="O66" s="1" t="n">
        <v>1947</v>
      </c>
      <c r="Q66" s="1" t="n">
        <v>500</v>
      </c>
      <c r="S66" s="3" t="n">
        <v>17</v>
      </c>
      <c r="T66" s="3" t="n">
        <v>24</v>
      </c>
      <c r="U66" s="3" t="n">
        <v>2</v>
      </c>
      <c r="V66" s="3" t="n">
        <v>140</v>
      </c>
      <c r="W66" s="18" t="n">
        <f aca="false">((($AE66/2)/60)*5280)/($X66*3.2*PI())</f>
        <v>150.364408444378</v>
      </c>
      <c r="X66" s="3" t="n">
        <v>1.892</v>
      </c>
      <c r="Y66" s="3" t="n">
        <f aca="false">((($S66*$S66/4)*PI())*($T66/12)*$U66*$V66*$W66)/(33000*1.1)</f>
        <v>526.51915561535</v>
      </c>
      <c r="Z66" s="1" t="n">
        <v>38</v>
      </c>
      <c r="AA66" s="2" t="n">
        <v>30</v>
      </c>
      <c r="AB66" s="1" t="n">
        <v>5</v>
      </c>
      <c r="AC66" s="1" t="n">
        <v>50</v>
      </c>
      <c r="AD66" s="4" t="n">
        <f aca="false">IF(AND(Z66&gt;0,AC66&gt;0),(AC66/((Z66+AA66)*10)),"")</f>
        <v>0.0735294117647059</v>
      </c>
      <c r="AE66" s="1" t="n">
        <v>65</v>
      </c>
      <c r="AF66" s="1" t="n">
        <f aca="false">ROUND(AE66*1.6, 0)</f>
        <v>104</v>
      </c>
      <c r="AI66" s="1" t="n">
        <v>10</v>
      </c>
      <c r="AJ66" s="1" t="n">
        <v>10</v>
      </c>
      <c r="AN66" s="16" t="s">
        <v>268</v>
      </c>
      <c r="AO66" s="16" t="n">
        <f aca="false">ROUND(15*((AJ66*10)/256),0)</f>
        <v>6</v>
      </c>
      <c r="AP66" s="1" t="s">
        <v>264</v>
      </c>
      <c r="AQ66" s="1" t="str">
        <f aca="false">CONCATENATE(VLOOKUP(AO66,Constants!$A$2:$C$16,IF(AP66&lt;&gt;"", 3, 2), FALSE()),IF(AP66&lt;&gt;"",CONCATENATE(",",VLOOKUP(AP66,$B:$AQ,42,FALSE())),""))</f>
        <v>2,2,2,2,1,2</v>
      </c>
      <c r="AY66" s="1" t="n">
        <v>1</v>
      </c>
      <c r="BA66" s="1" t="n">
        <v>34</v>
      </c>
      <c r="BB66" s="16" t="n">
        <f aca="false">IF(O66&lt;&gt;"",MAX(16,(O66-M66)+8),"")</f>
        <v>89</v>
      </c>
      <c r="BE66" s="20" t="n">
        <f aca="false">MIN(AE66/150, 1)*30</f>
        <v>13</v>
      </c>
      <c r="BF66" s="20" t="n">
        <f aca="false">MIN(Q66/4000, 1)*20</f>
        <v>2.5</v>
      </c>
      <c r="BG66" s="20" t="n">
        <f aca="false">MIN(AC66/400,1)*20</f>
        <v>2.5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20" t="n">
        <v>46</v>
      </c>
      <c r="BM66" s="20" t="n">
        <v>78</v>
      </c>
      <c r="BN66" s="22" t="n">
        <f aca="false">BL66*IF($J66="wagon",62.5,781.25)</f>
        <v>35937.5</v>
      </c>
      <c r="BO66" s="22" t="n">
        <f aca="false">BM66*IF($J66="wagon",2.73,81.25)</f>
        <v>6337.5</v>
      </c>
      <c r="BY66" s="1" t="n">
        <v>9</v>
      </c>
      <c r="CD66" s="23" t="s">
        <v>265</v>
      </c>
      <c r="CE66" s="1" t="s">
        <v>241</v>
      </c>
      <c r="CF66" s="23" t="str">
        <f aca="false">CONCATENATE(CD66,"_",CE66)</f>
        <v>vct_Express</v>
      </c>
      <c r="CG66" s="23"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tiles{}{SILVER}The Midland 156 class had a long career. It started as an express engine but as power outputs and speeds on the mainline increased it was relegated to increasingly minor duties, ending up being used on small branch lines.</v>
      </c>
    </row>
    <row r="67" customFormat="false" ht="14.25" hidden="false" customHeight="false" outlineLevel="0" collapsed="false">
      <c r="A67" s="1" t="s">
        <v>270</v>
      </c>
      <c r="B67" s="15" t="s">
        <v>271</v>
      </c>
      <c r="C67" s="1" t="n">
        <v>113</v>
      </c>
      <c r="E67" s="1" t="n">
        <v>23</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198</v>
      </c>
      <c r="J67" s="1" t="s">
        <v>206</v>
      </c>
      <c r="K67" s="1" t="s">
        <v>207</v>
      </c>
      <c r="L67" s="1" t="s">
        <v>149</v>
      </c>
      <c r="M67" s="1" t="n">
        <v>1868</v>
      </c>
      <c r="O67" s="1" t="n">
        <v>1945</v>
      </c>
      <c r="Q67" s="1" t="n">
        <v>350</v>
      </c>
      <c r="S67" s="3" t="n">
        <v>15</v>
      </c>
      <c r="T67" s="3" t="n">
        <v>24</v>
      </c>
      <c r="U67" s="3" t="n">
        <v>2</v>
      </c>
      <c r="V67" s="3" t="n">
        <v>150</v>
      </c>
      <c r="W67" s="18" t="n">
        <f aca="false">((($AE67/2)/60)*5280)/($X67*3.2*PI())</f>
        <v>116.713624934057</v>
      </c>
      <c r="X67" s="3" t="n">
        <v>1.5</v>
      </c>
      <c r="Y67" s="3" t="n">
        <f aca="false">((($S67*$S67/4)*PI())*($T67/12)*$U67*$V67*$W67)/(33000*1.1)</f>
        <v>340.909090909091</v>
      </c>
      <c r="Z67" s="1" t="n">
        <v>35.8</v>
      </c>
      <c r="AC67" s="1" t="n">
        <v>65</v>
      </c>
      <c r="AD67" s="4" t="n">
        <f aca="false">IF(AND(Z67&gt;0,AC67&gt;0),(AC67/((Z67+AA67)*10)),"")</f>
        <v>0.181564245810056</v>
      </c>
      <c r="AE67" s="1" t="n">
        <v>40</v>
      </c>
      <c r="AF67" s="1" t="n">
        <f aca="false">ROUND(AE67*1.6, 0)</f>
        <v>64</v>
      </c>
      <c r="AI67" s="1" t="n">
        <v>8.65</v>
      </c>
      <c r="AJ67" s="1" t="n">
        <v>8.65</v>
      </c>
      <c r="AL67" s="1" t="n">
        <v>3.7</v>
      </c>
      <c r="AM67" s="5" t="n">
        <v>0</v>
      </c>
      <c r="AN67" s="1" t="str">
        <f aca="false">CONCATENATE(VLOOKUP(AO67, 'Voxel Sizes'!$A$2:$B$18,2,FALSE()),"x",INT(AK67*15), "x", INT(AL67*15))</f>
        <v>82x0x55</v>
      </c>
      <c r="AO67" s="1" t="n">
        <f aca="false">ROUND(15*((AJ67*10)/256),0)</f>
        <v>5</v>
      </c>
      <c r="AQ67" s="1" t="str">
        <f aca="false">CONCATENATE(VLOOKUP(AO67,Constants!$A$2:$C$16,IF(AP67&lt;&gt;"", 3, 2), FALSE()),IF(AP67&lt;&gt;"",CONCATENATE(",",VLOOKUP(AP67,$B:$AQ,42,FALSE())),""))</f>
        <v>2,1,2</v>
      </c>
      <c r="AY67" s="1" t="n">
        <v>1</v>
      </c>
      <c r="BA67" s="1" t="n">
        <v>30</v>
      </c>
      <c r="BB67" s="16" t="n">
        <f aca="false">IF(O67&lt;&gt;"",MAX(16,(O67-M67)+8),"")</f>
        <v>85</v>
      </c>
      <c r="BE67" s="1" t="n">
        <f aca="false">MIN(AE67/150, 1)*30</f>
        <v>8</v>
      </c>
      <c r="BF67" s="1" t="n">
        <f aca="false">MIN(Q67/4000, 1)*20</f>
        <v>1.75</v>
      </c>
      <c r="BG67" s="1" t="n">
        <f aca="false">MIN(AC67/400,1)*20</f>
        <v>3.25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36</v>
      </c>
      <c r="BM67" s="1" t="n">
        <f aca="false">INT(POWER((((Constants!$G$1+$BE67+$BF67+$BG67+$BI67)*($BH67))*$BJ67),IF($J67="wagon",1,1.2)))+$BC67</f>
        <v>64</v>
      </c>
      <c r="BN67" s="17" t="n">
        <f aca="false">BL67*IF($J67="wagon",62.5,781.25)</f>
        <v>28125</v>
      </c>
      <c r="BO67" s="17" t="n">
        <f aca="false">BM67*IF($J67="wagon",2.73,81.25)</f>
        <v>5200</v>
      </c>
      <c r="BY67" s="1" t="n">
        <v>12</v>
      </c>
      <c r="CD67" s="1" t="str">
        <f aca="false">VLOOKUP(M67,Eras!$A$2:$C$10, 2, TRUE())</f>
        <v>vct</v>
      </c>
      <c r="CE67" s="1" t="s">
        <v>129</v>
      </c>
      <c r="CF67" s="1" t="str">
        <f aca="false">CONCATENATE(CD67,"_",CE67)</f>
        <v>vct_Mixed Traffic</v>
      </c>
      <c r="CG67" s="1" t="str">
        <f aca="false">_xlfn.CONCAT(K67, "_",L67)</f>
        <v>steam_RAIL</v>
      </c>
      <c r="CH67" s="7" t="str">
        <f aca="false">_xlfn.CONCAT("{BLACK}Length: {GOLD}", TEXT(ROUNDUP(IF(AT67&lt;&gt;"",SUM(VALUE(_xlfn.TEXTSPLIT(AT67, ","))), SUM(VALUE(_xlfn.TEXTSPLIT(AQ67, ",")))*IF(P67, P67, 1))/16, 1), "#,##0.0"), " tiles{}")</f>
        <v>{BLACK}Length: {GOLD}0.4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{GOLD}0.4 tiles{}{SILVER}The GWR 517 class encompassed a variety of 0-4-2 side tank engines, some having been rebuilt from existing saddle tanks.</v>
      </c>
    </row>
    <row r="68" customFormat="false" ht="14.25" hidden="false" customHeight="false" outlineLevel="0" collapsed="false">
      <c r="A68" s="1" t="s">
        <v>273</v>
      </c>
      <c r="B68" s="15" t="s">
        <v>274</v>
      </c>
      <c r="C68" s="1" t="n">
        <v>114</v>
      </c>
      <c r="E68" s="1" t="n">
        <v>24</v>
      </c>
      <c r="G68" s="1" t="str">
        <f aca="false">IF($F68&lt;&gt;"",_xlfn.CONCAT(VLOOKUP($CE68, Constants!$T:$U, 2, FALSE()),",",$F68),VLOOKUP($CE68, Constants!$T:$U, 2, FALSE()))</f>
        <v>role/freight</v>
      </c>
      <c r="H68" s="1" t="str">
        <f aca="false">IF($G68&lt;&gt;"",_xlfn.CONCAT(VLOOKUP($CG68, Constants!$M:$P, 4, FALSE()),",",$G68),VLOOKUP($CG68, Constants!$M:$P, 4, FALSE()))</f>
        <v>flag/GB,power/steam,role/freight</v>
      </c>
      <c r="I68" s="1" t="s">
        <v>198</v>
      </c>
      <c r="J68" s="1" t="s">
        <v>206</v>
      </c>
      <c r="K68" s="1" t="s">
        <v>207</v>
      </c>
      <c r="L68" s="1" t="s">
        <v>149</v>
      </c>
      <c r="M68" s="1" t="n">
        <v>1869</v>
      </c>
      <c r="O68" s="1" t="n">
        <v>1951</v>
      </c>
      <c r="Q68" s="1" t="n">
        <v>480</v>
      </c>
      <c r="S68" s="3" t="n">
        <v>17</v>
      </c>
      <c r="T68" s="3" t="n">
        <v>24</v>
      </c>
      <c r="U68" s="3" t="n">
        <v>2</v>
      </c>
      <c r="V68" s="3" t="n">
        <v>140</v>
      </c>
      <c r="W68" s="18" t="n">
        <f aca="false">((($AE68/2)/60)*5280)/($X68*3.2*PI())</f>
        <v>138.505092880605</v>
      </c>
      <c r="X68" s="3" t="n">
        <v>1.58</v>
      </c>
      <c r="Y68" s="3" t="n">
        <f aca="false">((($S68*$S68/4)*PI())*($T68/12)*$U68*$V68*$W68)/(33000*1.1)</f>
        <v>484.992328346759</v>
      </c>
      <c r="Z68" s="1" t="n">
        <v>36.6</v>
      </c>
      <c r="AA68" s="2" t="n">
        <v>16</v>
      </c>
      <c r="AC68" s="1" t="n">
        <v>72</v>
      </c>
      <c r="AD68" s="4" t="n">
        <f aca="false">IF(AND(Z68&gt;0,AC68&gt;0),(AC68/((Z68+AA68)*10)),"")</f>
        <v>0.136882129277567</v>
      </c>
      <c r="AE68" s="1" t="n">
        <v>50</v>
      </c>
      <c r="AF68" s="1" t="n">
        <f aca="false">ROUND(AE68*1.6, 0)</f>
        <v>80</v>
      </c>
      <c r="AJ68" s="1" t="n">
        <v>10</v>
      </c>
      <c r="AM68" s="5" t="n">
        <v>0</v>
      </c>
      <c r="AN68" s="1" t="str">
        <f aca="false">CONCATENATE(VLOOKUP(AO68, 'Voxel Sizes'!$A$2:$B$18,2,FALSE()),"x",INT(AK68*15), "x", INT(AL68*15))</f>
        <v>102x0x0</v>
      </c>
      <c r="AO68" s="1" t="n">
        <f aca="false">ROUND(15*((AJ68*10)/256),0)</f>
        <v>6</v>
      </c>
      <c r="AP68" s="1" t="s">
        <v>163</v>
      </c>
      <c r="AQ68" s="1" t="str">
        <f aca="false">CONCATENATE(VLOOKUP(AO68,Constants!$A$2:$C$16,IF(AP68&lt;&gt;"", 3, 2), FALSE()),IF(AP68&lt;&gt;"",CONCATENATE(",",VLOOKUP(AP68,$B:$AQ,42,FALSE())),""))</f>
        <v>2,2,2,1,2,1</v>
      </c>
      <c r="AY68" s="1" t="n">
        <v>1</v>
      </c>
      <c r="BA68" s="1" t="n">
        <v>33</v>
      </c>
      <c r="BB68" s="16" t="n">
        <f aca="false">IF(O68&lt;&gt;"",MAX(16,(O68-M68)+8),"")</f>
        <v>90</v>
      </c>
      <c r="BC68" s="1" t="n">
        <v>2</v>
      </c>
      <c r="BD68" s="1" t="n">
        <v>-2</v>
      </c>
      <c r="BE68" s="1" t="n">
        <f aca="false">MIN(AE68/150, 1)*30</f>
        <v>10</v>
      </c>
      <c r="BF68" s="1" t="n">
        <f aca="false">MIN(Q68/4000, 1)*20</f>
        <v>2.4</v>
      </c>
      <c r="BG68" s="1" t="n">
        <f aca="false">MIN(AC68/400,1)*20</f>
        <v>3.6</v>
      </c>
      <c r="BH68" s="4" t="n">
        <f aca="false">1-(MAX(M68-1900, 0)/750)</f>
        <v>1</v>
      </c>
      <c r="BI68" s="1" t="n">
        <f aca="false">((MAX($P68,1)*MIN($AM68/300,1)))*IF(J68="Wagon",50,10)</f>
        <v>0</v>
      </c>
      <c r="BJ68" s="1" t="n">
        <f aca="false">VLOOKUP($K68,Constants!$I:$K, 2, FALSE())</f>
        <v>1.15</v>
      </c>
      <c r="BK68" s="1" t="n">
        <f aca="false">VLOOKUP($K68,Constants!$I:$K, 3, FALSE())*IF(AND(J68="multiple_unit",AE68&lt;110),0.75,1)</f>
        <v>1.7</v>
      </c>
      <c r="BL68" s="1" t="n">
        <f aca="false">INT(POWER(((Constants!$G$2+$BE68+$BF68+$BG68+$BI68)*$BH68)*$BK68, 1.05))+$BD68</f>
        <v>40</v>
      </c>
      <c r="BM68" s="1" t="n">
        <f aca="false">INT(POWER((((Constants!$G$1+$BE68+$BF68+$BG68+$BI68)*($BH68))*$BJ68),IF($J68="wagon",1,1.2)))+$BC68</f>
        <v>74</v>
      </c>
      <c r="BN68" s="17" t="n">
        <f aca="false">BL68*IF($J68="wagon",62.5,781.25)</f>
        <v>31250</v>
      </c>
      <c r="BO68" s="17" t="n">
        <f aca="false">BM68*IF($J68="wagon",2.73,81.25)</f>
        <v>6012.5</v>
      </c>
      <c r="BY68" s="1" t="n">
        <v>5</v>
      </c>
      <c r="CD68" s="1" t="s">
        <v>265</v>
      </c>
      <c r="CE68" s="1" t="s">
        <v>132</v>
      </c>
      <c r="CF68" s="1" t="str">
        <f aca="false">CONCATENATE(CD68,"_",CE68)</f>
        <v>vct_Freight</v>
      </c>
      <c r="CG68" s="1" t="str">
        <f aca="false">_xlfn.CONCAT(K68, "_",L68)</f>
        <v>steam_RAIL</v>
      </c>
      <c r="CH68" s="7" t="str">
        <f aca="false">_xlfn.CONCAT("{BLACK}Length: {GOLD}", TEXT(ROUNDUP(IF(AT68&lt;&gt;"",SUM(VALUE(_xlfn.TEXTSPLIT(AT68, ","))), SUM(VALUE(_xlfn.TEXTSPLIT(AQ68, ",")))*IF(P68, P68, 1))/16, 1), "#,##0.0"), " tiles{}")</f>
        <v>{BLACK}Length: {GOLD}0.7 tiles{}</v>
      </c>
      <c r="CI68" s="1" t="n">
        <f aca="false">VLOOKUP($CG68, Constants!$M:$N, 2, FALSE())</f>
        <v>0</v>
      </c>
      <c r="CJ68" s="1" t="str">
        <f aca="false">IF(P68&gt;1,_xlfn.CONCAT("{BLACK}Cars: {GOLD}", P68),"")</f>
        <v/>
      </c>
      <c r="CK68" s="1" t="s">
        <v>275</v>
      </c>
      <c r="CL68" s="1" t="str">
        <f aca="false">IF($BX68="!param_no_gameplay_units","{GREEN}Included for gameplay purposes","")</f>
        <v/>
      </c>
      <c r="CM68" s="1" t="str">
        <f aca="false">IF(CA68="buffet","{YELLOW}25% long distance bonus for consist{}",IF(CC68="BRAKE","{YELLOW}Speed bonus for slow wagons{}",IF(BZ68&gt;190,CONCATENATE("{YELLOW}",INT((BZ68-185)/1.85),"%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{GOLD}0.7 tiles{}{SILVER}The 700 class was a widely-produced freight engine. In its later years a sixth of the originally produced locomotives were sold to the Italian State Railway.</v>
      </c>
    </row>
    <row r="69" customFormat="false" ht="13.5" hidden="false" customHeight="true" outlineLevel="0" collapsed="false">
      <c r="A69" s="1" t="s">
        <v>276</v>
      </c>
      <c r="B69" s="19" t="s">
        <v>277</v>
      </c>
      <c r="C69" s="1" t="n">
        <v>-1</v>
      </c>
      <c r="E69" s="1" t="n">
        <v>25</v>
      </c>
      <c r="G69" s="1" t="str">
        <f aca="false">IF($F69&lt;&gt;"",_xlfn.CONCAT(VLOOKUP($CE69, Constants!$T:$U, 2, FALSE()),",",$F69),VLOOKUP($CE69, Constants!$T:$U, 2, FALSE()))</f>
        <v>role/mixed</v>
      </c>
      <c r="H69" s="1" t="str">
        <f aca="false">IF($G69&lt;&gt;"",_xlfn.CONCAT(VLOOKUP($CG69, Constants!$M:$P, 4, FALSE()),",",$G69),VLOOKUP($CG69, Constants!$M:$P, 4, FALSE()))</f>
        <v>flag/GB,role/mixed</v>
      </c>
      <c r="J69" s="1" t="s">
        <v>41</v>
      </c>
      <c r="K69" s="1" t="s">
        <v>41</v>
      </c>
      <c r="L69" s="1" t="s">
        <v>149</v>
      </c>
      <c r="M69" s="1" t="n">
        <v>1870</v>
      </c>
      <c r="Z69" s="1" t="n">
        <v>20</v>
      </c>
      <c r="AD69" s="4" t="str">
        <f aca="false">IF(AND(Z69&gt;0,AC69&gt;0),(AC69/((Z69+AA69)*10)),"")</f>
        <v/>
      </c>
      <c r="AI69" s="1" t="n">
        <v>7.5</v>
      </c>
      <c r="AJ69" s="1" t="n">
        <v>8</v>
      </c>
      <c r="AM69" s="5" t="n">
        <v>0</v>
      </c>
      <c r="AN69" s="16" t="s">
        <v>229</v>
      </c>
      <c r="AO69" s="16" t="n">
        <f aca="false">ROUND(15*((AJ69*10)/256),0)</f>
        <v>5</v>
      </c>
      <c r="AQ69" s="1" t="str">
        <f aca="false">CONCATENATE(VLOOKUP(AO69,Constants!$A$2:$C$16,IF(AP69&lt;&gt;"", 3, 2), FALSE()),IF(AP69&lt;&gt;"",CONCATENATE(",",VLOOKUP(AP69,$B:$AQ,42,FALSE())),""))</f>
        <v>2,1,2</v>
      </c>
      <c r="BA69" s="1" t="n">
        <v>30</v>
      </c>
      <c r="BB69" s="16" t="str">
        <f aca="false">IF(O69&lt;&gt;"",MAX(16,(O69-M69)+8),"")</f>
        <v/>
      </c>
      <c r="BE69" s="20" t="n">
        <f aca="false">MIN(AE69/150, 1)*30</f>
        <v>0</v>
      </c>
      <c r="BF69" s="20" t="n">
        <f aca="false">MIN(Q69/4000, 1)*20</f>
        <v>0</v>
      </c>
      <c r="BG69" s="20" t="n">
        <f aca="false">MIN(AC69/400,1)*20</f>
        <v>0</v>
      </c>
      <c r="BH69" s="21" t="n">
        <f aca="false">1-(MAX(M69-1900, 0)/750)</f>
        <v>1</v>
      </c>
      <c r="BI69" s="20" t="n">
        <f aca="false">((MAX($P69,1)*MIN($AM69/300,1)))*IF(J69="Wagon",50,10)</f>
        <v>0</v>
      </c>
      <c r="BJ69" s="1" t="n">
        <f aca="false">VLOOKUP($K69,Constants!$I:$K, 2, FALSE())</f>
        <v>0</v>
      </c>
      <c r="BK69" s="1" t="n">
        <f aca="false">VLOOKUP($K69,Constants!$I:$K, 3, FALSE())*IF(AND(J69="multiple_unit",AE69&lt;110),0.75,1)</f>
        <v>0</v>
      </c>
      <c r="BL69" s="20" t="n">
        <v>0</v>
      </c>
      <c r="BM69" s="20" t="n">
        <v>0</v>
      </c>
      <c r="BN69" s="22" t="n">
        <f aca="false">BL69*IF($J69="wagon",62.5,781.25)</f>
        <v>0</v>
      </c>
      <c r="BO69" s="22" t="n">
        <f aca="false">BM69*IF($J69="wagon",2.73,81.25)</f>
        <v>0</v>
      </c>
      <c r="CD69" s="23" t="s">
        <v>265</v>
      </c>
      <c r="CE69" s="1" t="s">
        <v>129</v>
      </c>
      <c r="CF69" s="23" t="str">
        <f aca="false">CONCATENATE(CD69,"_",CE69)</f>
        <v>vct_Mixed Traffic</v>
      </c>
      <c r="CG69" s="23" t="str">
        <f aca="false">_xlfn.CONCAT(K69, "_",L69)</f>
        <v>tender_RAIL</v>
      </c>
      <c r="CH69" s="7" t="str">
        <f aca="false">_xlfn.CONCAT("{BLACK}Length: {GOLD}", TEXT(ROUNDUP(IF(AT69&lt;&gt;"",SUM(VALUE(_xlfn.TEXTSPLIT(AT69, ","))), SUM(VALUE(_xlfn.TEXTSPLIT(AQ69, ",")))*IF(P69, P69, 1))/16, 1), "#,##0.0"), " tiles{}")</f>
        <v>{BLACK}Length: {GOLD}0.4 tiles{}</v>
      </c>
      <c r="CI69" s="1" t="n">
        <f aca="false">VLOOKUP($CG69, Constants!$M:$N, 2, FALSE())</f>
        <v>0</v>
      </c>
      <c r="CJ69" s="1" t="str">
        <f aca="false">IF(P69&gt;1,_xlfn.CONCAT("{BLACK}Cars: {GOLD}", P69),"")</f>
        <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{GOLD}0.4 tiles{}{SILVER}</v>
      </c>
    </row>
    <row r="70" customFormat="false" ht="14.25" hidden="false" customHeight="false" outlineLevel="0" collapsed="false">
      <c r="A70" s="1" t="s">
        <v>278</v>
      </c>
      <c r="B70" s="19" t="s">
        <v>279</v>
      </c>
      <c r="C70" s="1" t="n">
        <v>1026</v>
      </c>
      <c r="E70" s="1" t="n">
        <v>26</v>
      </c>
      <c r="G70" s="1" t="str">
        <f aca="false">IF($F70&lt;&gt;"",_xlfn.CONCAT(VLOOKUP($CE70, Constants!$T:$U, 2, FALSE()),",",$F70),VLOOKUP($CE70, Constants!$T:$U, 2, FALSE()))</f>
        <v>role/express_passenger</v>
      </c>
      <c r="H70" s="1" t="str">
        <f aca="false">IF($G70&lt;&gt;"",_xlfn.CONCAT(VLOOKUP($CG70, Constants!$M:$P, 4, FALSE()),",",$G70),VLOOKUP($CG70, Constants!$M:$P, 4, FALSE()))</f>
        <v>flag/GB,power/steam,role/express_passenger</v>
      </c>
      <c r="I70" s="1" t="s">
        <v>198</v>
      </c>
      <c r="J70" s="1" t="s">
        <v>206</v>
      </c>
      <c r="K70" s="1" t="s">
        <v>207</v>
      </c>
      <c r="L70" s="1" t="s">
        <v>149</v>
      </c>
      <c r="M70" s="1" t="n">
        <v>1870</v>
      </c>
      <c r="O70" s="1" t="n">
        <v>1916</v>
      </c>
      <c r="Q70" s="1" t="n">
        <v>650</v>
      </c>
      <c r="S70" s="3" t="n">
        <v>18</v>
      </c>
      <c r="T70" s="3" t="n">
        <v>28</v>
      </c>
      <c r="U70" s="3" t="n">
        <v>2</v>
      </c>
      <c r="V70" s="3" t="n">
        <v>140</v>
      </c>
      <c r="W70" s="18" t="n">
        <f aca="false">((($AE70/2)/60)*5280)/($X70*3.2*PI())</f>
        <v>151.22954450297</v>
      </c>
      <c r="X70" s="3" t="n">
        <v>2.46</v>
      </c>
      <c r="Y70" s="3" t="n">
        <f aca="false">((($S70*$S70/4)*PI())*($T70/12)*$U70*$V70*$W70)/(33000*1.1)</f>
        <v>692.627494456763</v>
      </c>
      <c r="Z70" s="1" t="n">
        <v>40</v>
      </c>
      <c r="AA70" s="2" t="n">
        <v>30</v>
      </c>
      <c r="AB70" s="1" t="n">
        <v>5</v>
      </c>
      <c r="AC70" s="1" t="n">
        <v>50</v>
      </c>
      <c r="AD70" s="4" t="n">
        <f aca="false">IF(AND(Z70&gt;0,AC70&gt;0),(AC70/((Z70+AA70)*10)),"")</f>
        <v>0.0714285714285714</v>
      </c>
      <c r="AE70" s="1" t="n">
        <v>85</v>
      </c>
      <c r="AF70" s="1" t="n">
        <f aca="false">ROUND(AE70*1.6, 0)</f>
        <v>136</v>
      </c>
      <c r="AI70" s="1" t="n">
        <v>15.4</v>
      </c>
      <c r="AJ70" s="1" t="n">
        <v>12</v>
      </c>
      <c r="AN70" s="16" t="s">
        <v>280</v>
      </c>
      <c r="AO70" s="16" t="n">
        <f aca="false">ROUND(15*((AJ70*10)/256),0)</f>
        <v>7</v>
      </c>
      <c r="AP70" s="1" t="s">
        <v>277</v>
      </c>
      <c r="AQ70" s="1" t="str">
        <f aca="false">CONCATENATE(VLOOKUP(AO70,Constants!$A$2:$C$16,IF(AP70&lt;&gt;"", 3, 2), FALSE()),IF(AP70&lt;&gt;"",CONCATENATE(",",VLOOKUP(AP70,$B:$AQ,42,FALSE())),""))</f>
        <v>2,3,2,2,1,2</v>
      </c>
      <c r="AY70" s="1" t="n">
        <v>1</v>
      </c>
      <c r="BA70" s="1" t="n">
        <v>31</v>
      </c>
      <c r="BB70" s="16" t="n">
        <f aca="false">IF(O70&lt;&gt;"",MAX(16,(O70-M70)+8),"")</f>
        <v>54</v>
      </c>
      <c r="BE70" s="20" t="n">
        <f aca="false">MIN(AE70/150, 1)*30</f>
        <v>17</v>
      </c>
      <c r="BF70" s="20" t="n">
        <f aca="false">MIN(Q70/4000, 1)*20</f>
        <v>3.25</v>
      </c>
      <c r="BG70" s="20" t="n">
        <f aca="false">MIN(AC70/400,1)*20</f>
        <v>2.5</v>
      </c>
      <c r="BH70" s="21" t="n">
        <f aca="false">1-(MAX(M70-1900, 0)/750)</f>
        <v>1</v>
      </c>
      <c r="BI70" s="20" t="n">
        <f aca="false">((MAX($P70,1)*MIN($AM70/300,1)))*IF(J70="Wagon",50,10)</f>
        <v>0</v>
      </c>
      <c r="BJ70" s="1" t="n">
        <f aca="false">VLOOKUP($K70,Constants!$I:$K, 2, FALSE())</f>
        <v>1.15</v>
      </c>
      <c r="BK70" s="1" t="n">
        <f aca="false">VLOOKUP($K70,Constants!$I:$K, 3, FALSE())*IF(AND(J70="multiple_unit",AE70&lt;110),0.75,1)</f>
        <v>1.7</v>
      </c>
      <c r="BL70" s="20" t="n">
        <v>57</v>
      </c>
      <c r="BM70" s="20" t="n">
        <v>92</v>
      </c>
      <c r="BN70" s="22" t="n">
        <f aca="false">BL70*IF($J70="wagon",62.5,781.25)</f>
        <v>44531.25</v>
      </c>
      <c r="BO70" s="22" t="n">
        <f aca="false">BM70*IF($J70="wagon",2.73,81.25)</f>
        <v>7475</v>
      </c>
      <c r="BY70" s="1" t="n">
        <v>4</v>
      </c>
      <c r="CD70" s="23" t="s">
        <v>265</v>
      </c>
      <c r="CE70" s="1" t="s">
        <v>241</v>
      </c>
      <c r="CF70" s="23" t="str">
        <f aca="false">CONCATENATE(CD70,"_",CE70)</f>
        <v>vct_Express</v>
      </c>
      <c r="CG70" s="23" t="str">
        <f aca="false">_xlfn.CONCAT(K70, "_",L70)</f>
        <v>steam_RAIL</v>
      </c>
      <c r="CH70" s="7" t="str">
        <f aca="false">_xlfn.CONCAT("{BLACK}Length: {GOLD}", TEXT(ROUNDUP(IF(AT70&lt;&gt;"",SUM(VALUE(_xlfn.TEXTSPLIT(AT70, ","))), SUM(VALUE(_xlfn.TEXTSPLIT(AQ70, ",")))*IF(P70, P70, 1))/16, 1), "#,##0.0"), " tiles{}")</f>
        <v>{BLACK}Length: {GOLD}0.8 tiles{}</v>
      </c>
      <c r="CI70" s="1" t="n">
        <f aca="false">VLOOKUP($CG70, Constants!$M:$N, 2, FALSE())</f>
        <v>0</v>
      </c>
      <c r="CJ70" s="1" t="str">
        <f aca="false">IF(P70&gt;1,_xlfn.CONCAT("{BLACK}Cars: {GOLD}", P70),"")</f>
        <v/>
      </c>
      <c r="CK70" s="1" t="s">
        <v>281</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{GOLD}0.8 tiles{}{SILVER}Patrick Stirling's "singles" (also known as "eight footers" due to the large driving wheels) were designed to haul heavy express trains.</v>
      </c>
    </row>
    <row r="71" customFormat="false" ht="14.25" hidden="false" customHeight="false" outlineLevel="0" collapsed="false">
      <c r="A71" s="1" t="s">
        <v>282</v>
      </c>
      <c r="B71" s="15" t="s">
        <v>283</v>
      </c>
      <c r="C71" s="1" t="n">
        <v>115</v>
      </c>
      <c r="E71" s="1" t="n">
        <v>27</v>
      </c>
      <c r="G71" s="1" t="str">
        <f aca="false">IF($F71&lt;&gt;"",_xlfn.CONCAT(VLOOKUP($CE71, Constants!$T:$U, 2, FALSE()),",",$F71),VLOOKUP($CE71, Constants!$T:$U, 2, FALSE()))</f>
        <v>role/passenger</v>
      </c>
      <c r="H71" s="1" t="str">
        <f aca="false">IF($G71&lt;&gt;"",_xlfn.CONCAT(VLOOKUP($CG71, Constants!$M:$P, 4, FALSE()),",",$G71),VLOOKUP($CG71, Constants!$M:$P, 4, FALSE()))</f>
        <v>flag/GB,power/steam,role/passenger</v>
      </c>
      <c r="I71" s="1" t="s">
        <v>198</v>
      </c>
      <c r="J71" s="1" t="s">
        <v>206</v>
      </c>
      <c r="K71" s="1" t="s">
        <v>207</v>
      </c>
      <c r="L71" s="1" t="s">
        <v>149</v>
      </c>
      <c r="M71" s="1" t="n">
        <v>1872</v>
      </c>
      <c r="N71" s="1" t="n">
        <v>1880</v>
      </c>
      <c r="O71" s="1" t="n">
        <v>1963</v>
      </c>
      <c r="Q71" s="1" t="n">
        <v>300</v>
      </c>
      <c r="S71" s="3" t="n">
        <v>12</v>
      </c>
      <c r="T71" s="3" t="n">
        <v>20</v>
      </c>
      <c r="U71" s="3" t="n">
        <v>2</v>
      </c>
      <c r="V71" s="3" t="n">
        <v>150</v>
      </c>
      <c r="W71" s="18" t="n">
        <f aca="false">((($AE71/2)/60)*5280)/($X71*3.2*PI())</f>
        <v>164.128535063517</v>
      </c>
      <c r="X71" s="3" t="n">
        <v>1.2</v>
      </c>
      <c r="Y71" s="3" t="n">
        <f aca="false">((($S71*$S71/4)*PI())*($T71/12)*$U71*$V71*$W71)/(33000*1.1)</f>
        <v>255.681818181818</v>
      </c>
      <c r="Z71" s="1" t="n">
        <v>28</v>
      </c>
      <c r="AC71" s="1" t="n">
        <v>34</v>
      </c>
      <c r="AD71" s="4" t="n">
        <f aca="false">IF(AND(Z71&gt;0,AC71&gt;0),(AC71/((Z71+AA71)*10)),"")</f>
        <v>0.121428571428571</v>
      </c>
      <c r="AE71" s="1" t="n">
        <v>45</v>
      </c>
      <c r="AF71" s="1" t="n">
        <f aca="false">ROUND(AE71*1.6, 0)</f>
        <v>72</v>
      </c>
      <c r="AI71" s="1" t="n">
        <v>7.94</v>
      </c>
      <c r="AJ71" s="1" t="n">
        <v>8</v>
      </c>
      <c r="AM71" s="5" t="n">
        <v>0</v>
      </c>
      <c r="AN71" s="1" t="str">
        <f aca="false">CONCATENATE(VLOOKUP(AO71, 'Voxel Sizes'!$A$2:$B$18,2,FALSE()),"x",INT(AK71*15), "x", INT(AL71*15))</f>
        <v>82x0x0</v>
      </c>
      <c r="AO71" s="1" t="n">
        <f aca="false">ROUND(15*((AJ71*10)/256),0)</f>
        <v>5</v>
      </c>
      <c r="AQ71" s="1" t="str">
        <f aca="false">CONCATENATE(VLOOKUP(AO71,Constants!$A$2:$C$16,IF(AP71&lt;&gt;"", 3, 2), FALSE()),IF(AP71&lt;&gt;"",CONCATENATE(",",VLOOKUP(AP71,$B:$AQ,42,FALSE())),""))</f>
        <v>2,1,2</v>
      </c>
      <c r="AY71" s="1" t="n">
        <v>1</v>
      </c>
      <c r="BA71" s="1" t="n">
        <v>35</v>
      </c>
      <c r="BB71" s="16" t="n">
        <f aca="false">IF(O71&lt;&gt;"",MAX(16,(O71-M71)+8),"")</f>
        <v>99</v>
      </c>
      <c r="BE71" s="1" t="n">
        <f aca="false">MIN(AE71/150, 1)*30</f>
        <v>9</v>
      </c>
      <c r="BF71" s="1" t="n">
        <f aca="false">MIN(Q71/4000, 1)*20</f>
        <v>1.5</v>
      </c>
      <c r="BG71" s="1" t="n">
        <f aca="false">MIN(AC71/400,1)*20</f>
        <v>1.7</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34</v>
      </c>
      <c r="BM71" s="1" t="n">
        <f aca="false">INT(POWER((((Constants!$G$1+$BE71+$BF71+$BG71+$BI71)*($BH71))*$BJ71),IF($J71="wagon",1,1.2)))+$BC71</f>
        <v>62</v>
      </c>
      <c r="BN71" s="17" t="n">
        <f aca="false">BL71*IF($J71="wagon",62.5,781.25)</f>
        <v>26562.5</v>
      </c>
      <c r="BO71" s="17" t="n">
        <f aca="false">BM71*IF($J71="wagon",2.73,81.25)</f>
        <v>5037.5</v>
      </c>
      <c r="BY71" s="1" t="n">
        <v>1</v>
      </c>
      <c r="CD71" s="1" t="str">
        <f aca="false">VLOOKUP(M71,Eras!$A$2:$C$10, 2, TRUE())</f>
        <v>vct</v>
      </c>
      <c r="CE71" s="1" t="s">
        <v>123</v>
      </c>
      <c r="CF71" s="1" t="str">
        <f aca="false">CONCATENATE(CD71,"_",CE71)</f>
        <v>vct_Passenger</v>
      </c>
      <c r="CG71" s="1" t="str">
        <f aca="false">_xlfn.CONCAT(K71, "_",L71)</f>
        <v>steam_RAIL</v>
      </c>
      <c r="CH71" s="7" t="str">
        <f aca="false">_xlfn.CONCAT("{BLACK}Length: {GOLD}", TEXT(ROUNDUP(IF(AT71&lt;&gt;"",SUM(VALUE(_xlfn.TEXTSPLIT(AT71, ","))), SUM(VALUE(_xlfn.TEXTSPLIT(AQ71, ",")))*IF(P71, P71, 1))/16, 1), "#,##0.0"), " tiles{}")</f>
        <v>{BLACK}Length: {GOLD}0.4 tiles{}</v>
      </c>
      <c r="CI71" s="1" t="n">
        <f aca="false">VLOOKUP($CG71, Constants!$M:$N, 2, FALSE())</f>
        <v>0</v>
      </c>
      <c r="CJ71" s="1" t="str">
        <f aca="false">IF(P71&gt;1,_xlfn.CONCAT("{BLACK}Cars: {GOLD}", P71),"")</f>
        <v/>
      </c>
      <c r="CK71" s="1" t="s">
        <v>284</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{GOLD}0.4 tiles{}{SILVER}Originally designed to operate commuter services, the small A1 tank locomotives were still used into the 1960s on the Hayling Island branch line.</v>
      </c>
    </row>
    <row r="72" customFormat="false" ht="13.5" hidden="false" customHeight="true" outlineLevel="0" collapsed="false">
      <c r="A72" s="1" t="s">
        <v>285</v>
      </c>
      <c r="B72" s="19" t="s">
        <v>286</v>
      </c>
      <c r="C72" s="1" t="n">
        <v>-1</v>
      </c>
      <c r="E72" s="1" t="n">
        <v>28</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149</v>
      </c>
      <c r="M72" s="1" t="n">
        <v>1874</v>
      </c>
      <c r="Z72" s="1" t="n">
        <v>20</v>
      </c>
      <c r="AD72" s="4" t="str">
        <f aca="false">IF(AND(Z72&gt;0,AC72&gt;0),(AC72/((Z72+AA72)*10)),"")</f>
        <v/>
      </c>
      <c r="AI72" s="1" t="n">
        <v>7.5</v>
      </c>
      <c r="AJ72" s="1" t="n">
        <v>8</v>
      </c>
      <c r="AM72" s="5" t="n">
        <v>0</v>
      </c>
      <c r="AN72" s="16" t="s">
        <v>229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265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287</v>
      </c>
      <c r="B73" s="19" t="s">
        <v>288</v>
      </c>
      <c r="C73" s="1" t="n">
        <v>-1</v>
      </c>
      <c r="E73" s="1" t="n">
        <v>29</v>
      </c>
      <c r="G73" s="1" t="str">
        <f aca="false">IF($F73&lt;&gt;"",_xlfn.CONCAT(VLOOKUP($CE73, Constants!$T:$U, 2, FALSE()),",",$F73),VLOOKUP($CE73, Constants!$T:$U, 2, FALSE()))</f>
        <v>role/mixed</v>
      </c>
      <c r="H73" s="1" t="str">
        <f aca="false">IF($G73&lt;&gt;"",_xlfn.CONCAT(VLOOKUP($CG73, Constants!$M:$P, 4, FALSE()),",",$G73),VLOOKUP($CG73, Constants!$M:$P, 4, FALSE()))</f>
        <v>flag/GB,role/mixed</v>
      </c>
      <c r="J73" s="1" t="s">
        <v>41</v>
      </c>
      <c r="K73" s="1" t="s">
        <v>41</v>
      </c>
      <c r="L73" s="1" t="s">
        <v>149</v>
      </c>
      <c r="M73" s="1" t="n">
        <v>1874</v>
      </c>
      <c r="Z73" s="1" t="n">
        <v>42</v>
      </c>
      <c r="AD73" s="4" t="str">
        <f aca="false">IF(AND(Z73&gt;0,AC73&gt;0),(AC73/((Z73+AA73)*10)),"")</f>
        <v/>
      </c>
      <c r="AI73" s="1" t="n">
        <v>7.5</v>
      </c>
      <c r="AJ73" s="1" t="n">
        <v>8</v>
      </c>
      <c r="AM73" s="5" t="n">
        <v>0</v>
      </c>
      <c r="AN73" s="16" t="s">
        <v>229</v>
      </c>
      <c r="AO73" s="16" t="n">
        <f aca="false">ROUND(15*((AJ73*10)/256),0)</f>
        <v>5</v>
      </c>
      <c r="AQ73" s="1" t="str">
        <f aca="false">CONCATENATE(VLOOKUP(AO73,Constants!$A$2:$C$16,IF(AP73&lt;&gt;"", 3, 2), FALSE()),IF(AP73&lt;&gt;"",CONCATENATE(",",VLOOKUP(AP73,$B:$AQ,42,FALSE())),""))</f>
        <v>2,1,2</v>
      </c>
      <c r="BA73" s="1" t="n">
        <v>30</v>
      </c>
      <c r="BB73" s="16" t="str">
        <f aca="false">IF(O73&lt;&gt;"",MAX(16,(O73-M73)+8),"")</f>
        <v/>
      </c>
      <c r="BE73" s="20" t="n">
        <f aca="false">MIN(AE73/150, 1)*30</f>
        <v>0</v>
      </c>
      <c r="BF73" s="20" t="n">
        <f aca="false">MIN(Q73/4000, 1)*20</f>
        <v>0</v>
      </c>
      <c r="BG73" s="20" t="n">
        <f aca="false">MIN(AC73/400,1)*20</f>
        <v>0</v>
      </c>
      <c r="BH73" s="21" t="n">
        <f aca="false">1-(MAX(M73-1900, 0)/750)</f>
        <v>1</v>
      </c>
      <c r="BI73" s="20" t="n">
        <f aca="false">((MAX($P73,1)*MIN($AM73/300,1)))*IF(J73="Wagon",50,10)</f>
        <v>0</v>
      </c>
      <c r="BJ73" s="1" t="n">
        <f aca="false">VLOOKUP($K73,Constants!$I:$K, 2, FALSE())</f>
        <v>0</v>
      </c>
      <c r="BK73" s="1" t="n">
        <f aca="false">VLOOKUP($K73,Constants!$I:$K, 3, FALSE())*IF(AND(J73="multiple_unit",AE73&lt;110),0.75,1)</f>
        <v>0</v>
      </c>
      <c r="BL73" s="20" t="n">
        <v>0</v>
      </c>
      <c r="BM73" s="20" t="n">
        <v>0</v>
      </c>
      <c r="BN73" s="22" t="n">
        <f aca="false">BL73*IF($J73="wagon",62.5,781.25)</f>
        <v>0</v>
      </c>
      <c r="BO73" s="22" t="n">
        <f aca="false">BM73*IF($J73="wagon",2.73,81.25)</f>
        <v>0</v>
      </c>
      <c r="CD73" s="23" t="s">
        <v>265</v>
      </c>
      <c r="CE73" s="1" t="s">
        <v>129</v>
      </c>
      <c r="CF73" s="23" t="str">
        <f aca="false">CONCATENATE(CD73,"_",CE73)</f>
        <v>vct_Mixed Traffic</v>
      </c>
      <c r="CG73" s="23" t="str">
        <f aca="false">_xlfn.CONCAT(K73, "_",L73)</f>
        <v>tender_RAIL</v>
      </c>
      <c r="CH73" s="7" t="str">
        <f aca="false">_xlfn.CONCAT("{BLACK}Length: {GOLD}", TEXT(ROUNDUP(IF(AT73&lt;&gt;"",SUM(VALUE(_xlfn.TEXTSPLIT(AT73, ","))), SUM(VALUE(_xlfn.TEXTSPLIT(AQ73, ",")))*IF(P73, P73, 1))/16, 1), "#,##0.0"), " tiles{}")</f>
        <v>{BLACK}Length: {GOLD}0.4 tiles{}</v>
      </c>
      <c r="CI73" s="1" t="n">
        <f aca="false">VLOOKUP($CG73, Constants!$M:$N, 2, FALSE())</f>
        <v>0</v>
      </c>
      <c r="CJ73" s="1" t="str">
        <f aca="false">IF(P73&gt;1,_xlfn.CONCAT("{BLACK}Cars: {GOLD}", P73),"")</f>
        <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{GOLD}0.4 tiles{}{SILVER}</v>
      </c>
    </row>
    <row r="74" customFormat="false" ht="13.5" hidden="false" customHeight="true" outlineLevel="0" collapsed="false">
      <c r="A74" s="1" t="s">
        <v>289</v>
      </c>
      <c r="B74" s="19" t="s">
        <v>290</v>
      </c>
      <c r="C74" s="1" t="n">
        <v>1024</v>
      </c>
      <c r="E74" s="1" t="n">
        <v>30</v>
      </c>
      <c r="G74" s="1" t="str">
        <f aca="false">IF($F74&lt;&gt;"",_xlfn.CONCAT(VLOOKUP($CE74, Constants!$T:$U, 2, FALSE()),",",$F74),VLOOKUP($CE74, Constants!$T:$U, 2, FALSE()))</f>
        <v>role/express_passenger</v>
      </c>
      <c r="H74" s="1" t="str">
        <f aca="false">IF($G74&lt;&gt;"",_xlfn.CONCAT(VLOOKUP($CG74, Constants!$M:$P, 4, FALSE()),",",$G74),VLOOKUP($CG74, Constants!$M:$P, 4, FALSE()))</f>
        <v>flag/GB,power/steam,role/express_passenger</v>
      </c>
      <c r="I74" s="1" t="s">
        <v>198</v>
      </c>
      <c r="J74" s="1" t="s">
        <v>206</v>
      </c>
      <c r="K74" s="1" t="s">
        <v>207</v>
      </c>
      <c r="L74" s="1" t="s">
        <v>149</v>
      </c>
      <c r="M74" s="1" t="n">
        <v>1874</v>
      </c>
      <c r="O74" s="1" t="n">
        <v>1923</v>
      </c>
      <c r="Q74" s="1" t="n">
        <v>550</v>
      </c>
      <c r="S74" s="3" t="n">
        <v>17</v>
      </c>
      <c r="T74" s="3" t="n">
        <v>24</v>
      </c>
      <c r="U74" s="3" t="n">
        <v>2</v>
      </c>
      <c r="V74" s="3" t="n">
        <v>140</v>
      </c>
      <c r="W74" s="18" t="n">
        <f aca="false">((($AE74/2)/60)*5280)/($X74*3.2*PI())</f>
        <v>154.65586342852</v>
      </c>
      <c r="X74" s="3" t="n">
        <v>1.981</v>
      </c>
      <c r="Y74" s="3" t="n">
        <f aca="false">((($S74*$S74/4)*PI())*($T74/12)*$U74*$V74*$W74)/(33000*1.1)</f>
        <v>541.546204090374</v>
      </c>
      <c r="Z74" s="1" t="n">
        <v>34</v>
      </c>
      <c r="AA74" s="2" t="n">
        <v>30</v>
      </c>
      <c r="AC74" s="1" t="n">
        <v>49</v>
      </c>
      <c r="AD74" s="4" t="n">
        <f aca="false">IF(AND(Z74&gt;0,AC74&gt;0),(AC74/((Z74+AA74)*10)),"")</f>
        <v>0.0765625</v>
      </c>
      <c r="AE74" s="1" t="n">
        <v>70</v>
      </c>
      <c r="AF74" s="1" t="n">
        <f aca="false">ROUND(AE74*1.6, 0)</f>
        <v>112</v>
      </c>
      <c r="AI74" s="1" t="n">
        <v>10</v>
      </c>
      <c r="AJ74" s="1" t="n">
        <v>10</v>
      </c>
      <c r="AN74" s="16" t="s">
        <v>268</v>
      </c>
      <c r="AO74" s="16" t="n">
        <f aca="false">ROUND(15*((AJ74*10)/256),0)</f>
        <v>6</v>
      </c>
      <c r="AP74" s="1" t="s">
        <v>286</v>
      </c>
      <c r="AQ74" s="1" t="str">
        <f aca="false">CONCATENATE(VLOOKUP(AO74,Constants!$A$2:$C$16,IF(AP74&lt;&gt;"", 3, 2), FALSE()),IF(AP74&lt;&gt;"",CONCATENATE(",",VLOOKUP(AP74,$B:$AQ,42,FALSE())),""))</f>
        <v>2,2,2,2,1,2</v>
      </c>
      <c r="AY74" s="1" t="n">
        <v>1</v>
      </c>
      <c r="BA74" s="1" t="n">
        <v>32</v>
      </c>
      <c r="BB74" s="16" t="n">
        <f aca="false">IF(O74&lt;&gt;"",MAX(16,(O74-M74)+8),"")</f>
        <v>57</v>
      </c>
      <c r="BE74" s="20" t="n">
        <f aca="false">MIN(AE74/150, 1)*30</f>
        <v>14</v>
      </c>
      <c r="BF74" s="20" t="n">
        <f aca="false">MIN(Q74/4000, 1)*20</f>
        <v>2.75</v>
      </c>
      <c r="BG74" s="20" t="n">
        <f aca="false">MIN(AC74/400,1)*20</f>
        <v>2.45</v>
      </c>
      <c r="BH74" s="21" t="n">
        <f aca="false">1-(MAX(M74-1900, 0)/750)</f>
        <v>1</v>
      </c>
      <c r="BI74" s="20" t="n">
        <f aca="false">((MAX($P74,1)*MIN($AM74/300,1)))*IF(J74="Wagon",50,10)</f>
        <v>0</v>
      </c>
      <c r="BJ74" s="1" t="n">
        <f aca="false">VLOOKUP($K74,Constants!$I:$K, 2, FALSE())</f>
        <v>1.15</v>
      </c>
      <c r="BK74" s="1" t="n">
        <f aca="false">VLOOKUP($K74,Constants!$I:$K, 3, FALSE())*IF(AND(J74="multiple_unit",AE74&lt;110),0.75,1)</f>
        <v>1.7</v>
      </c>
      <c r="BL74" s="20" t="n">
        <v>49</v>
      </c>
      <c r="BM74" s="20" t="n">
        <v>81</v>
      </c>
      <c r="BN74" s="22" t="n">
        <f aca="false">BL74*IF($J74="wagon",62.5,781.25)</f>
        <v>38281.25</v>
      </c>
      <c r="BO74" s="22" t="n">
        <f aca="false">BM74*IF($J74="wagon",2.73,81.25)</f>
        <v>6581.25</v>
      </c>
      <c r="BY74" s="1" t="n">
        <v>7</v>
      </c>
      <c r="CD74" s="23" t="s">
        <v>230</v>
      </c>
      <c r="CE74" s="1" t="s">
        <v>241</v>
      </c>
      <c r="CF74" s="23" t="str">
        <f aca="false">CONCATENATE(CD74,"_",CE74)</f>
        <v>early_Express</v>
      </c>
      <c r="CG74" s="23"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291</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{GOLD}0.7 tiles{}{SILVER}F.W. Webb's Precedent class was an express passenger locomotive. A large part of the class was given numbers and names of previously withdrawn locomotives, giving it a fragmented numbering scheme.</v>
      </c>
    </row>
    <row r="75" customFormat="false" ht="14.25" hidden="false" customHeight="false" outlineLevel="0" collapsed="false">
      <c r="A75" s="1" t="s">
        <v>292</v>
      </c>
      <c r="B75" s="15" t="s">
        <v>293</v>
      </c>
      <c r="C75" s="1" t="n">
        <v>116</v>
      </c>
      <c r="E75" s="1" t="n">
        <v>31</v>
      </c>
      <c r="G75" s="1" t="str">
        <f aca="false">IF($F75&lt;&gt;"",_xlfn.CONCAT(VLOOKUP($CE75, Constants!$T:$U, 2, FALSE()),",",$F75),VLOOKUP($CE75, Constants!$T:$U, 2, FALSE()))</f>
        <v>role/mixed</v>
      </c>
      <c r="H75" s="1" t="str">
        <f aca="false">IF($G75&lt;&gt;"",_xlfn.CONCAT(VLOOKUP($CG75, Constants!$M:$P, 4, FALSE()),",",$G75),VLOOKUP($CG75, Constants!$M:$P, 4, FALSE()))</f>
        <v>flag/GB,power/steam,role/mixed</v>
      </c>
      <c r="I75" s="1" t="s">
        <v>198</v>
      </c>
      <c r="J75" s="1" t="s">
        <v>206</v>
      </c>
      <c r="K75" s="1" t="s">
        <v>207</v>
      </c>
      <c r="L75" s="1" t="s">
        <v>149</v>
      </c>
      <c r="M75" s="1" t="n">
        <v>1876</v>
      </c>
      <c r="O75" s="1" t="n">
        <v>1925</v>
      </c>
      <c r="Q75" s="1" t="n">
        <v>750</v>
      </c>
      <c r="S75" s="3" t="n">
        <v>18</v>
      </c>
      <c r="T75" s="3" t="n">
        <v>26</v>
      </c>
      <c r="U75" s="3" t="n">
        <v>2</v>
      </c>
      <c r="V75" s="3" t="n">
        <v>165</v>
      </c>
      <c r="W75" s="18" t="n">
        <f aca="false">((($AE75/2)/60)*5280)/($X75*3.2*PI())</f>
        <v>163.399074907679</v>
      </c>
      <c r="X75" s="3" t="n">
        <v>1.5</v>
      </c>
      <c r="Y75" s="3" t="n">
        <f aca="false">((($S75*$S75/4)*PI())*($T75/12)*$U75*$V75*$W75)/(33000*1.1)</f>
        <v>819</v>
      </c>
      <c r="Z75" s="1" t="n">
        <v>41</v>
      </c>
      <c r="AA75" s="2" t="n">
        <v>40</v>
      </c>
      <c r="AC75" s="1" t="n">
        <v>86</v>
      </c>
      <c r="AD75" s="4" t="n">
        <f aca="false">IF(AND(Z75&gt;0,AC75&gt;0),(AC75/((Z75+AA75)*10)),"")</f>
        <v>0.106172839506173</v>
      </c>
      <c r="AE75" s="1" t="n">
        <v>56</v>
      </c>
      <c r="AF75" s="1" t="n">
        <f aca="false">ROUND(AE75*1.6, 0)</f>
        <v>90</v>
      </c>
      <c r="AI75" s="1" t="n">
        <v>14.99</v>
      </c>
      <c r="AJ75" s="1" t="n">
        <v>10</v>
      </c>
      <c r="AM75" s="5" t="n">
        <v>0</v>
      </c>
      <c r="AN75" s="1" t="str">
        <f aca="false">CONCATENATE(VLOOKUP(AO75, 'Voxel Sizes'!$A$2:$B$18,2,FALSE()),"x",INT(AK75*15), "x", INT(AL75*15))</f>
        <v>102x0x0</v>
      </c>
      <c r="AO75" s="1" t="n">
        <f aca="false">ROUND(15*((AJ75*10)/256),0)</f>
        <v>6</v>
      </c>
      <c r="AP75" s="1" t="s">
        <v>167</v>
      </c>
      <c r="AQ75" s="1" t="str">
        <f aca="false">CONCATENATE(VLOOKUP(AO75,Constants!$A$2:$C$16,IF(AP75&lt;&gt;"", 3, 2), FALSE()),IF(AP75&lt;&gt;"",CONCATENATE(",",VLOOKUP(AP75,$B:$AQ,42,FALSE())),""))</f>
        <v>2,2,2,2,1,2</v>
      </c>
      <c r="AY75" s="1" t="n">
        <v>1</v>
      </c>
      <c r="BA75" s="1" t="n">
        <v>32</v>
      </c>
      <c r="BB75" s="16" t="n">
        <f aca="false">IF(O75&lt;&gt;"",MAX(16,(O75-M75)+8),"")</f>
        <v>57</v>
      </c>
      <c r="BE75" s="1" t="n">
        <f aca="false">MIN(AE75/150, 1)*30</f>
        <v>11.2</v>
      </c>
      <c r="BF75" s="1" t="n">
        <f aca="false">MIN(Q75/4000, 1)*20</f>
        <v>3.75</v>
      </c>
      <c r="BG75" s="1" t="n">
        <f aca="false">MIN(AC75/400,1)*20</f>
        <v>4.3</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49</v>
      </c>
      <c r="BM75" s="1" t="n">
        <f aca="false">INT(POWER((((Constants!$G$1+$BE75+$BF75+$BG75+$BI75)*($BH75))*$BJ75),IF($J75="wagon",1,1.2)))+$BC75</f>
        <v>82</v>
      </c>
      <c r="BN75" s="17" t="n">
        <f aca="false">BL75*IF($J75="wagon",62.5,781.25)</f>
        <v>38281.25</v>
      </c>
      <c r="BO75" s="17" t="n">
        <f aca="false">BM75*IF($J75="wagon",2.73,81.25)</f>
        <v>6662.5</v>
      </c>
      <c r="BY75" s="1" t="n">
        <v>4</v>
      </c>
      <c r="CD75" s="1" t="str">
        <f aca="false">VLOOKUP(M75,Eras!$A$2:$C$10, 2, TRUE())</f>
        <v>vct</v>
      </c>
      <c r="CE75" s="1" t="s">
        <v>129</v>
      </c>
      <c r="CF75" s="1" t="str">
        <f aca="false">CONCATENATE(CD75,"_",CE75)</f>
        <v>vct_Mixed Traffic</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294</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{GOLD}0.7 tiles{}{SILVER}Dugald Drummond's C Class used large (for the time) 18 inch cylinders. They survived into LNER ownership as class J32, although rebuilt to Holmes' later design by that point.</v>
      </c>
    </row>
    <row r="76" customFormat="false" ht="14.25" hidden="false" customHeight="false" outlineLevel="0" collapsed="false">
      <c r="A76" s="1" t="s">
        <v>295</v>
      </c>
      <c r="B76" s="15" t="s">
        <v>296</v>
      </c>
      <c r="C76" s="1" t="n">
        <v>117</v>
      </c>
      <c r="E76" s="1" t="n">
        <v>32</v>
      </c>
      <c r="G76" s="1" t="str">
        <f aca="false">IF($F76&lt;&gt;"",_xlfn.CONCAT(VLOOKUP($CE76, Constants!$T:$U, 2, FALSE()),",",$F76),VLOOKUP($CE76, Constants!$T:$U, 2, FALSE()))</f>
        <v>role/mixed</v>
      </c>
      <c r="H76" s="1" t="str">
        <f aca="false">IF($G76&lt;&gt;"",_xlfn.CONCAT(VLOOKUP($CG76, Constants!$M:$P, 4, FALSE()),",",$G76),VLOOKUP($CG76, Constants!$M:$P, 4, FALSE()))</f>
        <v>flag/GB,power/steam,role/mixed</v>
      </c>
      <c r="I76" s="1" t="s">
        <v>198</v>
      </c>
      <c r="J76" s="1" t="s">
        <v>206</v>
      </c>
      <c r="K76" s="1" t="s">
        <v>207</v>
      </c>
      <c r="L76" s="1" t="s">
        <v>149</v>
      </c>
      <c r="M76" s="1" t="n">
        <v>1883</v>
      </c>
      <c r="O76" s="1" t="n">
        <v>1957</v>
      </c>
      <c r="Q76" s="1" t="n">
        <v>800</v>
      </c>
      <c r="S76" s="3" t="n">
        <v>17.5</v>
      </c>
      <c r="T76" s="3" t="n">
        <v>24</v>
      </c>
      <c r="U76" s="3" t="n">
        <v>2</v>
      </c>
      <c r="V76" s="3" t="n">
        <v>160</v>
      </c>
      <c r="W76" s="18" t="n">
        <f aca="false">((($AE76/2)/60)*5280)/($X76*3.2*PI())</f>
        <v>189.659640517842</v>
      </c>
      <c r="X76" s="3" t="n">
        <v>1.5</v>
      </c>
      <c r="Y76" s="3" t="n">
        <f aca="false">((($S76*$S76/4)*PI())*($T76/12)*$U76*$V76*$W76)/(33000*1.1)</f>
        <v>804.292929292929</v>
      </c>
      <c r="Z76" s="1" t="n">
        <f aca="false">41.6+34.3</f>
        <v>75.9</v>
      </c>
      <c r="AA76" s="2" t="n">
        <v>30</v>
      </c>
      <c r="AC76" s="1" t="n">
        <v>75.4</v>
      </c>
      <c r="AD76" s="4" t="n">
        <f aca="false">IF(AND(Z76&gt;0,AC76&gt;0),(AC76/((Z76+AA76)*10)),"")</f>
        <v>0.0711992445703494</v>
      </c>
      <c r="AE76" s="1" t="n">
        <v>65</v>
      </c>
      <c r="AF76" s="1" t="n">
        <f aca="false">ROUND(AE76*1.6, 0)</f>
        <v>104</v>
      </c>
      <c r="AI76" s="1" t="n">
        <v>14.4</v>
      </c>
      <c r="AJ76" s="1" t="n">
        <v>10</v>
      </c>
      <c r="AM76" s="5" t="n">
        <v>0</v>
      </c>
      <c r="AN76" s="1" t="str">
        <f aca="false">CONCATENATE(VLOOKUP(AO76, 'Voxel Sizes'!$A$2:$B$18,2,FALSE()),"x",INT(AK76*15), "x", INT(AL76*15))</f>
        <v>102x0x0</v>
      </c>
      <c r="AO76" s="1" t="n">
        <f aca="false">ROUND(15*((AJ76*10)/256),0)</f>
        <v>6</v>
      </c>
      <c r="AP76" s="1" t="s">
        <v>167</v>
      </c>
      <c r="AQ76" s="1" t="str">
        <f aca="false">CONCATENATE(VLOOKUP(AO76,Constants!$A$2:$C$16,IF(AP76&lt;&gt;"", 3, 2), FALSE()),IF(AP76&lt;&gt;"",CONCATENATE(",",VLOOKUP(AP76,$B:$AQ,42,FALSE())),""))</f>
        <v>2,2,2,2,1,2</v>
      </c>
      <c r="AY76" s="1" t="n">
        <v>1</v>
      </c>
      <c r="BA76" s="1" t="n">
        <v>38</v>
      </c>
      <c r="BB76" s="16" t="n">
        <f aca="false">IF(O76&lt;&gt;"",MAX(16,(O76-M76)+8),"")</f>
        <v>82</v>
      </c>
      <c r="BE76" s="1" t="n">
        <f aca="false">MIN(AE76/150, 1)*30</f>
        <v>13</v>
      </c>
      <c r="BF76" s="1" t="n">
        <f aca="false">MIN(Q76/4000, 1)*20</f>
        <v>4</v>
      </c>
      <c r="BG76" s="1" t="n">
        <f aca="false">MIN(AC76/400,1)*20</f>
        <v>3.77</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86</v>
      </c>
      <c r="BN76" s="17" t="n">
        <f aca="false">BL76*IF($J76="wagon",62.5,781.25)</f>
        <v>40625</v>
      </c>
      <c r="BO76" s="17" t="n">
        <f aca="false">BM76*IF($J76="wagon",2.73,81.25)</f>
        <v>6987.5</v>
      </c>
      <c r="BY76" s="1" t="n">
        <v>2</v>
      </c>
      <c r="CD76" s="1" t="str">
        <f aca="false">VLOOKUP(M76,Eras!$A$2:$C$10, 2, TRUE())</f>
        <v>vct</v>
      </c>
      <c r="CE76" s="1" t="s">
        <v>129</v>
      </c>
      <c r="CF76" s="1" t="str">
        <f aca="false">CONCATENATE(CD76,"_",CE76)</f>
        <v>vct_Mixed Traffic</v>
      </c>
      <c r="CG76" s="1" t="str">
        <f aca="false">_xlfn.CONCAT(K76, "_",L76)</f>
        <v>steam_RAIL</v>
      </c>
      <c r="CH76" s="7" t="str">
        <f aca="false">_xlfn.CONCAT("{BLACK}Length: {GOLD}", TEXT(ROUNDUP(IF(AT76&lt;&gt;"",SUM(VALUE(_xlfn.TEXTSPLIT(AT76, ","))), SUM(VALUE(_xlfn.TEXTSPLIT(AQ76, ",")))*IF(P76, P76, 1))/16, 1), "#,##0.0"), " tiles{}")</f>
        <v>{BLACK}Length: {GOLD}0.7 tiles{}</v>
      </c>
      <c r="CI76" s="1" t="n">
        <f aca="false">VLOOKUP($CG76, Constants!$M:$N, 2, FALSE())</f>
        <v>0</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tiles{}{SILVER}GER's Y14 was a highly successful design, being built in much the same form through to 1913. One was built by the Stratford works in under 10 hours.</v>
      </c>
    </row>
    <row r="77" customFormat="false" ht="14.25" hidden="false" customHeight="false" outlineLevel="0" collapsed="false">
      <c r="A77" s="1" t="s">
        <v>298</v>
      </c>
      <c r="B77" s="15" t="s">
        <v>299</v>
      </c>
      <c r="C77" s="1" t="n">
        <v>118</v>
      </c>
      <c r="E77" s="1" t="n">
        <v>33</v>
      </c>
      <c r="G77" s="1" t="str">
        <f aca="false">IF($F77&lt;&gt;"",_xlfn.CONCAT(VLOOKUP($CE77, Constants!$T:$U, 2, FALSE()),",",$F77),VLOOKUP($CE77, Constants!$T:$U, 2, FALSE()))</f>
        <v>role/freight</v>
      </c>
      <c r="H77" s="1" t="str">
        <f aca="false">IF($G77&lt;&gt;"",_xlfn.CONCAT(VLOOKUP($CG77, Constants!$M:$P, 4, FALSE()),",",$G77),VLOOKUP($CG77, Constants!$M:$P, 4, FALSE()))</f>
        <v>flag/GB,power/steam,role/freight</v>
      </c>
      <c r="I77" s="1" t="s">
        <v>198</v>
      </c>
      <c r="J77" s="1" t="s">
        <v>206</v>
      </c>
      <c r="K77" s="1" t="s">
        <v>207</v>
      </c>
      <c r="L77" s="1" t="s">
        <v>149</v>
      </c>
      <c r="M77" s="1" t="n">
        <v>1883</v>
      </c>
      <c r="O77" s="1" t="n">
        <v>1957</v>
      </c>
      <c r="Q77" s="1" t="n">
        <v>825</v>
      </c>
      <c r="S77" s="3" t="n">
        <v>17</v>
      </c>
      <c r="T77" s="3" t="n">
        <v>24</v>
      </c>
      <c r="U77" s="3" t="n">
        <v>2</v>
      </c>
      <c r="V77" s="3" t="n">
        <v>180</v>
      </c>
      <c r="W77" s="18" t="n">
        <f aca="false">((($AE77/2)/60)*5280)/($X77*3.2*PI())</f>
        <v>183.640318952187</v>
      </c>
      <c r="X77" s="3" t="n">
        <v>1.43</v>
      </c>
      <c r="Y77" s="3" t="n">
        <f aca="false">((($S77*$S77/4)*PI())*($T77/12)*$U77*$V77*$W77)/(33000*1.1)</f>
        <v>826.764144945963</v>
      </c>
      <c r="Z77" s="1" t="n">
        <v>41.2</v>
      </c>
      <c r="AA77" s="2" t="n">
        <v>34</v>
      </c>
      <c r="AC77" s="1" t="n">
        <v>80</v>
      </c>
      <c r="AD77" s="4" t="n">
        <f aca="false">IF(AND(Z77&gt;0,AC77&gt;0),(AC77/((Z77+AA77)*10)),"")</f>
        <v>0.106382978723404</v>
      </c>
      <c r="AE77" s="1" t="n">
        <v>60</v>
      </c>
      <c r="AF77" s="1" t="n">
        <f aca="false">ROUND(AE77*1.6, 0)</f>
        <v>96</v>
      </c>
      <c r="AI77" s="1" t="n">
        <v>14.4</v>
      </c>
      <c r="AJ77" s="1" t="n">
        <v>10</v>
      </c>
      <c r="AM77" s="5" t="n">
        <v>0</v>
      </c>
      <c r="AN77" s="1" t="str">
        <f aca="false">CONCATENATE(VLOOKUP(AO77, 'Voxel Sizes'!$A$2:$B$18,2,FALSE()),"x",INT(AK77*15), "x", INT(AL77*15))</f>
        <v>102x0x0</v>
      </c>
      <c r="AO77" s="1" t="n">
        <f aca="false">ROUND(15*((AJ77*10)/256),0)</f>
        <v>6</v>
      </c>
      <c r="AP77" s="1" t="s">
        <v>171</v>
      </c>
      <c r="AQ77" s="1" t="str">
        <f aca="false">CONCATENATE(VLOOKUP(AO77,Constants!$A$2:$C$16,IF(AP77&lt;&gt;"", 3, 2), FALSE()),IF(AP77&lt;&gt;"",CONCATENATE(",",VLOOKUP(AP77,$B:$AQ,42,FALSE())),""))</f>
        <v>2,2,2,2,1,2</v>
      </c>
      <c r="AY77" s="1" t="n">
        <v>1</v>
      </c>
      <c r="BA77" s="1" t="n">
        <v>34</v>
      </c>
      <c r="BB77" s="16" t="n">
        <f aca="false">IF(O77&lt;&gt;"",MAX(16,(O77-M77)+8),"")</f>
        <v>82</v>
      </c>
      <c r="BD77" s="1" t="n">
        <v>-2</v>
      </c>
      <c r="BE77" s="1" t="n">
        <f aca="false">MIN(AE77/150, 1)*30</f>
        <v>12</v>
      </c>
      <c r="BF77" s="1" t="n">
        <f aca="false">MIN(Q77/4000, 1)*20</f>
        <v>4.125</v>
      </c>
      <c r="BG77" s="1" t="n">
        <f aca="false">MIN(AC77/400,1)*20</f>
        <v>4</v>
      </c>
      <c r="BH77" s="4" t="n">
        <f aca="false">1-(MAX(M77-1900, 0)/750)</f>
        <v>1</v>
      </c>
      <c r="BI77" s="1" t="n">
        <f aca="false">((MAX($P77,1)*MIN($AM77/300,1)))*IF(J77="Wagon",50,10)</f>
        <v>0</v>
      </c>
      <c r="BJ77" s="1" t="n">
        <f aca="false">VLOOKUP($K77,Constants!$I:$K, 2, FALSE())</f>
        <v>1.15</v>
      </c>
      <c r="BK77" s="1" t="n">
        <f aca="false">VLOOKUP($K77,Constants!$I:$K, 3, FALSE())*IF(AND(J77="multiple_unit",AE77&lt;110),0.75,1)</f>
        <v>1.7</v>
      </c>
      <c r="BL77" s="1" t="n">
        <f aca="false">INT(POWER(((Constants!$G$2+$BE77+$BF77+$BG77+$BI77)*$BH77)*$BK77, 1.05))+$BD77</f>
        <v>49</v>
      </c>
      <c r="BM77" s="1" t="n">
        <f aca="false">INT(POWER((((Constants!$G$1+$BE77+$BF77+$BG77+$BI77)*($BH77))*$BJ77),IF($J77="wagon",1,1.2)))+$BC77</f>
        <v>84</v>
      </c>
      <c r="BN77" s="17" t="n">
        <f aca="false">BL77*IF($J77="wagon",62.5,781.25)</f>
        <v>38281.25</v>
      </c>
      <c r="BO77" s="17" t="n">
        <f aca="false">BM77*IF($J77="wagon",2.73,81.25)</f>
        <v>6825</v>
      </c>
      <c r="BY77" s="1" t="n">
        <v>3</v>
      </c>
      <c r="CD77" s="1" t="str">
        <f aca="false">VLOOKUP(M77,Eras!$A$2:$C$10, 2, TRUE())</f>
        <v>vct</v>
      </c>
      <c r="CE77" s="1" t="s">
        <v>132</v>
      </c>
      <c r="CF77" s="1" t="str">
        <f aca="false">CONCATENATE(CD77,"_",CE77)</f>
        <v>vct_Freight</v>
      </c>
      <c r="CG77" s="1"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tiles{}{SILVER}William Dean's 2301 class was the first GWR locomotive to have no outside frame. The light weight made them suited to branch lines.</v>
      </c>
    </row>
    <row r="78" customFormat="false" ht="13.5" hidden="false" customHeight="true" outlineLevel="0" collapsed="false">
      <c r="A78" s="1" t="s">
        <v>301</v>
      </c>
      <c r="B78" s="19" t="s">
        <v>302</v>
      </c>
      <c r="C78" s="1" t="n">
        <v>1027</v>
      </c>
      <c r="E78" s="1" t="n">
        <v>34</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198</v>
      </c>
      <c r="J78" s="1" t="s">
        <v>206</v>
      </c>
      <c r="K78" s="1" t="s">
        <v>207</v>
      </c>
      <c r="L78" s="1" t="s">
        <v>149</v>
      </c>
      <c r="M78" s="1" t="n">
        <v>1887</v>
      </c>
      <c r="O78" s="1" t="n">
        <v>1934</v>
      </c>
      <c r="Q78" s="1" t="n">
        <v>620</v>
      </c>
      <c r="S78" s="3" t="n">
        <v>17</v>
      </c>
      <c r="T78" s="3" t="n">
        <v>24</v>
      </c>
      <c r="U78" s="3" t="n">
        <v>2</v>
      </c>
      <c r="V78" s="3" t="n">
        <v>150</v>
      </c>
      <c r="W78" s="18" t="n">
        <f aca="false">((($AE78/2)/60)*5280)/($X78*3.2*PI())</f>
        <v>165.702710816272</v>
      </c>
      <c r="X78" s="3" t="n">
        <v>1.981</v>
      </c>
      <c r="Y78" s="3" t="n">
        <f aca="false">((($S78*$S78/4)*PI())*($T78/12)*$U78*$V78*$W78)/(33000*1.1)</f>
        <v>621.672938369051</v>
      </c>
      <c r="Z78" s="1" t="n">
        <v>34</v>
      </c>
      <c r="AA78" s="2" t="n">
        <v>30</v>
      </c>
      <c r="AC78" s="1" t="n">
        <v>49</v>
      </c>
      <c r="AD78" s="4" t="n">
        <f aca="false">IF(AND(Z78&gt;0,AC78&gt;0),(AC78/((Z78+AA78)*10)),"")</f>
        <v>0.0765625</v>
      </c>
      <c r="AE78" s="1" t="n">
        <v>75</v>
      </c>
      <c r="AF78" s="1" t="n">
        <f aca="false">ROUND(AE78*1.6, 0)</f>
        <v>120</v>
      </c>
      <c r="AI78" s="1" t="n">
        <v>10</v>
      </c>
      <c r="AJ78" s="1" t="n">
        <v>10</v>
      </c>
      <c r="AN78" s="16" t="s">
        <v>268</v>
      </c>
      <c r="AO78" s="16" t="n">
        <f aca="false">ROUND(15*((AJ78*10)/256),0)</f>
        <v>6</v>
      </c>
      <c r="AP78" s="1" t="s">
        <v>288</v>
      </c>
      <c r="AQ78" s="1" t="str">
        <f aca="false">CONCATENATE(VLOOKUP(AO78,Constants!$A$2:$C$16,IF(AP78&lt;&gt;"", 3, 2), FALSE()),IF(AP78&lt;&gt;"",CONCATENATE(",",VLOOKUP(AP78,$B:$AQ,42,FALSE())),""))</f>
        <v>2,2,2,2,1,2</v>
      </c>
      <c r="AY78" s="1" t="n">
        <v>1</v>
      </c>
      <c r="BA78" s="1" t="n">
        <v>32</v>
      </c>
      <c r="BB78" s="16" t="n">
        <f aca="false">IF(O78&lt;&gt;"",MAX(16,(O78-M78)+8),"")</f>
        <v>55</v>
      </c>
      <c r="BE78" s="20" t="n">
        <f aca="false">MIN(AE78/150, 1)*30</f>
        <v>15</v>
      </c>
      <c r="BF78" s="20" t="n">
        <f aca="false">MIN(Q78/4000, 1)*20</f>
        <v>3.1</v>
      </c>
      <c r="BG78" s="20" t="n">
        <f aca="false">MIN(AC78/400,1)*20</f>
        <v>2.45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20" t="n">
        <v>52</v>
      </c>
      <c r="BM78" s="20" t="n">
        <v>85</v>
      </c>
      <c r="BN78" s="22" t="n">
        <f aca="false">BL78*IF($J78="wagon",62.5,781.25)</f>
        <v>40625</v>
      </c>
      <c r="BO78" s="22" t="n">
        <f aca="false">BM78*IF($J78="wagon",2.73,81.25)</f>
        <v>6906.25</v>
      </c>
      <c r="BY78" s="1" t="n">
        <v>7</v>
      </c>
      <c r="CD78" s="23" t="s">
        <v>230</v>
      </c>
      <c r="CE78" s="1" t="s">
        <v>241</v>
      </c>
      <c r="CF78" s="23" t="str">
        <f aca="false">CONCATENATE(CD78,"_",CE78)</f>
        <v>early_Express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303</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79" customFormat="false" ht="14.25" hidden="false" customHeight="false" outlineLevel="0" collapsed="false">
      <c r="A79" s="1" t="s">
        <v>304</v>
      </c>
      <c r="B79" s="15" t="s">
        <v>305</v>
      </c>
      <c r="C79" s="1" t="n">
        <v>119</v>
      </c>
      <c r="E79" s="1" t="n">
        <v>35</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198</v>
      </c>
      <c r="J79" s="1" t="s">
        <v>206</v>
      </c>
      <c r="K79" s="1" t="s">
        <v>207</v>
      </c>
      <c r="L79" s="1" t="s">
        <v>149</v>
      </c>
      <c r="M79" s="1" t="n">
        <v>1888</v>
      </c>
      <c r="O79" s="1" t="n">
        <v>1967</v>
      </c>
      <c r="Q79" s="1" t="n">
        <v>850</v>
      </c>
      <c r="S79" s="3" t="n">
        <v>18</v>
      </c>
      <c r="T79" s="3" t="n">
        <v>26</v>
      </c>
      <c r="U79" s="3" t="n">
        <v>2</v>
      </c>
      <c r="V79" s="3" t="n">
        <v>165</v>
      </c>
      <c r="W79" s="18" t="n">
        <f aca="false">((($AE79/2)/60)*5280)/($X79*3.2*PI())</f>
        <v>175.070437401085</v>
      </c>
      <c r="X79" s="3" t="n">
        <v>1.5</v>
      </c>
      <c r="Y79" s="3" t="n">
        <f aca="false">((($S79*$S79/4)*PI())*($T79/12)*$U79*$V79*$W79)/(33000*1.1)</f>
        <v>877.5</v>
      </c>
      <c r="Z79" s="1" t="n">
        <v>42.6</v>
      </c>
      <c r="AA79" s="2" t="n">
        <v>40</v>
      </c>
      <c r="AC79" s="1" t="n">
        <v>88</v>
      </c>
      <c r="AD79" s="4" t="n">
        <f aca="false">IF(AND(Z79&gt;0,AC79&gt;0),(AC79/((Z79+AA79)*10)),"")</f>
        <v>0.106537530266344</v>
      </c>
      <c r="AE79" s="1" t="n">
        <v>60</v>
      </c>
      <c r="AF79" s="1" t="n">
        <f aca="false">ROUND(AE79*1.6, 0)</f>
        <v>96</v>
      </c>
      <c r="AI79" s="1" t="n">
        <v>14.99</v>
      </c>
      <c r="AJ79" s="1" t="n">
        <v>10</v>
      </c>
      <c r="AM79" s="5" t="n">
        <v>0</v>
      </c>
      <c r="AN79" s="1" t="str">
        <f aca="false">CONCATENATE(VLOOKUP(AO79, 'Voxel Sizes'!$A$2:$B$18,2,FALSE()),"x",INT(AK79*15), "x", INT(AL79*15))</f>
        <v>102x0x0</v>
      </c>
      <c r="AO79" s="1" t="n">
        <f aca="false">ROUND(15*((AJ79*10)/256),0)</f>
        <v>6</v>
      </c>
      <c r="AP79" s="1" t="s">
        <v>167</v>
      </c>
      <c r="AQ79" s="1" t="str">
        <f aca="false">CONCATENATE(VLOOKUP(AO79,Constants!$A$2:$C$16,IF(AP79&lt;&gt;"", 3, 2), FALSE()),IF(AP79&lt;&gt;"",CONCATENATE(",",VLOOKUP(AP79,$B:$AQ,42,FALSE())),""))</f>
        <v>2,2,2,2,1,2</v>
      </c>
      <c r="AY79" s="1" t="n">
        <v>1</v>
      </c>
      <c r="BA79" s="1" t="n">
        <v>36</v>
      </c>
      <c r="BB79" s="16" t="n">
        <f aca="false">IF(O79&lt;&gt;"",MAX(16,(O79-M79)+8),"")</f>
        <v>87</v>
      </c>
      <c r="BE79" s="1" t="n">
        <f aca="false">MIN(AE79/150, 1)*30</f>
        <v>12</v>
      </c>
      <c r="BF79" s="1" t="n">
        <f aca="false">MIN(Q79/4000, 1)*20</f>
        <v>4.25</v>
      </c>
      <c r="BG79" s="1" t="n">
        <f aca="false">MIN(AC79/400,1)*20</f>
        <v>4.4</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4</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306</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tiles{}{SILVER}Matthew Holmes' Class C was an evolution of Drummond's design. They had a long career, becoming LNER class J36 and surviving to the last days of steam on British railways.</v>
      </c>
    </row>
    <row r="80" customFormat="false" ht="14.25" hidden="false" customHeight="false" outlineLevel="0" collapsed="false">
      <c r="A80" s="24" t="s">
        <v>307</v>
      </c>
      <c r="B80" s="19" t="s">
        <v>308</v>
      </c>
      <c r="C80" s="1" t="n">
        <v>1029</v>
      </c>
      <c r="E80" s="1" t="n">
        <v>36</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J80" s="1" t="s">
        <v>309</v>
      </c>
      <c r="K80" s="1" t="s">
        <v>207</v>
      </c>
      <c r="L80" s="1" t="s">
        <v>149</v>
      </c>
      <c r="M80" s="1" t="n">
        <v>1891</v>
      </c>
      <c r="O80" s="1" t="n">
        <v>1915</v>
      </c>
      <c r="Q80" s="1" t="n">
        <v>800</v>
      </c>
      <c r="W80" s="18"/>
      <c r="Z80" s="1" t="n">
        <v>46</v>
      </c>
      <c r="AA80" s="2" t="n">
        <v>41</v>
      </c>
      <c r="AC80" s="1" t="n">
        <v>75</v>
      </c>
      <c r="AD80" s="4" t="n">
        <f aca="false">IF(AND(Z80&gt;0,AC80&gt;0),(AC80/((Z80+AA80)*10)),"")</f>
        <v>0.0862068965517241</v>
      </c>
      <c r="AE80" s="1" t="n">
        <v>80</v>
      </c>
      <c r="AF80" s="1" t="n">
        <f aca="false">ROUND(AE80*1.6, 0)</f>
        <v>128</v>
      </c>
      <c r="AI80" s="1" t="n">
        <v>11</v>
      </c>
      <c r="AJ80" s="1" t="n">
        <v>11</v>
      </c>
      <c r="AM80" s="5" t="n">
        <v>0</v>
      </c>
      <c r="AN80" s="16" t="s">
        <v>268</v>
      </c>
      <c r="AO80" s="16" t="n">
        <f aca="false">ROUND(15*((AJ80*10)/256),0)</f>
        <v>6</v>
      </c>
      <c r="AP80" s="1" t="s">
        <v>171</v>
      </c>
      <c r="AQ80" s="1" t="str">
        <f aca="false">CONCATENATE(VLOOKUP(AO80,Constants!$A$2:$C$16,IF(AP80&lt;&gt;"", 3, 2), FALSE()),IF(AP80&lt;&gt;"",CONCATENATE(",",VLOOKUP(AP80,$B:$AQ,42,FALSE())),""))</f>
        <v>2,2,2,2,1,2</v>
      </c>
      <c r="BA80" s="1" t="n">
        <v>24</v>
      </c>
      <c r="BB80" s="16" t="n">
        <f aca="false">IF(O80&lt;&gt;"",MAX(16,(O80-M80)+8),"")</f>
        <v>32</v>
      </c>
      <c r="BE80" s="20" t="n">
        <f aca="false">MIN(AE80/150, 1)*30</f>
        <v>16</v>
      </c>
      <c r="BF80" s="20" t="n">
        <f aca="false">MIN(Q80/4000, 1)*20</f>
        <v>4</v>
      </c>
      <c r="BG80" s="20" t="n">
        <f aca="false">MIN(AC80/400,1)*20</f>
        <v>3.75</v>
      </c>
      <c r="BH80" s="21" t="n">
        <f aca="false">1-(MAX(M80-1900, 0)/750)</f>
        <v>1</v>
      </c>
      <c r="BI80" s="20" t="n">
        <f aca="false">((MAX($P80,1)*MIN($AM80/300,1)))*IF(J80="Wagon",50,10)</f>
        <v>0</v>
      </c>
      <c r="BJ80" s="1" t="n">
        <f aca="false">VLOOKUP($K80,Constants!$I:$K, 2, FALSE())</f>
        <v>1.15</v>
      </c>
      <c r="BK80" s="1" t="n">
        <f aca="false">VLOOKUP($K80,Constants!$I:$K, 3, FALSE())*IF(AND(J80="multiple_unit",AE80&lt;110),0.75,1)</f>
        <v>1.7</v>
      </c>
      <c r="BL80" s="20" t="n">
        <v>59</v>
      </c>
      <c r="BM80" s="20" t="n">
        <v>95</v>
      </c>
      <c r="BN80" s="22" t="n">
        <f aca="false">BL80*IF($J80="wagon",62.5,781.25)</f>
        <v>46093.75</v>
      </c>
      <c r="BO80" s="22" t="n">
        <f aca="false">BM80*IF($J80="wagon",2.73,81.25)</f>
        <v>7718.75</v>
      </c>
      <c r="BY80" s="1" t="n">
        <v>5</v>
      </c>
      <c r="CD80" s="23" t="s">
        <v>265</v>
      </c>
      <c r="CE80" s="1" t="s">
        <v>241</v>
      </c>
      <c r="CF80" s="23" t="str">
        <f aca="false">CONCATENATE(CD80,"_",CE80)</f>
        <v>vct_Express</v>
      </c>
      <c r="CG80" s="23"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3001 class was the last of the GWR's 2-2-2 singles. They were rebuilt early on with a 4-2-2 layout to prevent derailments caused by the heavy front axle load.</v>
      </c>
    </row>
    <row r="81" customFormat="false" ht="14.25" hidden="false" customHeight="false" outlineLevel="0" collapsed="false">
      <c r="A81" s="1" t="s">
        <v>311</v>
      </c>
      <c r="B81" s="15" t="s">
        <v>312</v>
      </c>
      <c r="C81" s="1" t="n">
        <v>120</v>
      </c>
      <c r="E81" s="1" t="n">
        <v>37</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198</v>
      </c>
      <c r="J81" s="1" t="s">
        <v>206</v>
      </c>
      <c r="K81" s="1" t="s">
        <v>207</v>
      </c>
      <c r="L81" s="1" t="s">
        <v>149</v>
      </c>
      <c r="M81" s="1" t="n">
        <v>1896</v>
      </c>
      <c r="O81" s="1" t="n">
        <v>1928</v>
      </c>
      <c r="Q81" s="1" t="n">
        <v>850</v>
      </c>
      <c r="S81" s="3" t="n">
        <v>19.5</v>
      </c>
      <c r="T81" s="3" t="n">
        <v>26</v>
      </c>
      <c r="U81" s="3" t="n">
        <v>2</v>
      </c>
      <c r="V81" s="3" t="n">
        <v>170</v>
      </c>
      <c r="W81" s="18" t="n">
        <f aca="false">((($AE81/2)/60)*5280)/($X81*3.2*PI())</f>
        <v>166.206111456726</v>
      </c>
      <c r="X81" s="3" t="n">
        <v>2.37</v>
      </c>
      <c r="Y81" s="3" t="n">
        <f aca="false">((($S81*$S81/4)*PI())*($T81/12)*$U81*$V81*$W81)/(33000*1.1)</f>
        <v>1007.32702819333</v>
      </c>
      <c r="Z81" s="1" t="n">
        <v>48</v>
      </c>
      <c r="AA81" s="2" t="n">
        <v>42</v>
      </c>
      <c r="AC81" s="1" t="n">
        <v>68</v>
      </c>
      <c r="AD81" s="4" t="n">
        <f aca="false">IF(AND(Z81&gt;0,AC81&gt;0),(AC81/((Z81+AA81)*10)),"")</f>
        <v>0.0755555555555556</v>
      </c>
      <c r="AE81" s="1" t="n">
        <v>90</v>
      </c>
      <c r="AF81" s="1" t="n">
        <f aca="false">ROUND(AE81*1.6, 0)</f>
        <v>144</v>
      </c>
      <c r="AI81" s="1" t="n">
        <v>11</v>
      </c>
      <c r="AJ81" s="1" t="n">
        <v>11</v>
      </c>
      <c r="AM81" s="5" t="n">
        <v>0</v>
      </c>
      <c r="AN81" s="1" t="str">
        <f aca="false">CONCATENATE(VLOOKUP(AO81, 'Voxel Sizes'!$A$2:$B$18,2,FALSE()),"x",INT(AK81*15), "x", INT(AL81*15))</f>
        <v>102x0x0</v>
      </c>
      <c r="AO81" s="1" t="n">
        <f aca="false">ROUND(15*((AJ81*10)/256),0)</f>
        <v>6</v>
      </c>
      <c r="AP81" s="1" t="s">
        <v>169</v>
      </c>
      <c r="AQ81" s="1" t="str">
        <f aca="false">CONCATENATE(VLOOKUP(AO81,Constants!$A$2:$C$16,IF(AP81&lt;&gt;"", 3, 2), FALSE()),IF(AP81&lt;&gt;"",CONCATENATE(",",VLOOKUP(AP81,$B:$AQ,42,FALSE())),""))</f>
        <v>2,2,2,2,1,2</v>
      </c>
      <c r="BA81" s="1" t="n">
        <v>30</v>
      </c>
      <c r="BB81" s="16" t="n">
        <f aca="false">IF(O81&lt;&gt;"",MAX(16,(O81-M81)+8),"")</f>
        <v>40</v>
      </c>
      <c r="BE81" s="1" t="n">
        <f aca="false">MIN(AE81/150, 1)*30</f>
        <v>18</v>
      </c>
      <c r="BF81" s="1" t="n">
        <f aca="false">MIN(Q81/4000, 1)*20</f>
        <v>4.25</v>
      </c>
      <c r="BG81" s="1" t="n">
        <f aca="false">MIN(AC81/400,1)*20</f>
        <v>3.4</v>
      </c>
      <c r="BH81" s="4" t="n">
        <f aca="false">1-(MAX(M81-1900, 0)/750)</f>
        <v>1</v>
      </c>
      <c r="BI81" s="1" t="n">
        <f aca="false">((MAX($P81,1)*MIN($AM81/300,1)))*IF(J81="Wagon",50,10)</f>
        <v>0</v>
      </c>
      <c r="BJ81" s="1" t="n">
        <f aca="false">VLOOKUP($K81,Constants!$I:$K, 2, FALSE())</f>
        <v>1.15</v>
      </c>
      <c r="BK81" s="1" t="n">
        <f aca="false">VLOOKUP($K81,Constants!$I:$K, 3, FALSE())*IF(AND(J81="multiple_unit",AE81&lt;110),0.75,1)</f>
        <v>1.7</v>
      </c>
      <c r="BL81" s="1" t="n">
        <f aca="false">INT(POWER(((Constants!$G$2+$BE81+$BF81+$BG81+$BI81)*$BH81)*$BK81, 1.05))+$BD81</f>
        <v>63</v>
      </c>
      <c r="BM81" s="1" t="n">
        <f aca="false">INT(POWER((((Constants!$G$1+$BE81+$BF81+$BG81+$BI81)*($BH81))*$BJ81),IF($J81="wagon",1,1.2)))+$BC81</f>
        <v>100</v>
      </c>
      <c r="BN81" s="17" t="n">
        <f aca="false">BL81*IF($J81="wagon",62.5,781.25)</f>
        <v>49218.75</v>
      </c>
      <c r="BO81" s="17" t="n">
        <f aca="false">BM81*IF($J81="wagon",2.73,81.25)</f>
        <v>8125</v>
      </c>
      <c r="BY81" s="1" t="n">
        <v>6</v>
      </c>
      <c r="CD81" s="1" t="str">
        <f aca="false">VLOOKUP(M81,Eras!$A$2:$C$10, 2, TRUE())</f>
        <v>vct</v>
      </c>
      <c r="CE81" s="1" t="s">
        <v>241</v>
      </c>
      <c r="CF81" s="1" t="str">
        <f aca="false">CONCATENATE(CD81,"_",CE81)</f>
        <v>vct_Express</v>
      </c>
      <c r="CG81" s="1"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Midland 115 class gained the nickname "Spinner" due to the large single driving wheel. The Midland Railway compensated for the low tractive effort of the 4-2-2 layout by double-heading the trains on heavy loads.</v>
      </c>
    </row>
    <row r="82" customFormat="false" ht="14.25" hidden="false" customHeight="false" outlineLevel="0" collapsed="false">
      <c r="A82" s="1" t="s">
        <v>314</v>
      </c>
      <c r="B82" s="15" t="s">
        <v>315</v>
      </c>
      <c r="C82" s="1" t="n">
        <v>121</v>
      </c>
      <c r="E82" s="1" t="n">
        <v>38</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198</v>
      </c>
      <c r="J82" s="1" t="s">
        <v>206</v>
      </c>
      <c r="K82" s="1" t="s">
        <v>207</v>
      </c>
      <c r="L82" s="1" t="s">
        <v>149</v>
      </c>
      <c r="M82" s="1" t="n">
        <v>1897</v>
      </c>
      <c r="N82" s="1" t="n">
        <v>1911</v>
      </c>
      <c r="O82" s="1" t="n">
        <v>1957</v>
      </c>
      <c r="Q82" s="1" t="n">
        <v>500</v>
      </c>
      <c r="S82" s="3" t="n">
        <v>18.5</v>
      </c>
      <c r="T82" s="3" t="n">
        <v>26</v>
      </c>
      <c r="U82" s="3" t="n">
        <v>2</v>
      </c>
      <c r="V82" s="3" t="n">
        <v>175</v>
      </c>
      <c r="W82" s="18" t="n">
        <f aca="false">((($AE82/2)/60)*5280)/($X82*3.2*PI())</f>
        <v>90.1097839564407</v>
      </c>
      <c r="X82" s="3" t="n">
        <v>1.7</v>
      </c>
      <c r="Y82" s="3" t="n">
        <f aca="false">((($S82*$S82/4)*PI())*($T82/12)*$U82*$V82*$W82)/(33000*1.1)</f>
        <v>506.009660019311</v>
      </c>
      <c r="Z82" s="1" t="n">
        <v>61.2</v>
      </c>
      <c r="AC82" s="1" t="n">
        <v>87</v>
      </c>
      <c r="AD82" s="4" t="n">
        <f aca="false">IF(AND(Z82&gt;0,AC82&gt;0),(AC82/((Z82+AA82)*10)),"")</f>
        <v>0.142156862745098</v>
      </c>
      <c r="AE82" s="1" t="n">
        <v>35</v>
      </c>
      <c r="AF82" s="1" t="n">
        <f aca="false">ROUND(AE82*1.6, 0)</f>
        <v>56</v>
      </c>
      <c r="AI82" s="1" t="n">
        <v>10.5</v>
      </c>
      <c r="AJ82" s="1" t="n">
        <v>10.5</v>
      </c>
      <c r="AM82" s="5" t="n">
        <v>0</v>
      </c>
      <c r="AN82" s="1" t="str">
        <f aca="false">CONCATENATE(VLOOKUP(AO82, 'Voxel Sizes'!$A$2:$B$18,2,FALSE()),"x",INT(AK82*15), "x", INT(AL82*15))</f>
        <v>102x0x0</v>
      </c>
      <c r="AO82" s="1" t="n">
        <f aca="false">ROUND(15*((AJ82*10)/256),0)</f>
        <v>6</v>
      </c>
      <c r="AQ82" s="1" t="str">
        <f aca="false">CONCATENATE(VLOOKUP(AO82,Constants!$A$2:$C$16,IF(AP82&lt;&gt;"", 3, 2), FALSE()),IF(AP82&lt;&gt;"",CONCATENATE(",",VLOOKUP(AP82,$B:$AQ,42,FALSE())),""))</f>
        <v>2,2,2</v>
      </c>
      <c r="AY82" s="1" t="n">
        <v>1</v>
      </c>
      <c r="BA82" s="1" t="n">
        <v>34</v>
      </c>
      <c r="BB82" s="16" t="n">
        <f aca="false">IF(O82&lt;&gt;"",MAX(16,(O82-M82)+8),"")</f>
        <v>68</v>
      </c>
      <c r="BE82" s="1" t="n">
        <f aca="false">MIN(AE82/150, 1)*30</f>
        <v>7</v>
      </c>
      <c r="BF82" s="1" t="n">
        <f aca="false">MIN(Q82/4000, 1)*20</f>
        <v>2.5</v>
      </c>
      <c r="BG82" s="1" t="n">
        <f aca="false">MIN(AC82/400,1)*20</f>
        <v>4.35</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38</v>
      </c>
      <c r="BM82" s="1" t="n">
        <f aca="false">INT(POWER((((Constants!$G$1+$BE82+$BF82+$BG82+$BI82)*($BH82))*$BJ82),IF($J82="wagon",1,1.2)))+$BC82</f>
        <v>66</v>
      </c>
      <c r="BN82" s="17" t="n">
        <f aca="false">BL82*IF($J82="wagon",62.5,781.25)</f>
        <v>29687.5</v>
      </c>
      <c r="BO82" s="17" t="n">
        <f aca="false">BM82*IF($J82="wagon",2.73,81.25)</f>
        <v>5362.5</v>
      </c>
      <c r="BY82" s="1" t="n">
        <v>7</v>
      </c>
      <c r="CD82" s="1" t="str">
        <f aca="false">VLOOKUP(M82,Eras!$A$2:$C$10, 2, TRUE())</f>
        <v>vct</v>
      </c>
      <c r="CE82" s="1" t="s">
        <v>316</v>
      </c>
      <c r="CF82" s="1" t="str">
        <f aca="false">CONCATENATE(CD82,"_",CE82)</f>
        <v>vct_Cheap</v>
      </c>
      <c r="CG82" s="1" t="str">
        <f aca="false">_xlfn.CONCAT(K82, "_",L82)</f>
        <v>steam_RAIL</v>
      </c>
      <c r="CH82" s="7" t="str">
        <f aca="false">_xlfn.CONCAT("{BLACK}Length: {GOLD}", TEXT(ROUNDUP(IF(AT82&lt;&gt;"",SUM(VALUE(_xlfn.TEXTSPLIT(AT82, ","))), SUM(VALUE(_xlfn.TEXTSPLIT(AQ82, ",")))*IF(P82, P82, 1))/16, 1), "#,##0.0"), " tiles{}")</f>
        <v>{BLACK}Length: {GOLD}0.4 tiles{}</v>
      </c>
      <c r="CI82" s="1" t="n">
        <f aca="false">VLOOKUP($CG82, Constants!$M:$N, 2, FALSE())</f>
        <v>0</v>
      </c>
      <c r="CJ82" s="1" t="str">
        <f aca="false">IF(P82&gt;1,_xlfn.CONCAT("{BLACK}Cars: {GOLD}", P82),"")</f>
        <v/>
      </c>
      <c r="CK82" s="1" t="s">
        <v>317</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{GOLD}0.4 tiles{}{SILVER}The Drummond M7 was built for the London &amp; South Western railway. Its usefulness saw it survive in operation until well into the BR era.</v>
      </c>
    </row>
    <row r="83" customFormat="false" ht="14.25" hidden="false" customHeight="false" outlineLevel="0" collapsed="false">
      <c r="A83" s="1" t="s">
        <v>318</v>
      </c>
      <c r="B83" s="19" t="s">
        <v>319</v>
      </c>
      <c r="C83" s="1" t="n">
        <v>1028</v>
      </c>
      <c r="E83" s="1" t="n">
        <v>39</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I83" s="1" t="s">
        <v>198</v>
      </c>
      <c r="J83" s="1" t="s">
        <v>206</v>
      </c>
      <c r="K83" s="1" t="s">
        <v>207</v>
      </c>
      <c r="L83" s="1" t="s">
        <v>149</v>
      </c>
      <c r="M83" s="1" t="n">
        <v>1898</v>
      </c>
      <c r="O83" s="1" t="n">
        <v>1946</v>
      </c>
      <c r="Q83" s="1" t="n">
        <v>950</v>
      </c>
      <c r="S83" s="3" t="n">
        <v>18.75</v>
      </c>
      <c r="T83" s="3" t="n">
        <v>24</v>
      </c>
      <c r="U83" s="3" t="n">
        <v>2</v>
      </c>
      <c r="V83" s="3" t="n">
        <v>170</v>
      </c>
      <c r="W83" s="18" t="n">
        <f aca="false">((($AE83/2)/60)*5280)/($X83*3.2*PI())</f>
        <v>196.95424207622</v>
      </c>
      <c r="X83" s="3" t="n">
        <v>2</v>
      </c>
      <c r="Y83" s="3" t="n">
        <f aca="false">((($S83*$S83/4)*PI())*($T83/12)*$U83*$V83*$W83)/(33000*1.1)</f>
        <v>1018.73224431818</v>
      </c>
      <c r="Z83" s="1" t="n">
        <v>60</v>
      </c>
      <c r="AA83" s="2" t="n">
        <v>30</v>
      </c>
      <c r="AB83" s="1" t="n">
        <v>5</v>
      </c>
      <c r="AC83" s="1" t="n">
        <v>68</v>
      </c>
      <c r="AD83" s="4" t="n">
        <f aca="false">IF(AND(Z83&gt;0,AC83&gt;0),(AC83/((Z83+AA83)*10)),"")</f>
        <v>0.0755555555555556</v>
      </c>
      <c r="AE83" s="1" t="n">
        <v>90</v>
      </c>
      <c r="AF83" s="1" t="n">
        <f aca="false">ROUND(AE83*1.6, 0)</f>
        <v>144</v>
      </c>
      <c r="AI83" s="1" t="n">
        <v>15.4</v>
      </c>
      <c r="AJ83" s="1" t="n">
        <v>12</v>
      </c>
      <c r="AN83" s="16" t="s">
        <v>280</v>
      </c>
      <c r="AO83" s="16" t="n">
        <f aca="false">ROUND(15*((AJ83*10)/256),0)</f>
        <v>7</v>
      </c>
      <c r="AP83" s="1" t="s">
        <v>277</v>
      </c>
      <c r="AQ83" s="1" t="str">
        <f aca="false">CONCATENATE(VLOOKUP(AO83,Constants!$A$2:$C$16,IF(AP83&lt;&gt;"", 3, 2), FALSE()),IF(AP83&lt;&gt;"",CONCATENATE(",",VLOOKUP(AP83,$B:$AQ,42,FALSE())),""))</f>
        <v>2,3,2,2,1,2</v>
      </c>
      <c r="AY83" s="1" t="n">
        <v>1</v>
      </c>
      <c r="BA83" s="1" t="n">
        <v>29</v>
      </c>
      <c r="BB83" s="16" t="n">
        <f aca="false">IF(O83&lt;&gt;"",MAX(16,(O83-M83)+8),"")</f>
        <v>56</v>
      </c>
      <c r="BE83" s="20" t="n">
        <f aca="false">MIN(AE83/150, 1)*30</f>
        <v>18</v>
      </c>
      <c r="BF83" s="20" t="n">
        <f aca="false">MIN(Q83/4000, 1)*20</f>
        <v>4.75</v>
      </c>
      <c r="BG83" s="20" t="n">
        <f aca="false">MIN(AC83/400,1)*20</f>
        <v>3.4</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64</v>
      </c>
      <c r="BM83" s="20" t="n">
        <v>102</v>
      </c>
      <c r="BN83" s="22" t="n">
        <f aca="false">BL83*IF($J83="wagon",62.5,781.25)</f>
        <v>50000</v>
      </c>
      <c r="BO83" s="22" t="n">
        <f aca="false">BM83*IF($J83="wagon",2.73,81.25)</f>
        <v>8287.5</v>
      </c>
      <c r="BY83" s="1" t="n">
        <v>3</v>
      </c>
      <c r="CD83" s="23" t="s">
        <v>265</v>
      </c>
      <c r="CE83" s="1" t="s">
        <v>241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{GOLD}0.8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{GOLD}0.8 tiles{}{SILVER}Henry Ivatt introduced the 4-4-2 Atlantic type to the UK with this design, nicknamed "Klondyke" after the peak of the Klondike Gold Rush of the previous year.</v>
      </c>
    </row>
    <row r="84" customFormat="false" ht="14.25" hidden="false" customHeight="false" outlineLevel="0" collapsed="false">
      <c r="A84" s="1" t="s">
        <v>321</v>
      </c>
      <c r="B84" s="15" t="s">
        <v>322</v>
      </c>
      <c r="C84" s="1" t="n">
        <v>122</v>
      </c>
      <c r="E84" s="1" t="n">
        <v>40</v>
      </c>
      <c r="G84" s="1" t="str">
        <f aca="false">IF($F84&lt;&gt;"",_xlfn.CONCAT(VLOOKUP($CE84, Constants!$T:$U, 2, FALSE()),",",$F84),VLOOKUP($CE84, Constants!$T:$U, 2, FALSE()))</f>
        <v>role/mixed</v>
      </c>
      <c r="H84" s="1" t="str">
        <f aca="false">IF($G84&lt;&gt;"",_xlfn.CONCAT(VLOOKUP($CG84, Constants!$M:$P, 4, FALSE()),",",$G84),VLOOKUP($CG84, Constants!$M:$P, 4, FALSE()))</f>
        <v>flag/GB,power/steam,role/mixed</v>
      </c>
      <c r="I84" s="1" t="s">
        <v>198</v>
      </c>
      <c r="J84" s="1" t="s">
        <v>206</v>
      </c>
      <c r="K84" s="1" t="s">
        <v>207</v>
      </c>
      <c r="L84" s="1" t="s">
        <v>149</v>
      </c>
      <c r="M84" s="1" t="n">
        <v>1899</v>
      </c>
      <c r="N84" s="1" t="n">
        <v>1902</v>
      </c>
      <c r="O84" s="1" t="n">
        <v>1954</v>
      </c>
      <c r="Q84" s="1" t="n">
        <v>600</v>
      </c>
      <c r="S84" s="3" t="n">
        <v>18</v>
      </c>
      <c r="T84" s="3" t="n">
        <v>26</v>
      </c>
      <c r="U84" s="3" t="n">
        <v>2</v>
      </c>
      <c r="V84" s="3" t="n">
        <v>160</v>
      </c>
      <c r="W84" s="18" t="n">
        <f aca="false">((($AE84/2)/60)*5280)/($X84*3.2*PI())</f>
        <v>125.050312429346</v>
      </c>
      <c r="X84" s="3" t="n">
        <v>1.4</v>
      </c>
      <c r="Y84" s="3" t="n">
        <f aca="false">((($S84*$S84/4)*PI())*($T84/12)*$U84*$V84*$W84)/(33000*1.1)</f>
        <v>607.792207792208</v>
      </c>
      <c r="Z84" s="1" t="n">
        <v>49.5</v>
      </c>
      <c r="AC84" s="1" t="n">
        <v>92</v>
      </c>
      <c r="AD84" s="4" t="n">
        <f aca="false">IF(AND(Z84&gt;0,AC84&gt;0),(AC84/((Z84+AA84)*10)),"")</f>
        <v>0.185858585858586</v>
      </c>
      <c r="AE84" s="1" t="n">
        <v>40</v>
      </c>
      <c r="AF84" s="1" t="n">
        <f aca="false">ROUND(AE84*1.6, 0)</f>
        <v>64</v>
      </c>
      <c r="AI84" s="1" t="n">
        <v>9.57</v>
      </c>
      <c r="AJ84" s="1" t="n">
        <v>9.57</v>
      </c>
      <c r="AM84" s="5" t="n">
        <v>0</v>
      </c>
      <c r="AN84" s="1" t="str">
        <f aca="false">CONCATENATE(VLOOKUP(AO84, 'Voxel Sizes'!$A$2:$B$18,2,FALSE()),"x",INT(AK84*15), "x", INT(AL84*15))</f>
        <v>102x0x0</v>
      </c>
      <c r="AO84" s="1" t="n">
        <f aca="false">ROUND(15*((AJ84*10)/256),0)</f>
        <v>6</v>
      </c>
      <c r="AQ84" s="1" t="str">
        <f aca="false">CONCATENATE(VLOOKUP(AO84,Constants!$A$2:$C$16,IF(AP84&lt;&gt;"", 3, 2), FALSE()),IF(AP84&lt;&gt;"",CONCATENATE(",",VLOOKUP(AP84,$B:$AQ,42,FALSE())),""))</f>
        <v>2,2,2</v>
      </c>
      <c r="AY84" s="1" t="n">
        <v>1</v>
      </c>
      <c r="BA84" s="1" t="n">
        <v>30</v>
      </c>
      <c r="BB84" s="16" t="n">
        <f aca="false">IF(O84&lt;&gt;"",MAX(16,(O84-M84)+8),"")</f>
        <v>63</v>
      </c>
      <c r="BE84" s="1" t="n">
        <f aca="false">MIN(AE84/150, 1)*30</f>
        <v>8</v>
      </c>
      <c r="BF84" s="1" t="n">
        <f aca="false">MIN(Q84/4000, 1)*20</f>
        <v>3</v>
      </c>
      <c r="BG84" s="1" t="n">
        <f aca="false">MIN(AC84/400,1)*20</f>
        <v>4.6</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41</v>
      </c>
      <c r="BM84" s="1" t="n">
        <f aca="false">INT(POWER((((Constants!$G$1+$BE84+$BF84+$BG84+$BI84)*($BH84))*$BJ84),IF($J84="wagon",1,1.2)))+$BC84</f>
        <v>71</v>
      </c>
      <c r="BN84" s="17" t="n">
        <f aca="false">BL84*IF($J84="wagon",62.5,781.25)</f>
        <v>32031.25</v>
      </c>
      <c r="BO84" s="17" t="n">
        <f aca="false">BM84*IF($J84="wagon",2.73,81.25)</f>
        <v>5768.75</v>
      </c>
      <c r="BY84" s="1" t="n">
        <v>9</v>
      </c>
      <c r="CD84" s="1" t="str">
        <f aca="false">VLOOKUP(M84,Eras!$A$2:$C$10, 2, TRUE())</f>
        <v>vct</v>
      </c>
      <c r="CE84" s="1" t="s">
        <v>316</v>
      </c>
      <c r="CF84" s="1" t="str">
        <f aca="false">CONCATENATE(CD84,"_",CE84)</f>
        <v>vct_Cheap</v>
      </c>
      <c r="CG84" s="1" t="str">
        <f aca="false">_xlfn.CONCAT(K84, "_",L84)</f>
        <v>steam_RAIL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{GOLD}0.4 tiles{}{SILVER}Samuel Johnson's tank engine design were rebuilt later in life by Henry Fowler, providing the inspiration for Fowler's own 3F "Jinty" design.</v>
      </c>
    </row>
    <row r="85" customFormat="false" ht="14.25" hidden="false" customHeight="false" outlineLevel="0" collapsed="false">
      <c r="A85" s="1" t="s">
        <v>324</v>
      </c>
      <c r="B85" s="19" t="s">
        <v>325</v>
      </c>
      <c r="C85" s="1" t="n">
        <v>1030</v>
      </c>
      <c r="E85" s="1" t="n">
        <v>41</v>
      </c>
      <c r="F85" s="1" t="s">
        <v>143</v>
      </c>
      <c r="G85" s="1" t="str">
        <f aca="false">IF($F85&lt;&gt;"",_xlfn.CONCAT(VLOOKUP($CE85, Constants!$T:$U, 2, FALSE()),",",$F85),VLOOKUP($CE85, Constants!$T:$U, 2, FALSE()))</f>
        <v>role/mixed,role/prototype</v>
      </c>
      <c r="H85" s="1" t="str">
        <f aca="false">IF($G85&lt;&gt;"",_xlfn.CONCAT(VLOOKUP($CG85, Constants!$M:$P, 4, FALSE()),",",$G85),VLOOKUP($CG85, Constants!$M:$P, 4, FALSE()))</f>
        <v>flag/GB,power/steam,role/mixed,role/prototype</v>
      </c>
      <c r="I85" s="1" t="s">
        <v>198</v>
      </c>
      <c r="J85" s="1" t="s">
        <v>206</v>
      </c>
      <c r="K85" s="1" t="s">
        <v>207</v>
      </c>
      <c r="L85" s="1" t="s">
        <v>149</v>
      </c>
      <c r="M85" s="1" t="n">
        <v>1899</v>
      </c>
      <c r="O85" s="1" t="n">
        <v>1933</v>
      </c>
      <c r="Q85" s="1" t="n">
        <v>180</v>
      </c>
      <c r="S85" s="3" t="n">
        <v>11.5</v>
      </c>
      <c r="T85" s="3" t="n">
        <v>18</v>
      </c>
      <c r="U85" s="3" t="n">
        <v>2</v>
      </c>
      <c r="V85" s="3" t="n">
        <v>175</v>
      </c>
      <c r="W85" s="18" t="n">
        <f aca="false">((($AE85/2)/60)*5280)/($X85*3.2*PI())</f>
        <v>128.728262794915</v>
      </c>
      <c r="X85" s="3" t="n">
        <v>1.7</v>
      </c>
      <c r="Y85" s="3" t="n">
        <f aca="false">((($S85*$S85/4)*PI())*($T85/12)*$U85*$V85*$W85)/(33000*1.1)</f>
        <v>193.380264037433</v>
      </c>
      <c r="Z85" s="1" t="n">
        <v>38</v>
      </c>
      <c r="AB85" s="1" t="n">
        <v>5</v>
      </c>
      <c r="AC85" s="1" t="n">
        <v>24</v>
      </c>
      <c r="AD85" s="4" t="n">
        <f aca="false">IF(AND(Z85&gt;0,AC85&gt;0),(AC85/((Z85+AA85)*10)),"")</f>
        <v>0.0631578947368421</v>
      </c>
      <c r="AE85" s="1" t="n">
        <v>50</v>
      </c>
      <c r="AF85" s="1" t="n">
        <f aca="false">ROUND(AE85*1.6, 0)</f>
        <v>80</v>
      </c>
      <c r="AI85" s="1" t="n">
        <v>10.9</v>
      </c>
      <c r="AJ85" s="1" t="n">
        <v>12</v>
      </c>
      <c r="AM85" s="5" t="n">
        <v>12</v>
      </c>
      <c r="AN85" s="16" t="s">
        <v>280</v>
      </c>
      <c r="AO85" s="16" t="n">
        <f aca="false">ROUND(15*((AJ85*10)/256),0)</f>
        <v>7</v>
      </c>
      <c r="AQ85" s="1" t="str">
        <f aca="false">CONCATENATE(VLOOKUP(AO85,Constants!$A$2:$C$16,IF(AP85&lt;&gt;"", 3, 2), FALSE()),IF(AP85&lt;&gt;"",CONCATENATE(",",VLOOKUP(AP85,$B:$AQ,42,FALSE())),""))</f>
        <v>2,3,2</v>
      </c>
      <c r="AY85" s="1" t="n">
        <v>1</v>
      </c>
      <c r="BA85" s="1" t="n">
        <v>26</v>
      </c>
      <c r="BB85" s="16" t="n">
        <f aca="false">IF(O85&lt;&gt;"",MAX(16,(O85-M85)+8),"")</f>
        <v>42</v>
      </c>
      <c r="BC85" s="1" t="n">
        <v>-14</v>
      </c>
      <c r="BD85" s="1" t="n">
        <v>-4</v>
      </c>
      <c r="BE85" s="20" t="n">
        <f aca="false">MIN(AE85/150, 1)*30</f>
        <v>10</v>
      </c>
      <c r="BF85" s="20" t="n">
        <f aca="false">MIN(Q85/4000, 1)*20</f>
        <v>0.9</v>
      </c>
      <c r="BG85" s="20" t="n">
        <f aca="false">MIN(AC85/400,1)*20</f>
        <v>1.2</v>
      </c>
      <c r="BH85" s="21" t="n">
        <f aca="false">1-(MAX(M85-1900, 0)/750)</f>
        <v>1</v>
      </c>
      <c r="BI85" s="20" t="n">
        <f aca="false">((MAX($P85,1)*MIN($AM85/300,1)))*IF(J85="Wagon",50,10)</f>
        <v>0.4</v>
      </c>
      <c r="BJ85" s="1" t="n">
        <f aca="false">VLOOKUP($K85,Constants!$I:$K, 2, FALSE())</f>
        <v>1.15</v>
      </c>
      <c r="BK85" s="1" t="n">
        <f aca="false">VLOOKUP($K85,Constants!$I:$K, 3, FALSE())*IF(AND(J85="multiple_unit",AE85&lt;110),0.75,1)</f>
        <v>1.7</v>
      </c>
      <c r="BL85" s="20" t="n">
        <v>31</v>
      </c>
      <c r="BM85" s="20" t="n">
        <v>49</v>
      </c>
      <c r="BN85" s="22" t="n">
        <f aca="false">BL85*IF($J85="wagon",62.5,781.25)</f>
        <v>24218.75</v>
      </c>
      <c r="BO85" s="22" t="n">
        <f aca="false">BM85*IF($J85="wagon",2.73,81.25)</f>
        <v>3981.25</v>
      </c>
      <c r="BY85" s="1" t="n">
        <v>4</v>
      </c>
      <c r="CB85" s="1" t="s">
        <v>326</v>
      </c>
      <c r="CC85" s="1" t="s">
        <v>327</v>
      </c>
      <c r="CD85" s="23" t="s">
        <v>265</v>
      </c>
      <c r="CE85" s="1" t="s">
        <v>316</v>
      </c>
      <c r="CF85" s="23" t="str">
        <f aca="false">CONCATENATE(CD85,"_",CE85)</f>
        <v>vct_Cheap</v>
      </c>
      <c r="CG85" s="23" t="str">
        <f aca="false">_xlfn.CONCAT(K85, "_",L85)</f>
        <v>steam_RAIL</v>
      </c>
      <c r="CH85" s="7" t="str">
        <f aca="false">_xlfn.CONCAT("{BLACK}Length: {GOLD}", TEXT(ROUNDUP(IF(AT85&lt;&gt;"",SUM(VALUE(_xlfn.TEXTSPLIT(AT85, ","))), SUM(VALUE(_xlfn.TEXTSPLIT(AQ85, ",")))*IF(P85, P85, 1))/16, 1), "#,##0.0"), " tiles{}")</f>
        <v>{BLACK}Length: {GOLD}0.5 tiles{}</v>
      </c>
      <c r="CI85" s="1" t="n">
        <f aca="false">VLOOKUP($CG85, Constants!$M:$N, 2, FALSE())</f>
        <v>0</v>
      </c>
      <c r="CJ85" s="1" t="str">
        <f aca="false">IF(P85&gt;1,_xlfn.CONCAT("{BLACK}Cars: {GOLD}", P85),"")</f>
        <v/>
      </c>
      <c r="CK85" s="1" t="s">
        <v>328</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{GOLD}0.5 tiles{}{SILVER}The F9 was Dugald Drummond's personal locomotive, allowing him to travel across the LSWR for inspections. After Drummond it only saw occasional use at Southampton Docks.</v>
      </c>
    </row>
    <row r="86" customFormat="false" ht="14.25" hidden="false" customHeight="false" outlineLevel="0" collapsed="false">
      <c r="A86" s="24" t="s">
        <v>329</v>
      </c>
      <c r="B86" s="19" t="s">
        <v>330</v>
      </c>
      <c r="C86" s="1" t="n">
        <v>1031</v>
      </c>
      <c r="E86" s="1" t="n">
        <v>42</v>
      </c>
      <c r="G86" s="1" t="str">
        <f aca="false">IF($F86&lt;&gt;"",_xlfn.CONCAT(VLOOKUP($CE86, Constants!$T:$U, 2, FALSE()),",",$F86),VLOOKUP($CE86, Constants!$T:$U, 2, FALSE()))</f>
        <v>role/mixed</v>
      </c>
      <c r="H86" s="1" t="str">
        <f aca="false">IF($G86&lt;&gt;"",_xlfn.CONCAT(VLOOKUP($CG86, Constants!$M:$P, 4, FALSE()),",",$G86),VLOOKUP($CG86, Constants!$M:$P, 4, FALSE()))</f>
        <v>flag/GB,power/steam,role/mixed</v>
      </c>
      <c r="J86" s="1" t="s">
        <v>309</v>
      </c>
      <c r="K86" s="1" t="s">
        <v>207</v>
      </c>
      <c r="L86" s="1" t="s">
        <v>149</v>
      </c>
      <c r="M86" s="1" t="n">
        <v>1899</v>
      </c>
      <c r="AD86" s="4" t="str">
        <f aca="false">IF(AND(Z86&gt;0,AC86&gt;0),(AC86/((Z86+AA86)*10)),"")</f>
        <v/>
      </c>
      <c r="AF86" s="1" t="n">
        <f aca="false">ROUND(AE86*1.6, 0)</f>
        <v>0</v>
      </c>
      <c r="AM86" s="5" t="n">
        <v>0</v>
      </c>
      <c r="AN86" s="16" t="s">
        <v>331</v>
      </c>
      <c r="AO86" s="16" t="n">
        <f aca="false">ROUND(15*((AJ86*10)/256),0)</f>
        <v>0</v>
      </c>
      <c r="AQ86" s="1" t="str">
        <f aca="false">CONCATENATE(VLOOKUP(AO86,Constants!$A$2:$C$16,IF(AP86&lt;&gt;"", 3, 2), FALSE()),IF(AP86&lt;&gt;"",CONCATENATE(",",VLOOKUP(AP86,$B:$AQ,42,FALSE())),""))</f>
        <v>na</v>
      </c>
      <c r="BA86" s="1" t="n">
        <v>30</v>
      </c>
      <c r="BB86" s="16" t="str">
        <f aca="false">IF(O86&lt;&gt;"",MAX(16,(O86-M86)+8),"")</f>
        <v/>
      </c>
      <c r="BE86" s="20" t="n">
        <f aca="false">MIN(AE86/150, 1)*30</f>
        <v>0</v>
      </c>
      <c r="BF86" s="20" t="n">
        <f aca="false">MIN(Q86/4000, 1)*20</f>
        <v>0</v>
      </c>
      <c r="BG86" s="20" t="n">
        <f aca="false">MIN(AC86/400,1)*20</f>
        <v>0</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9</v>
      </c>
      <c r="BM86" s="20" t="n">
        <v>30</v>
      </c>
      <c r="BN86" s="22" t="n">
        <f aca="false">BL86*IF($J86="wagon",62.5,781.25)</f>
        <v>7031.25</v>
      </c>
      <c r="BO86" s="22" t="n">
        <f aca="false">BM86*IF($J86="wagon",2.73,81.25)</f>
        <v>2437.5</v>
      </c>
      <c r="BY86" s="1" t="n">
        <v>8</v>
      </c>
      <c r="CD86" s="23" t="s">
        <v>265</v>
      </c>
      <c r="CE86" s="1" t="s">
        <v>316</v>
      </c>
      <c r="CF86" s="23" t="str">
        <f aca="false">CONCATENATE(CD86,"_",CE86)</f>
        <v>vct_Cheap</v>
      </c>
      <c r="CG86" s="23" t="str">
        <f aca="false">_xlfn.CONCAT(K86, "_",L86)</f>
        <v>steam_RAIL</v>
      </c>
      <c r="CH86" s="7" t="e">
        <f aca="false">_xlfn.CONCAT("{BLACK}Length: {GOLD}", TEXT(ROUNDUP(IF(AT86&lt;&gt;"",SUM(VALUE(_xlfn.TEXTSPLIT(AT86, ","))), SUM(VALUE(_xlfn.TEXTSPLIT(AQ86, ",")))*IF(P86, P86, 1))/16, 1), "#,##0.0"), " tiles{}")</f>
        <v>#VALUE!</v>
      </c>
      <c r="CI86" s="1" t="n">
        <f aca="false">VLOOKUP($CG86, Constants!$M:$N, 2, FALSE())</f>
        <v>0</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e">
        <f aca="false">_xlfn.CONCAT(CI86,IF(CI86&lt;&gt;""," ",""),CJ86,IF(OR(CJ86&lt;&gt;"",CI86&lt;&gt;""),"{}",""),CH86,CM86,"{SILVER}",CK86,IF(CL86&lt;&gt;"","{}{}",""),CL86)</f>
        <v>#VALUE!</v>
      </c>
    </row>
    <row r="87" customFormat="false" ht="14.25" hidden="false" customHeight="false" outlineLevel="0" collapsed="false">
      <c r="A87" s="1" t="s">
        <v>332</v>
      </c>
      <c r="B87" s="15" t="s">
        <v>333</v>
      </c>
      <c r="C87" s="1" t="n">
        <v>123</v>
      </c>
      <c r="E87" s="1" t="n">
        <v>43</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198</v>
      </c>
      <c r="J87" s="1" t="s">
        <v>206</v>
      </c>
      <c r="K87" s="1" t="s">
        <v>207</v>
      </c>
      <c r="L87" s="1" t="s">
        <v>149</v>
      </c>
      <c r="M87" s="1" t="n">
        <v>1900</v>
      </c>
      <c r="O87" s="1" t="n">
        <v>1954</v>
      </c>
      <c r="Q87" s="1" t="n">
        <v>1100</v>
      </c>
      <c r="S87" s="3" t="n">
        <v>19</v>
      </c>
      <c r="T87" s="3" t="n">
        <v>26</v>
      </c>
      <c r="U87" s="3" t="n">
        <v>2</v>
      </c>
      <c r="V87" s="3" t="n">
        <v>180</v>
      </c>
      <c r="W87" s="18" t="n">
        <f aca="false">((($AE87/2)/60)*5280)/($X87*3.2*PI())</f>
        <v>175.070437401085</v>
      </c>
      <c r="X87" s="3" t="n">
        <v>1.5</v>
      </c>
      <c r="Y87" s="3" t="n">
        <f aca="false">((($S87*$S87/4)*PI())*($T87/12)*$U87*$V87*$W87)/(33000*1.1)</f>
        <v>1066.59090909091</v>
      </c>
      <c r="Z87" s="1" t="n">
        <v>45.3</v>
      </c>
      <c r="AA87" s="2" t="n">
        <v>38.9</v>
      </c>
      <c r="AC87" s="1" t="n">
        <v>109</v>
      </c>
      <c r="AD87" s="4" t="n">
        <f aca="false">IF(AND(Z87&gt;0,AC87&gt;0),(AC87/((Z87+AA87)*10)),"")</f>
        <v>0.129453681710214</v>
      </c>
      <c r="AE87" s="1" t="n">
        <v>60</v>
      </c>
      <c r="AF87" s="1" t="n">
        <f aca="false">ROUND(AE87*1.6, 0)</f>
        <v>96</v>
      </c>
      <c r="AI87" s="1" t="n">
        <v>14.4</v>
      </c>
      <c r="AJ87" s="1" t="n">
        <v>10</v>
      </c>
      <c r="AM87" s="5" t="n">
        <v>0</v>
      </c>
      <c r="AN87" s="1" t="str">
        <f aca="false">CONCATENATE(VLOOKUP(AO87, 'Voxel Sizes'!$A$2:$B$18,2,FALSE()),"x",INT(AK87*15), "x", INT(AL87*15))</f>
        <v>102x0x0</v>
      </c>
      <c r="AO87" s="1" t="n">
        <f aca="false">ROUND(15*((AJ87*10)/256),0)</f>
        <v>6</v>
      </c>
      <c r="AP87" s="1" t="s">
        <v>167</v>
      </c>
      <c r="AQ87" s="1" t="str">
        <f aca="false">CONCATENATE(VLOOKUP(AO87,Constants!$A$2:$C$16,IF(AP87&lt;&gt;"", 3, 2), FALSE()),IF(AP87&lt;&gt;"",CONCATENATE(",",VLOOKUP(AP87,$B:$AQ,42,FALSE())),""))</f>
        <v>2,2,2,2,1,2</v>
      </c>
      <c r="AY87" s="1" t="n">
        <v>1</v>
      </c>
      <c r="BA87" s="1" t="n">
        <v>32</v>
      </c>
      <c r="BB87" s="16" t="n">
        <f aca="false">IF(O87&lt;&gt;"",MAX(16,(O87-M87)+8),"")</f>
        <v>62</v>
      </c>
      <c r="BC87" s="1" t="n">
        <v>2</v>
      </c>
      <c r="BD87" s="1" t="n">
        <v>2</v>
      </c>
      <c r="BE87" s="1" t="n">
        <f aca="false">MIN(AE87/150, 1)*30</f>
        <v>12</v>
      </c>
      <c r="BF87" s="1" t="n">
        <f aca="false">MIN(Q87/4000, 1)*20</f>
        <v>5.5</v>
      </c>
      <c r="BG87" s="1" t="n">
        <f aca="false">MIN(AC87/400,1)*20</f>
        <v>5.45</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59</v>
      </c>
      <c r="BM87" s="1" t="n">
        <f aca="false">INT(POWER((((Constants!$G$1+$BE87+$BF87+$BG87+$BI87)*($BH87))*$BJ87),IF($J87="wagon",1,1.2)))+$BC87</f>
        <v>94</v>
      </c>
      <c r="BN87" s="17" t="n">
        <f aca="false">BL87*IF($J87="wagon",62.5,781.25)</f>
        <v>46093.75</v>
      </c>
      <c r="BO87" s="17" t="n">
        <f aca="false">BM87*IF($J87="wagon",2.73,81.25)</f>
        <v>7637.5</v>
      </c>
      <c r="BY87" s="1" t="n">
        <v>2</v>
      </c>
      <c r="CD87" s="1" t="str">
        <f aca="false">VLOOKUP(M87,Eras!$A$2:$C$10, 2, TRUE())</f>
        <v>edw</v>
      </c>
      <c r="CE87" s="1" t="s">
        <v>129</v>
      </c>
      <c r="CF87" s="1" t="str">
        <f aca="false">CONCATENATE(CD87,"_",CE87)</f>
        <v>edw_Mixed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334</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{GOLD}0.7 tiles{}{SILVER}On introduction the GER F48 was nominally the most powerful 0-6-0 tender locomotive in Britain. Numerous variations of firebox were tried over the production run.</v>
      </c>
    </row>
    <row r="88" customFormat="false" ht="14.25" hidden="false" customHeight="false" outlineLevel="0" collapsed="false">
      <c r="A88" s="1" t="s">
        <v>335</v>
      </c>
      <c r="B88" s="15" t="s">
        <v>336</v>
      </c>
      <c r="C88" s="1" t="n">
        <v>124</v>
      </c>
      <c r="E88" s="1" t="n">
        <v>44</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198</v>
      </c>
      <c r="J88" s="1" t="s">
        <v>206</v>
      </c>
      <c r="K88" s="1" t="s">
        <v>207</v>
      </c>
      <c r="L88" s="1" t="s">
        <v>149</v>
      </c>
      <c r="M88" s="1" t="n">
        <v>1901</v>
      </c>
      <c r="N88" s="1" t="n">
        <v>1914</v>
      </c>
      <c r="O88" s="1" t="n">
        <v>1955</v>
      </c>
      <c r="Q88" s="1" t="n">
        <v>350</v>
      </c>
      <c r="S88" s="3" t="n">
        <v>14</v>
      </c>
      <c r="T88" s="3" t="n">
        <v>20</v>
      </c>
      <c r="U88" s="3" t="n">
        <v>2</v>
      </c>
      <c r="V88" s="3" t="n">
        <v>160</v>
      </c>
      <c r="W88" s="18" t="n">
        <f aca="false">((($AE88/2)/60)*5280)/($X88*3.2*PI())</f>
        <v>145.892031167571</v>
      </c>
      <c r="X88" s="3" t="n">
        <v>0.9</v>
      </c>
      <c r="Y88" s="3" t="n">
        <f aca="false">((($S88*$S88/4)*PI())*($T88/12)*$U88*$V88*$W88)/(33000*1.1)</f>
        <v>329.96632996633</v>
      </c>
      <c r="Z88" s="1" t="n">
        <v>23</v>
      </c>
      <c r="AC88" s="1" t="n">
        <v>49</v>
      </c>
      <c r="AD88" s="4" t="n">
        <f aca="false">IF(AND(Z88&gt;0,AC88&gt;0),(AC88/((Z88+AA88)*10)),"")</f>
        <v>0.21304347826087</v>
      </c>
      <c r="AE88" s="1" t="n">
        <v>30</v>
      </c>
      <c r="AF88" s="1" t="n">
        <f aca="false">ROUND(AE88*1.6, 0)</f>
        <v>48</v>
      </c>
      <c r="AI88" s="1" t="n">
        <v>6.12</v>
      </c>
      <c r="AJ88" s="1" t="n">
        <v>6.12</v>
      </c>
      <c r="AM88" s="5" t="n">
        <v>0</v>
      </c>
      <c r="AN88" s="1" t="str">
        <f aca="false">CONCATENATE(VLOOKUP(AO88, 'Voxel Sizes'!$A$2:$B$18,2,FALSE()),"x",INT(AK88*15), "x", INT(AL88*15))</f>
        <v>60x0x0</v>
      </c>
      <c r="AO88" s="1" t="n">
        <f aca="false">ROUND(15*((AJ88*10)/256),0)</f>
        <v>4</v>
      </c>
      <c r="AQ88" s="1" t="str">
        <f aca="false">CONCATENATE(VLOOKUP(AO88,Constants!$A$2:$C$16,IF(AP88&lt;&gt;"", 3, 2), FALSE()),IF(AP88&lt;&gt;"",CONCATENATE(",",VLOOKUP(AP88,$B:$AQ,42,FALSE())),""))</f>
        <v>1,2,1</v>
      </c>
      <c r="AY88" s="1" t="n">
        <v>1</v>
      </c>
      <c r="BA88" s="1" t="n">
        <v>30</v>
      </c>
      <c r="BB88" s="16" t="n">
        <f aca="false">IF(O88&lt;&gt;"",MAX(16,(O88-M88)+8),"")</f>
        <v>62</v>
      </c>
      <c r="BE88" s="1" t="n">
        <f aca="false">MIN(AE88/150, 1)*30</f>
        <v>6</v>
      </c>
      <c r="BF88" s="1" t="n">
        <f aca="false">MIN(Q88/4000, 1)*20</f>
        <v>1.75</v>
      </c>
      <c r="BG88" s="1" t="n">
        <f aca="false">MIN(AC88/400,1)*20</f>
        <v>2.45</v>
      </c>
      <c r="BH88" s="4" t="n">
        <f aca="false">1-(MAX(M88-1900, 0)/750)</f>
        <v>0.998666666666667</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30</v>
      </c>
      <c r="BM88" s="1" t="n">
        <f aca="false">INT(POWER((((Constants!$G$1+$BE88+$BF88+$BG88+$BI88)*($BH88))*$BJ88),IF($J88="wagon",1,1.2)))+$BC88</f>
        <v>56</v>
      </c>
      <c r="BN88" s="17" t="n">
        <f aca="false">BL88*IF($J88="wagon",62.5,781.25)</f>
        <v>23437.5</v>
      </c>
      <c r="BO88" s="17" t="n">
        <f aca="false">BM88*IF($J88="wagon",2.73,81.25)</f>
        <v>4550</v>
      </c>
      <c r="BY88" s="1" t="n">
        <v>10</v>
      </c>
      <c r="CD88" s="1" t="str">
        <f aca="false">VLOOKUP(M88,Eras!$A$2:$C$10, 2, TRUE())</f>
        <v>edw</v>
      </c>
      <c r="CE88" s="1" t="s">
        <v>316</v>
      </c>
      <c r="CF88" s="1" t="str">
        <f aca="false">CONCATENATE(CD88,"_",CE88)</f>
        <v>edw_Cheap</v>
      </c>
      <c r="CG88" s="1" t="str">
        <f aca="false">_xlfn.CONCAT(K88, "_",L88)</f>
        <v>steam_RAIL</v>
      </c>
      <c r="CH88" s="7" t="str">
        <f aca="false">_xlfn.CONCAT("{BLACK}Length: {GOLD}", TEXT(ROUNDUP(IF(AT88&lt;&gt;"",SUM(VALUE(_xlfn.TEXTSPLIT(AT88, ","))), SUM(VALUE(_xlfn.TEXTSPLIT(AQ88, ",")))*IF(P88, P88, 1))/16, 1), "#,##0.0"), " tiles{}")</f>
        <v>{BLACK}Length: {GOLD}0.3 tiles{}</v>
      </c>
      <c r="CI88" s="1" t="n">
        <f aca="false">VLOOKUP($CG88, Constants!$M:$N, 2, FALSE())</f>
        <v>0</v>
      </c>
      <c r="CJ88" s="1" t="str">
        <f aca="false">IF(P88&gt;1,_xlfn.CONCAT("{BLACK}Cars: {GOLD}", P88),"")</f>
        <v/>
      </c>
      <c r="CK88" s="1" t="s">
        <v>337</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{GOLD}0.3 tiles{}{SILVER}This 0-4-0 saddle tank engine is typical of the many acquired by the GWR from smaller railways during the 1923 grouping of railway companies into the Big Four.</v>
      </c>
    </row>
    <row r="89" customFormat="false" ht="14.25" hidden="false" customHeight="false" outlineLevel="0" collapsed="false">
      <c r="A89" s="1" t="s">
        <v>338</v>
      </c>
      <c r="B89" s="15" t="s">
        <v>339</v>
      </c>
      <c r="C89" s="1" t="n">
        <v>125</v>
      </c>
      <c r="E89" s="1" t="n">
        <v>45</v>
      </c>
      <c r="G89" s="1" t="str">
        <f aca="false">IF($F89&lt;&gt;"",_xlfn.CONCAT(VLOOKUP($CE89, Constants!$T:$U, 2, FALSE()),",",$F89),VLOOKUP($CE89, Constants!$T:$U, 2, FALSE()))</f>
        <v>role/express_passenger</v>
      </c>
      <c r="H89" s="1" t="str">
        <f aca="false">IF($G89&lt;&gt;"",_xlfn.CONCAT(VLOOKUP($CG89, Constants!$M:$P, 4, FALSE()),",",$G89),VLOOKUP($CG89, Constants!$M:$P, 4, FALSE()))</f>
        <v>flag/GB,power/steam,role/express_passenger</v>
      </c>
      <c r="I89" s="1" t="s">
        <v>198</v>
      </c>
      <c r="J89" s="1" t="s">
        <v>206</v>
      </c>
      <c r="K89" s="1" t="s">
        <v>207</v>
      </c>
      <c r="L89" s="1" t="s">
        <v>149</v>
      </c>
      <c r="M89" s="1" t="n">
        <v>1902</v>
      </c>
      <c r="O89" s="1" t="n">
        <v>1935</v>
      </c>
      <c r="Q89" s="1" t="n">
        <v>950</v>
      </c>
      <c r="S89" s="3" t="n">
        <v>20.3</v>
      </c>
      <c r="T89" s="3" t="n">
        <v>26</v>
      </c>
      <c r="U89" s="3" t="n">
        <v>3</v>
      </c>
      <c r="V89" s="3" t="n">
        <f aca="false">220*0.5</f>
        <v>110</v>
      </c>
      <c r="W89" s="18" t="n">
        <f aca="false">((($AE89/2)/60)*5280)/($X89*3.2*PI())</f>
        <v>166.733749905795</v>
      </c>
      <c r="X89" s="3" t="n">
        <v>2.1</v>
      </c>
      <c r="Y89" s="3" t="n">
        <f aca="false">((($S89*$S89/4)*PI())*($T89/12)*$U89*$V89*$W89)/(33000*1.1)</f>
        <v>1062.93055555556</v>
      </c>
      <c r="Z89" s="1" t="n">
        <v>62</v>
      </c>
      <c r="AA89" s="2" t="n">
        <v>42</v>
      </c>
      <c r="AC89" s="1" t="n">
        <v>97</v>
      </c>
      <c r="AD89" s="4" t="n">
        <f aca="false">IF(AND(Z89&gt;0,AC89&gt;0),(AC89/((Z89+AA89)*10)),"")</f>
        <v>0.0932692307692308</v>
      </c>
      <c r="AE89" s="1" t="n">
        <v>80</v>
      </c>
      <c r="AF89" s="1" t="n">
        <f aca="false">ROUND(AE89*1.6, 0)</f>
        <v>128</v>
      </c>
      <c r="AI89" s="1" t="n">
        <v>17.269</v>
      </c>
      <c r="AJ89" s="1" t="n">
        <f aca="false">AI89-7.5</f>
        <v>9.769</v>
      </c>
      <c r="AM89" s="5" t="n">
        <v>0</v>
      </c>
      <c r="AN89" s="1" t="str">
        <f aca="false">CONCATENATE(VLOOKUP(AO89, 'Voxel Sizes'!$A$2:$B$18,2,FALSE()),"x",INT(AK89*15), "x", INT(AL89*15))</f>
        <v>102x0x0</v>
      </c>
      <c r="AO89" s="1" t="n">
        <f aca="false">ROUND(15*((AJ89*10)/256),0)</f>
        <v>6</v>
      </c>
      <c r="AP89" s="1" t="s">
        <v>169</v>
      </c>
      <c r="AQ89" s="1" t="str">
        <f aca="false">CONCATENATE(VLOOKUP(AO89,Constants!$A$2:$C$16,IF(AP89&lt;&gt;"", 3, 2), FALSE()),IF(AP89&lt;&gt;"",CONCATENATE(",",VLOOKUP(AP89,$B:$AQ,42,FALSE())),""))</f>
        <v>2,2,2,2,1,2</v>
      </c>
      <c r="AY89" s="1" t="n">
        <v>1</v>
      </c>
      <c r="BA89" s="1" t="n">
        <v>30</v>
      </c>
      <c r="BB89" s="16" t="n">
        <f aca="false">IF(O89&lt;&gt;"",MAX(16,(O89-M89)+8),"")</f>
        <v>41</v>
      </c>
      <c r="BE89" s="1" t="n">
        <f aca="false">MIN(AE89/150, 1)*30</f>
        <v>16</v>
      </c>
      <c r="BF89" s="1" t="n">
        <f aca="false">MIN(Q89/4000, 1)*20</f>
        <v>4.75</v>
      </c>
      <c r="BG89" s="1" t="n">
        <f aca="false">MIN(AC89/400,1)*20</f>
        <v>4.85</v>
      </c>
      <c r="BH89" s="4" t="n">
        <f aca="false">1-(MAX(M89-1900, 0)/750)</f>
        <v>0.997333333333333</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63</v>
      </c>
      <c r="BM89" s="1" t="n">
        <f aca="false">INT(POWER((((Constants!$G$1+$BE89+$BF89+$BG89+$BI89)*($BH89))*$BJ89),IF($J89="wagon",1,1.2)))+$BC89</f>
        <v>100</v>
      </c>
      <c r="BN89" s="17" t="n">
        <f aca="false">BL89*IF($J89="wagon",62.5,781.25)</f>
        <v>49218.75</v>
      </c>
      <c r="BO89" s="17" t="n">
        <f aca="false">BM89*IF($J89="wagon",2.73,81.25)</f>
        <v>8125</v>
      </c>
      <c r="BY89" s="1" t="n">
        <v>11</v>
      </c>
      <c r="CD89" s="1" t="str">
        <f aca="false">VLOOKUP(M89,Eras!$A$2:$C$10, 2, TRUE())</f>
        <v>edw</v>
      </c>
      <c r="CE89" s="1" t="s">
        <v>241</v>
      </c>
      <c r="CF89" s="1" t="str">
        <f aca="false">CONCATENATE(CD89,"_",CE89)</f>
        <v>edw_Express</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340</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tiles{}{SILVER}The 1000 class is an express locomotive with a three-cylinder arrangement, using a high pressure cylinder inside the frame and two low pressure cylinders on the outside.</v>
      </c>
    </row>
    <row r="90" customFormat="false" ht="14.25" hidden="false" customHeight="false" outlineLevel="0" collapsed="false">
      <c r="A90" s="1" t="s">
        <v>341</v>
      </c>
      <c r="B90" s="19" t="s">
        <v>342</v>
      </c>
      <c r="C90" s="1" t="n">
        <v>1032</v>
      </c>
      <c r="E90" s="1" t="n">
        <v>46</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198</v>
      </c>
      <c r="J90" s="1" t="s">
        <v>206</v>
      </c>
      <c r="K90" s="1" t="s">
        <v>207</v>
      </c>
      <c r="L90" s="1" t="s">
        <v>149</v>
      </c>
      <c r="M90" s="1" t="n">
        <v>1902</v>
      </c>
      <c r="O90" s="1" t="n">
        <v>1924</v>
      </c>
      <c r="Q90" s="1" t="n">
        <v>1000</v>
      </c>
      <c r="S90" s="3" t="n">
        <v>18.5</v>
      </c>
      <c r="T90" s="3" t="n">
        <v>24</v>
      </c>
      <c r="U90" s="3" t="n">
        <v>3</v>
      </c>
      <c r="V90" s="3" t="n">
        <v>200</v>
      </c>
      <c r="W90" s="18" t="n">
        <f aca="false">((($AE90/2)/60)*5280)/($X90*3.2*PI())</f>
        <v>111.815060383905</v>
      </c>
      <c r="X90" s="3" t="n">
        <v>1.37</v>
      </c>
      <c r="Y90" s="3" t="n">
        <f aca="false">((($S90*$S90/4)*PI())*($T90/12)*$U90*$V90*$W90)/(33000*1.1)</f>
        <v>993.592402123424</v>
      </c>
      <c r="Z90" s="1" t="n">
        <v>81</v>
      </c>
      <c r="AB90" s="1" t="n">
        <v>5</v>
      </c>
      <c r="AC90" s="1" t="n">
        <v>173</v>
      </c>
      <c r="AD90" s="4" t="n">
        <f aca="false">IF(AND(Z90&gt;0,AC90&gt;0),(AC90/((Z90+AA90)*10)),"")</f>
        <v>0.21358024691358</v>
      </c>
      <c r="AE90" s="1" t="n">
        <v>35</v>
      </c>
      <c r="AF90" s="1" t="n">
        <f aca="false">ROUND(AE90*1.6, 0)</f>
        <v>56</v>
      </c>
      <c r="AI90" s="1" t="n">
        <v>12</v>
      </c>
      <c r="AJ90" s="1" t="n">
        <v>12</v>
      </c>
      <c r="AN90" s="16" t="s">
        <v>280</v>
      </c>
      <c r="AO90" s="16" t="n">
        <f aca="false">ROUND(15*((AJ90*10)/256),0)</f>
        <v>7</v>
      </c>
      <c r="AQ90" s="1" t="str">
        <f aca="false">CONCATENATE(VLOOKUP(AO90,Constants!$A$2:$C$16,IF(AP90&lt;&gt;"", 3, 2), FALSE()),IF(AP90&lt;&gt;"",CONCATENATE(",",VLOOKUP(AP90,$B:$AQ,42,FALSE())),""))</f>
        <v>2,3,2</v>
      </c>
      <c r="AY90" s="1" t="n">
        <v>1</v>
      </c>
      <c r="BA90" s="1" t="n">
        <v>18</v>
      </c>
      <c r="BB90" s="16" t="n">
        <f aca="false">IF(O90&lt;&gt;"",MAX(16,(O90-M90)+8),"")</f>
        <v>30</v>
      </c>
      <c r="BC90" s="1" t="n">
        <v>4</v>
      </c>
      <c r="BE90" s="20" t="n">
        <f aca="false">MIN(AE90/150, 1)*30</f>
        <v>7</v>
      </c>
      <c r="BF90" s="20" t="n">
        <f aca="false">MIN(Q90/4000, 1)*20</f>
        <v>5</v>
      </c>
      <c r="BG90" s="20" t="n">
        <f aca="false">MIN(AC90/400,1)*20</f>
        <v>8.65</v>
      </c>
      <c r="BH90" s="21" t="n">
        <f aca="false">1-(MAX(M90-1900, 0)/750)</f>
        <v>0.997333333333333</v>
      </c>
      <c r="BI90" s="20" t="n">
        <f aca="false">((MAX($P90,1)*MIN($AM90/300,1)))*IF(J90="Wagon",50,10)</f>
        <v>0</v>
      </c>
      <c r="BJ90" s="1" t="n">
        <f aca="false">VLOOKUP($K90,Constants!$I:$K, 2, FALSE())</f>
        <v>1.15</v>
      </c>
      <c r="BK90" s="1" t="n">
        <f aca="false">VLOOKUP($K90,Constants!$I:$K, 3, FALSE())*IF(AND(J90="multiple_unit",AE90&lt;110),0.75,1)</f>
        <v>1.7</v>
      </c>
      <c r="BL90" s="20" t="n">
        <v>52</v>
      </c>
      <c r="BM90" s="20" t="n">
        <v>89</v>
      </c>
      <c r="BN90" s="22" t="n">
        <f aca="false">BL90*IF($J90="wagon",62.5,781.25)</f>
        <v>40625</v>
      </c>
      <c r="BO90" s="22" t="n">
        <f aca="false">BM90*IF($J90="wagon",2.73,81.25)</f>
        <v>7231.25</v>
      </c>
      <c r="BY90" s="1" t="n">
        <v>3</v>
      </c>
      <c r="CD90" s="23" t="s">
        <v>343</v>
      </c>
      <c r="CE90" s="1" t="s">
        <v>241</v>
      </c>
      <c r="CF90" s="23" t="str">
        <f aca="false">CONCATENATE(CD90,"_",CE90)</f>
        <v>edw_Express</v>
      </c>
      <c r="CG90" s="23" t="str">
        <f aca="false">_xlfn.CONCAT(K90, "_",L90)</f>
        <v>steam_RAIL</v>
      </c>
      <c r="CH90" s="7" t="str">
        <f aca="false">_xlfn.CONCAT("{BLACK}Length: {GOLD}", TEXT(ROUNDUP(IF(AT90&lt;&gt;"",SUM(VALUE(_xlfn.TEXTSPLIT(AT90, ","))), SUM(VALUE(_xlfn.TEXTSPLIT(AQ90, ",")))*IF(P90, P90, 1))/16, 1), "#,##0.0"), " tiles{}")</f>
        <v>{BLACK}Length: {GOLD}0.5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{GOLD}0.5 tiles{}{SILVER}GER's prototype Decapod was built to outperform low speed acceleration of electric locomotives, to prevent a rival electric railway being approved by Parliament.</v>
      </c>
    </row>
    <row r="91" customFormat="false" ht="14.25" hidden="false" customHeight="false" outlineLevel="0" collapsed="false">
      <c r="A91" s="24" t="s">
        <v>345</v>
      </c>
      <c r="B91" s="19" t="s">
        <v>346</v>
      </c>
      <c r="C91" s="1" t="n">
        <v>1033</v>
      </c>
      <c r="E91" s="1" t="n">
        <v>47</v>
      </c>
      <c r="G91" s="1" t="str">
        <f aca="false">IF($F91&lt;&gt;"",_xlfn.CONCAT(VLOOKUP($CE91, Constants!$T:$U, 2, FALSE()),",",$F91),VLOOKUP($CE91, Constants!$T:$U, 2, FALSE()))</f>
        <v>role/express_passenger</v>
      </c>
      <c r="H91" s="1" t="str">
        <f aca="false">IF($G91&lt;&gt;"",_xlfn.CONCAT(VLOOKUP($CG91, Constants!$M:$P, 4, FALSE()),",",$G91),VLOOKUP($CG91, Constants!$M:$P, 4, FALSE()))</f>
        <v>flag/GB,power/steam,role/express_passenger</v>
      </c>
      <c r="J91" s="1" t="s">
        <v>309</v>
      </c>
      <c r="K91" s="1" t="s">
        <v>207</v>
      </c>
      <c r="L91" s="1" t="s">
        <v>149</v>
      </c>
      <c r="W91" s="18"/>
      <c r="AN91" s="16"/>
      <c r="AO91" s="16"/>
      <c r="AQ91" s="1" t="e">
        <f aca="false">CONCATENATE(VLOOKUP(AO91,Constants!$A$2:$C$16,IF(AP91&lt;&gt;"", 3, 2), FALSE()),IF(AP91&lt;&gt;"",CONCATENATE(",",VLOOKUP(AP91,$B:$AQ,42,FALSE())),""))</f>
        <v>#N/A</v>
      </c>
      <c r="BB91" s="16"/>
      <c r="BE91" s="20"/>
      <c r="BF91" s="20"/>
      <c r="BG91" s="20"/>
      <c r="BH91" s="21"/>
      <c r="BI91" s="20" t="n">
        <f aca="false">((MAX($P91,1)*MIN($AM91/300,1)))*IF(J91="Wagon",50,10)</f>
        <v>0</v>
      </c>
      <c r="BJ91" s="1" t="n">
        <f aca="false">VLOOKUP($K91,Constants!$I:$K, 2, FALSE())</f>
        <v>1.15</v>
      </c>
      <c r="BK91" s="1" t="n">
        <f aca="false">VLOOKUP($K91,Constants!$I:$K, 3, FALSE())*IF(AND(J91="multiple_unit",AE91&lt;110),0.75,1)</f>
        <v>1.7</v>
      </c>
      <c r="BL91" s="20"/>
      <c r="BM91" s="20"/>
      <c r="BN91" s="22"/>
      <c r="BO91" s="22"/>
      <c r="CD91" s="23" t="s">
        <v>343</v>
      </c>
      <c r="CE91" s="1" t="s">
        <v>241</v>
      </c>
      <c r="CF91" s="23" t="str">
        <f aca="false">CONCATENATE(CD91,"_",CE91)</f>
        <v>edw_Express</v>
      </c>
      <c r="CG91" s="23" t="str">
        <f aca="false">_xlfn.CONCAT(K91, "_",L91)</f>
        <v>steam_RAIL</v>
      </c>
      <c r="CH91" s="7" t="str">
        <f aca="false">_xlfn.CONCAT("{BLACK}Length: {GOLD}", TEXT(ROUNDUP(IF(AT91&lt;&gt;"",SUM(VALUE(_xlfn.TEXTSPLIT(AT91, ","))), SUM(VALUE(_xlfn.TEXTSPLIT(AQ91, ",")))*IF(P91, P91, 1))/16, 1), "#,##0.0"), " tiles{}")</f>
        <v>{BLACK}Length: {GOLD}0.0 tiles{}</v>
      </c>
      <c r="CI91" s="1" t="n">
        <f aca="false">VLOOKUP($CG91, Constants!$M:$N, 2, FALSE())</f>
        <v>0</v>
      </c>
      <c r="CJ91" s="1" t="str">
        <f aca="false">IF(P91&gt;1,_xlfn.CONCAT("{BLACK}Cars: {GOLD}", P91),"")</f>
        <v/>
      </c>
      <c r="CL91" s="1" t="str">
        <f aca="false">IF($BX91="!param_no_gameplay_units","{GREEN}Included for gameplay purposes","")</f>
        <v/>
      </c>
      <c r="CM91" s="1" t="str">
        <f aca="false">IF(CA91="buffet","{YELLOW}25% long distance bonus for consist{}",IF(CB91="DANDY","{YELLOW}Faster downhill speeds for horse-drawn trains (1 required per 2 horses){}",IF(CB91="BRAKE","{YELLOW}Speed bonus for slow wagons{}",IF(CB91="NGPassengers","{YELLOW}Preserved railway bonus: passengers pay more when hauled by old locomotives{}",IF(AND(BZ91&gt;190,NOT(AND(L91="NARROW_GAUGE",CB91&lt;&gt;"PASS"))),CONCATENATE("{YELLOW}",INT((BZ91-185)/1.85),"%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{GOLD}0.0 tiles{}{SILVER}</v>
      </c>
    </row>
    <row r="92" customFormat="false" ht="14.25" hidden="false" customHeight="false" outlineLevel="0" collapsed="false">
      <c r="A92" s="1" t="s">
        <v>347</v>
      </c>
      <c r="B92" s="15" t="s">
        <v>348</v>
      </c>
      <c r="C92" s="1" t="n">
        <v>126</v>
      </c>
      <c r="E92" s="1" t="n">
        <v>48</v>
      </c>
      <c r="G92" s="1" t="str">
        <f aca="false">IF($F92&lt;&gt;"",_xlfn.CONCAT(VLOOKUP($CE92, Constants!$T:$U, 2, FALSE()),",",$F92),VLOOKUP($CE92, Constants!$T:$U, 2, FALSE()))</f>
        <v>role/freight</v>
      </c>
      <c r="H92" s="1" t="str">
        <f aca="false">IF($G92&lt;&gt;"",_xlfn.CONCAT(VLOOKUP($CG92, Constants!$M:$P, 4, FALSE()),",",$G92),VLOOKUP($CG92, Constants!$M:$P, 4, FALSE()))</f>
        <v>flag/GB,power/electric,role/freight</v>
      </c>
      <c r="I92" s="1" t="s">
        <v>198</v>
      </c>
      <c r="J92" s="1" t="s">
        <v>206</v>
      </c>
      <c r="K92" s="1" t="s">
        <v>349</v>
      </c>
      <c r="L92" s="1" t="s">
        <v>350</v>
      </c>
      <c r="M92" s="1" t="n">
        <v>1903</v>
      </c>
      <c r="N92" s="1" t="n">
        <v>1904</v>
      </c>
      <c r="O92" s="1" t="n">
        <v>1927</v>
      </c>
      <c r="Q92" s="1" t="n">
        <v>640</v>
      </c>
      <c r="Z92" s="1" t="n">
        <v>57</v>
      </c>
      <c r="AC92" s="1" t="n">
        <v>111</v>
      </c>
      <c r="AD92" s="4" t="n">
        <f aca="false">IF(AND(Z92&gt;0,AC92&gt;0),(AC92/((Z92+AA92)*10)),"")</f>
        <v>0.194736842105263</v>
      </c>
      <c r="AE92" s="1" t="n">
        <v>27</v>
      </c>
      <c r="AF92" s="1" t="n">
        <f aca="false">ROUND(AE92*1.6, 0)</f>
        <v>43</v>
      </c>
      <c r="AI92" s="1" t="n">
        <v>11.56</v>
      </c>
      <c r="AJ92" s="1" t="n">
        <v>11.56</v>
      </c>
      <c r="AL92" s="1" t="n">
        <v>3.93</v>
      </c>
      <c r="AM92" s="5" t="n">
        <v>0</v>
      </c>
      <c r="AN92" s="1" t="str">
        <f aca="false">CONCATENATE(VLOOKUP(AO92, 'Voxel Sizes'!$A$2:$B$18,2,FALSE()),"x",INT(AK92*15), "x", INT(AL92*15))</f>
        <v>120x0x58</v>
      </c>
      <c r="AO92" s="1" t="n">
        <f aca="false">ROUND(15*((AJ92*10)/256),0)</f>
        <v>7</v>
      </c>
      <c r="AQ92" s="1" t="str">
        <f aca="false">CONCATENATE(VLOOKUP(AO92,Constants!$A$2:$C$16,IF(AP92&lt;&gt;"", 3, 2), FALSE()),IF(AP92&lt;&gt;"",CONCATENATE(",",VLOOKUP(AP92,$B:$AQ,42,FALSE())),""))</f>
        <v>2,3,2</v>
      </c>
      <c r="BA92" s="1" t="n">
        <v>30</v>
      </c>
      <c r="BB92" s="16" t="n">
        <f aca="false">IF(O92&lt;&gt;"",MAX(16,(O92-M92)+8),"")</f>
        <v>32</v>
      </c>
      <c r="BE92" s="1" t="n">
        <f aca="false">MIN(AE92/150, 1)*30</f>
        <v>5.4</v>
      </c>
      <c r="BF92" s="1" t="n">
        <f aca="false">MIN(Q92/4000, 1)*20</f>
        <v>3.2</v>
      </c>
      <c r="BG92" s="1" t="n">
        <f aca="false">MIN(AC92/400,1)*20</f>
        <v>5.55</v>
      </c>
      <c r="BH92" s="4" t="n">
        <f aca="false">1-(MAX(M92-1900, 0)/750)</f>
        <v>0.996</v>
      </c>
      <c r="BI92" s="1" t="n">
        <f aca="false">((MAX($P92,1)*MIN($AM92/300,1)))*IF(J92="Wagon",50,10)</f>
        <v>0</v>
      </c>
      <c r="BJ92" s="1" t="n">
        <f aca="false">VLOOKUP($K92,Constants!$I:$K, 2, FALSE())</f>
        <v>0.85</v>
      </c>
      <c r="BK92" s="1" t="n">
        <f aca="false">VLOOKUP($K92,Constants!$I:$K, 3, FALSE())*IF(AND(J92="multiple_unit",AE92&lt;110),0.75,1)</f>
        <v>2.3</v>
      </c>
      <c r="BL92" s="1" t="n">
        <f aca="false">INT(POWER(((Constants!$G$2+$BE92+$BF92+$BG92+$BI92)*$BH92)*$BK92, 1.05))+$BD92</f>
        <v>52</v>
      </c>
      <c r="BM92" s="1" t="n">
        <f aca="false">INT(POWER((((Constants!$G$1+$BE92+$BF92+$BG92+$BI92)*($BH92))*$BJ92),IF($J92="wagon",1,1.2)))+$BC92</f>
        <v>46</v>
      </c>
      <c r="BN92" s="17" t="n">
        <f aca="false">BL92*IF($J92="wagon",62.5,781.25)</f>
        <v>40625</v>
      </c>
      <c r="BO92" s="17" t="n">
        <f aca="false">BM92*IF($J92="wagon",2.73,81.25)</f>
        <v>3737.5</v>
      </c>
      <c r="BY92" s="1" t="n">
        <v>12</v>
      </c>
      <c r="CD92" s="1" t="str">
        <f aca="false">VLOOKUP(M92,Eras!$A$2:$C$10, 2, TRUE())</f>
        <v>edw</v>
      </c>
      <c r="CE92" s="1" t="s">
        <v>351</v>
      </c>
      <c r="CF92" s="1" t="str">
        <f aca="false">CONCATENATE(CD92,"_",CE92)</f>
        <v>edw_Freight (Electric)</v>
      </c>
      <c r="CG92" s="1" t="str">
        <f aca="false">_xlfn.CONCAT(K92, "_",L92)</f>
        <v>electric_ELRL</v>
      </c>
      <c r="CH92" s="7" t="str">
        <f aca="false">_xlfn.CONCAT("{BLACK}Length: {GOLD}", TEXT(ROUNDUP(IF(AT92&lt;&gt;"",SUM(VALUE(_xlfn.TEXTSPLIT(AT92, ","))), SUM(VALUE(_xlfn.TEXTSPLIT(AQ92, ",")))*IF(P92, P92, 1))/16, 1), "#,##0.0"), " tiles{}")</f>
        <v>{BLACK}Length: {GOLD}0.5 tiles{}</v>
      </c>
      <c r="CI92" s="1" t="n">
        <f aca="false">VLOOKUP($CG92, Constants!$M:$N, 2, FALSE())</f>
        <v>0</v>
      </c>
      <c r="CJ92" s="1" t="str">
        <f aca="false">IF(P92&gt;1,_xlfn.CONCAT("{BLACK}Cars: {GOLD}", P92),"")</f>
        <v/>
      </c>
      <c r="CK92" s="1" t="s">
        <v>352</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{GOLD}0.5 tiles{}{SILVER}The LNER ES1 (ES for Electric Shunter) is designed for hauling heavy freight trains on steep inclines.</v>
      </c>
    </row>
    <row r="93" customFormat="false" ht="14.25" hidden="false" customHeight="true" outlineLevel="0" collapsed="false">
      <c r="A93" s="1" t="s">
        <v>353</v>
      </c>
      <c r="B93" s="15" t="s">
        <v>354</v>
      </c>
      <c r="C93" s="1" t="n">
        <v>127</v>
      </c>
      <c r="E93" s="1" t="n">
        <v>49</v>
      </c>
      <c r="G93" s="1" t="str">
        <f aca="false">IF($F93&lt;&gt;"",_xlfn.CONCAT(VLOOKUP($CE93, Constants!$T:$U, 2, FALSE()),",",$F93),VLOOKUP($CE93, Constants!$T:$U, 2, FALSE()))</f>
        <v>role/passenger</v>
      </c>
      <c r="H93" s="1" t="str">
        <f aca="false">IF($G93&lt;&gt;"",_xlfn.CONCAT(VLOOKUP($CG93, Constants!$M:$P, 4, FALSE()),",",$G93),VLOOKUP($CG93, Constants!$M:$P, 4, FALSE()))</f>
        <v>flag/GB,power/steam,role/passenger</v>
      </c>
      <c r="I93" s="1" t="s">
        <v>198</v>
      </c>
      <c r="J93" s="1" t="s">
        <v>206</v>
      </c>
      <c r="K93" s="1" t="s">
        <v>207</v>
      </c>
      <c r="L93" s="1" t="s">
        <v>149</v>
      </c>
      <c r="M93" s="1" t="n">
        <v>1904</v>
      </c>
      <c r="O93" s="1" t="n">
        <v>1962</v>
      </c>
      <c r="Q93" s="1" t="n">
        <v>730</v>
      </c>
      <c r="S93" s="3" t="n">
        <v>18</v>
      </c>
      <c r="T93" s="3" t="n">
        <v>26</v>
      </c>
      <c r="U93" s="3" t="n">
        <v>2</v>
      </c>
      <c r="V93" s="3" t="n">
        <v>160</v>
      </c>
      <c r="W93" s="18" t="n">
        <f aca="false">((($AE93/2)/60)*5280)/($X93*3.2*PI())</f>
        <v>150.451157141557</v>
      </c>
      <c r="X93" s="3" t="n">
        <v>1.6</v>
      </c>
      <c r="Y93" s="3" t="n">
        <f aca="false">((($S93*$S93/4)*PI())*($T93/12)*$U93*$V93*$W93)/(33000*1.1)</f>
        <v>731.25</v>
      </c>
      <c r="Z93" s="1" t="n">
        <v>55</v>
      </c>
      <c r="AC93" s="1" t="n">
        <v>77</v>
      </c>
      <c r="AD93" s="4" t="n">
        <f aca="false">IF(AND(Z93&gt;0,AC93&gt;0),(AC93/((Z93+AA93)*10)),"")</f>
        <v>0.14</v>
      </c>
      <c r="AE93" s="1" t="n">
        <v>55</v>
      </c>
      <c r="AF93" s="1" t="n">
        <f aca="false">ROUND(AE93*1.6, 0)</f>
        <v>88</v>
      </c>
      <c r="AI93" s="1" t="n">
        <v>10.02</v>
      </c>
      <c r="AJ93" s="1" t="n">
        <v>10.02</v>
      </c>
      <c r="AM93" s="5" t="n">
        <v>0</v>
      </c>
      <c r="AN93" s="1" t="str">
        <f aca="false">CONCATENATE(VLOOKUP(AO93, 'Voxel Sizes'!$A$2:$B$18,2,FALSE()),"x",INT(AK93*15), "x", INT(AL93*15))</f>
        <v>102x0x0</v>
      </c>
      <c r="AO93" s="1" t="n">
        <f aca="false">ROUND(15*((AJ93*10)/256),0)</f>
        <v>6</v>
      </c>
      <c r="AQ93" s="1" t="str">
        <f aca="false">CONCATENATE(VLOOKUP(AO93,Constants!$A$2:$C$16,IF(AP93&lt;&gt;"", 3, 2), FALSE()),IF(AP93&lt;&gt;"",CONCATENATE(",",VLOOKUP(AP93,$B:$AQ,42,FALSE())),""))</f>
        <v>2,2,2</v>
      </c>
      <c r="AY93" s="1" t="n">
        <v>1</v>
      </c>
      <c r="BA93" s="1" t="n">
        <v>30</v>
      </c>
      <c r="BB93" s="16" t="n">
        <f aca="false">IF(O93&lt;&gt;"",MAX(16,(O93-M93)+8),"")</f>
        <v>66</v>
      </c>
      <c r="BE93" s="1" t="n">
        <f aca="false">MIN(AE93/150, 1)*30</f>
        <v>11</v>
      </c>
      <c r="BF93" s="1" t="n">
        <f aca="false">MIN(Q93/4000, 1)*20</f>
        <v>3.65</v>
      </c>
      <c r="BG93" s="1" t="n">
        <f aca="false">MIN(AC93/400,1)*20</f>
        <v>3.85</v>
      </c>
      <c r="BH93" s="4" t="n">
        <f aca="false">1-(MAX(M93-1900, 0)/750)</f>
        <v>0.994666666666667</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47</v>
      </c>
      <c r="BM93" s="1" t="n">
        <f aca="false">INT(POWER((((Constants!$G$1+$BE93+$BF93+$BG93+$BI93)*($BH93))*$BJ93),IF($J93="wagon",1,1.2)))+$BC93</f>
        <v>79</v>
      </c>
      <c r="BN93" s="17" t="n">
        <f aca="false">BL93*IF($J93="wagon",62.5,781.25)</f>
        <v>36718.75</v>
      </c>
      <c r="BO93" s="17" t="n">
        <f aca="false">BM93*IF($J93="wagon",2.73,81.25)</f>
        <v>6418.75</v>
      </c>
      <c r="BY93" s="1" t="n">
        <v>1</v>
      </c>
      <c r="CD93" s="1" t="str">
        <f aca="false">VLOOKUP(M93,Eras!$A$2:$C$10, 2, TRUE())</f>
        <v>edw</v>
      </c>
      <c r="CE93" s="1" t="s">
        <v>123</v>
      </c>
      <c r="CF93" s="1" t="str">
        <f aca="false">CONCATENATE(CD93,"_",CE93)</f>
        <v>edw_Passenger</v>
      </c>
      <c r="CG93" s="1" t="str">
        <f aca="false">_xlfn.CONCAT(K93, "_",L93)</f>
        <v>steam_RAIL</v>
      </c>
      <c r="CH93" s="7" t="str">
        <f aca="false">_xlfn.CONCAT("{BLACK}Length: {GOLD}", TEXT(ROUNDUP(IF(AT93&lt;&gt;"",SUM(VALUE(_xlfn.TEXTSPLIT(AT93, ","))), SUM(VALUE(_xlfn.TEXTSPLIT(AQ93, ",")))*IF(P93, P93, 1))/16, 1), "#,##0.0"), " tiles{}")</f>
        <v>{BLACK}Length: {GOLD}0.4 tiles{}</v>
      </c>
      <c r="CI93" s="1" t="n">
        <f aca="false">VLOOKUP($CG93, Constants!$M:$N, 2, FALSE())</f>
        <v>0</v>
      </c>
      <c r="CJ93" s="1" t="str">
        <f aca="false">IF(P93&gt;1,_xlfn.CONCAT("{BLACK}Cars: {GOLD}", P93),"")</f>
        <v/>
      </c>
      <c r="CK93" s="1" t="s">
        <v>355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{GOLD}0.4 tiles{}{SILVER}The South Eastern and Chatham Railway H Class is an 0-4-4T tank engine designed for suburban passenger routes. It was in use until the 1960s.</v>
      </c>
    </row>
    <row r="94" customFormat="false" ht="14.25" hidden="false" customHeight="true" outlineLevel="0" collapsed="false">
      <c r="A94" s="1" t="s">
        <v>356</v>
      </c>
      <c r="B94" s="15" t="s">
        <v>357</v>
      </c>
      <c r="C94" s="1" t="n">
        <v>128</v>
      </c>
      <c r="E94" s="1" t="n">
        <v>50</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198</v>
      </c>
      <c r="J94" s="1" t="s">
        <v>206</v>
      </c>
      <c r="K94" s="1" t="s">
        <v>207</v>
      </c>
      <c r="L94" s="1" t="s">
        <v>149</v>
      </c>
      <c r="M94" s="1" t="n">
        <v>1904</v>
      </c>
      <c r="N94" s="1" t="n">
        <v>1914</v>
      </c>
      <c r="O94" s="1" t="n">
        <v>1955</v>
      </c>
      <c r="Q94" s="1" t="n">
        <v>850</v>
      </c>
      <c r="S94" s="3" t="n">
        <v>17</v>
      </c>
      <c r="T94" s="3" t="n">
        <v>24</v>
      </c>
      <c r="U94" s="3" t="n">
        <v>2</v>
      </c>
      <c r="V94" s="3" t="n">
        <v>180</v>
      </c>
      <c r="W94" s="18" t="n">
        <f aca="false">((($AE94/2)/60)*5280)/($X94*3.2*PI())</f>
        <v>192.577481141193</v>
      </c>
      <c r="X94" s="3" t="n">
        <v>1.25</v>
      </c>
      <c r="Y94" s="3" t="n">
        <f aca="false">((($S94*$S94/4)*PI())*($T94/12)*$U94*$V94*$W94)/(33000*1.1)</f>
        <v>867</v>
      </c>
      <c r="Z94" s="1" t="n">
        <v>63.4</v>
      </c>
      <c r="AC94" s="1" t="n">
        <v>95</v>
      </c>
      <c r="AD94" s="4" t="n">
        <f aca="false">IF(AND(Z94&gt;0,AC94&gt;0),(AC94/((Z94+AA94)*10)),"")</f>
        <v>0.149842271293375</v>
      </c>
      <c r="AE94" s="1" t="n">
        <v>55</v>
      </c>
      <c r="AF94" s="1" t="n">
        <f aca="false">ROUND(AE94*1.6, 0)</f>
        <v>88</v>
      </c>
      <c r="AI94" s="1" t="n">
        <v>11.5</v>
      </c>
      <c r="AJ94" s="1" t="n">
        <v>11.5</v>
      </c>
      <c r="AM94" s="5" t="n">
        <v>0</v>
      </c>
      <c r="AN94" s="1" t="str">
        <f aca="false">CONCATENATE(VLOOKUP(AO94, 'Voxel Sizes'!$A$2:$B$18,2,FALSE()),"x",INT(AK94*15), "x", INT(AL94*15))</f>
        <v>120x0x0</v>
      </c>
      <c r="AO94" s="1" t="n">
        <f aca="false">ROUND(15*((AJ94*10)/256),0)</f>
        <v>7</v>
      </c>
      <c r="AQ94" s="1" t="str">
        <f aca="false">CONCATENATE(VLOOKUP(AO94,Constants!$A$2:$C$16,IF(AP94&lt;&gt;"", 3, 2), FALSE()),IF(AP94&lt;&gt;"",CONCATENATE(",",VLOOKUP(AP94,$B:$AQ,42,FALSE())),""))</f>
        <v>2,3,2</v>
      </c>
      <c r="AY94" s="1" t="n">
        <v>1</v>
      </c>
      <c r="BA94" s="1" t="n">
        <v>38</v>
      </c>
      <c r="BB94" s="16" t="n">
        <f aca="false">IF(O94&lt;&gt;"",MAX(16,(O94-M94)+8),"")</f>
        <v>59</v>
      </c>
      <c r="BE94" s="1" t="n">
        <f aca="false">MIN(AE94/150, 1)*30</f>
        <v>11</v>
      </c>
      <c r="BF94" s="1" t="n">
        <f aca="false">MIN(Q94/4000, 1)*20</f>
        <v>4.25</v>
      </c>
      <c r="BG94" s="1" t="n">
        <f aca="false">MIN(AC94/400,1)*20</f>
        <v>4.75</v>
      </c>
      <c r="BH94" s="4" t="n">
        <f aca="false">1-(MAX(M94-1900, 0)/750)</f>
        <v>0.994666666666667</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50</v>
      </c>
      <c r="BM94" s="1" t="n">
        <f aca="false">INT(POWER((((Constants!$G$1+$BE94+$BF94+$BG94+$BI94)*($BH94))*$BJ94),IF($J94="wagon",1,1.2)))+$BC94</f>
        <v>83</v>
      </c>
      <c r="BN94" s="17" t="n">
        <f aca="false">BL94*IF($J94="wagon",62.5,781.25)</f>
        <v>39062.5</v>
      </c>
      <c r="BO94" s="17" t="n">
        <f aca="false">BM94*IF($J94="wagon",2.73,81.25)</f>
        <v>6743.75</v>
      </c>
      <c r="BY94" s="1" t="n">
        <v>2</v>
      </c>
      <c r="CD94" s="1" t="str">
        <f aca="false">VLOOKUP(M94,Eras!$A$2:$C$10, 2, TRUE())</f>
        <v>edw</v>
      </c>
      <c r="CE94" s="1" t="s">
        <v>129</v>
      </c>
      <c r="CF94" s="1" t="str">
        <f aca="false">CONCATENATE(CD94,"_",CE94)</f>
        <v>edw_Mixed Traffic</v>
      </c>
      <c r="CG94" s="1" t="str">
        <f aca="false">_xlfn.CONCAT(K94, "_",L94)</f>
        <v>steam_RAIL</v>
      </c>
      <c r="CH94" s="7" t="str">
        <f aca="false">_xlfn.CONCAT("{BLACK}Length: {GOLD}", TEXT(ROUNDUP(IF(AT94&lt;&gt;"",SUM(VALUE(_xlfn.TEXTSPLIT(AT94, ","))), SUM(VALUE(_xlfn.TEXTSPLIT(AQ94, ",")))*IF(P94, P94, 1))/16, 1), "#,##0.0"), " tiles{}")</f>
        <v>{BLACK}Length: {GOLD}0.5 tiles{}</v>
      </c>
      <c r="CI94" s="1" t="n">
        <f aca="false">VLOOKUP($CG94, Constants!$M:$N, 2, FALSE())</f>
        <v>0</v>
      </c>
      <c r="CJ94" s="1" t="str">
        <f aca="false">IF(P94&gt;1,_xlfn.CONCAT("{BLACK}Cars: {GOLD}", P94),"")</f>
        <v/>
      </c>
      <c r="CK94" s="1" t="s">
        <v>358</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{GOLD}0.5 tiles{}{SILVER}The GWR "Small Prairie" tank engines were designed for operating branch lines.</v>
      </c>
    </row>
    <row r="95" customFormat="false" ht="14.25" hidden="false" customHeight="false" outlineLevel="0" collapsed="false">
      <c r="A95" s="1" t="s">
        <v>359</v>
      </c>
      <c r="B95" s="15" t="s">
        <v>360</v>
      </c>
      <c r="C95" s="1" t="n">
        <v>129</v>
      </c>
      <c r="E95" s="1" t="n">
        <v>51</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198</v>
      </c>
      <c r="J95" s="1" t="s">
        <v>206</v>
      </c>
      <c r="K95" s="1" t="s">
        <v>207</v>
      </c>
      <c r="L95" s="1" t="s">
        <v>149</v>
      </c>
      <c r="M95" s="1" t="n">
        <v>1906</v>
      </c>
      <c r="N95" s="1" t="n">
        <v>1923</v>
      </c>
      <c r="O95" s="1" t="n">
        <v>1957</v>
      </c>
      <c r="Q95" s="1" t="n">
        <v>1200</v>
      </c>
      <c r="S95" s="3" t="n">
        <v>14.25</v>
      </c>
      <c r="T95" s="3" t="n">
        <v>26</v>
      </c>
      <c r="U95" s="3" t="n">
        <v>4</v>
      </c>
      <c r="V95" s="3" t="n">
        <v>225</v>
      </c>
      <c r="W95" s="18" t="n">
        <f aca="false">((($AE95/2)/60)*5280)/($X95*3.2*PI())</f>
        <v>181.475453403564</v>
      </c>
      <c r="X95" s="3" t="n">
        <v>2.05</v>
      </c>
      <c r="Y95" s="3" t="n">
        <f aca="false">((($S95*$S95/4)*PI())*($T95/12)*$U95*$V95*$W95)/(33000*1.1)</f>
        <v>1554.76761710089</v>
      </c>
      <c r="Z95" s="1" t="n">
        <v>77</v>
      </c>
      <c r="AA95" s="2" t="n">
        <v>40</v>
      </c>
      <c r="AC95" s="1" t="n">
        <v>111</v>
      </c>
      <c r="AD95" s="4" t="n">
        <f aca="false">IF(AND(Z95&gt;0,AC95&gt;0),(AC95/((Z95+AA95)*10)),"")</f>
        <v>0.0948717948717949</v>
      </c>
      <c r="AE95" s="1" t="n">
        <v>85</v>
      </c>
      <c r="AF95" s="1" t="n">
        <f aca="false">ROUND(AE95*1.6, 0)</f>
        <v>136</v>
      </c>
      <c r="AJ95" s="1" t="n">
        <v>12</v>
      </c>
      <c r="AM95" s="5" t="n">
        <v>0</v>
      </c>
      <c r="AN95" s="1" t="str">
        <f aca="false">CONCATENATE(VLOOKUP(AO95, 'Voxel Sizes'!$A$2:$B$18,2,FALSE()),"x",INT(AK95*15), "x", INT(AL95*15))</f>
        <v>120x0x0</v>
      </c>
      <c r="AO95" s="1" t="n">
        <f aca="false">ROUND(15*((AJ95*10)/256),0)</f>
        <v>7</v>
      </c>
      <c r="AP95" s="1" t="s">
        <v>171</v>
      </c>
      <c r="AQ95" s="1" t="str">
        <f aca="false">CONCATENATE(VLOOKUP(AO95,Constants!$A$2:$C$16,IF(AP95&lt;&gt;"", 3, 2), FALSE()),IF(AP95&lt;&gt;"",CONCATENATE(",",VLOOKUP(AP95,$B:$AQ,42,FALSE())),""))</f>
        <v>2,3,2,2,1,2</v>
      </c>
      <c r="AY95" s="1" t="n">
        <v>1</v>
      </c>
      <c r="BA95" s="1" t="n">
        <v>29</v>
      </c>
      <c r="BB95" s="16" t="n">
        <f aca="false">IF(O95&lt;&gt;"",MAX(16,(O95-M95)+8),"")</f>
        <v>59</v>
      </c>
      <c r="BC95" s="1" t="n">
        <v>12</v>
      </c>
      <c r="BD95" s="1" t="n">
        <v>10</v>
      </c>
      <c r="BE95" s="1" t="n">
        <f aca="false">MIN(AE95/150, 1)*30</f>
        <v>17</v>
      </c>
      <c r="BF95" s="1" t="n">
        <f aca="false">MIN(Q95/4000, 1)*20</f>
        <v>6</v>
      </c>
      <c r="BG95" s="1" t="n">
        <f aca="false">MIN(AC95/400,1)*20</f>
        <v>5.55</v>
      </c>
      <c r="BH95" s="4" t="n">
        <f aca="false">1-(MAX(M95-1900, 0)/750)</f>
        <v>0.992</v>
      </c>
      <c r="BI95" s="1"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79</v>
      </c>
      <c r="BM95" s="1" t="n">
        <f aca="false">INT(POWER((((Constants!$G$1+$BE95+$BF95+$BG95+$BI95)*($BH95))*$BJ95),IF($J95="wagon",1,1.2)))+$BC95</f>
        <v>120</v>
      </c>
      <c r="BN95" s="17" t="n">
        <f aca="false">BL95*IF($J95="wagon",62.5,781.25)</f>
        <v>61718.75</v>
      </c>
      <c r="BO95" s="17" t="n">
        <f aca="false">BM95*IF($J95="wagon",2.73,81.25)</f>
        <v>9750</v>
      </c>
      <c r="BY95" s="1" t="n">
        <v>1</v>
      </c>
      <c r="CD95" s="1" t="str">
        <f aca="false">VLOOKUP(M95,Eras!$A$2:$C$10, 2, TRUE())</f>
        <v>edw</v>
      </c>
      <c r="CE95" s="1" t="s">
        <v>241</v>
      </c>
      <c r="CF95" s="1" t="str">
        <f aca="false">CONCATENATE(CD95,"_",CE95)</f>
        <v>edw_Express</v>
      </c>
      <c r="CG95" s="1"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361</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tiles{}{SILVER}The Star class was the first in a string of successful four cylinder express locomotives built by the GWR.</v>
      </c>
    </row>
    <row r="96" customFormat="false" ht="14.25" hidden="false" customHeight="false" outlineLevel="0" collapsed="false">
      <c r="A96" s="1" t="s">
        <v>362</v>
      </c>
      <c r="B96" s="19" t="s">
        <v>363</v>
      </c>
      <c r="C96" s="1" t="n">
        <v>1034</v>
      </c>
      <c r="E96" s="1" t="n">
        <v>52</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198</v>
      </c>
      <c r="J96" s="1" t="s">
        <v>206</v>
      </c>
      <c r="K96" s="1" t="s">
        <v>207</v>
      </c>
      <c r="L96" s="1" t="s">
        <v>149</v>
      </c>
      <c r="M96" s="1" t="n">
        <v>1908</v>
      </c>
      <c r="O96" s="1" t="n">
        <v>1953</v>
      </c>
      <c r="Q96" s="1" t="n">
        <v>1975</v>
      </c>
      <c r="S96" s="3" t="n">
        <v>15</v>
      </c>
      <c r="T96" s="3" t="n">
        <v>26</v>
      </c>
      <c r="U96" s="3" t="n">
        <v>4</v>
      </c>
      <c r="V96" s="3" t="n">
        <v>225</v>
      </c>
      <c r="W96" s="18" t="n">
        <f aca="false">((($AE96/2)/60)*5280)/($X96*3.2*PI())</f>
        <v>207.656540712966</v>
      </c>
      <c r="X96" s="3" t="n">
        <v>1.37</v>
      </c>
      <c r="Y96" s="3" t="n">
        <f aca="false">((($S96*$S96/4)*PI())*($T96/12)*$U96*$V96*$W96)/(33000*1.1)</f>
        <v>1971.26949236894</v>
      </c>
      <c r="Z96" s="1" t="n">
        <v>99</v>
      </c>
      <c r="AA96" s="2" t="n">
        <v>46</v>
      </c>
      <c r="AC96" s="1" t="n">
        <v>124</v>
      </c>
      <c r="AD96" s="4" t="n">
        <f aca="false">IF(AND(Z96&gt;0,AC96&gt;0),(AC96/((Z96+AA96)*10)),"")</f>
        <v>0.0855172413793103</v>
      </c>
      <c r="AE96" s="1" t="n">
        <v>65</v>
      </c>
      <c r="AF96" s="1" t="n">
        <f aca="false">ROUND(AE96*1.6, 0)</f>
        <v>104</v>
      </c>
      <c r="AI96" s="1" t="n">
        <v>23</v>
      </c>
      <c r="AJ96" s="1" t="n">
        <v>14</v>
      </c>
      <c r="AN96" s="16" t="s">
        <v>364</v>
      </c>
      <c r="AO96" s="16" t="n">
        <f aca="false">ROUND(15*((AJ96*10)/256),0)</f>
        <v>8</v>
      </c>
      <c r="AP96" s="1" t="s">
        <v>171</v>
      </c>
      <c r="AQ96" s="1" t="str">
        <f aca="false">CONCATENATE(VLOOKUP(AO96,Constants!$A$2:$C$16,IF(AP96&lt;&gt;"", 3, 2), FALSE()),IF(AP96&lt;&gt;"",CONCATENATE(",",VLOOKUP(AP96,$B:$AQ,42,FALSE())),""))</f>
        <v>2,4,2,2,1,2</v>
      </c>
      <c r="AY96" s="1" t="n">
        <v>1</v>
      </c>
      <c r="BA96" s="1" t="n">
        <v>26</v>
      </c>
      <c r="BB96" s="16" t="n">
        <f aca="false">IF(O96&lt;&gt;"",MAX(16,(O96-M96)+8),"")</f>
        <v>53</v>
      </c>
      <c r="BC96" s="1" t="n">
        <v>10</v>
      </c>
      <c r="BD96" s="1" t="n">
        <v>10</v>
      </c>
      <c r="BE96" s="20" t="n">
        <f aca="false">MIN(AE96/150, 1)*30</f>
        <v>13</v>
      </c>
      <c r="BF96" s="20" t="n">
        <f aca="false">MIN(Q96/4000, 1)*20</f>
        <v>9.875</v>
      </c>
      <c r="BG96" s="20" t="n">
        <f aca="false">MIN(AC96/400,1)*20</f>
        <v>6.2</v>
      </c>
      <c r="BH96" s="21" t="n">
        <f aca="false">1-(MAX(M96-1900, 0)/750)</f>
        <v>0.989333333333333</v>
      </c>
      <c r="BI96" s="20" t="n">
        <f aca="false">((MAX($P96,1)*MIN($AM96/300,1)))*IF(J96="Wagon",50,10)</f>
        <v>0</v>
      </c>
      <c r="BJ96" s="1" t="n">
        <f aca="false">VLOOKUP($K96,Constants!$I:$K, 2, FALSE())</f>
        <v>1.15</v>
      </c>
      <c r="BK96" s="1" t="n">
        <f aca="false">VLOOKUP($K96,Constants!$I:$K, 3, FALSE())*IF(AND(J96="multiple_unit",AE96&lt;110),0.75,1)</f>
        <v>1.7</v>
      </c>
      <c r="BL96" s="20" t="n">
        <v>80</v>
      </c>
      <c r="BM96" s="20" t="n">
        <v>119</v>
      </c>
      <c r="BN96" s="22" t="n">
        <f aca="false">BL96*IF($J96="wagon",62.5,781.25)</f>
        <v>62500</v>
      </c>
      <c r="BO96" s="22" t="n">
        <f aca="false">BM96*IF($J96="wagon",2.73,81.25)</f>
        <v>9668.75</v>
      </c>
      <c r="BY96" s="1" t="n">
        <v>2</v>
      </c>
      <c r="CD96" s="23" t="s">
        <v>343</v>
      </c>
      <c r="CE96" s="1" t="s">
        <v>241</v>
      </c>
      <c r="CF96" s="23" t="str">
        <f aca="false">CONCATENATE(CD96,"_",CE96)</f>
        <v>edw_Express</v>
      </c>
      <c r="CG96" s="23" t="str">
        <f aca="false">_xlfn.CONCAT(K96, "_",L96)</f>
        <v>steam_RAIL</v>
      </c>
      <c r="CH96" s="7" t="str">
        <f aca="false">_xlfn.CONCAT("{BLACK}Length: {GOLD}", TEXT(ROUNDUP(IF(AT96&lt;&gt;"",SUM(VALUE(_xlfn.TEXTSPLIT(AT96, ","))), SUM(VALUE(_xlfn.TEXTSPLIT(AQ96, ",")))*IF(P96, P96, 1))/16, 1), "#,##0.0"), " tiles{}")</f>
        <v>{BLACK}Length: {GOLD}0.9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consist{}",IF(CB96="DANDY","{YELLOW}Faster downhill speeds for horse-drawn trains (1 required per 2 horses){}",IF(CB96="BRAKE","{YELLOW}Speed bonus for slow wagons{}",IF(CB96="NGPassengers","{YELLOW}Preserved railway bonus: passengers pay more when hauled by old locomotives{}",IF(AND(BZ96&gt;190,NOT(AND(L96="NARROW_GAUGE",CB96&lt;&gt;"PASS"))),CONCATENATE("{YELLOW}",INT((BZ96-185)/1.85),"%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{GOLD}0.9 tiles{}{SILVER}The Great Bear was a single locomotive, the first 4-6-2 "Pacific" type built in the UK, which served as the GWR's flagship until 1922 despite disappointing performance and low route availability.</v>
      </c>
    </row>
    <row r="97" customFormat="false" ht="14.25" hidden="false" customHeight="false" outlineLevel="0" collapsed="false">
      <c r="A97" s="1" t="s">
        <v>366</v>
      </c>
      <c r="B97" s="15" t="s">
        <v>367</v>
      </c>
      <c r="C97" s="1" t="n">
        <v>130</v>
      </c>
      <c r="E97" s="1" t="n">
        <v>53</v>
      </c>
      <c r="G97" s="1" t="str">
        <f aca="false">IF($F97&lt;&gt;"",_xlfn.CONCAT(VLOOKUP($CE97, Constants!$T:$U, 2, FALSE()),",",$F97),VLOOKUP($CE97, Constants!$T:$U, 2, FALSE()))</f>
        <v>role/passenger</v>
      </c>
      <c r="H97" s="1" t="str">
        <f aca="false">IF($G97&lt;&gt;"",_xlfn.CONCAT(VLOOKUP($CG97, Constants!$M:$P, 4, FALSE()),",",$G97),VLOOKUP($CG97, Constants!$M:$P, 4, FALSE()))</f>
        <v>flag/GB,power/steam,role/passenger</v>
      </c>
      <c r="I97" s="1" t="s">
        <v>198</v>
      </c>
      <c r="J97" s="1" t="s">
        <v>206</v>
      </c>
      <c r="K97" s="1" t="s">
        <v>207</v>
      </c>
      <c r="L97" s="1" t="s">
        <v>149</v>
      </c>
      <c r="M97" s="1" t="n">
        <v>1911</v>
      </c>
      <c r="N97" s="1" t="n">
        <v>1926</v>
      </c>
      <c r="O97" s="1" t="n">
        <v>1960</v>
      </c>
      <c r="Q97" s="1" t="n">
        <v>850</v>
      </c>
      <c r="S97" s="3" t="n">
        <v>20</v>
      </c>
      <c r="T97" s="3" t="n">
        <v>26</v>
      </c>
      <c r="U97" s="3" t="n">
        <v>2</v>
      </c>
      <c r="V97" s="3" t="n">
        <v>180</v>
      </c>
      <c r="W97" s="18" t="n">
        <f aca="false">((($AE97/2)/60)*5280)/($X97*3.2*PI())</f>
        <v>128.728262794915</v>
      </c>
      <c r="X97" s="3" t="n">
        <v>1.7</v>
      </c>
      <c r="Y97" s="3" t="n">
        <f aca="false">((($S97*$S97/4)*PI())*($T97/12)*$U97*$V97*$W97)/(33000*1.1)</f>
        <v>868.983957219251</v>
      </c>
      <c r="Z97" s="1" t="n">
        <v>87</v>
      </c>
      <c r="AC97" s="1" t="n">
        <v>106</v>
      </c>
      <c r="AD97" s="4" t="n">
        <f aca="false">IF(AND(Z97&gt;0,AC97&gt;0),(AC97/((Z97+AA97)*10)),"")</f>
        <v>0.12183908045977</v>
      </c>
      <c r="AE97" s="1" t="n">
        <v>50</v>
      </c>
      <c r="AF97" s="1" t="n">
        <f aca="false">ROUND(AE97*1.6, 0)</f>
        <v>80</v>
      </c>
      <c r="AI97" s="1" t="n">
        <v>13.1</v>
      </c>
      <c r="AJ97" s="1" t="n">
        <v>13.1</v>
      </c>
      <c r="AM97" s="5" t="n">
        <v>0</v>
      </c>
      <c r="AN97" s="1" t="str">
        <f aca="false">CONCATENATE(VLOOKUP(AO97, 'Voxel Sizes'!$A$2:$B$18,2,FALSE()),"x",INT(AK97*15), "x", INT(AL97*15))</f>
        <v>136x0x0</v>
      </c>
      <c r="AO97" s="1" t="n">
        <f aca="false">ROUND(15*((AJ97*10)/256),0)</f>
        <v>8</v>
      </c>
      <c r="AQ97" s="1" t="str">
        <f aca="false">CONCATENATE(VLOOKUP(AO97,Constants!$A$2:$C$16,IF(AP97&lt;&gt;"", 3, 2), FALSE()),IF(AP97&lt;&gt;"",CONCATENATE(",",VLOOKUP(AP97,$B:$AQ,42,FALSE())),""))</f>
        <v>2,4,2</v>
      </c>
      <c r="AY97" s="1" t="n">
        <v>1</v>
      </c>
      <c r="BA97" s="1" t="n">
        <v>32</v>
      </c>
      <c r="BB97" s="16" t="n">
        <f aca="false">IF(O97&lt;&gt;"",MAX(16,(O97-M97)+8),"")</f>
        <v>57</v>
      </c>
      <c r="BE97" s="1" t="n">
        <f aca="false">MIN(AE97/150, 1)*30</f>
        <v>10</v>
      </c>
      <c r="BF97" s="1" t="n">
        <f aca="false">MIN(Q97/4000, 1)*20</f>
        <v>4.25</v>
      </c>
      <c r="BG97" s="1" t="n">
        <f aca="false">MIN(AC97/400,1)*20</f>
        <v>5.3</v>
      </c>
      <c r="BH97" s="4" t="n">
        <f aca="false">1-(MAX(M97-1900, 0)/750)</f>
        <v>0.985333333333333</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49</v>
      </c>
      <c r="BM97" s="1" t="n">
        <f aca="false">INT(POWER((((Constants!$G$1+$BE97+$BF97+$BG97+$BI97)*($BH97))*$BJ97),IF($J97="wagon",1,1.2)))+$BC97</f>
        <v>81</v>
      </c>
      <c r="BN97" s="17" t="n">
        <f aca="false">BL97*IF($J97="wagon",62.5,781.25)</f>
        <v>38281.25</v>
      </c>
      <c r="BO97" s="17" t="n">
        <f aca="false">BM97*IF($J97="wagon",2.73,81.25)</f>
        <v>6581.25</v>
      </c>
      <c r="BY97" s="1" t="n">
        <v>3</v>
      </c>
      <c r="CD97" s="1" t="str">
        <f aca="false">VLOOKUP(M97,Eras!$A$2:$C$10, 2, TRUE())</f>
        <v>edw</v>
      </c>
      <c r="CE97" s="1" t="s">
        <v>123</v>
      </c>
      <c r="CF97" s="1" t="str">
        <f aca="false">CONCATENATE(CD97,"_",CE97)</f>
        <v>edw_Passenger</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GCR 9N (later LNER A5) is a 4-6-2 tank locomotive designed for suburban passenger services.</v>
      </c>
    </row>
    <row r="98" customFormat="false" ht="14.25" hidden="false" customHeight="false" outlineLevel="0" collapsed="false">
      <c r="A98" s="1" t="s">
        <v>369</v>
      </c>
      <c r="B98" s="15" t="s">
        <v>370</v>
      </c>
      <c r="C98" s="1" t="n">
        <v>131</v>
      </c>
      <c r="E98" s="1" t="n">
        <v>54</v>
      </c>
      <c r="G98" s="1" t="str">
        <f aca="false">IF($F98&lt;&gt;"",_xlfn.CONCAT(VLOOKUP($CE98, Constants!$T:$U, 2, FALSE()),",",$F98),VLOOKUP($CE98, Constants!$T:$U, 2, FALSE()))</f>
        <v>role/freight</v>
      </c>
      <c r="H98" s="1" t="str">
        <f aca="false">IF($G98&lt;&gt;"",_xlfn.CONCAT(VLOOKUP($CG98, Constants!$M:$P, 4, FALSE()),",",$G98),VLOOKUP($CG98, Constants!$M:$P, 4, FALSE()))</f>
        <v>flag/GB,power/steam,role/freight</v>
      </c>
      <c r="I98" s="1" t="s">
        <v>198</v>
      </c>
      <c r="J98" s="1" t="s">
        <v>206</v>
      </c>
      <c r="K98" s="1" t="s">
        <v>207</v>
      </c>
      <c r="L98" s="1" t="s">
        <v>149</v>
      </c>
      <c r="M98" s="1" t="n">
        <v>1911</v>
      </c>
      <c r="N98" s="1" t="n">
        <v>1914</v>
      </c>
      <c r="O98" s="1" t="n">
        <v>1966</v>
      </c>
      <c r="Q98" s="1" t="n">
        <v>1250</v>
      </c>
      <c r="S98" s="3" t="n">
        <v>21</v>
      </c>
      <c r="T98" s="3" t="n">
        <v>26</v>
      </c>
      <c r="U98" s="3" t="n">
        <v>2</v>
      </c>
      <c r="V98" s="3" t="n">
        <v>180</v>
      </c>
      <c r="W98" s="18" t="n">
        <f aca="false">((($AE98/2)/60)*5280)/($X98*3.2*PI())</f>
        <v>123.289040423299</v>
      </c>
      <c r="X98" s="3" t="n">
        <v>1.42</v>
      </c>
      <c r="Y98" s="3" t="n">
        <f aca="false">((($S98*$S98/4)*PI())*($T98/12)*$U98*$V98*$W98)/(33000*1.1)</f>
        <v>917.573623559539</v>
      </c>
      <c r="Z98" s="1" t="n">
        <v>75</v>
      </c>
      <c r="AA98" s="2" t="n">
        <v>42</v>
      </c>
      <c r="AC98" s="1" t="n">
        <v>139</v>
      </c>
      <c r="AD98" s="4" t="n">
        <f aca="false">IF(AND(Z98&gt;0,AC98&gt;0),(AC98/((Z98+AA98)*10)),"")</f>
        <v>0.118803418803419</v>
      </c>
      <c r="AE98" s="1" t="n">
        <v>40</v>
      </c>
      <c r="AF98" s="1" t="n">
        <f aca="false">ROUND(AE98*1.6, 0)</f>
        <v>64</v>
      </c>
      <c r="AI98" s="1" t="n">
        <v>18.81</v>
      </c>
      <c r="AJ98" s="1" t="n">
        <v>11.31</v>
      </c>
      <c r="AM98" s="5" t="n">
        <v>0</v>
      </c>
      <c r="AN98" s="1" t="str">
        <f aca="false">CONCATENATE(VLOOKUP(AO98, 'Voxel Sizes'!$A$2:$B$18,2,FALSE()),"x",INT(AK98*15), "x", INT(AL98*15))</f>
        <v>120x0x0</v>
      </c>
      <c r="AO98" s="1" t="n">
        <f aca="false">ROUND(15*((AJ98*10)/256),0)</f>
        <v>7</v>
      </c>
      <c r="AP98" s="1" t="s">
        <v>169</v>
      </c>
      <c r="AQ98" s="1" t="str">
        <f aca="false">CONCATENATE(VLOOKUP(AO98,Constants!$A$2:$C$16,IF(AP98&lt;&gt;"", 3, 2), FALSE()),IF(AP98&lt;&gt;"",CONCATENATE(",",VLOOKUP(AP98,$B:$AQ,42,FALSE())),""))</f>
        <v>2,3,2,2,1,2</v>
      </c>
      <c r="AY98" s="1" t="n">
        <v>1</v>
      </c>
      <c r="BA98" s="1" t="n">
        <v>34</v>
      </c>
      <c r="BB98" s="16" t="n">
        <f aca="false">IF(O98&lt;&gt;"",MAX(16,(O98-M98)+8),"")</f>
        <v>63</v>
      </c>
      <c r="BE98" s="1" t="n">
        <f aca="false">MIN(AE98/150, 1)*30</f>
        <v>8</v>
      </c>
      <c r="BF98" s="1" t="n">
        <f aca="false">MIN(Q98/4000, 1)*20</f>
        <v>6.25</v>
      </c>
      <c r="BG98" s="1" t="n">
        <f aca="false">MIN(AC98/400,1)*20</f>
        <v>6.95</v>
      </c>
      <c r="BH98" s="4" t="n">
        <f aca="false">1-(MAX(M98-1900, 0)/750)</f>
        <v>0.985333333333333</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53</v>
      </c>
      <c r="BM98" s="1" t="n">
        <f aca="false">INT(POWER((((Constants!$G$1+$BE98+$BF98+$BG98+$BI98)*($BH98))*$BJ98),IF($J98="wagon",1,1.2)))+$BC98</f>
        <v>86</v>
      </c>
      <c r="BN98" s="17" t="n">
        <f aca="false">BL98*IF($J98="wagon",62.5,781.25)</f>
        <v>41406.25</v>
      </c>
      <c r="BO98" s="17" t="n">
        <f aca="false">BM98*IF($J98="wagon",2.73,81.25)</f>
        <v>6987.5</v>
      </c>
      <c r="BY98" s="1" t="n">
        <v>4</v>
      </c>
      <c r="CD98" s="1" t="str">
        <f aca="false">VLOOKUP(M98,Eras!$A$2:$C$10, 2, TRUE())</f>
        <v>edw</v>
      </c>
      <c r="CE98" s="1" t="s">
        <v>132</v>
      </c>
      <c r="CF98" s="1" t="str">
        <f aca="false">CONCATENATE(CD98,"_",CE98)</f>
        <v>edw_Freight</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Robinson 8K is a heavy freight engine based on earlier 0-8-0 designs, with a front pony truck to improve the ride and axle loads at the front of the locomotive.</v>
      </c>
    </row>
    <row r="99" customFormat="false" ht="14.25" hidden="false" customHeight="false" outlineLevel="0" collapsed="false">
      <c r="A99" s="1" t="s">
        <v>372</v>
      </c>
      <c r="B99" s="15" t="s">
        <v>373</v>
      </c>
      <c r="C99" s="1" t="n">
        <v>133</v>
      </c>
      <c r="E99" s="1" t="n">
        <v>55</v>
      </c>
      <c r="G99" s="1" t="str">
        <f aca="false">IF($F99&lt;&gt;"",_xlfn.CONCAT(VLOOKUP($CE99, Constants!$T:$U, 2, FALSE()),",",$F99),VLOOKUP($CE99, Constants!$T:$U, 2, FALSE()))</f>
        <v>role/freight</v>
      </c>
      <c r="H99" s="1" t="str">
        <f aca="false">IF($G99&lt;&gt;"",_xlfn.CONCAT(VLOOKUP($CG99, Constants!$M:$P, 4, FALSE()),",",$G99),VLOOKUP($CG99, Constants!$M:$P, 4, FALSE()))</f>
        <v>flag/GB,power/steam,role/freight</v>
      </c>
      <c r="I99" s="1" t="s">
        <v>198</v>
      </c>
      <c r="J99" s="1" t="s">
        <v>206</v>
      </c>
      <c r="K99" s="1" t="s">
        <v>207</v>
      </c>
      <c r="L99" s="1" t="s">
        <v>149</v>
      </c>
      <c r="M99" s="1" t="n">
        <v>1912</v>
      </c>
      <c r="O99" s="1" t="n">
        <v>1962</v>
      </c>
      <c r="Q99" s="1" t="n">
        <v>1050</v>
      </c>
      <c r="S99" s="3" t="n">
        <v>20</v>
      </c>
      <c r="T99" s="3" t="n">
        <v>26</v>
      </c>
      <c r="U99" s="3" t="n">
        <v>2</v>
      </c>
      <c r="V99" s="3" t="n">
        <v>180</v>
      </c>
      <c r="W99" s="18" t="n">
        <f aca="false">((($AE99/2)/60)*5280)/($X99*3.2*PI())</f>
        <v>141.601089074407</v>
      </c>
      <c r="X99" s="3" t="n">
        <v>1.7</v>
      </c>
      <c r="Y99" s="3" t="n">
        <f aca="false">((($S99*$S99/4)*PI())*($T99/12)*$U99*$V99*$W99)/(33000*1.1)</f>
        <v>955.882352941177</v>
      </c>
      <c r="Z99" s="1" t="n">
        <v>61</v>
      </c>
      <c r="AC99" s="1" t="n">
        <v>104</v>
      </c>
      <c r="AD99" s="4" t="n">
        <f aca="false">IF(AND(Z99&gt;0,AC99&gt;0),(AC99/((Z99+AA99)*10)),"")</f>
        <v>0.170491803278689</v>
      </c>
      <c r="AE99" s="1" t="n">
        <v>55</v>
      </c>
      <c r="AF99" s="1" t="n">
        <f aca="false">ROUND(AE99*1.6, 0)</f>
        <v>88</v>
      </c>
      <c r="AI99" s="1" t="n">
        <v>14.4</v>
      </c>
      <c r="AJ99" s="1" t="n">
        <v>10</v>
      </c>
      <c r="AM99" s="5" t="n">
        <v>0</v>
      </c>
      <c r="AN99" s="1" t="str">
        <f aca="false">CONCATENATE(VLOOKUP(AO99, 'Voxel Sizes'!$A$2:$B$18,2,FALSE()),"x",INT(AK99*15), "x", INT(AL99*15))</f>
        <v>102x0x0</v>
      </c>
      <c r="AO99" s="1" t="n">
        <f aca="false">ROUND(15*((AJ99*10)/256),0)</f>
        <v>6</v>
      </c>
      <c r="AP99" s="1" t="s">
        <v>175</v>
      </c>
      <c r="AQ99" s="1" t="str">
        <f aca="false">CONCATENATE(VLOOKUP(AO99,Constants!$A$2:$C$16,IF(AP99&lt;&gt;"", 3, 2), FALSE()),IF(AP99&lt;&gt;"",CONCATENATE(",",VLOOKUP(AP99,$B:$AQ,42,FALSE())),""))</f>
        <v>2,2,2,2,1,2</v>
      </c>
      <c r="AY99" s="1" t="n">
        <v>1</v>
      </c>
      <c r="BA99" s="1" t="n">
        <v>30</v>
      </c>
      <c r="BB99" s="16" t="n">
        <f aca="false">IF(O99&lt;&gt;"",MAX(16,(O99-M99)+8),"")</f>
        <v>58</v>
      </c>
      <c r="BC99" s="1" t="n">
        <v>5</v>
      </c>
      <c r="BE99" s="1" t="n">
        <f aca="false">MIN(AE99/150, 1)*30</f>
        <v>11</v>
      </c>
      <c r="BF99" s="1" t="n">
        <f aca="false">MIN(Q99/4000, 1)*20</f>
        <v>5.25</v>
      </c>
      <c r="BG99" s="1" t="n">
        <f aca="false">MIN(AC99/400,1)*20</f>
        <v>5.2</v>
      </c>
      <c r="BH99" s="4" t="n">
        <f aca="false">1-(MAX(M99-1900, 0)/750)</f>
        <v>0.984</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53</v>
      </c>
      <c r="BM99" s="1" t="n">
        <f aca="false">INT(POWER((((Constants!$G$1+$BE99+$BF99+$BG99+$BI99)*($BH99))*$BJ99),IF($J99="wagon",1,1.2)))+$BC99</f>
        <v>91</v>
      </c>
      <c r="BN99" s="17" t="n">
        <f aca="false">BL99*IF($J99="wagon",62.5,781.25)</f>
        <v>41406.25</v>
      </c>
      <c r="BO99" s="17" t="n">
        <f aca="false">BM99*IF($J99="wagon",2.73,81.25)</f>
        <v>7393.75</v>
      </c>
      <c r="BY99" s="1" t="n">
        <v>5</v>
      </c>
      <c r="CD99" s="1" t="str">
        <f aca="false">VLOOKUP(M99,Eras!$A$2:$C$10, 2, TRUE())</f>
        <v>edw</v>
      </c>
      <c r="CE99" s="1" t="s">
        <v>132</v>
      </c>
      <c r="CF99" s="1" t="str">
        <f aca="false">CONCATENATE(CD99,"_",CE99)</f>
        <v>edw_Freight</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374</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{GOLD}0.7 tiles{}{SILVER}The Gresley K2 is a freight engine, designed for the GNR which had been using passenger engines to haul goods trains.</v>
      </c>
    </row>
    <row r="100" customFormat="false" ht="14.25" hidden="false" customHeight="false" outlineLevel="0" collapsed="false">
      <c r="A100" s="1" t="s">
        <v>375</v>
      </c>
      <c r="B100" s="19" t="s">
        <v>376</v>
      </c>
      <c r="C100" s="1" t="n">
        <v>1035</v>
      </c>
      <c r="E100" s="1" t="n">
        <v>56</v>
      </c>
      <c r="G100" s="1" t="str">
        <f aca="false">IF($F100&lt;&gt;"",_xlfn.CONCAT(VLOOKUP($CE100, Constants!$T:$U, 2, FALSE()),",",$F100),VLOOKUP($CE100, Constants!$T:$U, 2, FALSE()))</f>
        <v>role/express_passenger</v>
      </c>
      <c r="H100" s="1" t="str">
        <f aca="false">IF($G100&lt;&gt;"",_xlfn.CONCAT(VLOOKUP($CG100, Constants!$M:$P, 4, FALSE()),",",$G100),VLOOKUP($CG100, Constants!$M:$P, 4, FALSE()))</f>
        <v>flag/GB,power/steam,role/express_passenger</v>
      </c>
      <c r="I100" s="1" t="s">
        <v>198</v>
      </c>
      <c r="J100" s="1" t="s">
        <v>206</v>
      </c>
      <c r="K100" s="1" t="s">
        <v>207</v>
      </c>
      <c r="L100" s="1" t="s">
        <v>149</v>
      </c>
      <c r="M100" s="1" t="n">
        <v>1913</v>
      </c>
      <c r="O100" s="1" t="n">
        <v>1949</v>
      </c>
      <c r="Q100" s="1" t="n">
        <v>1600</v>
      </c>
      <c r="S100" s="3" t="n">
        <v>15.75</v>
      </c>
      <c r="T100" s="3" t="n">
        <v>26</v>
      </c>
      <c r="U100" s="3" t="n">
        <v>4</v>
      </c>
      <c r="V100" s="3" t="n">
        <v>175</v>
      </c>
      <c r="W100" s="18" t="n">
        <f aca="false">((($AE100/2)/60)*5280)/($X100*3.2*PI())</f>
        <v>177.205442735244</v>
      </c>
      <c r="X100" s="3" t="n">
        <v>2.05</v>
      </c>
      <c r="Y100" s="3" t="n">
        <f aca="false">((($S100*$S100/4)*PI())*($T100/12)*$U100*$V100*$W100)/(33000*1.1)</f>
        <v>1442.48588206763</v>
      </c>
      <c r="Z100" s="1" t="n">
        <v>79</v>
      </c>
      <c r="AA100" s="2" t="n">
        <v>35</v>
      </c>
      <c r="AB100" s="1" t="n">
        <v>5</v>
      </c>
      <c r="AC100" s="1" t="n">
        <v>120</v>
      </c>
      <c r="AD100" s="4" t="n">
        <f aca="false">IF(AND(Z100&gt;0,AC100&gt;0),(AC100/((Z100+AA100)*10)),"")</f>
        <v>0.105263157894737</v>
      </c>
      <c r="AE100" s="1" t="n">
        <v>83</v>
      </c>
      <c r="AF100" s="1" t="n">
        <f aca="false">ROUND(AE100*1.6, 0)</f>
        <v>133</v>
      </c>
      <c r="AI100" s="1" t="n">
        <v>12</v>
      </c>
      <c r="AJ100" s="1" t="n">
        <v>12</v>
      </c>
      <c r="AN100" s="16" t="s">
        <v>280</v>
      </c>
      <c r="AO100" s="16" t="n">
        <f aca="false">ROUND(15*((AJ100*10)/256),0)</f>
        <v>7</v>
      </c>
      <c r="AP100" s="1" t="s">
        <v>288</v>
      </c>
      <c r="AQ100" s="1" t="str">
        <f aca="false">CONCATENATE(VLOOKUP(AO100,Constants!$A$2:$C$16,IF(AP100&lt;&gt;"", 3, 2), FALSE()),IF(AP100&lt;&gt;"",CONCATENATE(",",VLOOKUP(AP100,$B:$AQ,42,FALSE())),""))</f>
        <v>2,3,2,2,1,2</v>
      </c>
      <c r="AY100" s="1" t="n">
        <v>1</v>
      </c>
      <c r="BA100" s="1" t="n">
        <v>26</v>
      </c>
      <c r="BB100" s="16" t="n">
        <f aca="false">IF(O100&lt;&gt;"",MAX(16,(O100-M100)+8),"")</f>
        <v>44</v>
      </c>
      <c r="BC100" s="1" t="n">
        <v>3</v>
      </c>
      <c r="BE100" s="20" t="n">
        <f aca="false">MIN(AE100/150, 1)*30</f>
        <v>16.6</v>
      </c>
      <c r="BF100" s="20" t="n">
        <f aca="false">MIN(Q100/4000, 1)*20</f>
        <v>8</v>
      </c>
      <c r="BG100" s="20" t="n">
        <f aca="false">MIN(AC100/400,1)*20</f>
        <v>6</v>
      </c>
      <c r="BH100" s="21" t="n">
        <f aca="false">1-(MAX(M100-1900, 0)/750)</f>
        <v>0.982666666666667</v>
      </c>
      <c r="BI100" s="20" t="n">
        <f aca="false">((MAX($P100,1)*MIN($AM100/300,1)))*IF(J100="Wagon",50,10)</f>
        <v>0</v>
      </c>
      <c r="BJ100" s="1" t="n">
        <f aca="false">VLOOKUP($K100,Constants!$I:$K, 2, FALSE())</f>
        <v>1.15</v>
      </c>
      <c r="BK100" s="1" t="n">
        <f aca="false">VLOOKUP($K100,Constants!$I:$K, 3, FALSE())*IF(AND(J100="multiple_unit",AE100&lt;110),0.75,1)</f>
        <v>1.7</v>
      </c>
      <c r="BL100" s="20" t="n">
        <v>72</v>
      </c>
      <c r="BM100" s="20" t="n">
        <v>116</v>
      </c>
      <c r="BN100" s="22" t="n">
        <f aca="false">BL100*IF($J100="wagon",62.5,781.25)</f>
        <v>56250</v>
      </c>
      <c r="BO100" s="22" t="n">
        <f aca="false">BM100*IF($J100="wagon",2.73,81.25)</f>
        <v>9425</v>
      </c>
      <c r="BY100" s="1" t="n">
        <v>3</v>
      </c>
      <c r="CD100" s="23" t="s">
        <v>343</v>
      </c>
      <c r="CE100" s="1" t="s">
        <v>241</v>
      </c>
      <c r="CF100" s="23" t="str">
        <f aca="false">CONCATENATE(CD100,"_",CE100)</f>
        <v>edw_Express</v>
      </c>
      <c r="CG100" s="23" t="str">
        <f aca="false">_xlfn.CONCAT(K100, "_",L100)</f>
        <v>steam_RAIL</v>
      </c>
      <c r="CH100" s="7" t="str">
        <f aca="false">_xlfn.CONCAT("{BLACK}Length: {GOLD}", TEXT(ROUNDUP(IF(AT100&lt;&gt;"",SUM(VALUE(_xlfn.TEXTSPLIT(AT100, ","))), SUM(VALUE(_xlfn.TEXTSPLIT(AQ100, ",")))*IF(P100, P100, 1))/16, 1), "#,##0.0"), " tiles{}")</f>
        <v>{BLACK}Length: {GOLD}0.8 tiles{}</v>
      </c>
      <c r="CI100" s="1" t="n">
        <f aca="false">VLOOKUP($CG100, Constants!$M:$N, 2, FALSE())</f>
        <v>0</v>
      </c>
      <c r="CJ100" s="1" t="str">
        <f aca="false">IF(P100&gt;1,_xlfn.CONCAT("{BLACK}Cars: {GOLD}", P100),"")</f>
        <v/>
      </c>
      <c r="CK100" s="1" t="s">
        <v>377</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{GOLD}0.8 tiles{}{SILVER}The Claughton Class, named after the LNWR's chairman at the time, was unfortunately compromised by the Crewe works being unable to build a large boiler.</v>
      </c>
    </row>
    <row r="101" customFormat="false" ht="14.25" hidden="false" customHeight="false" outlineLevel="0" collapsed="false">
      <c r="A101" s="1" t="s">
        <v>378</v>
      </c>
      <c r="B101" s="15" t="s">
        <v>379</v>
      </c>
      <c r="C101" s="1" t="n">
        <v>135</v>
      </c>
      <c r="E101" s="1" t="n">
        <v>57</v>
      </c>
      <c r="G101" s="1" t="str">
        <f aca="false">IF($F101&lt;&gt;"",_xlfn.CONCAT(VLOOKUP($CE101, Constants!$T:$U, 2, FALSE()),",",$F101),VLOOKUP($CE101, Constants!$T:$U, 2, FALSE()))</f>
        <v>role/freight</v>
      </c>
      <c r="H101" s="1" t="str">
        <f aca="false">IF($G101&lt;&gt;"",_xlfn.CONCAT(VLOOKUP($CG101, Constants!$M:$P, 4, FALSE()),",",$G101),VLOOKUP($CG101, Constants!$M:$P, 4, FALSE()))</f>
        <v>flag/GB,power/electric,role/freight</v>
      </c>
      <c r="I101" s="1" t="s">
        <v>198</v>
      </c>
      <c r="J101" s="1" t="s">
        <v>206</v>
      </c>
      <c r="K101" s="1" t="s">
        <v>349</v>
      </c>
      <c r="L101" s="1" t="s">
        <v>350</v>
      </c>
      <c r="M101" s="1" t="n">
        <v>1914</v>
      </c>
      <c r="N101" s="1" t="n">
        <v>1919</v>
      </c>
      <c r="O101" s="1" t="n">
        <v>1950</v>
      </c>
      <c r="Q101" s="1" t="n">
        <v>1100</v>
      </c>
      <c r="Z101" s="1" t="n">
        <v>76</v>
      </c>
      <c r="AC101" s="1" t="n">
        <v>140</v>
      </c>
      <c r="AD101" s="4" t="n">
        <f aca="false">IF(AND(Z101&gt;0,AC101&gt;0),(AC101/((Z101+AA101)*10)),"")</f>
        <v>0.184210526315789</v>
      </c>
      <c r="AE101" s="1" t="n">
        <v>35</v>
      </c>
      <c r="AF101" s="1" t="n">
        <f aca="false">ROUND(AE101*1.6, 0)</f>
        <v>56</v>
      </c>
      <c r="AI101" s="1" t="n">
        <v>12</v>
      </c>
      <c r="AJ101" s="1" t="n">
        <v>12</v>
      </c>
      <c r="AM101" s="5" t="n">
        <v>0</v>
      </c>
      <c r="AN101" s="1" t="str">
        <f aca="false">CONCATENATE(VLOOKUP(AO101, 'Voxel Sizes'!$A$2:$B$18,2,FALSE()),"x",INT(AK101*15), "x", INT(AL101*15))</f>
        <v>120x0x0</v>
      </c>
      <c r="AO101" s="1" t="n">
        <f aca="false">ROUND(15*((AJ101*10)/256),0)</f>
        <v>7</v>
      </c>
      <c r="AQ101" s="1" t="str">
        <f aca="false">CONCATENATE(VLOOKUP(AO101,Constants!$A$2:$C$16,IF(AP101&lt;&gt;"", 3, 2), FALSE()),IF(AP101&lt;&gt;"",CONCATENATE(",",VLOOKUP(AP101,$B:$AQ,42,FALSE())),""))</f>
        <v>2,3,2</v>
      </c>
      <c r="BA101" s="1" t="n">
        <v>16</v>
      </c>
      <c r="BB101" s="16" t="n">
        <f aca="false">IF(O101&lt;&gt;"",MAX(16,(O101-M101)+8),"")</f>
        <v>44</v>
      </c>
      <c r="BD101" s="1" t="n">
        <v>8</v>
      </c>
      <c r="BE101" s="1" t="n">
        <f aca="false">MIN(AE101/150, 1)*30</f>
        <v>7</v>
      </c>
      <c r="BF101" s="1" t="n">
        <f aca="false">MIN(Q101/4000, 1)*20</f>
        <v>5.5</v>
      </c>
      <c r="BG101" s="1" t="n">
        <f aca="false">MIN(AC101/400,1)*20</f>
        <v>7</v>
      </c>
      <c r="BH101" s="4" t="n">
        <f aca="false">1-(MAX(M101-1900, 0)/750)</f>
        <v>0.981333333333333</v>
      </c>
      <c r="BI101" s="1" t="n">
        <f aca="false">((MAX($P101,1)*MIN($AM101/300,1)))*IF(J101="Wagon",50,10)</f>
        <v>0</v>
      </c>
      <c r="BJ101" s="1" t="n">
        <f aca="false">VLOOKUP($K101,Constants!$I:$K, 2, FALSE())</f>
        <v>0.85</v>
      </c>
      <c r="BK101" s="1" t="n">
        <f aca="false">VLOOKUP($K101,Constants!$I:$K, 3, FALSE())*IF(AND(J101="multiple_unit",AE101&lt;110),0.75,1)</f>
        <v>2.3</v>
      </c>
      <c r="BL101" s="1" t="n">
        <f aca="false">INT(POWER(((Constants!$G$2+$BE101+$BF101+$BG101+$BI101)*$BH101)*$BK101, 1.05))+$BD101</f>
        <v>75</v>
      </c>
      <c r="BM101" s="1" t="n">
        <f aca="false">INT(POWER((((Constants!$G$1+$BE101+$BF101+$BG101+$BI101)*($BH101))*$BJ101),IF($J101="wagon",1,1.2)))+$BC101</f>
        <v>56</v>
      </c>
      <c r="BN101" s="17" t="n">
        <f aca="false">BL101*IF($J101="wagon",62.5,781.25)</f>
        <v>58593.75</v>
      </c>
      <c r="BO101" s="17" t="n">
        <f aca="false">BM101*IF($J101="wagon",2.73,81.25)</f>
        <v>4550</v>
      </c>
      <c r="BY101" s="1" t="n">
        <v>6</v>
      </c>
      <c r="CD101" s="1" t="str">
        <f aca="false">VLOOKUP(M101,Eras!$A$2:$C$10, 2, TRUE())</f>
        <v>edw</v>
      </c>
      <c r="CE101" s="1" t="s">
        <v>351</v>
      </c>
      <c r="CF101" s="1" t="str">
        <f aca="false">CONCATENATE(CD101,"_",CE101)</f>
        <v>edw_Freight (Electric)</v>
      </c>
      <c r="CG101" s="1" t="str">
        <f aca="false">_xlfn.CONCAT(K101, "_",L101)</f>
        <v>electric_ELRL</v>
      </c>
      <c r="CH101" s="7" t="str">
        <f aca="false">_xlfn.CONCAT("{BLACK}Length: {GOLD}", TEXT(ROUNDUP(IF(AT101&lt;&gt;"",SUM(VALUE(_xlfn.TEXTSPLIT(AT101, ","))), SUM(VALUE(_xlfn.TEXTSPLIT(AQ101, ",")))*IF(P101, P101, 1))/16, 1), "#,##0.0"), " tiles{}")</f>
        <v>{BLACK}Length: {GOLD}0.5 tiles{}</v>
      </c>
      <c r="CI101" s="1" t="n">
        <f aca="false">VLOOKUP($CG101, Constants!$M:$N, 2, FALSE())</f>
        <v>0</v>
      </c>
      <c r="CJ101" s="1" t="str">
        <f aca="false">IF(P101&gt;1,_xlfn.CONCAT("{BLACK}Cars: {GOLD}", P101),"")</f>
        <v/>
      </c>
      <c r="CK101" s="1" t="s">
        <v>380</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{GOLD}0.5 tiles{}{SILVER}The LNER EF1 is an early electric freight engine designed for hauling heavy coal trains.</v>
      </c>
    </row>
    <row r="102" customFormat="false" ht="14.25" hidden="false" customHeight="false" outlineLevel="0" collapsed="false">
      <c r="A102" s="1" t="s">
        <v>381</v>
      </c>
      <c r="B102" s="19" t="s">
        <v>382</v>
      </c>
      <c r="C102" s="1" t="n">
        <v>-1</v>
      </c>
      <c r="E102" s="1" t="n">
        <v>58</v>
      </c>
      <c r="G102" s="1" t="str">
        <f aca="false">IF($F102&lt;&gt;"",_xlfn.CONCAT(VLOOKUP($CE102, Constants!$T:$U, 2, FALSE()),",",$F102),VLOOKUP($CE102, Constants!$T:$U, 2, FALSE()))</f>
        <v>role/mixed</v>
      </c>
      <c r="H102" s="1" t="str">
        <f aca="false">IF($G102&lt;&gt;"",_xlfn.CONCAT(VLOOKUP($CG102, Constants!$M:$P, 4, FALSE()),",",$G102),VLOOKUP($CG102, Constants!$M:$P, 4, FALSE()))</f>
        <v>flag/GB,role/mixed</v>
      </c>
      <c r="J102" s="1" t="s">
        <v>41</v>
      </c>
      <c r="K102" s="1" t="s">
        <v>41</v>
      </c>
      <c r="L102" s="1" t="s">
        <v>149</v>
      </c>
      <c r="M102" s="1" t="n">
        <v>1870</v>
      </c>
      <c r="Z102" s="1" t="n">
        <v>42</v>
      </c>
      <c r="AD102" s="4" t="str">
        <f aca="false">IF(AND(Z102&gt;0,AC102&gt;0),(AC102/((Z102+AA102)*10)),"")</f>
        <v/>
      </c>
      <c r="AI102" s="1" t="n">
        <v>7.5</v>
      </c>
      <c r="AJ102" s="1" t="n">
        <v>8</v>
      </c>
      <c r="AM102" s="5" t="n">
        <v>0</v>
      </c>
      <c r="AN102" s="16" t="s">
        <v>229</v>
      </c>
      <c r="AO102" s="16" t="n">
        <f aca="false">ROUND(15*((AJ102*10)/256),0)</f>
        <v>5</v>
      </c>
      <c r="AQ102" s="1" t="str">
        <f aca="false">CONCATENATE(VLOOKUP(AO102,Constants!$A$2:$C$16,IF(AP102&lt;&gt;"", 3, 2), FALSE()),IF(AP102&lt;&gt;"",CONCATENATE(",",VLOOKUP(AP102,$B:$AQ,42,FALSE())),""))</f>
        <v>2,1,2</v>
      </c>
      <c r="BA102" s="1" t="n">
        <v>30</v>
      </c>
      <c r="BB102" s="16" t="str">
        <f aca="false">IF(O102&lt;&gt;"",MAX(16,(O102-M102)+8),"")</f>
        <v/>
      </c>
      <c r="BE102" s="20" t="n">
        <f aca="false">MIN(AE102/150, 1)*30</f>
        <v>0</v>
      </c>
      <c r="BF102" s="20" t="n">
        <f aca="false">MIN(Q102/4000, 1)*20</f>
        <v>0</v>
      </c>
      <c r="BG102" s="20" t="n">
        <f aca="false">MIN(AC102/400,1)*20</f>
        <v>0</v>
      </c>
      <c r="BH102" s="21" t="n">
        <f aca="false">1-(MAX(M102-1900, 0)/750)</f>
        <v>1</v>
      </c>
      <c r="BI102" s="20" t="n">
        <f aca="false">((MAX($P102,1)*MIN($AM102/300,1)))*IF(J102="Wagon",50,10)</f>
        <v>0</v>
      </c>
      <c r="BJ102" s="1" t="n">
        <f aca="false">VLOOKUP($K102,Constants!$I:$K, 2, FALSE())</f>
        <v>0</v>
      </c>
      <c r="BK102" s="1" t="n">
        <f aca="false">VLOOKUP($K102,Constants!$I:$K, 3, FALSE())*IF(AND(J102="multiple_unit",AE102&lt;110),0.75,1)</f>
        <v>0</v>
      </c>
      <c r="BL102" s="20" t="n">
        <v>0</v>
      </c>
      <c r="BM102" s="20" t="n">
        <v>0</v>
      </c>
      <c r="BN102" s="22" t="n">
        <f aca="false">BL102*IF($J102="wagon",62.5,781.25)</f>
        <v>0</v>
      </c>
      <c r="BO102" s="22" t="n">
        <f aca="false">BM102*IF($J102="wagon",2.73,81.25)</f>
        <v>0</v>
      </c>
      <c r="CD102" s="23" t="s">
        <v>265</v>
      </c>
      <c r="CE102" s="1" t="s">
        <v>129</v>
      </c>
      <c r="CF102" s="23" t="str">
        <f aca="false">CONCATENATE(CD102,"_",CE102)</f>
        <v>vct_Mixed Traffic</v>
      </c>
      <c r="CG102" s="23" t="str">
        <f aca="false">_xlfn.CONCAT(K102, "_",L102)</f>
        <v>tender_RAIL</v>
      </c>
      <c r="CH102" s="7" t="str">
        <f aca="false">_xlfn.CONCAT("{BLACK}Length: {GOLD}", TEXT(ROUNDUP(IF(AT102&lt;&gt;"",SUM(VALUE(_xlfn.TEXTSPLIT(AT102, ","))), SUM(VALUE(_xlfn.TEXTSPLIT(AQ102, ",")))*IF(P102, P102, 1))/16, 1), "#,##0.0"), " tiles{}")</f>
        <v>{BLACK}Length: {GOLD}0.4 tiles{}</v>
      </c>
      <c r="CI102" s="1" t="n">
        <f aca="false">VLOOKUP($CG102, Constants!$M:$N, 2, FALSE())</f>
        <v>0</v>
      </c>
      <c r="CJ102" s="1" t="str">
        <f aca="false">IF(P102&gt;1,_xlfn.CONCAT("{BLACK}Cars: {GOLD}", P102),"")</f>
        <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{GOLD}0.4 tiles{}{SILVER}</v>
      </c>
    </row>
    <row r="103" customFormat="false" ht="14.25" hidden="false" customHeight="false" outlineLevel="0" collapsed="false">
      <c r="A103" s="1" t="s">
        <v>383</v>
      </c>
      <c r="B103" s="19" t="s">
        <v>384</v>
      </c>
      <c r="C103" s="1" t="n">
        <v>1036</v>
      </c>
      <c r="E103" s="1" t="n">
        <v>59</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198</v>
      </c>
      <c r="J103" s="1" t="s">
        <v>206</v>
      </c>
      <c r="K103" s="1" t="s">
        <v>207</v>
      </c>
      <c r="L103" s="1" t="s">
        <v>149</v>
      </c>
      <c r="M103" s="1" t="n">
        <v>1917</v>
      </c>
      <c r="O103" s="1" t="n">
        <v>1949</v>
      </c>
      <c r="Q103" s="1" t="n">
        <v>1650</v>
      </c>
      <c r="S103" s="3" t="n">
        <v>16</v>
      </c>
      <c r="T103" s="3" t="n">
        <v>26</v>
      </c>
      <c r="U103" s="3" t="n">
        <v>4</v>
      </c>
      <c r="V103" s="3" t="n">
        <v>180</v>
      </c>
      <c r="W103" s="18" t="n">
        <f aca="false">((($AE103/2)/60)*5280)/($X103*3.2*PI())</f>
        <v>191.217710753612</v>
      </c>
      <c r="X103" s="3" t="n">
        <v>2.06</v>
      </c>
      <c r="Y103" s="3" t="n">
        <f aca="false">((($S103*$S103/4)*PI())*($T103/12)*$U103*$V103*$W103)/(33000*1.1)</f>
        <v>1652.2506619594</v>
      </c>
      <c r="Z103" s="1" t="n">
        <v>86</v>
      </c>
      <c r="AA103" s="2" t="n">
        <v>35</v>
      </c>
      <c r="AB103" s="1" t="n">
        <v>5</v>
      </c>
      <c r="AC103" s="1" t="n">
        <v>112</v>
      </c>
      <c r="AD103" s="4" t="n">
        <f aca="false">IF(AND(Z103&gt;0,AC103&gt;0),(AC103/((Z103+AA103)*10)),"")</f>
        <v>0.0925619834710744</v>
      </c>
      <c r="AE103" s="1" t="n">
        <v>90</v>
      </c>
      <c r="AF103" s="1" t="n">
        <f aca="false">ROUND(AE103*1.6, 0)</f>
        <v>144</v>
      </c>
      <c r="AI103" s="1" t="n">
        <v>12</v>
      </c>
      <c r="AJ103" s="1" t="n">
        <v>12</v>
      </c>
      <c r="AN103" s="16" t="s">
        <v>280</v>
      </c>
      <c r="AO103" s="16" t="n">
        <f aca="false">ROUND(15*((AJ103*10)/256),0)</f>
        <v>7</v>
      </c>
      <c r="AP103" s="1" t="s">
        <v>382</v>
      </c>
      <c r="AQ103" s="1" t="str">
        <f aca="false">CONCATENATE(VLOOKUP(AO103,Constants!$A$2:$C$16,IF(AP103&lt;&gt;"", 3, 2), FALSE()),IF(AP103&lt;&gt;"",CONCATENATE(",",VLOOKUP(AP103,$B:$AQ,42,FALSE())),""))</f>
        <v>2,3,2,2,1,2</v>
      </c>
      <c r="AY103" s="1" t="n">
        <v>1</v>
      </c>
      <c r="BA103" s="1" t="n">
        <v>27</v>
      </c>
      <c r="BB103" s="16" t="n">
        <f aca="false">IF(O103&lt;&gt;"",MAX(16,(O103-M103)+8),"")</f>
        <v>40</v>
      </c>
      <c r="BC103" s="1" t="n">
        <v>7</v>
      </c>
      <c r="BD103" s="1" t="n">
        <v>4</v>
      </c>
      <c r="BE103" s="20" t="n">
        <f aca="false">MIN(AE103/150, 1)*30</f>
        <v>18</v>
      </c>
      <c r="BF103" s="20" t="n">
        <f aca="false">MIN(Q103/4000, 1)*20</f>
        <v>8.25</v>
      </c>
      <c r="BG103" s="20" t="n">
        <f aca="false">MIN(AC103/400,1)*20</f>
        <v>5.6</v>
      </c>
      <c r="BH103" s="21" t="n">
        <f aca="false">1-(MAX(M103-1900, 0)/750)</f>
        <v>0.977333333333333</v>
      </c>
      <c r="BI103" s="20" t="n">
        <f aca="false">((MAX($P103,1)*MIN($AM103/300,1)))*IF(J103="Wagon",50,10)</f>
        <v>0</v>
      </c>
      <c r="BJ103" s="1" t="n">
        <f aca="false">VLOOKUP($K103,Constants!$I:$K, 2, FALSE())</f>
        <v>1.15</v>
      </c>
      <c r="BK103" s="1" t="n">
        <f aca="false">VLOOKUP($K103,Constants!$I:$K, 3, FALSE())*IF(AND(J103="multiple_unit",AE103&lt;110),0.75,1)</f>
        <v>1.7</v>
      </c>
      <c r="BL103" s="20" t="n">
        <v>79</v>
      </c>
      <c r="BM103" s="20" t="n">
        <v>123</v>
      </c>
      <c r="BN103" s="22" t="n">
        <f aca="false">BL103*IF($J103="wagon",62.5,781.25)</f>
        <v>61718.75</v>
      </c>
      <c r="BO103" s="22" t="n">
        <f aca="false">BM103*IF($J103="wagon",2.73,81.25)</f>
        <v>9993.75</v>
      </c>
      <c r="BY103" s="1" t="n">
        <v>3</v>
      </c>
      <c r="CD103" s="23" t="s">
        <v>343</v>
      </c>
      <c r="CE103" s="1" t="s">
        <v>241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385</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tiles{}{SILVER}Robinson's 9P was a four-cylinder express locotive introduced toward the end of his time at the GCR. Early versions suffered from high coal consumption due to narrow steam passages.</v>
      </c>
    </row>
    <row r="104" customFormat="false" ht="14.25" hidden="false" customHeight="false" outlineLevel="0" collapsed="false">
      <c r="A104" s="1" t="s">
        <v>386</v>
      </c>
      <c r="B104" s="15" t="s">
        <v>387</v>
      </c>
      <c r="C104" s="1" t="n">
        <v>132</v>
      </c>
      <c r="E104" s="1" t="n">
        <v>60</v>
      </c>
      <c r="G104" s="1" t="str">
        <f aca="false">IF($F104&lt;&gt;"",_xlfn.CONCAT(VLOOKUP($CE104, Constants!$T:$U, 2, FALSE()),",",$F104),VLOOKUP($CE104, Constants!$T:$U, 2, FALSE()))</f>
        <v>role/freight</v>
      </c>
      <c r="H104" s="1" t="str">
        <f aca="false">IF($G104&lt;&gt;"",_xlfn.CONCAT(VLOOKUP($CG104, Constants!$M:$P, 4, FALSE()),",",$G104),VLOOKUP($CG104, Constants!$M:$P, 4, FALSE()))</f>
        <v>flag/GB,power/steam,role/freight</v>
      </c>
      <c r="I104" s="1" t="s">
        <v>198</v>
      </c>
      <c r="J104" s="1" t="s">
        <v>206</v>
      </c>
      <c r="K104" s="1" t="s">
        <v>207</v>
      </c>
      <c r="L104" s="1" t="s">
        <v>149</v>
      </c>
      <c r="M104" s="1" t="n">
        <v>1919</v>
      </c>
      <c r="O104" s="1" t="n">
        <v>1956</v>
      </c>
      <c r="Q104" s="1" t="n">
        <v>1400</v>
      </c>
      <c r="S104" s="3" t="n">
        <v>16.75</v>
      </c>
      <c r="T104" s="3" t="n">
        <v>28</v>
      </c>
      <c r="U104" s="3" t="n">
        <v>4</v>
      </c>
      <c r="V104" s="3" t="n">
        <v>180</v>
      </c>
      <c r="W104" s="18" t="n">
        <f aca="false">((($AE104/2)/60)*5280)/($X104*3.2*PI())</f>
        <v>125.050312429346</v>
      </c>
      <c r="X104" s="3" t="n">
        <v>1.4</v>
      </c>
      <c r="Y104" s="3" t="n">
        <f aca="false">((($S104*$S104/4)*PI())*($T104/12)*$U104*$V104*$W104)/(33000*1.1)</f>
        <v>1275.28409090909</v>
      </c>
      <c r="Z104" s="1" t="n">
        <v>74.8</v>
      </c>
      <c r="AA104" s="2" t="n">
        <f aca="false">106.7-74.8</f>
        <v>31.9</v>
      </c>
      <c r="AC104" s="1" t="n">
        <v>193</v>
      </c>
      <c r="AD104" s="4" t="n">
        <f aca="false">IF(AND(Z104&gt;0,AC104&gt;0),(AC104/((Z104+AA104)*10)),"")</f>
        <v>0.180880974695408</v>
      </c>
      <c r="AE104" s="1" t="n">
        <v>40</v>
      </c>
      <c r="AF104" s="1" t="n">
        <f aca="false">ROUND(AE104*1.6, 0)</f>
        <v>64</v>
      </c>
      <c r="AJ104" s="1" t="n">
        <v>13</v>
      </c>
      <c r="AM104" s="5" t="n">
        <v>0</v>
      </c>
      <c r="AN104" s="1" t="str">
        <f aca="false">CONCATENATE(VLOOKUP(AO104, 'Voxel Sizes'!$A$2:$B$18,2,FALSE()),"x",INT(AK104*15), "x", INT(AL104*15))</f>
        <v>136x0x0</v>
      </c>
      <c r="AO104" s="1" t="n">
        <f aca="false">ROUND(15*((AJ104*10)/256),0)</f>
        <v>8</v>
      </c>
      <c r="AP104" s="1" t="s">
        <v>173</v>
      </c>
      <c r="AQ104" s="1" t="str">
        <f aca="false">CONCATENATE(VLOOKUP(AO104,Constants!$A$2:$C$16,IF(AP104&lt;&gt;"", 3, 2), FALSE()),IF(AP104&lt;&gt;"",CONCATENATE(",",VLOOKUP(AP104,$B:$AQ,42,FALSE())),""))</f>
        <v>2,4,2,2,1,2</v>
      </c>
      <c r="AY104" s="1" t="n">
        <v>1</v>
      </c>
      <c r="BA104" s="1" t="n">
        <v>31</v>
      </c>
      <c r="BB104" s="16" t="n">
        <f aca="false">IF(O104&lt;&gt;"",MAX(16,(O104-M104)+8),"")</f>
        <v>45</v>
      </c>
      <c r="BD104" s="1" t="n">
        <v>4</v>
      </c>
      <c r="BE104" s="1" t="n">
        <f aca="false">MIN(AE104/150, 1)*30</f>
        <v>8</v>
      </c>
      <c r="BF104" s="1" t="n">
        <f aca="false">MIN(Q104/4000, 1)*20</f>
        <v>7</v>
      </c>
      <c r="BG104" s="1" t="n">
        <f aca="false">MIN(AC104/400,1)*20</f>
        <v>9.65</v>
      </c>
      <c r="BH104" s="4" t="n">
        <f aca="false">1-(MAX(M104-1900, 0)/750)</f>
        <v>0.974666666666667</v>
      </c>
      <c r="BI104" s="1" t="n">
        <f aca="false">((MAX($P104,1)*MIN($AM104/300,1)))*IF(J104="Wagon",50,10)</f>
        <v>0</v>
      </c>
      <c r="BJ104" s="1" t="n">
        <f aca="false">VLOOKUP($K104,Constants!$I:$K, 2, FALSE())</f>
        <v>1.15</v>
      </c>
      <c r="BK104" s="1" t="n">
        <f aca="false">VLOOKUP($K104,Constants!$I:$K, 3, FALSE())*IF(AND(J104="multiple_unit",AE104&lt;110),0.75,1)</f>
        <v>1.7</v>
      </c>
      <c r="BL104" s="1" t="n">
        <f aca="false">INT(POWER(((Constants!$G$2+$BE104+$BF104+$BG104+$BI104)*$BH104)*$BK104, 1.05))+$BD104</f>
        <v>63</v>
      </c>
      <c r="BM104" s="1" t="n">
        <f aca="false">INT(POWER((((Constants!$G$1+$BE104+$BF104+$BG104+$BI104)*($BH104))*$BJ104),IF($J104="wagon",1,1.2)))+$BC104</f>
        <v>94</v>
      </c>
      <c r="BN104" s="17" t="n">
        <f aca="false">BL104*IF($J104="wagon",62.5,781.25)</f>
        <v>49218.75</v>
      </c>
      <c r="BO104" s="17" t="n">
        <f aca="false">BM104*IF($J104="wagon",2.73,81.25)</f>
        <v>7637.5</v>
      </c>
      <c r="BY104" s="1" t="n">
        <v>3</v>
      </c>
      <c r="CD104" s="1" t="str">
        <f aca="false">VLOOKUP(M104,Eras!$A$2:$C$10, 2, TRUE())</f>
        <v>edw</v>
      </c>
      <c r="CE104" s="1" t="s">
        <v>132</v>
      </c>
      <c r="CF104" s="1" t="str">
        <f aca="false">CONCATENATE(CD104,"_",CE104)</f>
        <v>edw_Freight</v>
      </c>
      <c r="CG104" s="1" t="str">
        <f aca="false">_xlfn.CONCAT(K104, "_",L104)</f>
        <v>steam_RAIL</v>
      </c>
      <c r="CH104" s="7" t="str">
        <f aca="false">_xlfn.CONCAT("{BLACK}Length: {GOLD}", TEXT(ROUNDUP(IF(AT104&lt;&gt;"",SUM(VALUE(_xlfn.TEXTSPLIT(AT104, ","))), SUM(VALUE(_xlfn.TEXTSPLIT(AQ104, ",")))*IF(P104, P104, 1))/16, 1), "#,##0.0"), " tiles{}")</f>
        <v>{BLACK}Length: {GOLD}0.9 tiles{}</v>
      </c>
      <c r="CI104" s="1" t="n">
        <f aca="false">VLOOKUP($CG104, Constants!$M:$N, 2, FALSE())</f>
        <v>0</v>
      </c>
      <c r="CJ104" s="1" t="str">
        <f aca="false">IF(P104&gt;1,_xlfn.CONCAT("{BLACK}Cars: {GOLD}", P104),"")</f>
        <v/>
      </c>
      <c r="CK104" s="1" t="s">
        <v>388</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{GOLD}0.9 tiles{}{SILVER}The "Lickey Banker" was a single 0-10-0 engine built to help add power and tractive effort to trains climbing the 1 in 37 Lickey Incline.</v>
      </c>
    </row>
    <row r="105" customFormat="false" ht="14.25" hidden="false" customHeight="false" outlineLevel="0" collapsed="false">
      <c r="A105" s="1" t="s">
        <v>389</v>
      </c>
      <c r="B105" s="15" t="s">
        <v>390</v>
      </c>
      <c r="C105" s="1" t="n">
        <v>134</v>
      </c>
      <c r="E105" s="1" t="n">
        <v>61</v>
      </c>
      <c r="G105" s="1" t="str">
        <f aca="false">IF($F105&lt;&gt;"",_xlfn.CONCAT(VLOOKUP($CE105, Constants!$T:$U, 2, FALSE()),",",$F105),VLOOKUP($CE105, Constants!$T:$U, 2, FALSE()))</f>
        <v>role/freight</v>
      </c>
      <c r="H105" s="1" t="str">
        <f aca="false">IF($G105&lt;&gt;"",_xlfn.CONCAT(VLOOKUP($CG105, Constants!$M:$P, 4, FALSE()),",",$G105),VLOOKUP($CG105, Constants!$M:$P, 4, FALSE()))</f>
        <v>flag/GB,power/steam,role/freight</v>
      </c>
      <c r="I105" s="1" t="s">
        <v>198</v>
      </c>
      <c r="J105" s="1" t="s">
        <v>206</v>
      </c>
      <c r="K105" s="1" t="s">
        <v>207</v>
      </c>
      <c r="L105" s="1" t="s">
        <v>149</v>
      </c>
      <c r="M105" s="1" t="n">
        <v>1920</v>
      </c>
      <c r="O105" s="1" t="n">
        <v>1960</v>
      </c>
      <c r="Q105" s="1" t="n">
        <v>1250</v>
      </c>
      <c r="S105" s="3" t="n">
        <v>20</v>
      </c>
      <c r="T105" s="3" t="n">
        <v>28</v>
      </c>
      <c r="U105" s="3" t="n">
        <v>2</v>
      </c>
      <c r="V105" s="3" t="n">
        <v>180</v>
      </c>
      <c r="W105" s="18" t="n">
        <f aca="false">((($AE105/2)/60)*5280)/($X105*3.2*PI())</f>
        <v>175.070437401085</v>
      </c>
      <c r="X105" s="3" t="n">
        <v>1.5</v>
      </c>
      <c r="Y105" s="3" t="n">
        <f aca="false">((($S105*$S105/4)*PI())*($T105/12)*$U105*$V105*$W105)/(33000*1.1)</f>
        <v>1272.72727272727</v>
      </c>
      <c r="Z105" s="1" t="n">
        <v>55.6</v>
      </c>
      <c r="AA105" s="2" t="n">
        <v>32</v>
      </c>
      <c r="AC105" s="1" t="n">
        <v>129</v>
      </c>
      <c r="AD105" s="4" t="n">
        <f aca="false">IF(AND(Z105&gt;0,AC105&gt;0),(AC105/((Z105+AA105)*10)),"")</f>
        <v>0.147260273972603</v>
      </c>
      <c r="AE105" s="1" t="n">
        <v>60</v>
      </c>
      <c r="AF105" s="1" t="n">
        <f aca="false">ROUND(AE105*1.6, 0)</f>
        <v>96</v>
      </c>
      <c r="AI105" s="1" t="n">
        <v>16.61</v>
      </c>
      <c r="AJ105" s="1" t="n">
        <v>10</v>
      </c>
      <c r="AM105" s="5" t="n">
        <v>0</v>
      </c>
      <c r="AN105" s="1" t="str">
        <f aca="false">CONCATENATE(VLOOKUP(AO105, 'Voxel Sizes'!$A$2:$B$18,2,FALSE()),"x",INT(AK105*15), "x", INT(AL105*15))</f>
        <v>102x0x0</v>
      </c>
      <c r="AO105" s="1" t="n">
        <f aca="false">ROUND(15*((AJ105*10)/256),0)</f>
        <v>6</v>
      </c>
      <c r="AP105" s="1" t="s">
        <v>175</v>
      </c>
      <c r="AQ105" s="1" t="str">
        <f aca="false">CONCATENATE(VLOOKUP(AO105,Constants!$A$2:$C$16,IF(AP105&lt;&gt;"", 3, 2), FALSE()),IF(AP105&lt;&gt;"",CONCATENATE(",",VLOOKUP(AP105,$B:$AQ,42,FALSE())),""))</f>
        <v>2,2,2,2,1,2</v>
      </c>
      <c r="AY105" s="1" t="n">
        <v>1</v>
      </c>
      <c r="BA105" s="1" t="n">
        <v>30</v>
      </c>
      <c r="BB105" s="16" t="n">
        <f aca="false">IF(O105&lt;&gt;"",MAX(16,(O105-M105)+8),"")</f>
        <v>48</v>
      </c>
      <c r="BE105" s="1" t="n">
        <f aca="false">MIN(AE105/150, 1)*30</f>
        <v>12</v>
      </c>
      <c r="BF105" s="1" t="n">
        <f aca="false">MIN(Q105/4000, 1)*20</f>
        <v>6.25</v>
      </c>
      <c r="BG105" s="1" t="n">
        <f aca="false">MIN(AC105/400,1)*20</f>
        <v>6.45</v>
      </c>
      <c r="BH105" s="4" t="n">
        <f aca="false">1-(MAX(M105-1900, 0)/750)</f>
        <v>0.973333333333333</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59</v>
      </c>
      <c r="BM105" s="1" t="n">
        <f aca="false">INT(POWER((((Constants!$G$1+$BE105+$BF105+$BG105+$BI105)*($BH105))*$BJ105),IF($J105="wagon",1,1.2)))+$BC105</f>
        <v>94</v>
      </c>
      <c r="BN105" s="17" t="n">
        <f aca="false">BL105*IF($J105="wagon",62.5,781.25)</f>
        <v>46093.75</v>
      </c>
      <c r="BO105" s="17" t="n">
        <f aca="false">BM105*IF($J105="wagon",2.73,81.25)</f>
        <v>7637.5</v>
      </c>
      <c r="BY105" s="1" t="n">
        <v>4</v>
      </c>
      <c r="CD105" s="1" t="str">
        <f aca="false">VLOOKUP(M105,Eras!$A$2:$C$10, 2, TRUE())</f>
        <v>edw</v>
      </c>
      <c r="CE105" s="1" t="s">
        <v>132</v>
      </c>
      <c r="CF105" s="1" t="str">
        <f aca="false">CONCATENATE(CD105,"_",CE105)</f>
        <v>edw_Freight</v>
      </c>
      <c r="CG105" s="1" t="str">
        <f aca="false">_xlfn.CONCAT(K105, "_",L105)</f>
        <v>steam_RAIL</v>
      </c>
      <c r="CH105" s="7" t="str">
        <f aca="false">_xlfn.CONCAT("{BLACK}Length: {GOLD}", TEXT(ROUNDUP(IF(AT105&lt;&gt;"",SUM(VALUE(_xlfn.TEXTSPLIT(AT105, ","))), SUM(VALUE(_xlfn.TEXTSPLIT(AQ105, ",")))*IF(P105, P105, 1))/16, 1), "#,##0.0"), " tiles{}")</f>
        <v>{BLACK}Length: {GOLD}0.7 tiles{}</v>
      </c>
      <c r="CI105" s="1" t="n">
        <f aca="false">VLOOKUP($CG105, Constants!$M:$N, 2, FALSE())</f>
        <v>0</v>
      </c>
      <c r="CJ105" s="1" t="str">
        <f aca="false">IF(P105&gt;1,_xlfn.CONCAT("{BLACK}Cars: {GOLD}", P105),"")</f>
        <v/>
      </c>
      <c r="CK105" s="1" t="s">
        <v>391</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{GOLD}0.7 tiles{}{SILVER}The D81 (later LNER J20 Class) continued the GER's habit of building powerful 0-6-0s, and remained the most powerful British 0-6-0 tender locomotive for over twenty years.</v>
      </c>
    </row>
    <row r="106" customFormat="false" ht="14.25" hidden="false" customHeight="false" outlineLevel="0" collapsed="false">
      <c r="A106" s="1" t="s">
        <v>392</v>
      </c>
      <c r="B106" s="15" t="s">
        <v>393</v>
      </c>
      <c r="C106" s="1" t="n">
        <v>137</v>
      </c>
      <c r="E106" s="1" t="n">
        <v>62</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198</v>
      </c>
      <c r="J106" s="1" t="s">
        <v>206</v>
      </c>
      <c r="K106" s="1" t="s">
        <v>207</v>
      </c>
      <c r="L106" s="1" t="s">
        <v>149</v>
      </c>
      <c r="M106" s="1" t="n">
        <v>1921</v>
      </c>
      <c r="O106" s="1" t="n">
        <v>1962</v>
      </c>
      <c r="Q106" s="1" t="n">
        <v>450</v>
      </c>
      <c r="S106" s="3" t="n">
        <v>15</v>
      </c>
      <c r="T106" s="3" t="n">
        <v>22</v>
      </c>
      <c r="U106" s="3" t="n">
        <v>2</v>
      </c>
      <c r="V106" s="3" t="n">
        <v>160</v>
      </c>
      <c r="W106" s="18" t="n">
        <f aca="false">((($AE106/2)/60)*5280)/($X106*3.2*PI())</f>
        <v>159.154943091895</v>
      </c>
      <c r="X106" s="3" t="n">
        <v>1.1</v>
      </c>
      <c r="Y106" s="3" t="n">
        <f aca="false">((($S106*$S106/4)*PI())*($T106/12)*$U106*$V106*$W106)/(33000*1.1)</f>
        <v>454.545454545454</v>
      </c>
      <c r="Z106" s="1" t="n">
        <v>33.3</v>
      </c>
      <c r="AC106" s="1" t="n">
        <v>65</v>
      </c>
      <c r="AD106" s="4" t="n">
        <f aca="false">IF(AND(Z106&gt;0,AC106&gt;0),(AC106/((Z106+AA106)*10)),"")</f>
        <v>0.195195195195195</v>
      </c>
      <c r="AE106" s="1" t="n">
        <v>40</v>
      </c>
      <c r="AF106" s="1" t="n">
        <f aca="false">ROUND(AE106*1.6, 0)</f>
        <v>64</v>
      </c>
      <c r="AJ106" s="1" t="n">
        <v>8</v>
      </c>
      <c r="AM106" s="5" t="n">
        <v>0</v>
      </c>
      <c r="AN106" s="1" t="str">
        <f aca="false">CONCATENATE(VLOOKUP(AO106, 'Voxel Sizes'!$A$2:$B$18,2,FALSE()),"x",INT(AK106*15), "x", INT(AL106*15))</f>
        <v>82x0x0</v>
      </c>
      <c r="AO106" s="1" t="n">
        <f aca="false">ROUND(15*((AJ106*10)/256),0)</f>
        <v>5</v>
      </c>
      <c r="AQ106" s="1" t="str">
        <f aca="false">CONCATENATE(VLOOKUP(AO106,Constants!$A$2:$C$16,IF(AP106&lt;&gt;"", 3, 2), FALSE()),IF(AP106&lt;&gt;"",CONCATENATE(",",VLOOKUP(AP106,$B:$AQ,42,FALSE())),""))</f>
        <v>2,1,2</v>
      </c>
      <c r="AY106" s="1" t="n">
        <v>1</v>
      </c>
      <c r="BA106" s="1" t="n">
        <v>33</v>
      </c>
      <c r="BB106" s="16" t="n">
        <f aca="false">IF(O106&lt;&gt;"",MAX(16,(O106-M106)+8),"")</f>
        <v>49</v>
      </c>
      <c r="BC106" s="1" t="n">
        <v>-15</v>
      </c>
      <c r="BD106" s="1" t="n">
        <v>-9</v>
      </c>
      <c r="BE106" s="1" t="n">
        <f aca="false">MIN(AE106/150, 1)*30</f>
        <v>8</v>
      </c>
      <c r="BF106" s="1" t="n">
        <f aca="false">MIN(Q106/4000, 1)*20</f>
        <v>2.25</v>
      </c>
      <c r="BG106" s="1" t="n">
        <f aca="false">MIN(AC106/400,1)*20</f>
        <v>3.25</v>
      </c>
      <c r="BH106" s="4" t="n">
        <f aca="false">1-(MAX(M106-1900, 0)/750)</f>
        <v>0.972</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27</v>
      </c>
      <c r="BM106" s="1" t="n">
        <f aca="false">INT(POWER((((Constants!$G$1+$BE106+$BF106+$BG106+$BI106)*($BH106))*$BJ106),IF($J106="wagon",1,1.2)))+$BC106</f>
        <v>48</v>
      </c>
      <c r="BN106" s="17" t="n">
        <f aca="false">BL106*IF($J106="wagon",62.5,781.25)</f>
        <v>21093.75</v>
      </c>
      <c r="BO106" s="17" t="n">
        <f aca="false">BM106*IF($J106="wagon",2.73,81.25)</f>
        <v>3900</v>
      </c>
      <c r="BY106" s="1" t="n">
        <v>6</v>
      </c>
      <c r="CD106" s="1" t="str">
        <f aca="false">VLOOKUP(M106,Eras!$A$2:$C$10, 2, TRUE())</f>
        <v>edw</v>
      </c>
      <c r="CE106" s="1" t="s">
        <v>316</v>
      </c>
      <c r="CF106" s="1" t="str">
        <f aca="false">CONCATENATE(CD106,"_",CE106)</f>
        <v>edw_Cheap</v>
      </c>
      <c r="CG106" s="1" t="str">
        <f aca="false">_xlfn.CONCAT(K106, "_",L106)</f>
        <v>steam_RAIL</v>
      </c>
      <c r="CH106" s="7" t="str">
        <f aca="false">_xlfn.CONCAT("{BLACK}Length: {GOLD}", TEXT(ROUNDUP(IF(AT106&lt;&gt;"",SUM(VALUE(_xlfn.TEXTSPLIT(AT106, ","))), SUM(VALUE(_xlfn.TEXTSPLIT(AQ106, ",")))*IF(P106, P106, 1))/16, 1), "#,##0.0"), " tiles{}")</f>
        <v>{BLACK}Length: {GOLD}0.4 tiles{}</v>
      </c>
      <c r="CI106" s="1" t="n">
        <f aca="false">VLOOKUP($CG106, Constants!$M:$N, 2, FALSE())</f>
        <v>0</v>
      </c>
      <c r="CJ106" s="1" t="str">
        <f aca="false">IF(P106&gt;1,_xlfn.CONCAT("{BLACK}Cars: {GOLD}", P106),"")</f>
        <v/>
      </c>
      <c r="CK106" s="1" t="s">
        <v>394</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{GOLD}0.4 tiles{}{SILVER}The 1528 class is a small 0-4-0 tank engine. Designed for shunting, it was built in two batches, the first in 1907 and the second (as here) with minor detail changes in 1921</v>
      </c>
    </row>
    <row r="107" customFormat="false" ht="14.25" hidden="false" customHeight="false" outlineLevel="0" collapsed="false">
      <c r="A107" s="1" t="s">
        <v>395</v>
      </c>
      <c r="B107" s="15" t="s">
        <v>396</v>
      </c>
      <c r="C107" s="1" t="n">
        <v>139</v>
      </c>
      <c r="E107" s="1" t="n">
        <v>63</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198</v>
      </c>
      <c r="J107" s="1" t="s">
        <v>206</v>
      </c>
      <c r="K107" s="1" t="s">
        <v>207</v>
      </c>
      <c r="L107" s="1" t="s">
        <v>149</v>
      </c>
      <c r="M107" s="1" t="n">
        <v>1921</v>
      </c>
      <c r="N107" s="1" t="n">
        <v>1922</v>
      </c>
      <c r="O107" s="1" t="n">
        <v>1964</v>
      </c>
      <c r="Q107" s="1" t="n">
        <v>1000</v>
      </c>
      <c r="S107" s="3" t="n">
        <v>20.5</v>
      </c>
      <c r="T107" s="3" t="n">
        <v>24</v>
      </c>
      <c r="U107" s="3" t="n">
        <v>2</v>
      </c>
      <c r="V107" s="3" t="n">
        <v>175</v>
      </c>
      <c r="W107" s="18" t="n">
        <f aca="false">((($AE107/2)/60)*5280)/($X107*3.2*PI())</f>
        <v>157.437443706012</v>
      </c>
      <c r="X107" s="3" t="n">
        <v>1.39</v>
      </c>
      <c r="Y107" s="3" t="n">
        <f aca="false">((($S107*$S107/4)*PI())*($T107/12)*$U107*$V107*$W107)/(33000*1.1)</f>
        <v>1002.06766405058</v>
      </c>
      <c r="Z107" s="1" t="n">
        <v>63</v>
      </c>
      <c r="AA107" s="2" t="n">
        <f aca="false">104.4-63</f>
        <v>41.4</v>
      </c>
      <c r="AC107" s="1" t="n">
        <v>125</v>
      </c>
      <c r="AD107" s="4" t="n">
        <f aca="false">IF(AND(Z107&gt;0,AC107&gt;0),(AC107/((Z107+AA107)*10)),"")</f>
        <v>0.119731800766284</v>
      </c>
      <c r="AE107" s="1" t="n">
        <v>50</v>
      </c>
      <c r="AF107" s="1" t="n">
        <f aca="false">ROUND(AE107*1.6, 0)</f>
        <v>80</v>
      </c>
      <c r="AJ107" s="1" t="n">
        <v>10</v>
      </c>
      <c r="AM107" s="5" t="n">
        <v>0</v>
      </c>
      <c r="AN107" s="1" t="str">
        <f aca="false">CONCATENATE(VLOOKUP(AO107, 'Voxel Sizes'!$A$2:$B$18,2,FALSE()),"x",INT(AK107*15), "x", INT(AL107*15))</f>
        <v>102x0x0</v>
      </c>
      <c r="AO107" s="1" t="n">
        <f aca="false">ROUND(15*((AJ107*10)/256),0)</f>
        <v>6</v>
      </c>
      <c r="AP107" s="1" t="s">
        <v>177</v>
      </c>
      <c r="AQ107" s="1" t="str">
        <f aca="false">CONCATENATE(VLOOKUP(AO107,Constants!$A$2:$C$16,IF(AP107&lt;&gt;"", 3, 2), FALSE()),IF(AP107&lt;&gt;"",CONCATENATE(",",VLOOKUP(AP107,$B:$AQ,42,FALSE())),""))</f>
        <v>2,2,2,2,1,2</v>
      </c>
      <c r="AY107" s="1" t="n">
        <v>1</v>
      </c>
      <c r="BA107" s="1" t="n">
        <v>30</v>
      </c>
      <c r="BB107" s="16" t="n">
        <f aca="false">IF(O107&lt;&gt;"",MAX(16,(O107-M107)+8),"")</f>
        <v>51</v>
      </c>
      <c r="BE107" s="1" t="n">
        <f aca="false">MIN(AE107/150, 1)*30</f>
        <v>10</v>
      </c>
      <c r="BF107" s="1" t="n">
        <f aca="false">MIN(Q107/4000, 1)*20</f>
        <v>5</v>
      </c>
      <c r="BG107" s="1" t="n">
        <f aca="false">MIN(AC107/400,1)*20</f>
        <v>6.25</v>
      </c>
      <c r="BH107" s="4" t="n">
        <f aca="false">1-(MAX(M107-1900, 0)/750)</f>
        <v>0.972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52</v>
      </c>
      <c r="BM107" s="1" t="n">
        <f aca="false">INT(POWER((((Constants!$G$1+$BE107+$BF107+$BG107+$BI107)*($BH107))*$BJ107),IF($J107="wagon",1,1.2)))+$BC107</f>
        <v>84</v>
      </c>
      <c r="BN107" s="17" t="n">
        <f aca="false">BL107*IF($J107="wagon",62.5,781.25)</f>
        <v>40625</v>
      </c>
      <c r="BO107" s="17" t="n">
        <f aca="false">BM107*IF($J107="wagon",2.73,81.25)</f>
        <v>6825</v>
      </c>
      <c r="BY107" s="1" t="n">
        <v>7</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{GOLD}0.7 tiles{}</v>
      </c>
      <c r="CI107" s="1" t="n">
        <f aca="false">VLOOKUP($CG107, Constants!$M:$N, 2, FALSE())</f>
        <v>0</v>
      </c>
      <c r="CJ107" s="1" t="str">
        <f aca="false">IF(P107&gt;1,_xlfn.CONCAT("{BLACK}Cars: {GOLD}", P107),"")</f>
        <v/>
      </c>
      <c r="CK107" s="1" t="s">
        <v>397</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{GOLD}0.7 tiles{}{SILVER}The LNWR G2 is an 0-8-0 freight locomotive, built from scratch as a new class and never rebuilt instead of the usual LNWR practice of rebuilding existing 8-coupled locomotives.</v>
      </c>
    </row>
    <row r="108" customFormat="false" ht="14.25" hidden="false" customHeight="false" outlineLevel="0" collapsed="false">
      <c r="A108" s="1" t="s">
        <v>398</v>
      </c>
      <c r="B108" s="15" t="s">
        <v>399</v>
      </c>
      <c r="C108" s="1" t="n">
        <v>141</v>
      </c>
      <c r="E108" s="1" t="n">
        <v>64</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198</v>
      </c>
      <c r="J108" s="1" t="s">
        <v>206</v>
      </c>
      <c r="K108" s="1" t="s">
        <v>207</v>
      </c>
      <c r="L108" s="1" t="s">
        <v>149</v>
      </c>
      <c r="M108" s="1" t="n">
        <v>1921</v>
      </c>
      <c r="N108" s="1" t="n">
        <v>1922</v>
      </c>
      <c r="O108" s="1" t="n">
        <v>1959</v>
      </c>
      <c r="Q108" s="1" t="n">
        <v>1350</v>
      </c>
      <c r="S108" s="3" t="n">
        <v>20.5</v>
      </c>
      <c r="T108" s="3" t="n">
        <v>26</v>
      </c>
      <c r="U108" s="3" t="n">
        <v>2</v>
      </c>
      <c r="V108" s="3" t="n">
        <v>180</v>
      </c>
      <c r="W108" s="18" t="n">
        <f aca="false">((($AE108/2)/60)*5280)/($X108*3.2*PI())</f>
        <v>195.802462882792</v>
      </c>
      <c r="X108" s="3" t="n">
        <v>1.9</v>
      </c>
      <c r="Y108" s="3" t="n">
        <f aca="false">((($S108*$S108/4)*PI())*($T108/12)*$U108*$V108*$W108)/(33000*1.1)</f>
        <v>1388.68495813397</v>
      </c>
      <c r="Z108" s="1" t="n">
        <v>62.2</v>
      </c>
      <c r="AA108" s="2" t="n">
        <v>40</v>
      </c>
      <c r="AC108" s="1" t="n">
        <v>95</v>
      </c>
      <c r="AD108" s="4" t="n">
        <f aca="false">IF(AND(Z108&gt;0,AC108&gt;0),(AC108/((Z108+AA108)*10)),"")</f>
        <v>0.0929549902152642</v>
      </c>
      <c r="AE108" s="1" t="n">
        <v>85</v>
      </c>
      <c r="AF108" s="1" t="n">
        <f aca="false">ROUND(AE108*1.6, 0)</f>
        <v>136</v>
      </c>
      <c r="AJ108" s="1" t="n">
        <v>10</v>
      </c>
      <c r="AM108" s="5" t="n">
        <v>0</v>
      </c>
      <c r="AN108" s="1" t="str">
        <f aca="false">CONCATENATE(VLOOKUP(AO108, 'Voxel Sizes'!$A$2:$B$18,2,FALSE()),"x",INT(AK108*15), "x", INT(AL108*15))</f>
        <v>102x0x0</v>
      </c>
      <c r="AO108" s="1" t="n">
        <f aca="false">ROUND(15*((AJ108*10)/256),0)</f>
        <v>6</v>
      </c>
      <c r="AP108" s="1" t="s">
        <v>177</v>
      </c>
      <c r="AQ108" s="1" t="str">
        <f aca="false">CONCATENATE(VLOOKUP(AO108,Constants!$A$2:$C$16,IF(AP108&lt;&gt;"", 3, 2), FALSE()),IF(AP108&lt;&gt;"",CONCATENATE(",",VLOOKUP(AP108,$B:$AQ,42,FALSE())),""))</f>
        <v>2,2,2,2,1,2</v>
      </c>
      <c r="BA108" s="1" t="n">
        <v>31</v>
      </c>
      <c r="BB108" s="16" t="n">
        <f aca="false">IF(O108&lt;&gt;"",MAX(16,(O108-M108)+8),"")</f>
        <v>46</v>
      </c>
      <c r="BE108" s="1" t="n">
        <f aca="false">MIN(AE108/150, 1)*30</f>
        <v>17</v>
      </c>
      <c r="BF108" s="1" t="n">
        <f aca="false">MIN(Q108/4000, 1)*20</f>
        <v>6.75</v>
      </c>
      <c r="BG108" s="1" t="n">
        <f aca="false">MIN(AC108/400,1)*20</f>
        <v>4.75</v>
      </c>
      <c r="BH108" s="4" t="n">
        <f aca="false">1-(MAX(M108-1900, 0)/750)</f>
        <v>0.972</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67</v>
      </c>
      <c r="BM108" s="1" t="n">
        <f aca="false">INT(POWER((((Constants!$G$1+$BE108+$BF108+$BG108+$BI108)*($BH108))*$BJ108),IF($J108="wagon",1,1.2)))+$BC108</f>
        <v>105</v>
      </c>
      <c r="BN108" s="17" t="n">
        <f aca="false">BL108*IF($J108="wagon",62.5,781.25)</f>
        <v>52343.75</v>
      </c>
      <c r="BO108" s="17" t="n">
        <f aca="false">BM108*IF($J108="wagon",2.73,81.25)</f>
        <v>8531.25</v>
      </c>
      <c r="BY108" s="1" t="n">
        <v>8</v>
      </c>
      <c r="CD108" s="1" t="str">
        <f aca="false">VLOOKUP(M108,Eras!$A$2:$C$10, 2, TRUE())</f>
        <v>edw</v>
      </c>
      <c r="CE108" s="1" t="s">
        <v>241</v>
      </c>
      <c r="CF108" s="1" t="str">
        <f aca="false">CONCATENATE(CD108,"_",CE108)</f>
        <v>edw_Express</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400</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Caledonian 72 class was a 4-4-0 express locomotive, later inherited by the LMS after grouping.</v>
      </c>
    </row>
    <row r="109" customFormat="false" ht="14.25" hidden="false" customHeight="false" outlineLevel="0" collapsed="false">
      <c r="A109" s="1" t="s">
        <v>401</v>
      </c>
      <c r="B109" s="19" t="s">
        <v>402</v>
      </c>
      <c r="C109" s="1" t="n">
        <v>1037</v>
      </c>
      <c r="E109" s="1" t="n">
        <v>65</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198</v>
      </c>
      <c r="J109" s="1" t="s">
        <v>206</v>
      </c>
      <c r="K109" s="1" t="s">
        <v>207</v>
      </c>
      <c r="L109" s="1" t="s">
        <v>149</v>
      </c>
      <c r="M109" s="1" t="n">
        <v>1921</v>
      </c>
      <c r="O109" s="1" t="n">
        <v>1950</v>
      </c>
      <c r="Q109" s="1" t="n">
        <v>1650</v>
      </c>
      <c r="S109" s="3" t="n">
        <v>16</v>
      </c>
      <c r="T109" s="3" t="n">
        <v>26</v>
      </c>
      <c r="U109" s="3" t="n">
        <v>4</v>
      </c>
      <c r="V109" s="3" t="n">
        <v>180</v>
      </c>
      <c r="W109" s="18" t="n">
        <f aca="false">((($AE109/2)/60)*5280)/($X109*3.2*PI())</f>
        <v>165.400849288816</v>
      </c>
      <c r="X109" s="3" t="n">
        <v>1.72</v>
      </c>
      <c r="Y109" s="3" t="n">
        <f aca="false">((($S109*$S109/4)*PI())*($T109/12)*$U109*$V109*$W109)/(33000*1.1)</f>
        <v>1429.1754756871</v>
      </c>
      <c r="Z109" s="1" t="n">
        <v>94</v>
      </c>
      <c r="AA109" s="2" t="n">
        <v>35</v>
      </c>
      <c r="AB109" s="1" t="n">
        <v>5</v>
      </c>
      <c r="AC109" s="1" t="n">
        <v>133</v>
      </c>
      <c r="AD109" s="4" t="n">
        <f aca="false">IF(AND(Z109&gt;0,AC109&gt;0),(AC109/((Z109+AA109)*10)),"")</f>
        <v>0.103100775193798</v>
      </c>
      <c r="AE109" s="1" t="n">
        <v>65</v>
      </c>
      <c r="AF109" s="1" t="n">
        <f aca="false">ROUND(AE109*1.6, 0)</f>
        <v>104</v>
      </c>
      <c r="AI109" s="1" t="n">
        <v>12</v>
      </c>
      <c r="AJ109" s="1" t="n">
        <v>12</v>
      </c>
      <c r="AN109" s="16" t="s">
        <v>280</v>
      </c>
      <c r="AO109" s="16" t="n">
        <f aca="false">ROUND(15*((AJ109*10)/256),0)</f>
        <v>7</v>
      </c>
      <c r="AP109" s="1" t="s">
        <v>382</v>
      </c>
      <c r="AQ109" s="1" t="str">
        <f aca="false">CONCATENATE(VLOOKUP(AO109,Constants!$A$2:$C$16,IF(AP109&lt;&gt;"", 3, 2), FALSE()),IF(AP109&lt;&gt;"",CONCATENATE(",",VLOOKUP(AP109,$B:$AQ,42,FALSE())),""))</f>
        <v>2,3,2,2,1,2</v>
      </c>
      <c r="AY109" s="1" t="n">
        <v>1</v>
      </c>
      <c r="BA109" s="1" t="n">
        <v>26</v>
      </c>
      <c r="BB109" s="16" t="n">
        <f aca="false">IF(O109&lt;&gt;"",MAX(16,(O109-M109)+8),"")</f>
        <v>37</v>
      </c>
      <c r="BC109" s="1" t="n">
        <v>14</v>
      </c>
      <c r="BD109" s="1" t="n">
        <v>11</v>
      </c>
      <c r="BE109" s="20" t="n">
        <f aca="false">MIN(AE109/150, 1)*30</f>
        <v>13</v>
      </c>
      <c r="BF109" s="20" t="n">
        <f aca="false">MIN(Q109/4000, 1)*20</f>
        <v>8.25</v>
      </c>
      <c r="BG109" s="20" t="n">
        <f aca="false">MIN(AC109/400,1)*20</f>
        <v>6.65</v>
      </c>
      <c r="BH109" s="21" t="n">
        <f aca="false">1-(MAX(M109-1900, 0)/750)</f>
        <v>0.972</v>
      </c>
      <c r="BI109" s="20" t="n">
        <f aca="false">((MAX($P109,1)*MIN($AM109/300,1)))*IF(J109="Wagon",50,10)</f>
        <v>0</v>
      </c>
      <c r="BJ109" s="1" t="n">
        <f aca="false">VLOOKUP($K109,Constants!$I:$K, 2, FALSE())</f>
        <v>1.15</v>
      </c>
      <c r="BK109" s="1" t="n">
        <f aca="false">VLOOKUP($K109,Constants!$I:$K, 3, FALSE())*IF(AND(J109="multiple_unit",AE109&lt;110),0.75,1)</f>
        <v>1.7</v>
      </c>
      <c r="BL109" s="20" t="n">
        <v>77</v>
      </c>
      <c r="BM109" s="20" t="n">
        <v>117</v>
      </c>
      <c r="BN109" s="22" t="n">
        <f aca="false">BL109*IF($J109="wagon",62.5,781.25)</f>
        <v>60156.25</v>
      </c>
      <c r="BO109" s="22" t="n">
        <f aca="false">BM109*IF($J109="wagon",2.73,81.25)</f>
        <v>9506.25</v>
      </c>
      <c r="BY109" s="1" t="n">
        <v>3</v>
      </c>
      <c r="CD109" s="23" t="s">
        <v>343</v>
      </c>
      <c r="CE109" s="1" t="s">
        <v>241</v>
      </c>
      <c r="CF109" s="23" t="str">
        <f aca="false">CONCATENATE(CD109,"_",CE109)</f>
        <v>edw_Express</v>
      </c>
      <c r="CG109" s="23" t="str">
        <f aca="false">_xlfn.CONCAT(K109, "_",L109)</f>
        <v>steam_RAIL</v>
      </c>
      <c r="CH109" s="7" t="str">
        <f aca="false">_xlfn.CONCAT("{BLACK}Length: {GOLD}", TEXT(ROUNDUP(IF(AT109&lt;&gt;"",SUM(VALUE(_xlfn.TEXTSPLIT(AT109, ","))), SUM(VALUE(_xlfn.TEXTSPLIT(AQ109, ",")))*IF(P109, P109, 1))/16, 1), "#,##0.0"), " tiles{}")</f>
        <v>{BLACK}Length: {GOLD}0.8 tiles{}</v>
      </c>
      <c r="CI109" s="1" t="n">
        <f aca="false">VLOOKUP($CG109, Constants!$M:$N, 2, FALSE())</f>
        <v>0</v>
      </c>
      <c r="CJ109" s="1" t="str">
        <f aca="false">IF(P109&gt;1,_xlfn.CONCAT("{BLACK}Cars: {GOLD}", P109),"")</f>
        <v/>
      </c>
      <c r="CK109" s="1" t="s">
        <v>403</v>
      </c>
      <c r="CL109" s="1" t="str">
        <f aca="false">IF($BX109="!param_no_gameplay_units","{GREEN}Included for gameplay purposes","")</f>
        <v/>
      </c>
      <c r="CM109" s="1" t="str">
        <f aca="false">IF(CA109="buffet","{YELLOW}25% long distance bonus for consist{}",IF(CB109="DANDY","{YELLOW}Faster downhill speeds for horse-drawn trains (1 required per 2 horses){}",IF(CB109="BRAKE","{YELLOW}Speed bonus for slow wagons{}",IF(CB109="NGPassengers","{YELLOW}Preserved railway bonus: passengers pay more when hauled by old locomotives{}",IF(AND(BZ109&gt;190,NOT(AND(L109="NARROW_GAUGE",CB109&lt;&gt;"PASS"))),CONCATENATE("{YELLOW}",INT((BZ109-185)/1.85),"%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9Q is a freight adaptation of the 9P, which had an exceptional turn of speed for a high tractive effort engine. It earnt the name "Black Pig" for its heavy coal consumption.</v>
      </c>
    </row>
    <row r="110" customFormat="false" ht="14.25" hidden="false" customHeight="false" outlineLevel="0" collapsed="false">
      <c r="A110" s="24" t="s">
        <v>404</v>
      </c>
      <c r="B110" s="19" t="s">
        <v>405</v>
      </c>
      <c r="C110" s="1" t="n">
        <v>1040</v>
      </c>
      <c r="E110" s="1" t="n">
        <v>66</v>
      </c>
      <c r="G110" s="1" t="str">
        <f aca="false">IF($F110&lt;&gt;"",_xlfn.CONCAT(VLOOKUP($CE110, Constants!$T:$U, 2, FALSE()),",",$F110),VLOOKUP($CE110, Constants!$T:$U, 2, FALSE()))</f>
        <v>role/mixed</v>
      </c>
      <c r="H110" s="1" t="str">
        <f aca="false">IF($G110&lt;&gt;"",_xlfn.CONCAT(VLOOKUP($CG110, Constants!$M:$P, 4, FALSE()),",",$G110),VLOOKUP($CG110, Constants!$M:$P, 4, FALSE()))</f>
        <v>flag/GB,power/steam,role/mixed</v>
      </c>
      <c r="J110" s="1" t="s">
        <v>309</v>
      </c>
      <c r="K110" s="1" t="s">
        <v>207</v>
      </c>
      <c r="L110" s="1" t="s">
        <v>149</v>
      </c>
      <c r="M110" s="1" t="n">
        <v>1922</v>
      </c>
      <c r="N110" s="1" t="n">
        <v>1924</v>
      </c>
      <c r="AC110" s="1" t="n">
        <v>119</v>
      </c>
      <c r="AD110" s="4" t="str">
        <f aca="false">IF(AND(Z110&gt;0,AC110&gt;0),(AC110/((Z110+AA110)*10)),"")</f>
        <v/>
      </c>
      <c r="AF110" s="1" t="n">
        <f aca="false">ROUND(AE110*1.6, 0)</f>
        <v>0</v>
      </c>
      <c r="AN110" s="16" t="s">
        <v>331</v>
      </c>
      <c r="AO110" s="16" t="n">
        <f aca="false">ROUND(15*((AJ110*10)/256),0)</f>
        <v>0</v>
      </c>
      <c r="AQ110" s="1" t="str">
        <f aca="false">CONCATENATE(VLOOKUP(AO110,Constants!$A$2:$C$16,IF(AP110&lt;&gt;"", 3, 2), FALSE()),IF(AP110&lt;&gt;"",CONCATENATE(",",VLOOKUP(AP110,$B:$AQ,42,FALSE())),""))</f>
        <v>na</v>
      </c>
      <c r="AY110" s="1" t="n">
        <v>1</v>
      </c>
      <c r="BA110" s="1" t="n">
        <v>30</v>
      </c>
      <c r="BB110" s="16" t="str">
        <f aca="false">IF(O110&lt;&gt;"",MAX(16,(O110-M110)+8),"")</f>
        <v/>
      </c>
      <c r="BE110" s="20" t="n">
        <f aca="false">MIN(AE110/150, 1)*30</f>
        <v>0</v>
      </c>
      <c r="BF110" s="20" t="n">
        <f aca="false">MIN(Q110/4000, 1)*20</f>
        <v>0</v>
      </c>
      <c r="BG110" s="20" t="n">
        <f aca="false">MIN(AC110/400,1)*20</f>
        <v>5.95</v>
      </c>
      <c r="BH110" s="4" t="n">
        <f aca="false">1-(MAX(M110-1900, 0)/750)</f>
        <v>0.970666666666667</v>
      </c>
      <c r="BI110" s="20" t="n">
        <f aca="false">((MAX($P110,1)*MIN($AM110/300,1)))*IF(J110="Wagon",50,10)</f>
        <v>0</v>
      </c>
      <c r="BJ110" s="1" t="n">
        <f aca="false">VLOOKUP($K110,Constants!$I:$K, 2, FALSE())</f>
        <v>1.15</v>
      </c>
      <c r="BK110" s="1" t="n">
        <f aca="false">VLOOKUP($K110,Constants!$I:$K, 3, FALSE())*IF(AND(J110="multiple_unit",AE110&lt;110),0.75,1)</f>
        <v>1.7</v>
      </c>
      <c r="BL110" s="20" t="n">
        <v>20</v>
      </c>
      <c r="BM110" s="20" t="n">
        <v>43</v>
      </c>
      <c r="BN110" s="22" t="n">
        <f aca="false">BL110*IF($J110="wagon",62.5,781.25)</f>
        <v>15625</v>
      </c>
      <c r="BO110" s="22" t="n">
        <f aca="false">BM110*IF($J110="wagon",2.73,81.25)</f>
        <v>3493.75</v>
      </c>
      <c r="BY110" s="1" t="n">
        <v>8</v>
      </c>
      <c r="CD110" s="23" t="s">
        <v>343</v>
      </c>
      <c r="CE110" s="1" t="s">
        <v>129</v>
      </c>
      <c r="CF110" s="23" t="str">
        <f aca="false">CONCATENATE(CD110,"_",CE110)</f>
        <v>edw_Mixed Traffic</v>
      </c>
      <c r="CG110" s="23" t="str">
        <f aca="false">_xlfn.CONCAT(K110, "_",L110)</f>
        <v>steam_RAIL</v>
      </c>
      <c r="CH110" s="7" t="e">
        <f aca="false">_xlfn.CONCAT("{BLACK}Length: {GOLD}", TEXT(ROUNDUP(IF(AT110&lt;&gt;"",SUM(VALUE(_xlfn.TEXTSPLIT(AT110, ","))), SUM(VALUE(_xlfn.TEXTSPLIT(AQ110, ",")))*IF(P110, P110, 1))/16, 1), "#,##0.0"), " tiles{}")</f>
        <v>#VALUE!</v>
      </c>
      <c r="CI110" s="1" t="n">
        <f aca="false">VLOOKUP($CG110, Constants!$M:$N, 2, FALSE())</f>
        <v>0</v>
      </c>
      <c r="CJ110" s="1" t="str">
        <f aca="false">IF(P110&gt;1,_xlfn.CONCAT("{BLACK}Cars: {GOLD}", P110),"")</f>
        <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e">
        <f aca="false">_xlfn.CONCAT(CI110,IF(CI110&lt;&gt;""," ",""),CJ110,IF(OR(CJ110&lt;&gt;"",CI110&lt;&gt;""),"{}",""),CH110,CM110,"{SILVER}",CK110,IF(CL110&lt;&gt;"","{}{}",""),CL110)</f>
        <v>#VALUE!</v>
      </c>
    </row>
    <row r="111" customFormat="false" ht="14.25" hidden="false" customHeight="false" outlineLevel="0" collapsed="false">
      <c r="A111" s="1" t="s">
        <v>406</v>
      </c>
      <c r="B111" s="15" t="s">
        <v>407</v>
      </c>
      <c r="C111" s="1" t="n">
        <v>136</v>
      </c>
      <c r="E111" s="1" t="n">
        <v>67</v>
      </c>
      <c r="G111" s="1" t="str">
        <f aca="false">IF($F111&lt;&gt;"",_xlfn.CONCAT(VLOOKUP($CE111, Constants!$T:$U, 2, FALSE()),",",$F111),VLOOKUP($CE111, Constants!$T:$U, 2, FALSE()))</f>
        <v>role/mixed</v>
      </c>
      <c r="H111" s="1" t="str">
        <f aca="false">IF($G111&lt;&gt;"",_xlfn.CONCAT(VLOOKUP($CG111, Constants!$M:$P, 4, FALSE()),",",$G111),VLOOKUP($CG111, Constants!$M:$P, 4, FALSE()))</f>
        <v>flag/GB,power/steam,role/mixed</v>
      </c>
      <c r="I111" s="1" t="s">
        <v>198</v>
      </c>
      <c r="J111" s="1" t="s">
        <v>206</v>
      </c>
      <c r="K111" s="1" t="s">
        <v>207</v>
      </c>
      <c r="L111" s="1" t="s">
        <v>149</v>
      </c>
      <c r="M111" s="1" t="n">
        <v>1923</v>
      </c>
      <c r="O111" s="1" t="n">
        <v>1966</v>
      </c>
      <c r="Q111" s="1" t="n">
        <v>950</v>
      </c>
      <c r="S111" s="3" t="n">
        <v>20</v>
      </c>
      <c r="T111" s="3" t="n">
        <v>26</v>
      </c>
      <c r="U111" s="3" t="n">
        <v>2</v>
      </c>
      <c r="V111" s="3" t="n">
        <v>175</v>
      </c>
      <c r="W111" s="18" t="n">
        <f aca="false">((($AE111/2)/60)*5280)/($X111*3.2*PI())</f>
        <v>150.451157141557</v>
      </c>
      <c r="X111" s="3" t="n">
        <v>1.6</v>
      </c>
      <c r="Y111" s="3" t="n">
        <f aca="false">((($S111*$S111/4)*PI())*($T111/12)*$U111*$V111*$W111)/(33000*1.1)</f>
        <v>987.413194444445</v>
      </c>
      <c r="Z111" s="1" t="n">
        <f aca="false">49.5+41.8</f>
        <v>91.3</v>
      </c>
      <c r="AC111" s="1" t="n">
        <v>109</v>
      </c>
      <c r="AD111" s="4" t="n">
        <f aca="false">IF(AND(Z111&gt;0,AC111&gt;0),(AC111/((Z111+AA111)*10)),"")</f>
        <v>0.119386637458927</v>
      </c>
      <c r="AE111" s="1" t="n">
        <v>55</v>
      </c>
      <c r="AF111" s="1" t="n">
        <f aca="false">ROUND(AE111*1.6, 0)</f>
        <v>88</v>
      </c>
      <c r="AI111" s="1" t="n">
        <v>15.8</v>
      </c>
      <c r="AJ111" s="1" t="n">
        <v>10</v>
      </c>
      <c r="AM111" s="5" t="n">
        <v>0</v>
      </c>
      <c r="AN111" s="1" t="str">
        <f aca="false">CONCATENATE(VLOOKUP(AO111, 'Voxel Sizes'!$A$2:$B$18,2,FALSE()),"x",INT(AK111*15), "x", INT(AL111*15))</f>
        <v>102x0x0</v>
      </c>
      <c r="AO111" s="1" t="n">
        <f aca="false">ROUND(15*((AJ111*10)/256),0)</f>
        <v>6</v>
      </c>
      <c r="AP111" s="1" t="s">
        <v>169</v>
      </c>
      <c r="AQ111" s="1" t="str">
        <f aca="false">CONCATENATE(VLOOKUP(AO111,Constants!$A$2:$C$16,IF(AP111&lt;&gt;"", 3, 2), FALSE()),IF(AP111&lt;&gt;"",CONCATENATE(",",VLOOKUP(AP111,$B:$AQ,42,FALSE())),""))</f>
        <v>2,2,2,2,1,2</v>
      </c>
      <c r="AY111" s="1" t="n">
        <v>1</v>
      </c>
      <c r="BA111" s="1" t="n">
        <v>36</v>
      </c>
      <c r="BB111" s="16" t="n">
        <f aca="false">IF(O111&lt;&gt;"",MAX(16,(O111-M111)+8),"")</f>
        <v>51</v>
      </c>
      <c r="BE111" s="1" t="n">
        <f aca="false">MIN(AE111/150, 1)*30</f>
        <v>11</v>
      </c>
      <c r="BF111" s="1" t="n">
        <f aca="false">MIN(Q111/4000, 1)*20</f>
        <v>4.75</v>
      </c>
      <c r="BG111" s="1" t="n">
        <f aca="false">MIN(AC111/400,1)*20</f>
        <v>5.45</v>
      </c>
      <c r="BH111" s="4" t="n">
        <f aca="false">1-(MAX(M111-1900, 0)/750)</f>
        <v>0.969333333333333</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52</v>
      </c>
      <c r="BM111" s="1" t="n">
        <f aca="false">INT(POWER((((Constants!$G$1+$BE111+$BF111+$BG111+$BI111)*($BH111))*$BJ111),IF($J111="wagon",1,1.2)))+$BC111</f>
        <v>84</v>
      </c>
      <c r="BN111" s="17" t="n">
        <f aca="false">BL111*IF($J111="wagon",62.5,781.25)</f>
        <v>40625</v>
      </c>
      <c r="BO111" s="17" t="n">
        <f aca="false">BM111*IF($J111="wagon",2.73,81.25)</f>
        <v>6825</v>
      </c>
      <c r="BY111" s="1" t="n">
        <v>9</v>
      </c>
      <c r="CD111" s="1" t="str">
        <f aca="false">VLOOKUP(M111,Eras!$A$2:$C$10, 2, TRUE())</f>
        <v>big4</v>
      </c>
      <c r="CE111" s="1" t="s">
        <v>129</v>
      </c>
      <c r="CF111" s="1" t="str">
        <f aca="false">CONCATENATE(CD111,"_",CE111)</f>
        <v>big4_Mixed Traffic</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408</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Fowler 4F is a development of the earlier Midland 3835 class.</v>
      </c>
    </row>
    <row r="112" customFormat="false" ht="14.25" hidden="false" customHeight="false" outlineLevel="0" collapsed="false">
      <c r="A112" s="1" t="s">
        <v>409</v>
      </c>
      <c r="B112" s="15" t="s">
        <v>410</v>
      </c>
      <c r="C112" s="1" t="n">
        <v>138</v>
      </c>
      <c r="E112" s="1" t="n">
        <v>68</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198</v>
      </c>
      <c r="J112" s="1" t="s">
        <v>206</v>
      </c>
      <c r="K112" s="1" t="s">
        <v>207</v>
      </c>
      <c r="L112" s="1" t="s">
        <v>149</v>
      </c>
      <c r="M112" s="1" t="n">
        <v>1923</v>
      </c>
      <c r="N112" s="1" t="n">
        <v>1950</v>
      </c>
      <c r="O112" s="1" t="n">
        <v>1950</v>
      </c>
      <c r="Q112" s="1" t="n">
        <v>1900</v>
      </c>
      <c r="S112" s="3" t="n">
        <v>16</v>
      </c>
      <c r="T112" s="3" t="n">
        <v>26</v>
      </c>
      <c r="U112" s="3" t="n">
        <v>4</v>
      </c>
      <c r="V112" s="3" t="n">
        <v>225</v>
      </c>
      <c r="W112" s="18" t="n">
        <f aca="false">((($AE112/2)/60)*5280)/($X112*3.2*PI())</f>
        <v>223.214807686383</v>
      </c>
      <c r="X112" s="3" t="n">
        <v>2</v>
      </c>
      <c r="Y112" s="3" t="n">
        <f aca="false">((($S112*$S112/4)*PI())*($T112/12)*$U112*$V112*$W112)/(33000*1.1)</f>
        <v>2410.90909090909</v>
      </c>
      <c r="Z112" s="1" t="n">
        <v>81.1</v>
      </c>
      <c r="AA112" s="2" t="n">
        <v>48</v>
      </c>
      <c r="AC112" s="1" t="n">
        <v>141</v>
      </c>
      <c r="AD112" s="4" t="n">
        <f aca="false">IF(AND(Z112&gt;0,AC112&gt;0),(AC112/((Z112+AA112)*10)),"")</f>
        <v>0.109217660728118</v>
      </c>
      <c r="AE112" s="1" t="n">
        <v>102</v>
      </c>
      <c r="AF112" s="1" t="n">
        <f aca="false">ROUND(AE112*1.6, 0)</f>
        <v>163</v>
      </c>
      <c r="AH112" s="1" t="n">
        <v>1</v>
      </c>
      <c r="AI112" s="1" t="n">
        <v>19.86</v>
      </c>
      <c r="AJ112" s="1" t="n">
        <f aca="false">AI112-7.64</f>
        <v>12.22</v>
      </c>
      <c r="AL112" s="1" t="n">
        <v>4.07</v>
      </c>
      <c r="AM112" s="5" t="n">
        <v>0</v>
      </c>
      <c r="AN112" s="1" t="str">
        <f aca="false">CONCATENATE(VLOOKUP(AO112, 'Voxel Sizes'!$A$2:$B$18,2,FALSE()),"x",INT(AK112*15), "x", INT(AL112*15))</f>
        <v>120x0x61</v>
      </c>
      <c r="AO112" s="1" t="n">
        <f aca="false">ROUND(15*((AJ112*10)/256),0)</f>
        <v>7</v>
      </c>
      <c r="AP112" s="1" t="s">
        <v>148</v>
      </c>
      <c r="AQ112" s="1" t="str">
        <f aca="false">CONCATENATE(VLOOKUP(AO112,Constants!$A$2:$C$16,IF(AP112&lt;&gt;"", 3, 2), FALSE()),IF(AP112&lt;&gt;"",CONCATENATE(",",VLOOKUP(AP112,$B:$AQ,42,FALSE())),""))</f>
        <v>2,3,2,2,1,2</v>
      </c>
      <c r="AY112" s="1" t="n">
        <v>1</v>
      </c>
      <c r="BA112" s="1" t="n">
        <v>30</v>
      </c>
      <c r="BB112" s="16" t="n">
        <f aca="false">IF(O112&lt;&gt;"",MAX(16,(O112-M112)+8),"")</f>
        <v>35</v>
      </c>
      <c r="BE112" s="1" t="n">
        <f aca="false">MIN(AE112/150, 1)*30</f>
        <v>20.4</v>
      </c>
      <c r="BF112" s="1" t="n">
        <f aca="false">MIN(Q112/4000, 1)*20</f>
        <v>9.5</v>
      </c>
      <c r="BG112" s="1" t="n">
        <f aca="false">MIN(AC112/400,1)*20</f>
        <v>7.05</v>
      </c>
      <c r="BH112" s="4" t="n">
        <f aca="false">1-(MAX(M112-1900, 0)/750)</f>
        <v>0.969333333333333</v>
      </c>
      <c r="BI112" s="1"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85</v>
      </c>
      <c r="BM112" s="1" t="n">
        <f aca="false">INT(POWER((((Constants!$G$1+$BE112+$BF112+$BG112+$BI112)*($BH112))*$BJ112),IF($J112="wagon",1,1.2)))+$BC112</f>
        <v>130</v>
      </c>
      <c r="BN112" s="17" t="n">
        <f aca="false">BL112*IF($J112="wagon",62.5,781.25)</f>
        <v>66406.25</v>
      </c>
      <c r="BO112" s="17" t="n">
        <f aca="false">BM112*IF($J112="wagon",2.73,81.25)</f>
        <v>10562.5</v>
      </c>
      <c r="BY112" s="1" t="n">
        <v>10</v>
      </c>
      <c r="CD112" s="1" t="str">
        <f aca="false">VLOOKUP(M112,Eras!$A$2:$C$10, 2, TRUE())</f>
        <v>big4</v>
      </c>
      <c r="CE112" s="1" t="s">
        <v>241</v>
      </c>
      <c r="CF112" s="1" t="str">
        <f aca="false">CONCATENATE(CD112,"_",CE112)</f>
        <v>big4_Express</v>
      </c>
      <c r="CG112" s="1"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411</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Castle Class is a large, powerful express locomotive designed by GWR Chief Mechanical Engineer Charles Collett</v>
      </c>
    </row>
    <row r="113" customFormat="false" ht="14.25" hidden="false" customHeight="false" outlineLevel="0" collapsed="false">
      <c r="A113" s="1" t="s">
        <v>412</v>
      </c>
      <c r="B113" s="15" t="s">
        <v>413</v>
      </c>
      <c r="C113" s="1" t="n">
        <v>143</v>
      </c>
      <c r="E113" s="1" t="n">
        <v>69</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198</v>
      </c>
      <c r="J113" s="1" t="s">
        <v>206</v>
      </c>
      <c r="K113" s="1" t="s">
        <v>207</v>
      </c>
      <c r="L113" s="1" t="s">
        <v>149</v>
      </c>
      <c r="M113" s="1" t="n">
        <v>1923</v>
      </c>
      <c r="O113" s="1" t="n">
        <v>1951</v>
      </c>
      <c r="Q113" s="1" t="n">
        <v>1000</v>
      </c>
      <c r="S113" s="3" t="n">
        <v>20</v>
      </c>
      <c r="T113" s="3" t="n">
        <v>26</v>
      </c>
      <c r="U113" s="3" t="n">
        <v>2</v>
      </c>
      <c r="V113" s="3" t="n">
        <v>185</v>
      </c>
      <c r="W113" s="18" t="n">
        <f aca="false">((($AE113/2)/60)*5280)/($X113*3.2*PI())</f>
        <v>144.81929564428</v>
      </c>
      <c r="X113" s="3" t="n">
        <v>1.36</v>
      </c>
      <c r="Y113" s="3" t="n">
        <f aca="false">((($S113*$S113/4)*PI())*($T113/12)*$U113*$V113*$W113)/(33000*1.1)</f>
        <v>1004.76270053476</v>
      </c>
      <c r="Z113" s="1" t="n">
        <v>61</v>
      </c>
      <c r="AC113" s="1" t="n">
        <v>133</v>
      </c>
      <c r="AD113" s="4" t="n">
        <f aca="false">IF(AND(Z113&gt;0,AC113&gt;0),(AC113/((Z113+AA113)*10)),"")</f>
        <v>0.218032786885246</v>
      </c>
      <c r="AE113" s="1" t="n">
        <v>45</v>
      </c>
      <c r="AF113" s="1" t="n">
        <f aca="false">ROUND(AE113*1.6, 0)</f>
        <v>72</v>
      </c>
      <c r="AJ113" s="1" t="n">
        <v>14</v>
      </c>
      <c r="AM113" s="5" t="n">
        <v>0</v>
      </c>
      <c r="AN113" s="1" t="str">
        <f aca="false">CONCATENATE(VLOOKUP(AO113, 'Voxel Sizes'!$A$2:$B$18,2,FALSE()),"x",INT(AK113*15), "x", INT(AL113*15))</f>
        <v>136x0x0</v>
      </c>
      <c r="AO113" s="1" t="n">
        <f aca="false">ROUND(15*((AJ113*10)/256),0)</f>
        <v>8</v>
      </c>
      <c r="AQ113" s="1" t="str">
        <f aca="false">CONCATENATE(VLOOKUP(AO113,Constants!$A$2:$C$16,IF(AP113&lt;&gt;"", 3, 2), FALSE()),IF(AP113&lt;&gt;"",CONCATENATE(",",VLOOKUP(AP113,$B:$AQ,42,FALSE())),""))</f>
        <v>2,4,2</v>
      </c>
      <c r="AY113" s="1" t="n">
        <v>1</v>
      </c>
      <c r="BA113" s="1" t="n">
        <v>30</v>
      </c>
      <c r="BB113" s="16" t="n">
        <f aca="false">IF(O113&lt;&gt;"",MAX(16,(O113-M113)+8),"")</f>
        <v>36</v>
      </c>
      <c r="BE113" s="1" t="n">
        <f aca="false">MIN(AE113/150, 1)*30</f>
        <v>9</v>
      </c>
      <c r="BF113" s="1" t="n">
        <f aca="false">MIN(Q113/4000, 1)*20</f>
        <v>5</v>
      </c>
      <c r="BG113" s="1" t="n">
        <f aca="false">MIN(AC113/400,1)*20</f>
        <v>6.65</v>
      </c>
      <c r="BH113" s="4" t="n">
        <f aca="false">1-(MAX(M113-1900, 0)/750)</f>
        <v>0.969333333333333</v>
      </c>
      <c r="BI113" s="1" t="n">
        <f aca="false">((MAX($P113,1)*MIN($AM113/300,1)))*IF(J113="Wagon",50,10)</f>
        <v>0</v>
      </c>
      <c r="BJ113" s="1" t="n">
        <f aca="false">VLOOKUP($K113,Constants!$I:$K, 2, FALSE())</f>
        <v>1.15</v>
      </c>
      <c r="BK113" s="1" t="n">
        <f aca="false">VLOOKUP($K113,Constants!$I:$K, 3, FALSE())*IF(AND(J113="multiple_unit",AE113&lt;110),0.75,1)</f>
        <v>1.7</v>
      </c>
      <c r="BL113" s="1" t="n">
        <f aca="false">INT(POWER(((Constants!$G$2+$BE113+$BF113+$BG113+$BI113)*$BH113)*$BK113, 1.05))+$BD113</f>
        <v>50</v>
      </c>
      <c r="BM113" s="1" t="n">
        <f aca="false">INT(POWER((((Constants!$G$1+$BE113+$BF113+$BG113+$BI113)*($BH113))*$BJ113),IF($J113="wagon",1,1.2)))+$BC113</f>
        <v>82</v>
      </c>
      <c r="BN113" s="17" t="n">
        <f aca="false">BL113*IF($J113="wagon",62.5,781.25)</f>
        <v>39062.5</v>
      </c>
      <c r="BO113" s="17" t="n">
        <f aca="false">BM113*IF($J113="wagon",2.73,81.25)</f>
        <v>6662.5</v>
      </c>
      <c r="BY113" s="1" t="n">
        <v>5</v>
      </c>
      <c r="CD113" s="1" t="str">
        <f aca="false">VLOOKUP(M113,Eras!$A$2:$C$10, 2, TRUE())</f>
        <v>big4</v>
      </c>
      <c r="CE113" s="1" t="s">
        <v>132</v>
      </c>
      <c r="CF113" s="1" t="str">
        <f aca="false">CONCATENATE(CD113,"_",CE113)</f>
        <v>big4_Freight</v>
      </c>
      <c r="CG113" s="1" t="str">
        <f aca="false">_xlfn.CONCAT(K113, "_",L113)</f>
        <v>steam_RAIL</v>
      </c>
      <c r="CH113" s="7" t="str">
        <f aca="false">_xlfn.CONCAT("{BLACK}Length: {GOLD}", TEXT(ROUNDUP(IF(AT113&lt;&gt;"",SUM(VALUE(_xlfn.TEXTSPLIT(AT113, ","))), SUM(VALUE(_xlfn.TEXTSPLIT(AQ113, ",")))*IF(P113, P113, 1))/16, 1), "#,##0.0"), " tiles{}")</f>
        <v>{BLACK}Length: {GOLD}0.5 tiles{}</v>
      </c>
      <c r="CI113" s="1" t="n">
        <f aca="false">VLOOKUP($CG113, Constants!$M:$N, 2, FALSE())</f>
        <v>0</v>
      </c>
      <c r="CJ113" s="1" t="str">
        <f aca="false">IF(P113&gt;1,_xlfn.CONCAT("{BLACK}Cars: {GOLD}", P113),"")</f>
        <v/>
      </c>
      <c r="CK113" s="1" t="s">
        <v>414</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{GOLD}0.5 tiles{}{SILVER}The LNWR 380 class is a large tank locomotive with an 0-8-4T chassis. It was derived from the LNWR's 0-8-0 tender engines and similar 0-8-2T tanks.</v>
      </c>
    </row>
    <row r="114" customFormat="false" ht="14.25" hidden="false" customHeight="false" outlineLevel="0" collapsed="false">
      <c r="A114" s="1" t="s">
        <v>415</v>
      </c>
      <c r="B114" s="15" t="s">
        <v>416</v>
      </c>
      <c r="C114" s="1" t="n">
        <v>142</v>
      </c>
      <c r="E114" s="1" t="n">
        <v>70</v>
      </c>
      <c r="G114" s="1" t="str">
        <f aca="false">IF($F114&lt;&gt;"",_xlfn.CONCAT(VLOOKUP($CE114, Constants!$T:$U, 2, FALSE()),",",$F114),VLOOKUP($CE114, Constants!$T:$U, 2, FALSE()))</f>
        <v>role/mixed</v>
      </c>
      <c r="H114" s="1" t="str">
        <f aca="false">IF($G114&lt;&gt;"",_xlfn.CONCAT(VLOOKUP($CG114, Constants!$M:$P, 4, FALSE()),",",$G114),VLOOKUP($CG114, Constants!$M:$P, 4, FALSE()))</f>
        <v>flag/GB,power/steam,role/mixed</v>
      </c>
      <c r="I114" s="1" t="s">
        <v>198</v>
      </c>
      <c r="J114" s="1" t="s">
        <v>206</v>
      </c>
      <c r="K114" s="1" t="s">
        <v>207</v>
      </c>
      <c r="L114" s="1" t="s">
        <v>149</v>
      </c>
      <c r="M114" s="1" t="n">
        <v>1924</v>
      </c>
      <c r="N114" s="1" t="n">
        <v>1928</v>
      </c>
      <c r="O114" s="1" t="n">
        <v>1965</v>
      </c>
      <c r="Q114" s="1" t="n">
        <v>900</v>
      </c>
      <c r="Z114" s="1" t="n">
        <v>62</v>
      </c>
      <c r="AC114" s="1" t="n">
        <v>115</v>
      </c>
      <c r="AD114" s="4" t="n">
        <f aca="false">IF(AND(Z114&gt;0,AC114&gt;0),(AC114/((Z114+AA114)*10)),"")</f>
        <v>0.185483870967742</v>
      </c>
      <c r="AE114" s="1" t="n">
        <v>50</v>
      </c>
      <c r="AF114" s="1" t="n">
        <f aca="false">ROUND(AE114*1.6, 0)</f>
        <v>80</v>
      </c>
      <c r="AI114" s="1" t="n">
        <v>11.43</v>
      </c>
      <c r="AJ114" s="1" t="n">
        <v>11.43</v>
      </c>
      <c r="AM114" s="5" t="n">
        <v>0</v>
      </c>
      <c r="AN114" s="1" t="str">
        <f aca="false">CONCATENATE(VLOOKUP(AO114, 'Voxel Sizes'!$A$2:$B$18,2,FALSE()),"x",INT(AK114*15), "x", INT(AL114*15))</f>
        <v>120x0x0</v>
      </c>
      <c r="AO114" s="1" t="n">
        <f aca="false">ROUND(15*((AJ114*10)/256),0)</f>
        <v>7</v>
      </c>
      <c r="AQ114" s="1" t="str">
        <f aca="false">CONCATENATE(VLOOKUP(AO114,Constants!$A$2:$C$16,IF(AP114&lt;&gt;"", 3, 2), FALSE()),IF(AP114&lt;&gt;"",CONCATENATE(",",VLOOKUP(AP114,$B:$AQ,42,FALSE())),""))</f>
        <v>2,3,2</v>
      </c>
      <c r="AY114" s="1" t="n">
        <v>1</v>
      </c>
      <c r="BA114" s="1" t="n">
        <v>33</v>
      </c>
      <c r="BB114" s="16" t="n">
        <f aca="false">IF(O114&lt;&gt;"",MAX(16,(O114-M114)+8),"")</f>
        <v>49</v>
      </c>
      <c r="BE114" s="1" t="n">
        <f aca="false">MIN(AE114/150, 1)*30</f>
        <v>10</v>
      </c>
      <c r="BF114" s="1" t="n">
        <f aca="false">MIN(Q114/4000, 1)*20</f>
        <v>4.5</v>
      </c>
      <c r="BG114" s="1" t="n">
        <f aca="false">MIN(AC114/400,1)*20</f>
        <v>5.75</v>
      </c>
      <c r="BH114" s="4" t="n">
        <f aca="false">1-(MAX(M114-1900, 0)/750)</f>
        <v>0.968</v>
      </c>
      <c r="BI114" s="1" t="n">
        <f aca="false">((MAX($P114,1)*MIN($AM114/300,1)))*IF(J114="Wagon",50,10)</f>
        <v>0</v>
      </c>
      <c r="BJ114" s="1" t="n">
        <f aca="false">VLOOKUP($K114,Constants!$I:$K, 2, FALSE())</f>
        <v>1.15</v>
      </c>
      <c r="BK114" s="1" t="n">
        <f aca="false">VLOOKUP($K114,Constants!$I:$K, 3, FALSE())*IF(AND(J114="multiple_unit",AE114&lt;110),0.75,1)</f>
        <v>1.7</v>
      </c>
      <c r="BL114" s="1" t="n">
        <f aca="false">INT(POWER(((Constants!$G$2+$BE114+$BF114+$BG114+$BI114)*$BH114)*$BK114, 1.05))+$BD114</f>
        <v>50</v>
      </c>
      <c r="BM114" s="1" t="n">
        <f aca="false">INT(POWER((((Constants!$G$1+$BE114+$BF114+$BG114+$BI114)*($BH114))*$BJ114),IF($J114="wagon",1,1.2)))+$BC114</f>
        <v>81</v>
      </c>
      <c r="BN114" s="17" t="n">
        <f aca="false">BL114*IF($J114="wagon",62.5,781.25)</f>
        <v>39062.5</v>
      </c>
      <c r="BO114" s="17" t="n">
        <f aca="false">BM114*IF($J114="wagon",2.73,81.25)</f>
        <v>6581.25</v>
      </c>
      <c r="BY114" s="1" t="n">
        <v>12</v>
      </c>
      <c r="CD114" s="1" t="str">
        <f aca="false">VLOOKUP(M114,Eras!$A$2:$C$10, 2, TRUE())</f>
        <v>big4</v>
      </c>
      <c r="CE114" s="1" t="s">
        <v>129</v>
      </c>
      <c r="CF114" s="1" t="str">
        <f aca="false">CONCATENATE(CD114,"_",CE114)</f>
        <v>big4_Mixed Traffic</v>
      </c>
      <c r="CG114" s="1" t="str">
        <f aca="false">_xlfn.CONCAT(K114, "_",L114)</f>
        <v>steam_RAIL</v>
      </c>
      <c r="CH114" s="7" t="str">
        <f aca="false">_xlfn.CONCAT("{BLACK}Length: {GOLD}", TEXT(ROUNDUP(IF(AT114&lt;&gt;"",SUM(VALUE(_xlfn.TEXTSPLIT(AT114, ","))), SUM(VALUE(_xlfn.TEXTSPLIT(AQ114, ",")))*IF(P114, P114, 1))/16, 1), "#,##0.0"), " tiles{}")</f>
        <v>{BLACK}Length: {GOLD}0.5 tiles{}</v>
      </c>
      <c r="CI114" s="1" t="n">
        <f aca="false">VLOOKUP($CG114, Constants!$M:$N, 2, FALSE())</f>
        <v>0</v>
      </c>
      <c r="CJ114" s="1" t="str">
        <f aca="false">IF(P114&gt;1,_xlfn.CONCAT("{BLACK}Cars: {GOLD}", P114),"")</f>
        <v/>
      </c>
      <c r="CK114" s="1" t="s">
        <v>417</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{GOLD}0.5 tiles{}{SILVER}The 5600 Class is a large tank engine that offers more power and tractive effort than smaller 0-6-0 tank engines, at the expense of greater weight and higher running costs.</v>
      </c>
    </row>
    <row r="115" customFormat="false" ht="14.25" hidden="false" customHeight="false" outlineLevel="0" collapsed="false">
      <c r="A115" s="1" t="s">
        <v>418</v>
      </c>
      <c r="B115" s="15" t="s">
        <v>419</v>
      </c>
      <c r="C115" s="1" t="n">
        <v>140</v>
      </c>
      <c r="E115" s="1" t="n">
        <v>71</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198</v>
      </c>
      <c r="J115" s="1" t="s">
        <v>206</v>
      </c>
      <c r="K115" s="1" t="s">
        <v>207</v>
      </c>
      <c r="L115" s="1" t="s">
        <v>149</v>
      </c>
      <c r="M115" s="1" t="n">
        <v>1924</v>
      </c>
      <c r="O115" s="1" t="n">
        <v>1967</v>
      </c>
      <c r="Q115" s="1" t="n">
        <v>650</v>
      </c>
      <c r="S115" s="3" t="n">
        <v>18</v>
      </c>
      <c r="T115" s="3" t="n">
        <v>26</v>
      </c>
      <c r="U115" s="3" t="n">
        <v>2</v>
      </c>
      <c r="V115" s="3" t="n">
        <v>160</v>
      </c>
      <c r="W115" s="18" t="n">
        <f aca="false">((($AE115/2)/60)*5280)/($X115*3.2*PI())</f>
        <v>140.681601483015</v>
      </c>
      <c r="X115" s="3" t="n">
        <v>1.4</v>
      </c>
      <c r="Y115" s="3" t="n">
        <f aca="false">((($S115*$S115/4)*PI())*($T115/12)*$U115*$V115*$W115)/(33000*1.1)</f>
        <v>683.766233766234</v>
      </c>
      <c r="Z115" s="1" t="n">
        <v>50.2</v>
      </c>
      <c r="AC115" s="1" t="n">
        <v>93</v>
      </c>
      <c r="AD115" s="4" t="n">
        <f aca="false">IF(AND(Z115&gt;0,AC115&gt;0),(AC115/((Z115+AA115)*10)),"")</f>
        <v>0.185258964143426</v>
      </c>
      <c r="AE115" s="1" t="n">
        <v>45</v>
      </c>
      <c r="AF115" s="1" t="n">
        <f aca="false">ROUND(AE115*1.6, 0)</f>
        <v>72</v>
      </c>
      <c r="AI115" s="1" t="n">
        <v>9.57</v>
      </c>
      <c r="AJ115" s="1" t="n">
        <v>9.57</v>
      </c>
      <c r="AM115" s="5" t="n">
        <v>0</v>
      </c>
      <c r="AN115" s="1" t="str">
        <f aca="false">CONCATENATE(VLOOKUP(AO115, 'Voxel Sizes'!$A$2:$B$18,2,FALSE()),"x",INT(AK115*15), "x", INT(AL115*15))</f>
        <v>102x0x0</v>
      </c>
      <c r="AO115" s="1" t="n">
        <f aca="false">ROUND(15*((AJ115*10)/256),0)</f>
        <v>6</v>
      </c>
      <c r="AQ115" s="1" t="str">
        <f aca="false">CONCATENATE(VLOOKUP(AO115,Constants!$A$2:$C$16,IF(AP115&lt;&gt;"", 3, 2), FALSE()),IF(AP115&lt;&gt;"",CONCATENATE(",",VLOOKUP(AP115,$B:$AQ,42,FALSE())),""))</f>
        <v>2,2,2</v>
      </c>
      <c r="AY115" s="1" t="n">
        <v>1</v>
      </c>
      <c r="BA115" s="1" t="n">
        <v>48</v>
      </c>
      <c r="BB115" s="16" t="n">
        <f aca="false">IF(O115&lt;&gt;"",MAX(16,(O115-M115)+8),"")</f>
        <v>51</v>
      </c>
      <c r="BE115" s="1" t="n">
        <f aca="false">MIN(AE115/150, 1)*30</f>
        <v>9</v>
      </c>
      <c r="BF115" s="1" t="n">
        <f aca="false">MIN(Q115/4000, 1)*20</f>
        <v>3.25</v>
      </c>
      <c r="BG115" s="1" t="n">
        <f aca="false">MIN(AC115/400,1)*20</f>
        <v>4.65</v>
      </c>
      <c r="BH115" s="4" t="n">
        <f aca="false">1-(MAX(M115-1900, 0)/750)</f>
        <v>0.968</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43</v>
      </c>
      <c r="BM115" s="1" t="n">
        <f aca="false">INT(POWER((((Constants!$G$1+$BE115+$BF115+$BG115+$BI115)*($BH115))*$BJ115),IF($J115="wagon",1,1.2)))+$BC115</f>
        <v>72</v>
      </c>
      <c r="BN115" s="17" t="n">
        <f aca="false">BL115*IF($J115="wagon",62.5,781.25)</f>
        <v>33593.75</v>
      </c>
      <c r="BO115" s="17" t="n">
        <f aca="false">BM115*IF($J115="wagon",2.73,81.25)</f>
        <v>5850</v>
      </c>
      <c r="BY115" s="1" t="n">
        <v>11</v>
      </c>
      <c r="CD115" s="1" t="str">
        <f aca="false">VLOOKUP(M115,Eras!$A$2:$C$10, 2, TRUE())</f>
        <v>big4</v>
      </c>
      <c r="CE115" s="1" t="s">
        <v>316</v>
      </c>
      <c r="CF115" s="1" t="str">
        <f aca="false">CONCATENATE(CD115,"_",CE115)</f>
        <v>big4_Cheap</v>
      </c>
      <c r="CG115" s="1" t="str">
        <f aca="false">_xlfn.CONCAT(K115, "_",L115)</f>
        <v>steam_RAIL</v>
      </c>
      <c r="CH115" s="7" t="str">
        <f aca="false">_xlfn.CONCAT("{BLACK}Length: {GOLD}", TEXT(ROUNDUP(IF(AT115&lt;&gt;"",SUM(VALUE(_xlfn.TEXTSPLIT(AT115, ","))), SUM(VALUE(_xlfn.TEXTSPLIT(AQ115, ",")))*IF(P115, P115, 1))/16, 1), "#,##0.0"), " tiles{}")</f>
        <v>{BLACK}Length: {GOLD}0.4 tiles{}</v>
      </c>
      <c r="CI115" s="1" t="n">
        <f aca="false">VLOOKUP($CG115, Constants!$M:$N, 2, FALSE())</f>
        <v>0</v>
      </c>
      <c r="CJ115" s="1" t="str">
        <f aca="false">IF(P115&gt;1,_xlfn.CONCAT("{BLACK}Cars: {GOLD}", P115),"")</f>
        <v/>
      </c>
      <c r="CK115" s="1" t="s">
        <v>420</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{GOLD}0.4 tiles{}{SILVER}The Jinty is a popular tank engine that was built in large quantities. Although small and low powered it is reliable and cheap to run. Jinties were sometimes run in pairs (or more) for working on steep inclines.</v>
      </c>
    </row>
    <row r="116" customFormat="false" ht="14.25" hidden="false" customHeight="false" outlineLevel="0" collapsed="false">
      <c r="A116" s="1" t="s">
        <v>421</v>
      </c>
      <c r="B116" s="19" t="s">
        <v>422</v>
      </c>
      <c r="C116" s="1" t="n">
        <v>1038</v>
      </c>
      <c r="E116" s="1" t="n">
        <v>72</v>
      </c>
      <c r="G116" s="1" t="str">
        <f aca="false">IF($F116&lt;&gt;"",_xlfn.CONCAT(VLOOKUP($CE116, Constants!$T:$U, 2, FALSE()),",",$F116),VLOOKUP($CE116, Constants!$T:$U, 2, FALSE()))</f>
        <v>role/freight</v>
      </c>
      <c r="H116" s="1" t="str">
        <f aca="false">IF($G116&lt;&gt;"",_xlfn.CONCAT(VLOOKUP($CG116, Constants!$M:$P, 4, FALSE()),",",$G116),VLOOKUP($CG116, Constants!$M:$P, 4, FALSE()))</f>
        <v>flag/GB,power/steam,role/freight</v>
      </c>
      <c r="I116" s="1" t="s">
        <v>198</v>
      </c>
      <c r="J116" s="1" t="s">
        <v>423</v>
      </c>
      <c r="K116" s="1" t="s">
        <v>207</v>
      </c>
      <c r="L116" s="1" t="s">
        <v>149</v>
      </c>
      <c r="M116" s="1" t="n">
        <v>1925</v>
      </c>
      <c r="O116" s="1" t="n">
        <v>1955</v>
      </c>
      <c r="P116" s="1" t="n">
        <v>3</v>
      </c>
      <c r="Q116" s="1" t="n">
        <v>2500</v>
      </c>
      <c r="S116" s="3" t="n">
        <v>18.5</v>
      </c>
      <c r="T116" s="3" t="n">
        <v>26</v>
      </c>
      <c r="U116" s="3" t="n">
        <v>6</v>
      </c>
      <c r="V116" s="3" t="n">
        <v>190</v>
      </c>
      <c r="W116" s="18" t="n">
        <f aca="false">((($AE116/2)/60)*5280)/($X116*3.2*PI())</f>
        <v>138.505092880605</v>
      </c>
      <c r="X116" s="3" t="n">
        <v>1.422</v>
      </c>
      <c r="Y116" s="3" t="n">
        <f aca="false">((($S116*$S116/4)*PI())*($T116/12)*$U116*$V116*$W116)/(33000*1.1)</f>
        <v>2533.31625191791</v>
      </c>
      <c r="Z116" s="1" t="n">
        <v>181</v>
      </c>
      <c r="AB116" s="1" t="n">
        <v>5</v>
      </c>
      <c r="AC116" s="1" t="n">
        <v>324</v>
      </c>
      <c r="AD116" s="4" t="n">
        <f aca="false">IF(AND(Z116&gt;0,AC116&gt;0),(AC116/((Z116+AA116)*10)),"")</f>
        <v>0.179005524861878</v>
      </c>
      <c r="AE116" s="1" t="n">
        <v>45</v>
      </c>
      <c r="AF116" s="1" t="n">
        <f aca="false">ROUND(AE116*1.6, 0)</f>
        <v>72</v>
      </c>
      <c r="AI116" s="1" t="n">
        <v>12</v>
      </c>
      <c r="AJ116" s="1" t="n">
        <v>12</v>
      </c>
      <c r="AN116" s="16" t="s">
        <v>280</v>
      </c>
      <c r="AO116" s="16" t="n">
        <f aca="false">ROUND(15*((AJ116*10)/256),0)</f>
        <v>7</v>
      </c>
      <c r="AQ116" s="1" t="str">
        <f aca="false">CONCATENATE(VLOOKUP(AO116,Constants!$A$2:$C$16,IF(AP116&lt;&gt;"", 3, 2), FALSE()),IF(AP116&lt;&gt;"",CONCATENATE(",",VLOOKUP(AP116,$B:$AQ,42,FALSE())),""))</f>
        <v>2,3,2</v>
      </c>
      <c r="AU116" s="1" t="s">
        <v>424</v>
      </c>
      <c r="AW116" s="1" t="s">
        <v>425</v>
      </c>
      <c r="AY116" s="1" t="s">
        <v>426</v>
      </c>
      <c r="BA116" s="1" t="n">
        <v>24</v>
      </c>
      <c r="BB116" s="16" t="n">
        <f aca="false">IF(O116&lt;&gt;"",MAX(16,(O116-M116)+8),"")</f>
        <v>38</v>
      </c>
      <c r="BE116" s="20" t="n">
        <f aca="false">MIN(AE116/150, 1)*30</f>
        <v>9</v>
      </c>
      <c r="BF116" s="20" t="n">
        <f aca="false">MIN(Q116/4000, 1)*20</f>
        <v>12.5</v>
      </c>
      <c r="BG116" s="20" t="n">
        <f aca="false">MIN(AC116/400,1)*20</f>
        <v>16.2</v>
      </c>
      <c r="BH116" s="21" t="n">
        <f aca="false">1-(MAX(M116-1900, 0)/750)</f>
        <v>0.966666666666667</v>
      </c>
      <c r="BI116" s="20" t="n">
        <f aca="false">((MAX($P116,1)*MIN($AM116/300,1)))*IF(J116="Wagon",50,10)</f>
        <v>0</v>
      </c>
      <c r="BJ116" s="1" t="n">
        <f aca="false">VLOOKUP($K116,Constants!$I:$K, 2, FALSE())</f>
        <v>1.15</v>
      </c>
      <c r="BK116" s="1" t="n">
        <f aca="false">VLOOKUP($K116,Constants!$I:$K, 3, FALSE())*IF(AND(J116="multiple_unit",AE116&lt;110),0.75,1)</f>
        <v>1.275</v>
      </c>
      <c r="BL116" s="20" t="n">
        <v>64</v>
      </c>
      <c r="BM116" s="20" t="n">
        <v>132</v>
      </c>
      <c r="BN116" s="22" t="n">
        <f aca="false">BL116*IF($J116="wagon",62.5,781.25)</f>
        <v>50000</v>
      </c>
      <c r="BO116" s="22" t="n">
        <f aca="false">BM116*IF($J116="wagon",2.73,81.25)</f>
        <v>10725</v>
      </c>
      <c r="BR116" s="1" t="n">
        <v>1</v>
      </c>
      <c r="BW116" s="1" t="s">
        <v>427</v>
      </c>
      <c r="BY116" s="1" t="n">
        <v>5</v>
      </c>
      <c r="CD116" s="23" t="s">
        <v>428</v>
      </c>
      <c r="CE116" s="1" t="s">
        <v>132</v>
      </c>
      <c r="CF116" s="23" t="str">
        <f aca="false">CONCATENATE(CD116,"_",CE116)</f>
        <v>big4_Freight</v>
      </c>
      <c r="CG116" s="23" t="str">
        <f aca="false">_xlfn.CONCAT(K116, "_",L116)</f>
        <v>steam_RAIL</v>
      </c>
      <c r="CH116" s="7" t="str">
        <f aca="false">_xlfn.CONCAT("{BLACK}Length: {GOLD}", TEXT(ROUNDUP(IF(AT116&lt;&gt;"",SUM(VALUE(_xlfn.TEXTSPLIT(AT116, ","))), SUM(VALUE(_xlfn.TEXTSPLIT(AQ116, ",")))*IF(P116, P116, 1))/16, 1), "#,##0.0"), " tiles{}")</f>
        <v>{BLACK}Length: {GOLD}1.4 tiles{}</v>
      </c>
      <c r="CI116" s="1" t="n">
        <f aca="false">VLOOKUP($CG116, Constants!$M:$N, 2, FALSE())</f>
        <v>0</v>
      </c>
      <c r="CJ116" s="1" t="str">
        <f aca="false">IF(P116&gt;1,_xlfn.CONCAT("{BLACK}Cars: {GOLD}", P116),"")</f>
        <v>{BLACK}Cars: {GOLD}3</v>
      </c>
      <c r="CK116" s="1" t="s">
        <v>429</v>
      </c>
      <c r="CL116" s="1" t="str">
        <f aca="false">IF($BX116="!param_no_gameplay_units","{GREEN}Included for gameplay purposes","")</f>
        <v/>
      </c>
      <c r="CM116" s="1" t="str">
        <f aca="false">IF(CA116="buffet","{YELLOW}25% long distance bonus for consist{}",IF(CB116="DANDY","{YELLOW}Faster downhill speeds for horse-drawn trains (1 required per 2 horses){}",IF(CB116="BRAKE","{YELLOW}Speed bonus for slow wagons{}",IF(CB116="NGPassengers","{YELLOW}Preserved railway bonus: passengers pay more when hauled by old locomotives{}",IF(AND(BZ116&gt;190,NOT(AND(L116="NARROW_GAUGE",CB116&lt;&gt;"PASS"))),CONCATENATE("{YELLOW}",INT((BZ116-185)/1.85),"%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17" customFormat="false" ht="14.25" hidden="false" customHeight="false" outlineLevel="0" collapsed="false">
      <c r="A117" s="1" t="s">
        <v>430</v>
      </c>
      <c r="B117" s="15" t="s">
        <v>431</v>
      </c>
      <c r="C117" s="1" t="n">
        <v>144</v>
      </c>
      <c r="E117" s="1" t="n">
        <v>73</v>
      </c>
      <c r="G117" s="1" t="str">
        <f aca="false">IF($F117&lt;&gt;"",_xlfn.CONCAT(VLOOKUP($CE117, Constants!$T:$U, 2, FALSE()),",",$F117),VLOOKUP($CE117, Constants!$T:$U, 2, FALSE()))</f>
        <v>role/express_passenger</v>
      </c>
      <c r="H117" s="1" t="str">
        <f aca="false">IF($G117&lt;&gt;"",_xlfn.CONCAT(VLOOKUP($CG117, Constants!$M:$P, 4, FALSE()),",",$G117),VLOOKUP($CG117, Constants!$M:$P, 4, FALSE()))</f>
        <v>flag/GB,power/steam,role/express_passenger</v>
      </c>
      <c r="I117" s="1" t="s">
        <v>198</v>
      </c>
      <c r="J117" s="1" t="s">
        <v>206</v>
      </c>
      <c r="K117" s="1" t="s">
        <v>207</v>
      </c>
      <c r="L117" s="1" t="s">
        <v>149</v>
      </c>
      <c r="M117" s="1" t="n">
        <v>1926</v>
      </c>
      <c r="N117" s="1" t="n">
        <v>1932</v>
      </c>
      <c r="O117" s="1" t="n">
        <v>1967</v>
      </c>
      <c r="Q117" s="1" t="n">
        <v>1400</v>
      </c>
      <c r="S117" s="3" t="n">
        <v>21</v>
      </c>
      <c r="T117" s="3" t="n">
        <v>26</v>
      </c>
      <c r="U117" s="3" t="n">
        <v>2</v>
      </c>
      <c r="V117" s="3" t="n">
        <v>180</v>
      </c>
      <c r="W117" s="18" t="n">
        <f aca="false">((($AE117/2)/60)*5280)/($X117*3.2*PI())</f>
        <v>191.483290907437</v>
      </c>
      <c r="X117" s="3" t="n">
        <v>1.6</v>
      </c>
      <c r="Y117" s="3" t="n">
        <f aca="false">((($S117*$S117/4)*PI())*($T117/12)*$U117*$V117*$W117)/(33000*1.1)</f>
        <v>1425.10653409091</v>
      </c>
      <c r="Z117" s="1" t="n">
        <v>67</v>
      </c>
      <c r="AA117" s="2" t="n">
        <v>46</v>
      </c>
      <c r="AC117" s="1" t="n">
        <v>118</v>
      </c>
      <c r="AD117" s="4" t="n">
        <f aca="false">IF(AND(Z117&gt;0,AC117&gt;0),(AC117/((Z117+AA117)*10)),"")</f>
        <v>0.104424778761062</v>
      </c>
      <c r="AE117" s="1" t="n">
        <v>70</v>
      </c>
      <c r="AF117" s="1" t="n">
        <f aca="false">ROUND(AE117*1.6, 0)</f>
        <v>112</v>
      </c>
      <c r="AI117" s="1" t="n">
        <v>10.44</v>
      </c>
      <c r="AJ117" s="1" t="n">
        <v>10.44</v>
      </c>
      <c r="AM117" s="5" t="n">
        <v>0</v>
      </c>
      <c r="AN117" s="1" t="str">
        <f aca="false">CONCATENATE(VLOOKUP(AO117, 'Voxel Sizes'!$A$2:$B$18,2,FALSE()),"x",INT(AK117*15), "x", INT(AL117*15))</f>
        <v>102x0x0</v>
      </c>
      <c r="AO117" s="1" t="n">
        <f aca="false">ROUND(15*((AJ117*10)/256),0)</f>
        <v>6</v>
      </c>
      <c r="AP117" s="1" t="s">
        <v>181</v>
      </c>
      <c r="AQ117" s="1" t="str">
        <f aca="false">CONCATENATE(VLOOKUP(AO117,Constants!$A$2:$C$16,IF(AP117&lt;&gt;"", 3, 2), FALSE()),IF(AP117&lt;&gt;"",CONCATENATE(",",VLOOKUP(AP117,$B:$AQ,42,FALSE())),""))</f>
        <v>2,2,2,2,1,2</v>
      </c>
      <c r="AY117" s="1" t="n">
        <v>1</v>
      </c>
      <c r="BA117" s="1" t="n">
        <v>28</v>
      </c>
      <c r="BB117" s="16" t="n">
        <f aca="false">IF(O117&lt;&gt;"",MAX(16,(O117-M117)+8),"")</f>
        <v>49</v>
      </c>
      <c r="BE117" s="1" t="n">
        <f aca="false">MIN(AE117/150, 1)*30</f>
        <v>14</v>
      </c>
      <c r="BF117" s="1" t="n">
        <f aca="false">MIN(Q117/4000, 1)*20</f>
        <v>7</v>
      </c>
      <c r="BG117" s="1" t="n">
        <f aca="false">MIN(AC117/400,1)*20</f>
        <v>5.9</v>
      </c>
      <c r="BH117" s="4" t="n">
        <f aca="false">1-(MAX(M117-1900, 0)/750)</f>
        <v>0.965333333333333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63</v>
      </c>
      <c r="BM117" s="1" t="n">
        <f aca="false">INT(POWER((((Constants!$G$1+$BE117+$BF117+$BG117+$BI117)*($BH117))*$BJ117),IF($J117="wagon",1,1.2)))+$BC117</f>
        <v>100</v>
      </c>
      <c r="BN117" s="17" t="n">
        <f aca="false">BL117*IF($J117="wagon",62.5,781.25)</f>
        <v>49218.75</v>
      </c>
      <c r="BO117" s="17" t="n">
        <f aca="false">BM117*IF($J117="wagon",2.73,81.25)</f>
        <v>8125</v>
      </c>
      <c r="BY117" s="1" t="n">
        <v>1</v>
      </c>
      <c r="CD117" s="1" t="str">
        <f aca="false">VLOOKUP(M117,Eras!$A$2:$C$10, 2, TRUE())</f>
        <v>big4</v>
      </c>
      <c r="CE117" s="1" t="s">
        <v>241</v>
      </c>
      <c r="CF117" s="1" t="str">
        <f aca="false">CONCATENATE(CD117,"_",CE117)</f>
        <v>big4_Express</v>
      </c>
      <c r="CG117" s="1" t="str">
        <f aca="false">_xlfn.CONCAT(K117, "_",L117)</f>
        <v>steam_RAIL</v>
      </c>
      <c r="CH117" s="7" t="str">
        <f aca="false">_xlfn.CONCAT("{BLACK}Length: {GOLD}", TEXT(ROUNDUP(IF(AT117&lt;&gt;"",SUM(VALUE(_xlfn.TEXTSPLIT(AT117, ","))), SUM(VALUE(_xlfn.TEXTSPLIT(AQ117, ",")))*IF(P117, P117, 1))/16, 1), "#,##0.0"), " tiles{}")</f>
        <v>{BLACK}Length: {GOLD}0.7 tiles{}</v>
      </c>
      <c r="CI117" s="1" t="n">
        <f aca="false">VLOOKUP($CG117, Constants!$M:$N, 2, FALSE())</f>
        <v>0</v>
      </c>
      <c r="CJ117" s="1" t="str">
        <f aca="false">IF(P117&gt;1,_xlfn.CONCAT("{BLACK}Cars: {GOLD}", P117),"")</f>
        <v/>
      </c>
      <c r="CK117" s="1" t="s">
        <v>432</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{GOLD}0.7 tiles{}{SILVER}The Hughes Crab was named for its distinctive "scuttling" motion, caused by the inclined cylinders.</v>
      </c>
    </row>
    <row r="118" customFormat="false" ht="14.25" hidden="false" customHeight="false" outlineLevel="0" collapsed="false">
      <c r="A118" s="1" t="s">
        <v>433</v>
      </c>
      <c r="B118" s="15" t="s">
        <v>434</v>
      </c>
      <c r="C118" s="1" t="n">
        <v>145</v>
      </c>
      <c r="E118" s="1" t="n">
        <v>74</v>
      </c>
      <c r="G118" s="1" t="str">
        <f aca="false">IF($F118&lt;&gt;"",_xlfn.CONCAT(VLOOKUP($CE118, Constants!$T:$U, 2, FALSE()),",",$F118),VLOOKUP($CE118, Constants!$T:$U, 2, FALSE()))</f>
        <v>role/passenger</v>
      </c>
      <c r="H118" s="1" t="str">
        <f aca="false">IF($G118&lt;&gt;"",_xlfn.CONCAT(VLOOKUP($CG118, Constants!$M:$P, 4, FALSE()),",",$G118),VLOOKUP($CG118, Constants!$M:$P, 4, FALSE()))</f>
        <v>flag/GB,power/steam,role/passenger</v>
      </c>
      <c r="I118" s="1" t="s">
        <v>198</v>
      </c>
      <c r="J118" s="1" t="s">
        <v>206</v>
      </c>
      <c r="K118" s="1" t="s">
        <v>207</v>
      </c>
      <c r="L118" s="1" t="s">
        <v>149</v>
      </c>
      <c r="M118" s="1" t="n">
        <v>1927</v>
      </c>
      <c r="O118" s="1" t="n">
        <v>1961</v>
      </c>
      <c r="Q118" s="1" t="n">
        <v>1200</v>
      </c>
      <c r="S118" s="3" t="n">
        <v>17</v>
      </c>
      <c r="T118" s="3" t="n">
        <v>26</v>
      </c>
      <c r="U118" s="3" t="n">
        <v>3</v>
      </c>
      <c r="V118" s="3" t="n">
        <v>180</v>
      </c>
      <c r="W118" s="18" t="n">
        <f aca="false">((($AE118/2)/60)*5280)/($X118*3.2*PI())</f>
        <v>164.128535063517</v>
      </c>
      <c r="X118" s="3" t="n">
        <v>2</v>
      </c>
      <c r="Y118" s="3" t="n">
        <f aca="false">((($S118*$S118/4)*PI())*($T118/12)*$U118*$V118*$W118)/(33000*1.1)</f>
        <v>1200.74573863636</v>
      </c>
      <c r="Z118" s="1" t="n">
        <v>66</v>
      </c>
      <c r="AA118" s="2" t="n">
        <v>53</v>
      </c>
      <c r="AC118" s="1" t="n">
        <v>96</v>
      </c>
      <c r="AD118" s="4" t="n">
        <f aca="false">IF(AND(Z118&gt;0,AC118&gt;0),(AC118/((Z118+AA118)*10)),"")</f>
        <v>0.080672268907563</v>
      </c>
      <c r="AE118" s="1" t="n">
        <v>75</v>
      </c>
      <c r="AF118" s="1" t="n">
        <f aca="false">ROUND(AE118*1.6, 0)</f>
        <v>120</v>
      </c>
      <c r="AI118" s="1" t="n">
        <v>17.9</v>
      </c>
      <c r="AJ118" s="1" t="n">
        <f aca="false">AI118-7.5</f>
        <v>10.4</v>
      </c>
      <c r="AM118" s="5" t="n">
        <v>0</v>
      </c>
      <c r="AN118" s="1" t="str">
        <f aca="false">CONCATENATE(VLOOKUP(AO118, 'Voxel Sizes'!$A$2:$B$18,2,FALSE()),"x",INT(AK118*15), "x", INT(AL118*15))</f>
        <v>102x0x0</v>
      </c>
      <c r="AO118" s="1" t="n">
        <f aca="false">ROUND(15*((AJ118*10)/256),0)</f>
        <v>6</v>
      </c>
      <c r="AP118" s="1" t="s">
        <v>175</v>
      </c>
      <c r="AQ118" s="1" t="str">
        <f aca="false">CONCATENATE(VLOOKUP(AO118,Constants!$A$2:$C$16,IF(AP118&lt;&gt;"", 3, 2), FALSE()),IF(AP118&lt;&gt;"",CONCATENATE(",",VLOOKUP(AP118,$B:$AQ,42,FALSE())),""))</f>
        <v>2,2,2,2,1,2</v>
      </c>
      <c r="AY118" s="1" t="n">
        <v>1</v>
      </c>
      <c r="BA118" s="1" t="n">
        <v>30</v>
      </c>
      <c r="BB118" s="16" t="n">
        <f aca="false">IF(O118&lt;&gt;"",MAX(16,(O118-M118)+8),"")</f>
        <v>42</v>
      </c>
      <c r="BE118" s="1" t="n">
        <f aca="false">MIN(AE118/150, 1)*30</f>
        <v>15</v>
      </c>
      <c r="BF118" s="1" t="n">
        <f aca="false">MIN(Q118/4000, 1)*20</f>
        <v>6</v>
      </c>
      <c r="BG118" s="1" t="n">
        <f aca="false">MIN(AC118/400,1)*20</f>
        <v>4.8</v>
      </c>
      <c r="BH118" s="4" t="n">
        <f aca="false">1-(MAX(M118-1900, 0)/750)</f>
        <v>0.964</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61</v>
      </c>
      <c r="BM118" s="1" t="n">
        <f aca="false">INT(POWER((((Constants!$G$1+$BE118+$BF118+$BG118+$BI118)*($BH118))*$BJ118),IF($J118="wagon",1,1.2)))+$BC118</f>
        <v>96</v>
      </c>
      <c r="BN118" s="17" t="n">
        <f aca="false">BL118*IF($J118="wagon",62.5,781.25)</f>
        <v>47656.25</v>
      </c>
      <c r="BO118" s="17" t="n">
        <f aca="false">BM118*IF($J118="wagon",2.73,81.25)</f>
        <v>7800</v>
      </c>
      <c r="BY118" s="1" t="n">
        <v>2</v>
      </c>
      <c r="CD118" s="1" t="str">
        <f aca="false">VLOOKUP(M118,Eras!$A$2:$C$10, 2, TRUE())</f>
        <v>big4</v>
      </c>
      <c r="CE118" s="1" t="s">
        <v>123</v>
      </c>
      <c r="CF118" s="1" t="str">
        <f aca="false">CONCATENATE(CD118,"_",CE118)</f>
        <v>big4_Passenger</v>
      </c>
      <c r="CG118" s="1" t="str">
        <f aca="false">_xlfn.CONCAT(K118, "_",L118)</f>
        <v>steam_RAIL</v>
      </c>
      <c r="CH118" s="7" t="str">
        <f aca="false">_xlfn.CONCAT("{BLACK}Length: {GOLD}", TEXT(ROUNDUP(IF(AT118&lt;&gt;"",SUM(VALUE(_xlfn.TEXTSPLIT(AT118, ","))), SUM(VALUE(_xlfn.TEXTSPLIT(AQ118, ",")))*IF(P118, P118, 1))/16, 1), "#,##0.0"), " tiles{}")</f>
        <v>{BLACK}Length: {GOLD}0.7 tiles{}</v>
      </c>
      <c r="CI118" s="1" t="n">
        <f aca="false">VLOOKUP($CG118, Constants!$M:$N, 2, FALSE())</f>
        <v>0</v>
      </c>
      <c r="CJ118" s="1" t="str">
        <f aca="false">IF(P118&gt;1,_xlfn.CONCAT("{BLACK}Cars: {GOLD}", P118),"")</f>
        <v/>
      </c>
      <c r="CK118" s="1" t="s">
        <v>435</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{GOLD}0.7 tiles{}{SILVER}The D49 is a Nigel Gresley designed 4-4-0 locomotive for passenger traffic.</v>
      </c>
    </row>
    <row r="119" customFormat="false" ht="14.25" hidden="false" customHeight="false" outlineLevel="0" collapsed="false">
      <c r="A119" s="1" t="s">
        <v>436</v>
      </c>
      <c r="B119" s="15" t="s">
        <v>437</v>
      </c>
      <c r="C119" s="1" t="n">
        <v>146</v>
      </c>
      <c r="E119" s="1" t="n">
        <v>75</v>
      </c>
      <c r="G119" s="1" t="str">
        <f aca="false">IF($F119&lt;&gt;"",_xlfn.CONCAT(VLOOKUP($CE119, Constants!$T:$U, 2, FALSE()),",",$F119),VLOOKUP($CE119, Constants!$T:$U, 2, FALSE()))</f>
        <v>role/express_passenger</v>
      </c>
      <c r="H119" s="1" t="str">
        <f aca="false">IF($G119&lt;&gt;"",_xlfn.CONCAT(VLOOKUP($CG119, Constants!$M:$P, 4, FALSE()),",",$G119),VLOOKUP($CG119, Constants!$M:$P, 4, FALSE()))</f>
        <v>flag/GB,power/steam,role/express_passenger</v>
      </c>
      <c r="I119" s="1" t="s">
        <v>198</v>
      </c>
      <c r="J119" s="1" t="s">
        <v>206</v>
      </c>
      <c r="K119" s="1" t="s">
        <v>207</v>
      </c>
      <c r="L119" s="1" t="s">
        <v>149</v>
      </c>
      <c r="M119" s="1" t="n">
        <v>1927</v>
      </c>
      <c r="N119" s="1" t="n">
        <v>1936</v>
      </c>
      <c r="O119" s="1" t="n">
        <v>1962</v>
      </c>
      <c r="Q119" s="1" t="n">
        <v>2300</v>
      </c>
      <c r="S119" s="3" t="n">
        <v>16.25</v>
      </c>
      <c r="T119" s="3" t="n">
        <v>28</v>
      </c>
      <c r="U119" s="3" t="n">
        <v>4</v>
      </c>
      <c r="V119" s="3" t="n">
        <v>250</v>
      </c>
      <c r="W119" s="18" t="n">
        <f aca="false">((($AE119/2)/60)*5280)/($X119*3.2*PI())</f>
        <v>232.100958675681</v>
      </c>
      <c r="X119" s="3" t="n">
        <v>1.98</v>
      </c>
      <c r="Y119" s="3" t="n">
        <f aca="false">((($S119*$S119/4)*PI())*($T119/12)*$U119*$V119*$W119)/(33000*1.1)</f>
        <v>3094.16669058004</v>
      </c>
      <c r="Z119" s="1" t="n">
        <v>90.4</v>
      </c>
      <c r="AA119" s="2" t="n">
        <v>47</v>
      </c>
      <c r="AC119" s="1" t="n">
        <v>179</v>
      </c>
      <c r="AD119" s="4" t="n">
        <f aca="false">IF(AND(Z119&gt;0,AC119&gt;0),(AC119/((Z119+AA119)*10)),"")</f>
        <v>0.130276564774381</v>
      </c>
      <c r="AE119" s="1" t="n">
        <v>105</v>
      </c>
      <c r="AF119" s="1" t="n">
        <f aca="false">ROUND(AE119*1.6, 0)</f>
        <v>168</v>
      </c>
      <c r="AI119" s="1" t="n">
        <v>20.78</v>
      </c>
      <c r="AJ119" s="1" t="n">
        <f aca="false">AI119-7.5</f>
        <v>13.28</v>
      </c>
      <c r="AL119" s="1" t="n">
        <v>4.08</v>
      </c>
      <c r="AM119" s="5" t="n">
        <v>0</v>
      </c>
      <c r="AN119" s="1" t="str">
        <f aca="false">CONCATENATE(VLOOKUP(AO119, 'Voxel Sizes'!$A$2:$B$18,2,FALSE()),"x",INT(AK119*15), "x", INT(AL119*15))</f>
        <v>136x0x61</v>
      </c>
      <c r="AO119" s="1" t="n">
        <f aca="false">ROUND(15*((AJ119*10)/256),0)</f>
        <v>8</v>
      </c>
      <c r="AP119" s="1" t="s">
        <v>148</v>
      </c>
      <c r="AQ119" s="1" t="str">
        <f aca="false">CONCATENATE(VLOOKUP(AO119,Constants!$A$2:$C$16,IF(AP119&lt;&gt;"", 3, 2), FALSE()),IF(AP119&lt;&gt;"",CONCATENATE(",",VLOOKUP(AP119,$B:$AQ,42,FALSE())),""))</f>
        <v>2,4,2,2,1,2</v>
      </c>
      <c r="AY119" s="1" t="n">
        <v>1</v>
      </c>
      <c r="BA119" s="1" t="n">
        <v>30</v>
      </c>
      <c r="BB119" s="16" t="n">
        <f aca="false">IF(O119&lt;&gt;"",MAX(16,(O119-M119)+8),"")</f>
        <v>43</v>
      </c>
      <c r="BE119" s="1" t="n">
        <f aca="false">MIN(AE119/150, 1)*30</f>
        <v>21</v>
      </c>
      <c r="BF119" s="1" t="n">
        <f aca="false">MIN(Q119/4000, 1)*20</f>
        <v>11.5</v>
      </c>
      <c r="BG119" s="1" t="n">
        <f aca="false">MIN(AC119/400,1)*20</f>
        <v>8.95</v>
      </c>
      <c r="BH119" s="4" t="n">
        <f aca="false">1-(MAX(M119-1900, 0)/750)</f>
        <v>0.964</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94</v>
      </c>
      <c r="BM119" s="1" t="n">
        <f aca="false">INT(POWER((((Constants!$G$1+$BE119+$BF119+$BG119+$BI119)*($BH119))*$BJ119),IF($J119="wagon",1,1.2)))+$BC119</f>
        <v>143</v>
      </c>
      <c r="BN119" s="17" t="n">
        <f aca="false">BL119*IF($J119="wagon",62.5,781.25)</f>
        <v>73437.5</v>
      </c>
      <c r="BO119" s="17" t="n">
        <f aca="false">BM119*IF($J119="wagon",2.73,81.25)</f>
        <v>11618.75</v>
      </c>
      <c r="BY119" s="1" t="n">
        <v>3</v>
      </c>
      <c r="CD119" s="1" t="str">
        <f aca="false">VLOOKUP(M119,Eras!$A$2:$C$10, 2, TRUE())</f>
        <v>big4</v>
      </c>
      <c r="CE119" s="1" t="s">
        <v>241</v>
      </c>
      <c r="CF119" s="1" t="str">
        <f aca="false">CONCATENATE(CD119,"_",CE119)</f>
        <v>big4_Express</v>
      </c>
      <c r="CG119" s="1" t="str">
        <f aca="false">_xlfn.CONCAT(K119, "_",L119)</f>
        <v>steam_RAIL</v>
      </c>
      <c r="CH119" s="7" t="str">
        <f aca="false">_xlfn.CONCAT("{BLACK}Length: {GOLD}", TEXT(ROUNDUP(IF(AT119&lt;&gt;"",SUM(VALUE(_xlfn.TEXTSPLIT(AT119, ","))), SUM(VALUE(_xlfn.TEXTSPLIT(AQ119, ",")))*IF(P119, P119, 1))/16, 1), "#,##0.0"), " tiles{}")</f>
        <v>{BLACK}Length: {GOLD}0.9 tiles{}</v>
      </c>
      <c r="CI119" s="1" t="n">
        <f aca="false">VLOOKUP($CG119, Constants!$M:$N, 2, FALSE())</f>
        <v>0</v>
      </c>
      <c r="CJ119" s="1" t="str">
        <f aca="false">IF(P119&gt;1,_xlfn.CONCAT("{BLACK}Cars: {GOLD}", P119),"")</f>
        <v/>
      </c>
      <c r="CK119" s="1" t="s">
        <v>438</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{GOLD}0.9 tiles{}{SILVER}The King Class is a larger and more powerful development of the Castle Class, designed for even higher sustained speeds.</v>
      </c>
    </row>
    <row r="120" customFormat="false" ht="14.25" hidden="false" customHeight="false" outlineLevel="0" collapsed="false">
      <c r="A120" s="1" t="s">
        <v>439</v>
      </c>
      <c r="B120" s="15" t="s">
        <v>440</v>
      </c>
      <c r="C120" s="1" t="n">
        <v>147</v>
      </c>
      <c r="E120" s="1" t="n">
        <v>76</v>
      </c>
      <c r="G120" s="1" t="str">
        <f aca="false">IF($F120&lt;&gt;"",_xlfn.CONCAT(VLOOKUP($CE120, Constants!$T:$U, 2, FALSE()),",",$F120),VLOOKUP($CE120, Constants!$T:$U, 2, FALSE()))</f>
        <v>role/mixed</v>
      </c>
      <c r="H120" s="1" t="str">
        <f aca="false">IF($G120&lt;&gt;"",_xlfn.CONCAT(VLOOKUP($CG120, Constants!$M:$P, 4, FALSE()),",",$G120),VLOOKUP($CG120, Constants!$M:$P, 4, FALSE()))</f>
        <v>flag/GB,power/steam,role/mixed</v>
      </c>
      <c r="I120" s="1" t="s">
        <v>198</v>
      </c>
      <c r="J120" s="1" t="s">
        <v>206</v>
      </c>
      <c r="K120" s="1" t="s">
        <v>207</v>
      </c>
      <c r="L120" s="1" t="s">
        <v>149</v>
      </c>
      <c r="M120" s="1" t="n">
        <v>1927</v>
      </c>
      <c r="N120" s="1" t="n">
        <v>1934</v>
      </c>
      <c r="O120" s="1" t="n">
        <v>1966</v>
      </c>
      <c r="Q120" s="1" t="n">
        <v>950</v>
      </c>
      <c r="S120" s="3" t="n">
        <v>19</v>
      </c>
      <c r="T120" s="3" t="n">
        <v>26</v>
      </c>
      <c r="U120" s="3" t="n">
        <v>2</v>
      </c>
      <c r="V120" s="3" t="n">
        <v>200</v>
      </c>
      <c r="W120" s="18" t="n">
        <f aca="false">((($AE120/2)/60)*5280)/($X120*3.2*PI())</f>
        <v>205.965220471865</v>
      </c>
      <c r="X120" s="3" t="n">
        <v>1.7</v>
      </c>
      <c r="Y120" s="3" t="n">
        <f aca="false">((($S120*$S120/4)*PI())*($T120/12)*$U120*$V120*$W120)/(33000*1.1)</f>
        <v>1394.23648247178</v>
      </c>
      <c r="Z120" s="1" t="n">
        <v>87.6</v>
      </c>
      <c r="AC120" s="1" t="n">
        <v>102</v>
      </c>
      <c r="AD120" s="4" t="n">
        <f aca="false">IF(AND(Z120&gt;0,AC120&gt;0),(AC120/((Z120+AA120)*10)),"")</f>
        <v>0.116438356164384</v>
      </c>
      <c r="AE120" s="1" t="n">
        <v>80</v>
      </c>
      <c r="AF120" s="1" t="n">
        <f aca="false">ROUND(AE120*1.6, 0)</f>
        <v>128</v>
      </c>
      <c r="AI120" s="1" t="n">
        <v>14.4</v>
      </c>
      <c r="AJ120" s="1" t="n">
        <v>14.4</v>
      </c>
      <c r="AM120" s="5" t="n">
        <v>0</v>
      </c>
      <c r="AN120" s="1" t="str">
        <f aca="false">CONCATENATE(VLOOKUP(AO120, 'Voxel Sizes'!$A$2:$B$18,2,FALSE()),"x",INT(AK120*15), "x", INT(AL120*15))</f>
        <v>136x0x0</v>
      </c>
      <c r="AO120" s="1" t="n">
        <f aca="false">ROUND(15*((AJ120*10)/256),0)</f>
        <v>8</v>
      </c>
      <c r="AQ120" s="1" t="str">
        <f aca="false">CONCATENATE(VLOOKUP(AO120,Constants!$A$2:$C$16,IF(AP120&lt;&gt;"", 3, 2), FALSE()),IF(AP120&lt;&gt;"",CONCATENATE(",",VLOOKUP(AP120,$B:$AQ,42,FALSE())),""))</f>
        <v>2,4,2</v>
      </c>
      <c r="AY120" s="1" t="n">
        <v>1</v>
      </c>
      <c r="BA120" s="1" t="n">
        <v>30</v>
      </c>
      <c r="BB120" s="16" t="n">
        <f aca="false">IF(O120&lt;&gt;"",MAX(16,(O120-M120)+8),"")</f>
        <v>47</v>
      </c>
      <c r="BE120" s="1" t="n">
        <f aca="false">MIN(AE120/150, 1)*30</f>
        <v>16</v>
      </c>
      <c r="BF120" s="1" t="n">
        <f aca="false">MIN(Q120/4000, 1)*20</f>
        <v>4.75</v>
      </c>
      <c r="BG120" s="1" t="n">
        <f aca="false">MIN(AC120/400,1)*20</f>
        <v>5.1</v>
      </c>
      <c r="BH120" s="4" t="n">
        <f aca="false">1-(MAX(M120-1900, 0)/750)</f>
        <v>0.964</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61</v>
      </c>
      <c r="BM120" s="1" t="n">
        <f aca="false">INT(POWER((((Constants!$G$1+$BE120+$BF120+$BG120+$BI120)*($BH120))*$BJ120),IF($J120="wagon",1,1.2)))+$BC120</f>
        <v>97</v>
      </c>
      <c r="BN120" s="17" t="n">
        <f aca="false">BL120*IF($J120="wagon",62.5,781.25)</f>
        <v>47656.25</v>
      </c>
      <c r="BO120" s="17" t="n">
        <f aca="false">BM120*IF($J120="wagon",2.73,81.25)</f>
        <v>7881.25</v>
      </c>
      <c r="BY120" s="1" t="n">
        <v>4</v>
      </c>
      <c r="CD120" s="1" t="str">
        <f aca="false">VLOOKUP(M120,Eras!$A$2:$C$10, 2, TRUE())</f>
        <v>big4</v>
      </c>
      <c r="CE120" s="1" t="s">
        <v>129</v>
      </c>
      <c r="CF120" s="1" t="str">
        <f aca="false">CONCATENATE(CD120,"_",CE120)</f>
        <v>big4_Mixed Traffic</v>
      </c>
      <c r="CG120" s="1" t="str">
        <f aca="false">_xlfn.CONCAT(K120, "_",L120)</f>
        <v>steam_RAIL</v>
      </c>
      <c r="CH120" s="7" t="str">
        <f aca="false">_xlfn.CONCAT("{BLACK}Length: {GOLD}", TEXT(ROUNDUP(IF(AT120&lt;&gt;"",SUM(VALUE(_xlfn.TEXTSPLIT(AT120, ","))), SUM(VALUE(_xlfn.TEXTSPLIT(AQ120, ",")))*IF(P120, P120, 1))/16, 1), "#,##0.0"), " tiles{}")</f>
        <v>{BLACK}Length: {GOLD}0.5 tiles{}</v>
      </c>
      <c r="CI120" s="1" t="n">
        <f aca="false">VLOOKUP($CG120, Constants!$M:$N, 2, FALSE())</f>
        <v>0</v>
      </c>
      <c r="CJ120" s="1" t="str">
        <f aca="false">IF(P120&gt;1,_xlfn.CONCAT("{BLACK}Cars: {GOLD}", P120),"")</f>
        <v/>
      </c>
      <c r="CK120" s="1" t="s">
        <v>441</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{GOLD}0.5 tiles{}{SILVER}Fowler's 2-6-4T achieved high speeds for a tank engine, and was typically used on longer distance services.</v>
      </c>
    </row>
    <row r="121" customFormat="false" ht="14.25" hidden="false" customHeight="false" outlineLevel="0" collapsed="false">
      <c r="A121" s="1" t="s">
        <v>442</v>
      </c>
      <c r="B121" s="19" t="s">
        <v>443</v>
      </c>
      <c r="C121" s="1" t="n">
        <v>1039</v>
      </c>
      <c r="E121" s="1" t="n">
        <v>77</v>
      </c>
      <c r="G121" s="1" t="str">
        <f aca="false">IF($F121&lt;&gt;"",_xlfn.CONCAT(VLOOKUP($CE121, Constants!$T:$U, 2, FALSE()),",",$F121),VLOOKUP($CE121, Constants!$T:$U, 2, FALSE()))</f>
        <v>role/freight</v>
      </c>
      <c r="H121" s="1" t="str">
        <f aca="false">IF($G121&lt;&gt;"",_xlfn.CONCAT(VLOOKUP($CG121, Constants!$M:$P, 4, FALSE()),",",$G121),VLOOKUP($CG121, Constants!$M:$P, 4, FALSE()))</f>
        <v>flag/GB,power/steam,role/freight</v>
      </c>
      <c r="I121" s="1" t="s">
        <v>198</v>
      </c>
      <c r="J121" s="1" t="s">
        <v>423</v>
      </c>
      <c r="K121" s="1" t="s">
        <v>207</v>
      </c>
      <c r="L121" s="1" t="s">
        <v>149</v>
      </c>
      <c r="M121" s="1" t="n">
        <v>1927</v>
      </c>
      <c r="O121" s="1" t="n">
        <v>1958</v>
      </c>
      <c r="P121" s="1" t="n">
        <v>3</v>
      </c>
      <c r="Q121" s="1" t="n">
        <v>2000</v>
      </c>
      <c r="S121" s="3" t="n">
        <v>18.5</v>
      </c>
      <c r="T121" s="3" t="n">
        <v>26</v>
      </c>
      <c r="U121" s="3" t="n">
        <v>4</v>
      </c>
      <c r="V121" s="3" t="n">
        <v>190</v>
      </c>
      <c r="W121" s="18" t="n">
        <f aca="false">((($AE121/2)/60)*5280)/($X121*3.2*PI())</f>
        <v>127.231422529858</v>
      </c>
      <c r="X121" s="3" t="n">
        <v>1.72</v>
      </c>
      <c r="Y121" s="3" t="n">
        <f aca="false">((($S121*$S121/4)*PI())*($T121/12)*$U121*$V121*$W121)/(33000*1.1)</f>
        <v>1551.41072791872</v>
      </c>
      <c r="Z121" s="1" t="n">
        <v>148</v>
      </c>
      <c r="AB121" s="1" t="n">
        <v>5</v>
      </c>
      <c r="AC121" s="1" t="n">
        <v>203</v>
      </c>
      <c r="AD121" s="4" t="n">
        <f aca="false">IF(AND(Z121&gt;0,AC121&gt;0),(AC121/((Z121+AA121)*10)),"")</f>
        <v>0.137162162162162</v>
      </c>
      <c r="AE121" s="1" t="n">
        <v>50</v>
      </c>
      <c r="AF121" s="1" t="n">
        <f aca="false">ROUND(AE121*1.6, 0)</f>
        <v>80</v>
      </c>
      <c r="AI121" s="1" t="n">
        <v>10</v>
      </c>
      <c r="AJ121" s="1" t="n">
        <v>10</v>
      </c>
      <c r="AN121" s="16" t="s">
        <v>268</v>
      </c>
      <c r="AO121" s="16" t="n">
        <f aca="false">ROUND(15*((AJ121*10)/256),0)</f>
        <v>6</v>
      </c>
      <c r="AQ121" s="1" t="str">
        <f aca="false">CONCATENATE(VLOOKUP(AO121,Constants!$A$2:$C$16,IF(AP121&lt;&gt;"", 3, 2), FALSE()),IF(AP121&lt;&gt;"",CONCATENATE(",",VLOOKUP(AP121,$B:$AQ,42,FALSE())),""))</f>
        <v>2,2,2</v>
      </c>
      <c r="AU121" s="1" t="s">
        <v>444</v>
      </c>
      <c r="AW121" s="1" t="s">
        <v>425</v>
      </c>
      <c r="AY121" s="1" t="s">
        <v>426</v>
      </c>
      <c r="BA121" s="1" t="n">
        <v>26</v>
      </c>
      <c r="BB121" s="16" t="n">
        <f aca="false">IF(O121&lt;&gt;"",MAX(16,(O121-M121)+8),"")</f>
        <v>39</v>
      </c>
      <c r="BE121" s="20" t="n">
        <f aca="false">MIN(AE121/150, 1)*30</f>
        <v>10</v>
      </c>
      <c r="BF121" s="20" t="n">
        <f aca="false">MIN(Q121/4000, 1)*20</f>
        <v>10</v>
      </c>
      <c r="BG121" s="20" t="n">
        <f aca="false">MIN(AC121/400,1)*20</f>
        <v>10.15</v>
      </c>
      <c r="BH121" s="21" t="n">
        <f aca="false">1-(MAX(M121-1900, 0)/750)</f>
        <v>0.964</v>
      </c>
      <c r="BI121" s="20" t="n">
        <f aca="false">((MAX($P121,1)*MIN($AM121/300,1)))*IF(J121="Wagon",50,10)</f>
        <v>0</v>
      </c>
      <c r="BJ121" s="1" t="n">
        <f aca="false">VLOOKUP($K121,Constants!$I:$K, 2, FALSE())</f>
        <v>1.15</v>
      </c>
      <c r="BK121" s="1" t="n">
        <f aca="false">VLOOKUP($K121,Constants!$I:$K, 3, FALSE())*IF(AND(J121="multiple_unit",AE121&lt;110),0.75,1)</f>
        <v>1.275</v>
      </c>
      <c r="BL121" s="20" t="n">
        <v>52</v>
      </c>
      <c r="BM121" s="20" t="n">
        <v>109</v>
      </c>
      <c r="BN121" s="22" t="n">
        <f aca="false">BL121*IF($J121="wagon",62.5,781.25)</f>
        <v>40625</v>
      </c>
      <c r="BO121" s="22" t="n">
        <f aca="false">BM121*IF($J121="wagon",2.73,81.25)</f>
        <v>8856.25</v>
      </c>
      <c r="BR121" s="1" t="n">
        <v>1</v>
      </c>
      <c r="BW121" s="1" t="s">
        <v>445</v>
      </c>
      <c r="BY121" s="1" t="n">
        <v>5</v>
      </c>
      <c r="CD121" s="23" t="s">
        <v>428</v>
      </c>
      <c r="CE121" s="1" t="s">
        <v>132</v>
      </c>
      <c r="CF121" s="23" t="str">
        <f aca="false">CONCATENATE(CD121,"_",CE121)</f>
        <v>big4_Freight</v>
      </c>
      <c r="CG121" s="23" t="str">
        <f aca="false">_xlfn.CONCAT(K121, "_",L121)</f>
        <v>steam_RAIL</v>
      </c>
      <c r="CH121" s="7" t="str">
        <f aca="false">_xlfn.CONCAT("{BLACK}Length: {GOLD}", TEXT(ROUNDUP(IF(AT121&lt;&gt;"",SUM(VALUE(_xlfn.TEXTSPLIT(AT121, ","))), SUM(VALUE(_xlfn.TEXTSPLIT(AQ121, ",")))*IF(P121, P121, 1))/16, 1), "#,##0.0"), " tiles{}")</f>
        <v>{BLACK}Length: {GOLD}1.2 tiles{}</v>
      </c>
      <c r="CI121" s="1" t="n">
        <f aca="false">VLOOKUP($CG121, Constants!$M:$N, 2, FALSE())</f>
        <v>0</v>
      </c>
      <c r="CJ121" s="1" t="str">
        <f aca="false">IF(P121&gt;1,_xlfn.CONCAT("{BLACK}Cars: {GOLD}", P121),"")</f>
        <v>{BLACK}Cars: {GOLD}3</v>
      </c>
      <c r="CK121" s="1" t="s">
        <v>446</v>
      </c>
      <c r="CL121" s="1" t="str">
        <f aca="false">IF($BX121="!param_no_gameplay_units","{GREEN}Included for gameplay purposes","")</f>
        <v/>
      </c>
      <c r="CM121" s="1" t="str">
        <f aca="false">IF(CA121="buffet","{YELLOW}25% long distance bonus for consist{}",IF(CB121="DANDY","{YELLOW}Faster downhill speeds for horse-drawn trains (1 required per 2 horses){}",IF(CB121="BRAKE","{YELLOW}Speed bonus for slow wagons{}",IF(CB121="NGPassengers","{YELLOW}Preserved railway bonus: passengers pay more when hauled by old locomotives{}",IF(AND(BZ121&gt;190,NOT(AND(L121="NARROW_GAUGE",CB121&lt;&gt;"PASS"))),CONCATENATE("{YELLOW}",INT((BZ121-185)/1.85),"%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2" customFormat="false" ht="14.25" hidden="false" customHeight="false" outlineLevel="0" collapsed="false">
      <c r="A122" s="1" t="s">
        <v>447</v>
      </c>
      <c r="B122" s="15" t="s">
        <v>448</v>
      </c>
      <c r="C122" s="1" t="n">
        <v>148</v>
      </c>
      <c r="E122" s="1" t="n">
        <v>78</v>
      </c>
      <c r="G122" s="1" t="str">
        <f aca="false">IF($F122&lt;&gt;"",_xlfn.CONCAT(VLOOKUP($CE122, Constants!$T:$U, 2, FALSE()),",",$F122),VLOOKUP($CE122, Constants!$T:$U, 2, FALSE()))</f>
        <v>role/mixed</v>
      </c>
      <c r="H122" s="1" t="str">
        <f aca="false">IF($G122&lt;&gt;"",_xlfn.CONCAT(VLOOKUP($CG122, Constants!$M:$P, 4, FALSE()),",",$G122),VLOOKUP($CG122, Constants!$M:$P, 4, FALSE()))</f>
        <v>flag/GB,power/steam,role/mixed</v>
      </c>
      <c r="I122" s="1" t="s">
        <v>198</v>
      </c>
      <c r="J122" s="1" t="s">
        <v>206</v>
      </c>
      <c r="K122" s="1" t="s">
        <v>207</v>
      </c>
      <c r="L122" s="1" t="s">
        <v>149</v>
      </c>
      <c r="M122" s="1" t="n">
        <v>1928</v>
      </c>
      <c r="N122" s="1" t="n">
        <v>1943</v>
      </c>
      <c r="O122" s="1" t="n">
        <v>1965</v>
      </c>
      <c r="Q122" s="1" t="n">
        <v>1600</v>
      </c>
      <c r="S122" s="3" t="n">
        <v>18.5</v>
      </c>
      <c r="T122" s="3" t="n">
        <v>30</v>
      </c>
      <c r="U122" s="3" t="n">
        <v>2</v>
      </c>
      <c r="V122" s="3" t="n">
        <v>225</v>
      </c>
      <c r="W122" s="18" t="n">
        <f aca="false">((($AE122/2)/60)*5280)/($X122*3.2*PI())</f>
        <v>194.522708223428</v>
      </c>
      <c r="X122" s="3" t="n">
        <v>1.8</v>
      </c>
      <c r="Y122" s="3" t="n">
        <f aca="false">((($S122*$S122/4)*PI())*($T122/12)*$U122*$V122*$W122)/(33000*1.1)</f>
        <v>1620.50189393939</v>
      </c>
      <c r="Z122" s="1" t="n">
        <v>76.2</v>
      </c>
      <c r="AA122" s="2" t="n">
        <v>47</v>
      </c>
      <c r="AC122" s="1" t="n">
        <v>121</v>
      </c>
      <c r="AD122" s="4" t="n">
        <f aca="false">IF(AND(Z122&gt;0,AC122&gt;0),(AC122/((Z122+AA122)*10)),"")</f>
        <v>0.0982142857142857</v>
      </c>
      <c r="AE122" s="1" t="n">
        <v>80</v>
      </c>
      <c r="AF122" s="1" t="n">
        <f aca="false">ROUND(AE122*1.6, 0)</f>
        <v>128</v>
      </c>
      <c r="AI122" s="1" t="n">
        <v>19.2</v>
      </c>
      <c r="AJ122" s="1" t="n">
        <f aca="false">AI122-7.5</f>
        <v>11.7</v>
      </c>
      <c r="AL122" s="1" t="n">
        <v>4.04</v>
      </c>
      <c r="AM122" s="5" t="n">
        <v>0</v>
      </c>
      <c r="AN122" s="1" t="str">
        <f aca="false">CONCATENATE(VLOOKUP(AO122, 'Voxel Sizes'!$A$2:$B$18,2,FALSE()),"x",INT(AK122*15), "x", INT(AL122*15))</f>
        <v>120x0x60</v>
      </c>
      <c r="AO122" s="1" t="n">
        <f aca="false">ROUND(15*((AJ122*10)/256),0)</f>
        <v>7</v>
      </c>
      <c r="AP122" s="1" t="s">
        <v>148</v>
      </c>
      <c r="AQ122" s="1" t="str">
        <f aca="false">CONCATENATE(VLOOKUP(AO122,Constants!$A$2:$C$16,IF(AP122&lt;&gt;"", 3, 2), FALSE()),IF(AP122&lt;&gt;"",CONCATENATE(",",VLOOKUP(AP122,$B:$AQ,42,FALSE())),""))</f>
        <v>2,3,2,2,1,2</v>
      </c>
      <c r="AY122" s="1" t="n">
        <v>1</v>
      </c>
      <c r="BA122" s="1" t="n">
        <v>30</v>
      </c>
      <c r="BB122" s="16" t="n">
        <f aca="false">IF(O122&lt;&gt;"",MAX(16,(O122-M122)+8),"")</f>
        <v>45</v>
      </c>
      <c r="BE122" s="1" t="n">
        <f aca="false">MIN(AE122/150, 1)*30</f>
        <v>16</v>
      </c>
      <c r="BF122" s="1" t="n">
        <f aca="false">MIN(Q122/4000, 1)*20</f>
        <v>8</v>
      </c>
      <c r="BG122" s="1" t="n">
        <f aca="false">MIN(AC122/400,1)*20</f>
        <v>6.05</v>
      </c>
      <c r="BH122" s="4" t="n">
        <f aca="false">1-(MAX(M122-1900, 0)/750)</f>
        <v>0.962666666666667</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70</v>
      </c>
      <c r="BM122" s="1" t="n">
        <f aca="false">INT(POWER((((Constants!$G$1+$BE122+$BF122+$BG122+$BI122)*($BH122))*$BJ122),IF($J122="wagon",1,1.2)))+$BC122</f>
        <v>109</v>
      </c>
      <c r="BN122" s="17" t="n">
        <f aca="false">BL122*IF($J122="wagon",62.5,781.25)</f>
        <v>54687.5</v>
      </c>
      <c r="BO122" s="17" t="n">
        <f aca="false">BM122*IF($J122="wagon",2.73,81.25)</f>
        <v>8856.25</v>
      </c>
      <c r="BY122" s="1" t="n">
        <v>5</v>
      </c>
      <c r="CD122" s="1" t="str">
        <f aca="false">VLOOKUP(M122,Eras!$A$2:$C$10, 2, TRUE())</f>
        <v>big4</v>
      </c>
      <c r="CE122" s="1" t="s">
        <v>129</v>
      </c>
      <c r="CF122" s="1" t="str">
        <f aca="false">CONCATENATE(CD122,"_",CE122)</f>
        <v>big4_Mixed Traffic</v>
      </c>
      <c r="CG122" s="1" t="str">
        <f aca="false">_xlfn.CONCAT(K122, "_",L122)</f>
        <v>steam_RAIL</v>
      </c>
      <c r="CH122" s="7" t="str">
        <f aca="false">_xlfn.CONCAT("{BLACK}Length: {GOLD}", TEXT(ROUNDUP(IF(AT122&lt;&gt;"",SUM(VALUE(_xlfn.TEXTSPLIT(AT122, ","))), SUM(VALUE(_xlfn.TEXTSPLIT(AQ122, ",")))*IF(P122, P122, 1))/16, 1), "#,##0.0"), " tiles{}")</f>
        <v>{BLACK}Length: {GOLD}0.8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{GOLD}0.8 tiles{}{SILVER}The GWR 4900 Hall Class set the template for the 4-6-0 mixed traffic locomotive, fast enough for express passenger services with enough tractive effort for freight.</v>
      </c>
    </row>
    <row r="123" customFormat="false" ht="14.25" hidden="false" customHeight="false" outlineLevel="0" collapsed="false">
      <c r="A123" s="1" t="s">
        <v>450</v>
      </c>
      <c r="B123" s="15" t="s">
        <v>451</v>
      </c>
      <c r="C123" s="1" t="n">
        <v>149</v>
      </c>
      <c r="E123" s="1" t="n">
        <v>79</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198</v>
      </c>
      <c r="J123" s="1" t="s">
        <v>206</v>
      </c>
      <c r="K123" s="1" t="s">
        <v>207</v>
      </c>
      <c r="L123" s="1" t="s">
        <v>149</v>
      </c>
      <c r="M123" s="1" t="n">
        <v>1928</v>
      </c>
      <c r="N123" s="1" t="n">
        <v>1935</v>
      </c>
      <c r="O123" s="1" t="n">
        <v>1966</v>
      </c>
      <c r="Q123" s="1" t="n">
        <v>2100</v>
      </c>
      <c r="S123" s="3" t="n">
        <v>19</v>
      </c>
      <c r="T123" s="3" t="n">
        <v>26</v>
      </c>
      <c r="U123" s="3" t="n">
        <v>3</v>
      </c>
      <c r="V123" s="3" t="n">
        <v>220</v>
      </c>
      <c r="W123" s="18" t="n">
        <f aca="false">((($AE123/2)/60)*5280)/($X123*3.2*PI())</f>
        <v>236.345090491465</v>
      </c>
      <c r="X123" s="3" t="n">
        <v>2</v>
      </c>
      <c r="Y123" s="3" t="n">
        <f aca="false">((($S123*$S123/4)*PI())*($T123/12)*$U123*$V123*$W123)/(33000*1.1)</f>
        <v>2639.8125</v>
      </c>
      <c r="Z123" s="1" t="n">
        <v>92.8</v>
      </c>
      <c r="AA123" s="2" t="n">
        <v>54</v>
      </c>
      <c r="AC123" s="1" t="n">
        <v>146</v>
      </c>
      <c r="AD123" s="4" t="n">
        <f aca="false">IF(AND(Z123&gt;0,AC123&gt;0),(AC123/((Z123+AA123)*10)),"")</f>
        <v>0.0994550408719346</v>
      </c>
      <c r="AE123" s="1" t="n">
        <v>108</v>
      </c>
      <c r="AF123" s="1" t="n">
        <f aca="false">ROUND(AE123*1.6, 0)</f>
        <v>173</v>
      </c>
      <c r="AH123" s="1" t="n">
        <v>1</v>
      </c>
      <c r="AI123" s="1" t="n">
        <v>21.46</v>
      </c>
      <c r="AJ123" s="1" t="n">
        <f aca="false">AI123-7.5</f>
        <v>13.96</v>
      </c>
      <c r="AM123" s="5" t="n">
        <v>0</v>
      </c>
      <c r="AN123" s="1" t="str">
        <f aca="false">CONCATENATE(VLOOKUP(AO123, 'Voxel Sizes'!$A$2:$B$18,2,FALSE()),"x",INT(AK123*15), "x", INT(AL123*15))</f>
        <v>136x0x0</v>
      </c>
      <c r="AO123" s="1" t="n">
        <f aca="false">ROUND(15*((AJ123*10)/256),0)</f>
        <v>8</v>
      </c>
      <c r="AP123" s="1" t="s">
        <v>185</v>
      </c>
      <c r="AQ123" s="1" t="str">
        <f aca="false">CONCATENATE(VLOOKUP(AO123,Constants!$A$2:$C$16,IF(AP123&lt;&gt;"", 3, 2), FALSE()),IF(AP123&lt;&gt;"",CONCATENATE(",",VLOOKUP(AP123,$B:$AQ,42,FALSE())),""))</f>
        <v>2,4,2,2,1,2</v>
      </c>
      <c r="AY123" s="1" t="n">
        <v>1</v>
      </c>
      <c r="BA123" s="1" t="n">
        <v>32</v>
      </c>
      <c r="BB123" s="16" t="n">
        <f aca="false">IF(O123&lt;&gt;"",MAX(16,(O123-M123)+8),"")</f>
        <v>46</v>
      </c>
      <c r="BE123" s="1" t="n">
        <f aca="false">MIN(AE123/150, 1)*30</f>
        <v>21.6</v>
      </c>
      <c r="BF123" s="1" t="n">
        <f aca="false">MIN(Q123/4000, 1)*20</f>
        <v>10.5</v>
      </c>
      <c r="BG123" s="1" t="n">
        <f aca="false">MIN(AC123/400,1)*20</f>
        <v>7.3</v>
      </c>
      <c r="BH123" s="4" t="n">
        <f aca="false">1-(MAX(M123-1900, 0)/750)</f>
        <v>0.962666666666667</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90</v>
      </c>
      <c r="BM123" s="1" t="n">
        <f aca="false">INT(POWER((((Constants!$G$1+$BE123+$BF123+$BG123+$BI123)*($BH123))*$BJ123),IF($J123="wagon",1,1.2)))+$BC123</f>
        <v>136</v>
      </c>
      <c r="BN123" s="17" t="n">
        <f aca="false">BL123*IF($J123="wagon",62.5,781.25)</f>
        <v>70312.5</v>
      </c>
      <c r="BO123" s="17" t="n">
        <f aca="false">BM123*IF($J123="wagon",2.73,81.25)</f>
        <v>11050</v>
      </c>
      <c r="BY123" s="1" t="n">
        <v>6</v>
      </c>
      <c r="CD123" s="1" t="str">
        <f aca="false">VLOOKUP(M123,Eras!$A$2:$C$10, 2, TRUE())</f>
        <v>big4</v>
      </c>
      <c r="CE123" s="1" t="s">
        <v>241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{GOLD}0.9 tiles{}{SILVER}The Gresley A3 is a Pacific (4-6-2) locomotive famed for its 100mph+ performance hauling LNER's Flying Scotsman service.</v>
      </c>
    </row>
    <row r="124" customFormat="false" ht="14.25" hidden="false" customHeight="false" outlineLevel="0" collapsed="false">
      <c r="A124" s="1" t="s">
        <v>453</v>
      </c>
      <c r="B124" s="15" t="s">
        <v>454</v>
      </c>
      <c r="C124" s="1" t="n">
        <v>150</v>
      </c>
      <c r="E124" s="1" t="n">
        <v>80</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198</v>
      </c>
      <c r="J124" s="1" t="s">
        <v>206</v>
      </c>
      <c r="K124" s="1" t="s">
        <v>207</v>
      </c>
      <c r="L124" s="1" t="s">
        <v>149</v>
      </c>
      <c r="M124" s="1" t="n">
        <v>1930</v>
      </c>
      <c r="N124" s="1" t="n">
        <v>1934</v>
      </c>
      <c r="O124" s="1" t="n">
        <v>1965</v>
      </c>
      <c r="Q124" s="1" t="n">
        <v>1200</v>
      </c>
      <c r="Z124" s="1" t="n">
        <v>82</v>
      </c>
      <c r="AA124" s="2" t="n">
        <v>44</v>
      </c>
      <c r="AC124" s="1" t="n">
        <v>118</v>
      </c>
      <c r="AD124" s="4" t="n">
        <f aca="false">IF(AND(Z124&gt;0,AC124&gt;0),(AC124/((Z124+AA124)*10)),"")</f>
        <v>0.0936507936507937</v>
      </c>
      <c r="AE124" s="1" t="n">
        <v>90</v>
      </c>
      <c r="AF124" s="1" t="n">
        <f aca="false">ROUND(AE124*1.6, 0)</f>
        <v>144</v>
      </c>
      <c r="AH124" s="1" t="n">
        <v>1</v>
      </c>
      <c r="AI124" s="1" t="n">
        <v>11.76</v>
      </c>
      <c r="AJ124" s="1" t="n">
        <v>11.76</v>
      </c>
      <c r="AM124" s="5" t="n">
        <v>0</v>
      </c>
      <c r="AN124" s="1" t="str">
        <f aca="false">CONCATENATE(VLOOKUP(AO124, 'Voxel Sizes'!$A$2:$B$18,2,FALSE()),"x",INT(AK124*15), "x", INT(AL124*15))</f>
        <v>120x0x0</v>
      </c>
      <c r="AO124" s="1" t="n">
        <f aca="false">ROUND(15*((AJ124*10)/256),0)</f>
        <v>7</v>
      </c>
      <c r="AP124" s="1" t="s">
        <v>181</v>
      </c>
      <c r="AQ124" s="1" t="str">
        <f aca="false">CONCATENATE(VLOOKUP(AO124,Constants!$A$2:$C$16,IF(AP124&lt;&gt;"", 3, 2), FALSE()),IF(AP124&lt;&gt;"",CONCATENATE(",",VLOOKUP(AP124,$B:$AQ,42,FALSE())),""))</f>
        <v>2,3,2,2,1,2</v>
      </c>
      <c r="AY124" s="1" t="n">
        <v>1</v>
      </c>
      <c r="BA124" s="1" t="n">
        <v>34</v>
      </c>
      <c r="BB124" s="16" t="n">
        <f aca="false">IF(O124&lt;&gt;"",MAX(16,(O124-M124)+8),"")</f>
        <v>43</v>
      </c>
      <c r="BE124" s="1" t="n">
        <f aca="false">MIN(AE124/150, 1)*30</f>
        <v>18</v>
      </c>
      <c r="BF124" s="1" t="n">
        <f aca="false">MIN(Q124/4000, 1)*20</f>
        <v>6</v>
      </c>
      <c r="BG124" s="1" t="n">
        <f aca="false">MIN(AC124/400,1)*20</f>
        <v>5.9</v>
      </c>
      <c r="BH124" s="4" t="n">
        <f aca="false">1-(MAX(M124-1900, 0)/750)</f>
        <v>0.96</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69</v>
      </c>
      <c r="BM124" s="1" t="n">
        <f aca="false">INT(POWER((((Constants!$G$1+$BE124+$BF124+$BG124+$BI124)*($BH124))*$BJ124),IF($J124="wagon",1,1.2)))+$BC124</f>
        <v>108</v>
      </c>
      <c r="BN124" s="17" t="n">
        <f aca="false">BL124*IF($J124="wagon",62.5,781.25)</f>
        <v>53906.25</v>
      </c>
      <c r="BO124" s="17" t="n">
        <f aca="false">BM124*IF($J124="wagon",2.73,81.25)</f>
        <v>8775</v>
      </c>
      <c r="BY124" s="1" t="n">
        <v>11</v>
      </c>
      <c r="CD124" s="1" t="str">
        <f aca="false">VLOOKUP(M124,Eras!$A$2:$C$10, 2, TRUE())</f>
        <v>big4</v>
      </c>
      <c r="CE124" s="1" t="s">
        <v>241</v>
      </c>
      <c r="CF124" s="1" t="str">
        <f aca="false">CONCATENATE(CD124,"_",CE124)</f>
        <v>big4_Express</v>
      </c>
      <c r="CG124" s="1" t="str">
        <f aca="false">_xlfn.CONCAT(K124, "_",L124)</f>
        <v>steam_RAIL</v>
      </c>
      <c r="CH124" s="7" t="str">
        <f aca="false">_xlfn.CONCAT("{BLACK}Length: {GOLD}", TEXT(ROUNDUP(IF(AT124&lt;&gt;"",SUM(VALUE(_xlfn.TEXTSPLIT(AT124, ","))), SUM(VALUE(_xlfn.TEXTSPLIT(AQ124, ",")))*IF(P124, P124, 1))/16, 1), "#,##0.0"), " tiles{}")</f>
        <v>{BLACK}Length: {GOLD}0.8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{GOLD}0.8 tiles{}{SILVER}The Patriot class combined the Royal Scot chassis with boilers from the LNWR's Large Claughton class. Although none were preserved, there is a project to build a new Patriot-class locomotive.</v>
      </c>
    </row>
    <row r="125" customFormat="false" ht="14.25" hidden="false" customHeight="false" outlineLevel="0" collapsed="false">
      <c r="A125" s="1" t="s">
        <v>456</v>
      </c>
      <c r="B125" s="15" t="s">
        <v>457</v>
      </c>
      <c r="C125" s="1" t="n">
        <v>151</v>
      </c>
      <c r="E125" s="1" t="n">
        <v>81</v>
      </c>
      <c r="G125" s="1" t="str">
        <f aca="false">IF($F125&lt;&gt;"",_xlfn.CONCAT(VLOOKUP($CE125, Constants!$T:$U, 2, FALSE()),",",$F125),VLOOKUP($CE125, Constants!$T:$U, 2, FALSE()))</f>
        <v>role/mixed</v>
      </c>
      <c r="H125" s="1" t="str">
        <f aca="false">IF($G125&lt;&gt;"",_xlfn.CONCAT(VLOOKUP($CG125, Constants!$M:$P, 4, FALSE()),",",$G125),VLOOKUP($CG125, Constants!$M:$P, 4, FALSE()))</f>
        <v>flag/GB,power/steam,role/mixed</v>
      </c>
      <c r="I125" s="1" t="s">
        <v>198</v>
      </c>
      <c r="J125" s="1" t="s">
        <v>206</v>
      </c>
      <c r="K125" s="1" t="s">
        <v>207</v>
      </c>
      <c r="L125" s="1" t="s">
        <v>149</v>
      </c>
      <c r="M125" s="1" t="n">
        <v>1929</v>
      </c>
      <c r="N125" s="1" t="n">
        <v>1950</v>
      </c>
      <c r="O125" s="1" t="n">
        <v>1971</v>
      </c>
      <c r="Q125" s="1" t="n">
        <v>750</v>
      </c>
      <c r="S125" s="3" t="n">
        <v>17.5</v>
      </c>
      <c r="T125" s="3" t="n">
        <v>24</v>
      </c>
      <c r="U125" s="3" t="n">
        <v>2</v>
      </c>
      <c r="V125" s="3" t="n">
        <v>200</v>
      </c>
      <c r="W125" s="18" t="n">
        <f aca="false">((($AE125/2)/60)*5280)/($X125*3.2*PI())</f>
        <v>187.57546864402</v>
      </c>
      <c r="X125" s="3" t="n">
        <v>1.4</v>
      </c>
      <c r="Y125" s="3" t="n">
        <f aca="false">((($S125*$S125/4)*PI())*($T125/12)*$U125*$V125*$W125)/(33000*1.1)</f>
        <v>994.318181818182</v>
      </c>
      <c r="Z125" s="1" t="n">
        <v>48.3</v>
      </c>
      <c r="AC125" s="1" t="n">
        <v>100</v>
      </c>
      <c r="AD125" s="4" t="n">
        <f aca="false">IF(AND(Z125&gt;0,AC125&gt;0),(AC125/((Z125+AA125)*10)),"")</f>
        <v>0.20703933747412</v>
      </c>
      <c r="AE125" s="1" t="n">
        <v>60</v>
      </c>
      <c r="AF125" s="1" t="n">
        <f aca="false">ROUND(AE125*1.6, 0)</f>
        <v>96</v>
      </c>
      <c r="AH125" s="1" t="n">
        <v>1</v>
      </c>
      <c r="AI125" s="1" t="n">
        <v>9.5</v>
      </c>
      <c r="AJ125" s="1" t="n">
        <v>9.5</v>
      </c>
      <c r="AL125" s="1" t="n">
        <v>3.735</v>
      </c>
      <c r="AM125" s="5" t="n">
        <v>0</v>
      </c>
      <c r="AN125" s="1" t="str">
        <f aca="false">CONCATENATE(VLOOKUP(AO125, 'Voxel Sizes'!$A$2:$B$18,2,FALSE()),"x",INT(AK125*15), "x", INT(AL125*15))</f>
        <v>102x0x56</v>
      </c>
      <c r="AO125" s="1" t="n">
        <f aca="false">ROUND(15*((AJ125*10)/256),0)</f>
        <v>6</v>
      </c>
      <c r="AQ125" s="1" t="str">
        <f aca="false">CONCATENATE(VLOOKUP(AO125,Constants!$A$2:$C$16,IF(AP125&lt;&gt;"", 3, 2), FALSE()),IF(AP125&lt;&gt;"",CONCATENATE(",",VLOOKUP(AP125,$B:$AQ,42,FALSE())),""))</f>
        <v>2,2,2</v>
      </c>
      <c r="AY125" s="1" t="n">
        <v>1</v>
      </c>
      <c r="BA125" s="1" t="n">
        <v>37</v>
      </c>
      <c r="BB125" s="16" t="n">
        <f aca="false">IF(O125&lt;&gt;"",MAX(16,(O125-M125)+8),"")</f>
        <v>50</v>
      </c>
      <c r="BE125" s="1" t="n">
        <f aca="false">MIN(AE125/150, 1)*30</f>
        <v>12</v>
      </c>
      <c r="BF125" s="1" t="n">
        <f aca="false">MIN(Q125/4000, 1)*20</f>
        <v>3.75</v>
      </c>
      <c r="BG125" s="1" t="n">
        <f aca="false">MIN(AC125/400,1)*20</f>
        <v>5</v>
      </c>
      <c r="BH125" s="4" t="n">
        <f aca="false">1-(MAX(M125-1900, 0)/750)</f>
        <v>0.961333333333333</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50</v>
      </c>
      <c r="BM125" s="1" t="n">
        <f aca="false">INT(POWER((((Constants!$G$1+$BE125+$BF125+$BG125+$BI125)*($BH125))*$BJ125),IF($J125="wagon",1,1.2)))+$BC125</f>
        <v>82</v>
      </c>
      <c r="BN125" s="17" t="n">
        <f aca="false">BL125*IF($J125="wagon",62.5,781.25)</f>
        <v>39062.5</v>
      </c>
      <c r="BO125" s="17" t="n">
        <f aca="false">BM125*IF($J125="wagon",2.73,81.25)</f>
        <v>6662.5</v>
      </c>
      <c r="BY125" s="1" t="n">
        <v>7</v>
      </c>
      <c r="CD125" s="1" t="str">
        <f aca="false">VLOOKUP(M125,Eras!$A$2:$C$10, 2, TRUE())</f>
        <v>big4</v>
      </c>
      <c r="CE125" s="1" t="s">
        <v>316</v>
      </c>
      <c r="CF125" s="1" t="str">
        <f aca="false">CONCATENATE(CD125,"_",CE125)</f>
        <v>big4_Cheap</v>
      </c>
      <c r="CG125" s="1" t="str">
        <f aca="false">_xlfn.CONCAT(K125, "_",L125)</f>
        <v>steam_RAIL</v>
      </c>
      <c r="CH125" s="7" t="str">
        <f aca="false">_xlfn.CONCAT("{BLACK}Length: {GOLD}", TEXT(ROUNDUP(IF(AT125&lt;&gt;"",SUM(VALUE(_xlfn.TEXTSPLIT(AT125, ","))), SUM(VALUE(_xlfn.TEXTSPLIT(AQ125, ",")))*IF(P125, P125, 1))/16, 1), "#,##0.0"), " tiles{}")</f>
        <v>{BLACK}Length: {GOLD}0.4 tiles{}</v>
      </c>
      <c r="CI125" s="1" t="n">
        <f aca="false">VLOOKUP($CG125, Constants!$M:$N, 2, FALSE())</f>
        <v>0</v>
      </c>
      <c r="CJ125" s="1" t="str">
        <f aca="false">IF(P125&gt;1,_xlfn.CONCAT("{BLACK}Cars: {GOLD}", P125),"")</f>
        <v/>
      </c>
      <c r="CK125" s="1" t="s">
        <v>458</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{GOLD}0.4 tiles{}{SILVER}The 5700 class numbered 863 locomotives, and was ubiquitous across the GWR network.</v>
      </c>
    </row>
    <row r="126" customFormat="false" ht="14.25" hidden="false" customHeight="true" outlineLevel="0" collapsed="false">
      <c r="A126" s="1" t="s">
        <v>459</v>
      </c>
      <c r="B126" s="15" t="s">
        <v>460</v>
      </c>
      <c r="C126" s="1" t="n">
        <v>152</v>
      </c>
      <c r="E126" s="1" t="n">
        <v>82</v>
      </c>
      <c r="G126" s="1" t="str">
        <f aca="false">IF($F126&lt;&gt;"",_xlfn.CONCAT(VLOOKUP($CE126, Constants!$T:$U, 2, FALSE()),",",$F126),VLOOKUP($CE126, Constants!$T:$U, 2, FALSE()))</f>
        <v>role/express_passenger</v>
      </c>
      <c r="H126" s="1" t="str">
        <f aca="false">IF($G126&lt;&gt;"",_xlfn.CONCAT(VLOOKUP($CG126, Constants!$M:$P, 4, FALSE()),",",$G126),VLOOKUP($CG126, Constants!$M:$P, 4, FALSE()))</f>
        <v>flag/GB,power/steam,role/express_passenger</v>
      </c>
      <c r="I126" s="1" t="s">
        <v>198</v>
      </c>
      <c r="J126" s="1" t="s">
        <v>206</v>
      </c>
      <c r="K126" s="1" t="s">
        <v>207</v>
      </c>
      <c r="L126" s="1" t="s">
        <v>149</v>
      </c>
      <c r="M126" s="1" t="n">
        <v>1930</v>
      </c>
      <c r="N126" s="1" t="n">
        <v>1935</v>
      </c>
      <c r="O126" s="1" t="n">
        <v>1961</v>
      </c>
      <c r="Q126" s="1" t="n">
        <v>1750</v>
      </c>
      <c r="S126" s="3" t="n">
        <v>16.5</v>
      </c>
      <c r="T126" s="3" t="n">
        <v>26</v>
      </c>
      <c r="U126" s="3" t="n">
        <v>3</v>
      </c>
      <c r="V126" s="3" t="n">
        <v>220</v>
      </c>
      <c r="W126" s="18" t="n">
        <f aca="false">((($AE126/2)/60)*5280)/($X126*3.2*PI())</f>
        <v>207.896144413788</v>
      </c>
      <c r="X126" s="3" t="n">
        <v>2</v>
      </c>
      <c r="Y126" s="3" t="n">
        <f aca="false">((($S126*$S126/4)*PI())*($T126/12)*$U126*$V126*$W126)/(33000*1.1)</f>
        <v>1751.19140625</v>
      </c>
      <c r="Z126" s="1" t="n">
        <v>68.2</v>
      </c>
      <c r="AA126" s="2" t="n">
        <v>43.1</v>
      </c>
      <c r="AC126" s="1" t="n">
        <v>111</v>
      </c>
      <c r="AD126" s="4" t="n">
        <f aca="false">IF(AND(Z126&gt;0,AC126&gt;0),(AC126/((Z126+AA126)*10)),"")</f>
        <v>0.0997304582210243</v>
      </c>
      <c r="AE126" s="1" t="n">
        <v>95</v>
      </c>
      <c r="AF126" s="1" t="n">
        <f aca="false">ROUND(AE126*1.6, 0)</f>
        <v>152</v>
      </c>
      <c r="AI126" s="1" t="n">
        <v>17.93</v>
      </c>
      <c r="AJ126" s="1" t="n">
        <f aca="false">AI126-7.5</f>
        <v>10.43</v>
      </c>
      <c r="AL126" s="1" t="n">
        <v>3.96</v>
      </c>
      <c r="AM126" s="5" t="n">
        <v>0</v>
      </c>
      <c r="AN126" s="1" t="str">
        <f aca="false">CONCATENATE(VLOOKUP(AO126, 'Voxel Sizes'!$A$2:$B$18,2,FALSE()),"x",INT(AK126*15), "x", INT(AL126*15))</f>
        <v>102x0x59</v>
      </c>
      <c r="AO126" s="1" t="n">
        <f aca="false">ROUND(15*((AJ126*10)/256),0)</f>
        <v>6</v>
      </c>
      <c r="AP126" s="1" t="s">
        <v>179</v>
      </c>
      <c r="AQ126" s="1" t="str">
        <f aca="false">CONCATENATE(VLOOKUP(AO126,Constants!$A$2:$C$16,IF(AP126&lt;&gt;"", 3, 2), FALSE()),IF(AP126&lt;&gt;"",CONCATENATE(",",VLOOKUP(AP126,$B:$AQ,42,FALSE())),""))</f>
        <v>2,2,2,2,1,2</v>
      </c>
      <c r="AY126" s="1" t="n">
        <v>1</v>
      </c>
      <c r="BA126" s="1" t="n">
        <v>29</v>
      </c>
      <c r="BB126" s="16" t="n">
        <f aca="false">IF(O126&lt;&gt;"",MAX(16,(O126-M126)+8),"")</f>
        <v>39</v>
      </c>
      <c r="BE126" s="1" t="n">
        <f aca="false">MIN(AE126/150, 1)*30</f>
        <v>19</v>
      </c>
      <c r="BF126" s="1" t="n">
        <f aca="false">MIN(Q126/4000, 1)*20</f>
        <v>8.75</v>
      </c>
      <c r="BG126" s="1" t="n">
        <f aca="false">MIN(AC126/400,1)*20</f>
        <v>5.55</v>
      </c>
      <c r="BH126" s="4" t="n">
        <f aca="false">1-(MAX(M126-1900, 0)/750)</f>
        <v>0.96</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76</v>
      </c>
      <c r="BM126" s="1" t="n">
        <f aca="false">INT(POWER((((Constants!$G$1+$BE126+$BF126+$BG126+$BI126)*($BH126))*$BJ126),IF($J126="wagon",1,1.2)))+$BC126</f>
        <v>118</v>
      </c>
      <c r="BN126" s="17" t="n">
        <f aca="false">BL126*IF($J126="wagon",62.5,781.25)</f>
        <v>59375</v>
      </c>
      <c r="BO126" s="17" t="n">
        <f aca="false">BM126*IF($J126="wagon",2.73,81.25)</f>
        <v>9587.5</v>
      </c>
      <c r="BY126" s="1" t="n">
        <v>8</v>
      </c>
      <c r="CD126" s="1" t="str">
        <f aca="false">VLOOKUP(M126,Eras!$A$2:$C$10, 2, TRUE())</f>
        <v>big4</v>
      </c>
      <c r="CE126" s="1" t="s">
        <v>241</v>
      </c>
      <c r="CF126" s="1" t="str">
        <f aca="false">CONCATENATE(CD126,"_",CE126)</f>
        <v>big4_Express</v>
      </c>
      <c r="CG126" s="1" t="str">
        <f aca="false">_xlfn.CONCAT(K126, "_",L126)</f>
        <v>steam_RAIL</v>
      </c>
      <c r="CH126" s="7" t="str">
        <f aca="false">_xlfn.CONCAT("{BLACK}Length: {GOLD}", TEXT(ROUNDUP(IF(AT126&lt;&gt;"",SUM(VALUE(_xlfn.TEXTSPLIT(AT126, ","))), SUM(VALUE(_xlfn.TEXTSPLIT(AQ126, ",")))*IF(P126, P126, 1))/16, 1), "#,##0.0"), " tiles{}")</f>
        <v>{BLACK}Length: {GOLD}0.7 tiles{}</v>
      </c>
      <c r="CI126" s="1" t="n">
        <f aca="false">VLOOKUP($CG126, Constants!$M:$N, 2, FALSE())</f>
        <v>0</v>
      </c>
      <c r="CJ126" s="1" t="str">
        <f aca="false">IF(P126&gt;1,_xlfn.CONCAT("{BLACK}Cars: {GOLD}", P126),"")</f>
        <v/>
      </c>
      <c r="CK126" s="1" t="s">
        <v>461</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Schools class was the most powerful 4-4-0 locomotive produced in  Europe, and the last British locomotive with such a wheel layout.</v>
      </c>
    </row>
    <row r="127" customFormat="false" ht="14.25" hidden="false" customHeight="false" outlineLevel="0" collapsed="false">
      <c r="A127" s="1" t="s">
        <v>462</v>
      </c>
      <c r="B127" s="15" t="s">
        <v>463</v>
      </c>
      <c r="C127" s="1" t="n">
        <v>153</v>
      </c>
      <c r="E127" s="1" t="n">
        <v>83</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198</v>
      </c>
      <c r="J127" s="1" t="s">
        <v>206</v>
      </c>
      <c r="K127" s="1" t="s">
        <v>207</v>
      </c>
      <c r="L127" s="1" t="s">
        <v>149</v>
      </c>
      <c r="M127" s="1" t="n">
        <v>1932</v>
      </c>
      <c r="N127" s="1" t="n">
        <v>1936</v>
      </c>
      <c r="O127" s="1" t="n">
        <v>1965</v>
      </c>
      <c r="Q127" s="1" t="n">
        <v>600</v>
      </c>
      <c r="S127" s="3" t="n">
        <v>16</v>
      </c>
      <c r="T127" s="3" t="n">
        <v>24</v>
      </c>
      <c r="U127" s="3" t="n">
        <v>2</v>
      </c>
      <c r="V127" s="3" t="n">
        <v>165</v>
      </c>
      <c r="W127" s="18" t="n">
        <f aca="false">((($AE127/2)/60)*5280)/($X127*3.2*PI())</f>
        <v>218.838046751356</v>
      </c>
      <c r="X127" s="3" t="n">
        <v>1.6</v>
      </c>
      <c r="Y127" s="3" t="n">
        <f aca="false">((($S127*$S127/4)*PI())*($T127/12)*$U127*$V127*$W127)/(33000*1.1)</f>
        <v>800</v>
      </c>
      <c r="Z127" s="1" t="n">
        <v>43</v>
      </c>
      <c r="AC127" s="1" t="n">
        <v>62</v>
      </c>
      <c r="AD127" s="4" t="n">
        <f aca="false">IF(AND(Z127&gt;0,AC127&gt;0),(AC127/((Z127+AA127)*10)),"")</f>
        <v>0.144186046511628</v>
      </c>
      <c r="AE127" s="1" t="n">
        <v>80</v>
      </c>
      <c r="AF127" s="1" t="n">
        <f aca="false">ROUND(AE127*1.6, 0)</f>
        <v>128</v>
      </c>
      <c r="AI127" s="1" t="n">
        <v>9.12</v>
      </c>
      <c r="AJ127" s="1" t="n">
        <v>9.12</v>
      </c>
      <c r="AL127" s="1" t="n">
        <v>3.82</v>
      </c>
      <c r="AM127" s="5" t="n">
        <v>0</v>
      </c>
      <c r="AN127" s="1" t="str">
        <f aca="false">CONCATENATE(VLOOKUP(AO127, 'Voxel Sizes'!$A$2:$B$18,2,FALSE()),"x",INT(AK127*15), "x", INT(AL127*15))</f>
        <v>82x0x57</v>
      </c>
      <c r="AO127" s="1" t="n">
        <f aca="false">ROUND(15*((AJ127*10)/256),0)</f>
        <v>5</v>
      </c>
      <c r="AQ127" s="1" t="str">
        <f aca="false">CONCATENATE(VLOOKUP(AO127,Constants!$A$2:$C$16,IF(AP127&lt;&gt;"", 3, 2), FALSE()),IF(AP127&lt;&gt;"",CONCATENATE(",",VLOOKUP(AP127,$B:$AQ,42,FALSE())),""))</f>
        <v>2,1,2</v>
      </c>
      <c r="AY127" s="1" t="n">
        <v>1</v>
      </c>
      <c r="BA127" s="1" t="n">
        <v>36</v>
      </c>
      <c r="BB127" s="16" t="n">
        <f aca="false">IF(O127&lt;&gt;"",MAX(16,(O127-M127)+8),"")</f>
        <v>41</v>
      </c>
      <c r="BE127" s="1" t="n">
        <f aca="false">MIN(AE127/150, 1)*30</f>
        <v>16</v>
      </c>
      <c r="BF127" s="1" t="n">
        <f aca="false">MIN(Q127/4000, 1)*20</f>
        <v>3</v>
      </c>
      <c r="BG127" s="1" t="n">
        <f aca="false">MIN(AC127/400,1)*20</f>
        <v>3.1</v>
      </c>
      <c r="BH127" s="4" t="n">
        <f aca="false">1-(MAX(M127-1900, 0)/750)</f>
        <v>0.957333333333333</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53</v>
      </c>
      <c r="BM127" s="1" t="n">
        <f aca="false">INT(POWER((((Constants!$G$1+$BE127+$BF127+$BG127+$BI127)*($BH127))*$BJ127),IF($J127="wagon",1,1.2)))+$BC127</f>
        <v>85</v>
      </c>
      <c r="BN127" s="17" t="n">
        <f aca="false">BL127*IF($J127="wagon",62.5,781.25)</f>
        <v>41406.25</v>
      </c>
      <c r="BO127" s="17" t="n">
        <f aca="false">BM127*IF($J127="wagon",2.73,81.25)</f>
        <v>6906.25</v>
      </c>
      <c r="BY127" s="1" t="n">
        <v>10</v>
      </c>
      <c r="CD127" s="1" t="str">
        <f aca="false">VLOOKUP(M127,Eras!$A$2:$C$10, 2, TRUE())</f>
        <v>big4</v>
      </c>
      <c r="CE127" s="1" t="s">
        <v>316</v>
      </c>
      <c r="CF127" s="1" t="str">
        <f aca="false">CONCATENATE(CD127,"_",CE127)</f>
        <v>big4_Cheap</v>
      </c>
      <c r="CG127" s="1" t="str">
        <f aca="false">_xlfn.CONCAT(K127, "_",L127)</f>
        <v>steam_RAIL</v>
      </c>
      <c r="CH127" s="7" t="str">
        <f aca="false">_xlfn.CONCAT("{BLACK}Length: {GOLD}", TEXT(ROUNDUP(IF(AT127&lt;&gt;"",SUM(VALUE(_xlfn.TEXTSPLIT(AT127, ","))), SUM(VALUE(_xlfn.TEXTSPLIT(AQ127, ",")))*IF(P127, P127, 1))/16, 1), "#,##0.0"), " tiles{}")</f>
        <v>{BLACK}Length: {GOLD}0.4 tiles{}</v>
      </c>
      <c r="CI127" s="1" t="n">
        <f aca="false">VLOOKUP($CG127, Constants!$M:$N, 2, FALSE())</f>
        <v>0</v>
      </c>
      <c r="CJ127" s="1" t="str">
        <f aca="false">IF(P127&gt;1,_xlfn.CONCAT("{BLACK}Cars: {GOLD}", P127),"")</f>
        <v/>
      </c>
      <c r="CK127" s="1" t="s">
        <v>464</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{GOLD}0.4 tiles{}{SILVER}The 1400 class (originally the 4800 class) is an update of an 1868 design with more modern features. Although small, it is capable of high speed.</v>
      </c>
    </row>
    <row r="128" customFormat="false" ht="14.25" hidden="false" customHeight="false" outlineLevel="0" collapsed="false">
      <c r="A128" s="1" t="s">
        <v>465</v>
      </c>
      <c r="B128" s="15" t="s">
        <v>466</v>
      </c>
      <c r="C128" s="1" t="n">
        <v>154</v>
      </c>
      <c r="E128" s="1" t="n">
        <v>84</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198</v>
      </c>
      <c r="J128" s="1" t="s">
        <v>206</v>
      </c>
      <c r="K128" s="1" t="s">
        <v>207</v>
      </c>
      <c r="L128" s="1" t="s">
        <v>149</v>
      </c>
      <c r="M128" s="1" t="n">
        <v>1934</v>
      </c>
      <c r="N128" s="1" t="n">
        <v>1951</v>
      </c>
      <c r="O128" s="1" t="n">
        <v>1967</v>
      </c>
      <c r="Q128" s="1" t="n">
        <v>1250</v>
      </c>
      <c r="Z128" s="1" t="n">
        <v>73.4</v>
      </c>
      <c r="AA128" s="2" t="n">
        <v>46</v>
      </c>
      <c r="AC128" s="1" t="n">
        <v>113</v>
      </c>
      <c r="AD128" s="4" t="n">
        <f aca="false">IF(AND(Z128&gt;0,AC128&gt;0),(AC128/((Z128+AA128)*10)),"")</f>
        <v>0.0946398659966499</v>
      </c>
      <c r="AE128" s="1" t="n">
        <v>92</v>
      </c>
      <c r="AF128" s="1" t="n">
        <f aca="false">ROUND(AE128*1.6, 0)</f>
        <v>147</v>
      </c>
      <c r="AH128" s="1" t="n">
        <v>1</v>
      </c>
      <c r="AI128" s="1" t="n">
        <v>11.76</v>
      </c>
      <c r="AJ128" s="1" t="n">
        <v>11.76</v>
      </c>
      <c r="AM128" s="5" t="n">
        <v>0</v>
      </c>
      <c r="AN128" s="1" t="str">
        <f aca="false">CONCATENATE(VLOOKUP(AO128, 'Voxel Sizes'!$A$2:$B$18,2,FALSE()),"x",INT(AK128*15), "x", INT(AL128*15))</f>
        <v>120x0x0</v>
      </c>
      <c r="AO128" s="1" t="n">
        <f aca="false">ROUND(15*((AJ128*10)/256),0)</f>
        <v>7</v>
      </c>
      <c r="AP128" s="1" t="s">
        <v>183</v>
      </c>
      <c r="AQ128" s="1" t="str">
        <f aca="false">CONCATENATE(VLOOKUP(AO128,Constants!$A$2:$C$16,IF(AP128&lt;&gt;"", 3, 2), FALSE()),IF(AP128&lt;&gt;"",CONCATENATE(",",VLOOKUP(AP128,$B:$AQ,42,FALSE())),""))</f>
        <v>2,3,2,2,1,2</v>
      </c>
      <c r="AY128" s="1" t="n">
        <v>1</v>
      </c>
      <c r="BA128" s="1" t="n">
        <v>34</v>
      </c>
      <c r="BB128" s="16" t="n">
        <f aca="false">IF(O128&lt;&gt;"",MAX(16,(O128-M128)+8),"")</f>
        <v>41</v>
      </c>
      <c r="BE128" s="1" t="n">
        <f aca="false">MIN(AE128/150, 1)*30</f>
        <v>18.4</v>
      </c>
      <c r="BF128" s="1" t="n">
        <f aca="false">MIN(Q128/4000, 1)*20</f>
        <v>6.25</v>
      </c>
      <c r="BG128" s="1" t="n">
        <f aca="false">MIN(AC128/400,1)*20</f>
        <v>5.65</v>
      </c>
      <c r="BH128" s="4" t="n">
        <f aca="false">1-(MAX(M128-1900, 0)/750)</f>
        <v>0.954666666666667</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70</v>
      </c>
      <c r="BM128" s="1" t="n">
        <f aca="false">INT(POWER((((Constants!$G$1+$BE128+$BF128+$BG128+$BI128)*($BH128))*$BJ128),IF($J128="wagon",1,1.2)))+$BC128</f>
        <v>108</v>
      </c>
      <c r="BN128" s="17" t="n">
        <f aca="false">BL128*IF($J128="wagon",62.5,781.25)</f>
        <v>54687.5</v>
      </c>
      <c r="BO128" s="17" t="n">
        <f aca="false">BM128*IF($J128="wagon",2.73,81.25)</f>
        <v>8775</v>
      </c>
      <c r="BY128" s="1" t="n">
        <v>11</v>
      </c>
      <c r="CD128" s="1" t="str">
        <f aca="false">VLOOKUP(M128,Eras!$A$2:$C$10, 2, TRUE())</f>
        <v>big4</v>
      </c>
      <c r="CE128" s="1" t="s">
        <v>129</v>
      </c>
      <c r="CF128" s="1" t="str">
        <f aca="false">CONCATENATE(CD128,"_",CE128)</f>
        <v>big4_Mixed Traffic</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467</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Stanier Class 5, commonly known as the "Black 5", was a workhorse for the LMS and into the British Rail era. Although intended as a mixed traffic locomotive it was capable of high top speeds.</v>
      </c>
    </row>
    <row r="129" customFormat="false" ht="14.25" hidden="false" customHeight="false" outlineLevel="0" collapsed="false">
      <c r="A129" s="1" t="s">
        <v>468</v>
      </c>
      <c r="B129" s="15" t="s">
        <v>469</v>
      </c>
      <c r="C129" s="1" t="n">
        <v>155</v>
      </c>
      <c r="E129" s="1" t="n">
        <v>85</v>
      </c>
      <c r="G129" s="1" t="str">
        <f aca="false">IF($F129&lt;&gt;"",_xlfn.CONCAT(VLOOKUP($CE129, Constants!$T:$U, 2, FALSE()),",",$F129),VLOOKUP($CE129, Constants!$T:$U, 2, FALSE()))</f>
        <v>role/express_passenger</v>
      </c>
      <c r="H129" s="1" t="str">
        <f aca="false">IF($G129&lt;&gt;"",_xlfn.CONCAT(VLOOKUP($CG129, Constants!$M:$P, 4, FALSE()),",",$G129),VLOOKUP($CG129, Constants!$M:$P, 4, FALSE()))</f>
        <v>flag/GB,power/steam,role/express_passenger</v>
      </c>
      <c r="I129" s="1" t="s">
        <v>198</v>
      </c>
      <c r="J129" s="1" t="s">
        <v>206</v>
      </c>
      <c r="K129" s="1" t="s">
        <v>207</v>
      </c>
      <c r="L129" s="1" t="s">
        <v>149</v>
      </c>
      <c r="M129" s="1" t="n">
        <v>1934</v>
      </c>
      <c r="N129" s="1" t="n">
        <v>1936</v>
      </c>
      <c r="O129" s="1" t="n">
        <v>1967</v>
      </c>
      <c r="Q129" s="1" t="n">
        <v>1375</v>
      </c>
      <c r="Z129" s="1" t="n">
        <v>80.8</v>
      </c>
      <c r="AA129" s="2" t="n">
        <v>52</v>
      </c>
      <c r="AC129" s="1" t="n">
        <v>118</v>
      </c>
      <c r="AD129" s="4" t="n">
        <f aca="false">IF(AND(Z129&gt;0,AC129&gt;0),(AC129/((Z129+AA129)*10)),"")</f>
        <v>0.088855421686747</v>
      </c>
      <c r="AE129" s="1" t="n">
        <v>95</v>
      </c>
      <c r="AF129" s="1" t="n">
        <f aca="false">ROUND(AE129*1.6, 0)</f>
        <v>152</v>
      </c>
      <c r="AH129" s="1" t="n">
        <v>1</v>
      </c>
      <c r="AI129" s="1" t="n">
        <v>12.09</v>
      </c>
      <c r="AJ129" s="1" t="n">
        <v>12.09</v>
      </c>
      <c r="AM129" s="5" t="n">
        <v>0</v>
      </c>
      <c r="AN129" s="1" t="str">
        <f aca="false">CONCATENATE(VLOOKUP(AO129, 'Voxel Sizes'!$A$2:$B$18,2,FALSE()),"x",INT(AK129*15), "x", INT(AL129*15))</f>
        <v>120x0x0</v>
      </c>
      <c r="AO129" s="1" t="n">
        <f aca="false">ROUND(15*((AJ129*10)/256),0)</f>
        <v>7</v>
      </c>
      <c r="AP129" s="1" t="s">
        <v>181</v>
      </c>
      <c r="AQ129" s="1" t="str">
        <f aca="false">CONCATENATE(VLOOKUP(AO129,Constants!$A$2:$C$16,IF(AP129&lt;&gt;"", 3, 2), FALSE()),IF(AP129&lt;&gt;"",CONCATENATE(",",VLOOKUP(AP129,$B:$AQ,42,FALSE())),""))</f>
        <v>2,3,2,2,1,2</v>
      </c>
      <c r="AY129" s="1" t="n">
        <v>1</v>
      </c>
      <c r="BA129" s="1" t="n">
        <v>34</v>
      </c>
      <c r="BB129" s="16" t="n">
        <f aca="false">IF(O129&lt;&gt;"",MAX(16,(O129-M129)+8),"")</f>
        <v>41</v>
      </c>
      <c r="BE129" s="1" t="n">
        <f aca="false">MIN(AE129/150, 1)*30</f>
        <v>19</v>
      </c>
      <c r="BF129" s="1" t="n">
        <f aca="false">MIN(Q129/4000, 1)*20</f>
        <v>6.875</v>
      </c>
      <c r="BG129" s="1" t="n">
        <f aca="false">MIN(AC129/400,1)*20</f>
        <v>5.9</v>
      </c>
      <c r="BH129" s="4" t="n">
        <f aca="false">1-(MAX(M129-1900, 0)/750)</f>
        <v>0.954666666666667</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73</v>
      </c>
      <c r="BM129" s="1" t="n">
        <f aca="false">INT(POWER((((Constants!$G$1+$BE129+$BF129+$BG129+$BI129)*($BH129))*$BJ129),IF($J129="wagon",1,1.2)))+$BC129</f>
        <v>112</v>
      </c>
      <c r="BN129" s="17" t="n">
        <f aca="false">BL129*IF($J129="wagon",62.5,781.25)</f>
        <v>57031.25</v>
      </c>
      <c r="BO129" s="17" t="n">
        <f aca="false">BM129*IF($J129="wagon",2.73,81.25)</f>
        <v>9100</v>
      </c>
      <c r="BY129" s="1" t="n">
        <v>12</v>
      </c>
      <c r="CD129" s="1" t="str">
        <f aca="false">VLOOKUP(M129,Eras!$A$2:$C$10, 2, TRUE())</f>
        <v>big4</v>
      </c>
      <c r="CE129" s="1" t="s">
        <v>241</v>
      </c>
      <c r="CF129" s="1" t="str">
        <f aca="false">CONCATENATE(CD129,"_",CE129)</f>
        <v>big4_Express</v>
      </c>
      <c r="CG129" s="1" t="str">
        <f aca="false">_xlfn.CONCAT(K129, "_",L129)</f>
        <v>steam_RAIL</v>
      </c>
      <c r="CH129" s="7" t="str">
        <f aca="false">_xlfn.CONCAT("{BLACK}Length: {GOLD}", TEXT(ROUNDUP(IF(AT129&lt;&gt;"",SUM(VALUE(_xlfn.TEXTSPLIT(AT129, ","))), SUM(VALUE(_xlfn.TEXTSPLIT(AQ129, ",")))*IF(P129, P129, 1))/16, 1), "#,##0.0"), " tiles{}")</f>
        <v>{BLACK}Length: {GOLD}0.8 tiles{}</v>
      </c>
      <c r="CI129" s="1" t="n">
        <f aca="false">VLOOKUP($CG129, Constants!$M:$N, 2, FALSE())</f>
        <v>0</v>
      </c>
      <c r="CJ129" s="1" t="str">
        <f aca="false">IF(P129&gt;1,_xlfn.CONCAT("{BLACK}Cars: {GOLD}", P129),"")</f>
        <v/>
      </c>
      <c r="CK129" s="1" t="s">
        <v>470</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{GOLD}0.8 tiles{}{SILVER}The Jubilee is the counterpart to the Class 5, often called the "Red Stanier" due to its red LMS livery. It was intended for passenger work, with slightly larger diameter driving wheels giving a higher top speed.</v>
      </c>
    </row>
    <row r="130" customFormat="false" ht="14.25" hidden="false" customHeight="false" outlineLevel="0" collapsed="false">
      <c r="A130" s="1" t="s">
        <v>471</v>
      </c>
      <c r="B130" s="15" t="s">
        <v>472</v>
      </c>
      <c r="C130" s="1" t="n">
        <v>156</v>
      </c>
      <c r="E130" s="1" t="n">
        <v>86</v>
      </c>
      <c r="G130" s="1" t="str">
        <f aca="false">IF($F130&lt;&gt;"",_xlfn.CONCAT(VLOOKUP($CE130, Constants!$T:$U, 2, FALSE()),",",$F130),VLOOKUP($CE130, Constants!$T:$U, 2, FALSE()))</f>
        <v>role/freight</v>
      </c>
      <c r="H130" s="1" t="str">
        <f aca="false">IF($G130&lt;&gt;"",_xlfn.CONCAT(VLOOKUP($CG130, Constants!$M:$P, 4, FALSE()),",",$G130),VLOOKUP($CG130, Constants!$M:$P, 4, FALSE()))</f>
        <v>flag/GB,power/steam,role/freight</v>
      </c>
      <c r="I130" s="1" t="s">
        <v>198</v>
      </c>
      <c r="J130" s="1" t="s">
        <v>206</v>
      </c>
      <c r="K130" s="1" t="s">
        <v>207</v>
      </c>
      <c r="L130" s="1" t="s">
        <v>149</v>
      </c>
      <c r="M130" s="1" t="n">
        <v>1935</v>
      </c>
      <c r="O130" s="1" t="n">
        <v>1968</v>
      </c>
      <c r="Q130" s="1" t="n">
        <v>1300</v>
      </c>
      <c r="Z130" s="1" t="n">
        <v>73</v>
      </c>
      <c r="AA130" s="2" t="n">
        <v>46</v>
      </c>
      <c r="AC130" s="1" t="n">
        <v>144</v>
      </c>
      <c r="AD130" s="4" t="n">
        <f aca="false">IF(AND(Z130&gt;0,AC130&gt;0),(AC130/((Z130+AA130)*10)),"")</f>
        <v>0.121008403361345</v>
      </c>
      <c r="AE130" s="1" t="n">
        <v>70</v>
      </c>
      <c r="AF130" s="1" t="n">
        <f aca="false">ROUND(AE130*1.6, 0)</f>
        <v>112</v>
      </c>
      <c r="AI130" s="1" t="n">
        <v>19.22</v>
      </c>
      <c r="AJ130" s="1" t="n">
        <f aca="false">19.22-7.46</f>
        <v>11.76</v>
      </c>
      <c r="AM130" s="5" t="n">
        <v>0</v>
      </c>
      <c r="AN130" s="1" t="str">
        <f aca="false">CONCATENATE(VLOOKUP(AO130, 'Voxel Sizes'!$A$2:$B$18,2,FALSE()),"x",INT(AK130*15), "x", INT(AL130*15))</f>
        <v>120x0x0</v>
      </c>
      <c r="AO130" s="1" t="n">
        <f aca="false">ROUND(15*((AJ130*10)/256),0)</f>
        <v>7</v>
      </c>
      <c r="AP130" s="1" t="s">
        <v>183</v>
      </c>
      <c r="AQ130" s="1" t="str">
        <f aca="false">CONCATENATE(VLOOKUP(AO130,Constants!$A$2:$C$16,IF(AP130&lt;&gt;"", 3, 2), FALSE()),IF(AP130&lt;&gt;"",CONCATENATE(",",VLOOKUP(AP130,$B:$AQ,42,FALSE())),""))</f>
        <v>2,3,2,2,1,2</v>
      </c>
      <c r="AY130" s="1" t="n">
        <v>1</v>
      </c>
      <c r="BA130" s="1" t="n">
        <v>34</v>
      </c>
      <c r="BB130" s="16" t="n">
        <f aca="false">IF(O130&lt;&gt;"",MAX(16,(O130-M130)+8),"")</f>
        <v>41</v>
      </c>
      <c r="BE130" s="1" t="n">
        <f aca="false">MIN(AE130/150, 1)*30</f>
        <v>14</v>
      </c>
      <c r="BF130" s="1" t="n">
        <f aca="false">MIN(Q130/4000, 1)*20</f>
        <v>6.5</v>
      </c>
      <c r="BG130" s="1" t="n">
        <f aca="false">MIN(AC130/400,1)*20</f>
        <v>7.2</v>
      </c>
      <c r="BH130" s="4" t="n">
        <f aca="false">1-(MAX(M130-1900, 0)/750)</f>
        <v>0.953333333333333</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64</v>
      </c>
      <c r="BM130" s="1" t="n">
        <f aca="false">INT(POWER((((Constants!$G$1+$BE130+$BF130+$BG130+$BI130)*($BH130))*$BJ130),IF($J130="wagon",1,1.2)))+$BC130</f>
        <v>101</v>
      </c>
      <c r="BN130" s="17" t="n">
        <f aca="false">BL130*IF($J130="wagon",62.5,781.25)</f>
        <v>50000</v>
      </c>
      <c r="BO130" s="17" t="n">
        <f aca="false">BM130*IF($J130="wagon",2.73,81.25)</f>
        <v>8206.25</v>
      </c>
      <c r="BY130" s="1" t="n">
        <v>1</v>
      </c>
      <c r="CD130" s="1" t="str">
        <f aca="false">VLOOKUP(M130,Eras!$A$2:$C$10, 2, TRUE())</f>
        <v>big4</v>
      </c>
      <c r="CE130" s="1" t="s">
        <v>132</v>
      </c>
      <c r="CF130" s="1" t="str">
        <f aca="false">CONCATENATE(CD130,"_",CE130)</f>
        <v>big4_Freight</v>
      </c>
      <c r="CG130" s="1" t="str">
        <f aca="false">_xlfn.CONCAT(K130, "_",L130)</f>
        <v>steam_RAIL</v>
      </c>
      <c r="CH130" s="7" t="str">
        <f aca="false">_xlfn.CONCAT("{BLACK}Length: {GOLD}", TEXT(ROUNDUP(IF(AT130&lt;&gt;"",SUM(VALUE(_xlfn.TEXTSPLIT(AT130, ","))), SUM(VALUE(_xlfn.TEXTSPLIT(AQ130, ",")))*IF(P130, P130, 1))/16, 1), "#,##0.0"), " tiles{}")</f>
        <v>{BLACK}Length: {GOLD}0.8 tiles{}</v>
      </c>
      <c r="CI130" s="1" t="n">
        <f aca="false">VLOOKUP($CG130, Constants!$M:$N, 2, FALSE())</f>
        <v>0</v>
      </c>
      <c r="CJ130" s="1" t="str">
        <f aca="false">IF(P130&gt;1,_xlfn.CONCAT("{BLACK}Cars: {GOLD}", P130),"")</f>
        <v/>
      </c>
      <c r="CK130" s="1" t="s">
        <v>473</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{GOLD}0.8 tiles{}{SILVER}The Stanier 8F is a further development of the Class 5, specialised for freight traffic with a 2-8-0 layout.</v>
      </c>
    </row>
    <row r="131" customFormat="false" ht="14.25" hidden="false" customHeight="false" outlineLevel="0" collapsed="false">
      <c r="A131" s="1" t="s">
        <v>474</v>
      </c>
      <c r="B131" s="15" t="s">
        <v>475</v>
      </c>
      <c r="C131" s="1" t="n">
        <v>157</v>
      </c>
      <c r="E131" s="1" t="n">
        <v>87</v>
      </c>
      <c r="G131" s="1" t="str">
        <f aca="false">IF($F131&lt;&gt;"",_xlfn.CONCAT(VLOOKUP($CE131, Constants!$T:$U, 2, FALSE()),",",$F131),VLOOKUP($CE131, Constants!$T:$U, 2, FALSE()))</f>
        <v>role/express_passenger</v>
      </c>
      <c r="H131" s="1" t="str">
        <f aca="false">IF($G131&lt;&gt;"",_xlfn.CONCAT(VLOOKUP($CG131, Constants!$M:$P, 4, FALSE()),",",$G131),VLOOKUP($CG131, Constants!$M:$P, 4, FALSE()))</f>
        <v>flag/GB,power/steam,role/express_passenger</v>
      </c>
      <c r="I131" s="1" t="s">
        <v>198</v>
      </c>
      <c r="J131" s="1" t="s">
        <v>206</v>
      </c>
      <c r="K131" s="1" t="s">
        <v>207</v>
      </c>
      <c r="L131" s="1" t="s">
        <v>149</v>
      </c>
      <c r="M131" s="1" t="n">
        <v>1935</v>
      </c>
      <c r="N131" s="1" t="n">
        <v>1938</v>
      </c>
      <c r="O131" s="1" t="n">
        <v>1966</v>
      </c>
      <c r="Q131" s="1" t="n">
        <v>2450</v>
      </c>
      <c r="Z131" s="1" t="n">
        <v>104.6</v>
      </c>
      <c r="AA131" s="2" t="n">
        <v>64</v>
      </c>
      <c r="AC131" s="1" t="n">
        <v>157</v>
      </c>
      <c r="AD131" s="4" t="n">
        <f aca="false">IF(AND(Z131&gt;0,AC131&gt;0),(AC131/((Z131+AA131)*10)),"")</f>
        <v>0.0931198102016607</v>
      </c>
      <c r="AE131" s="1" t="n">
        <v>126</v>
      </c>
      <c r="AF131" s="1" t="n">
        <f aca="false">ROUND(AE131*1.6, 0)</f>
        <v>202</v>
      </c>
      <c r="AH131" s="1" t="n">
        <v>1</v>
      </c>
      <c r="AI131" s="1" t="n">
        <v>21.65</v>
      </c>
      <c r="AJ131" s="1" t="n">
        <f aca="false">AI131-7.5</f>
        <v>14.15</v>
      </c>
      <c r="AL131" s="1" t="n">
        <v>3.99</v>
      </c>
      <c r="AM131" s="5" t="n">
        <v>0</v>
      </c>
      <c r="AN131" s="1" t="str">
        <f aca="false">CONCATENATE(VLOOKUP(AO131, 'Voxel Sizes'!$A$2:$B$18,2,FALSE()),"x",INT(AK131*15), "x", INT(AL131*15))</f>
        <v>136x0x59</v>
      </c>
      <c r="AO131" s="1" t="n">
        <f aca="false">ROUND(15*((AJ131*10)/256),0)</f>
        <v>8</v>
      </c>
      <c r="AP131" s="1" t="s">
        <v>185</v>
      </c>
      <c r="AQ131" s="1" t="str">
        <f aca="false">CONCATENATE(VLOOKUP(AO131,Constants!$A$2:$C$16,IF(AP131&lt;&gt;"", 3, 2), FALSE()),IF(AP131&lt;&gt;"",CONCATENATE(",",VLOOKUP(AP131,$B:$AQ,42,FALSE())),""))</f>
        <v>2,4,2,2,1,2</v>
      </c>
      <c r="AY131" s="1" t="n">
        <v>1</v>
      </c>
      <c r="BA131" s="1" t="n">
        <v>28</v>
      </c>
      <c r="BB131" s="16" t="n">
        <f aca="false">IF(O131&lt;&gt;"",MAX(16,(O131-M131)+8),"")</f>
        <v>39</v>
      </c>
      <c r="BE131" s="1" t="n">
        <f aca="false">MIN(AE131/150, 1)*30</f>
        <v>25.2</v>
      </c>
      <c r="BF131" s="1" t="n">
        <f aca="false">MIN(Q131/4000, 1)*20</f>
        <v>12.25</v>
      </c>
      <c r="BG131" s="1" t="n">
        <f aca="false">MIN(AC131/400,1)*20</f>
        <v>7.85</v>
      </c>
      <c r="BH131" s="4" t="n">
        <f aca="false">1-(MAX(M131-1900, 0)/750)</f>
        <v>0.953333333333333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101</v>
      </c>
      <c r="BM131" s="1" t="n">
        <f aca="false">INT(POWER((((Constants!$G$1+$BE131+$BF131+$BG131+$BI131)*($BH131))*$BJ131),IF($J131="wagon",1,1.2)))+$BC131</f>
        <v>152</v>
      </c>
      <c r="BN131" s="17" t="n">
        <f aca="false">BL131*IF($J131="wagon",62.5,781.25)</f>
        <v>78906.25</v>
      </c>
      <c r="BO131" s="17" t="n">
        <f aca="false">BM131*IF($J131="wagon",2.73,81.25)</f>
        <v>12350</v>
      </c>
      <c r="BY131" s="1" t="n">
        <v>2</v>
      </c>
      <c r="CD131" s="1" t="str">
        <f aca="false">VLOOKUP(M131,Eras!$A$2:$C$10, 2, TRUE())</f>
        <v>big4</v>
      </c>
      <c r="CE131" s="1" t="s">
        <v>241</v>
      </c>
      <c r="CF131" s="1" t="str">
        <f aca="false">CONCATENATE(CD131,"_",CE131)</f>
        <v>big4_Express</v>
      </c>
      <c r="CG131" s="1" t="str">
        <f aca="false">_xlfn.CONCAT(K131, "_",L131)</f>
        <v>steam_RAIL</v>
      </c>
      <c r="CH131" s="7" t="str">
        <f aca="false">_xlfn.CONCAT("{BLACK}Length: {GOLD}", TEXT(ROUNDUP(IF(AT131&lt;&gt;"",SUM(VALUE(_xlfn.TEXTSPLIT(AT131, ","))), SUM(VALUE(_xlfn.TEXTSPLIT(AQ131, ",")))*IF(P131, P131, 1))/16, 1), "#,##0.0"), " tiles{}")</f>
        <v>{BLACK}Length: {GOLD}0.9 tiles{}</v>
      </c>
      <c r="CI131" s="1" t="n">
        <f aca="false">VLOOKUP($CG131, Constants!$M:$N, 2, FALSE())</f>
        <v>0</v>
      </c>
      <c r="CJ131" s="1" t="str">
        <f aca="false">IF(P131&gt;1,_xlfn.CONCAT("{BLACK}Cars: {GOLD}", P131),"")</f>
        <v/>
      </c>
      <c r="CK131" s="1" t="s">
        <v>476</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{GOLD}0.9 tiles{}{SILVER}The Gresley A4 is the iconic pinnacle of high-speed British steam, holding numerous speed and power records.</v>
      </c>
    </row>
    <row r="132" customFormat="false" ht="14.25" hidden="false" customHeight="false" outlineLevel="0" collapsed="false">
      <c r="A132" s="1" t="s">
        <v>477</v>
      </c>
      <c r="B132" s="15" t="s">
        <v>478</v>
      </c>
      <c r="C132" s="1" t="n">
        <v>158</v>
      </c>
      <c r="E132" s="1" t="n">
        <v>88</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198</v>
      </c>
      <c r="J132" s="1" t="s">
        <v>206</v>
      </c>
      <c r="K132" s="1" t="s">
        <v>207</v>
      </c>
      <c r="L132" s="1" t="s">
        <v>149</v>
      </c>
      <c r="M132" s="1" t="n">
        <v>1936</v>
      </c>
      <c r="N132" s="1" t="n">
        <v>1944</v>
      </c>
      <c r="O132" s="1" t="n">
        <v>1966</v>
      </c>
      <c r="Q132" s="1" t="n">
        <v>1900</v>
      </c>
      <c r="S132" s="3" t="n">
        <v>18.5</v>
      </c>
      <c r="T132" s="3" t="n">
        <v>26</v>
      </c>
      <c r="U132" s="3" t="n">
        <v>3</v>
      </c>
      <c r="V132" s="3" t="n">
        <v>220</v>
      </c>
      <c r="W132" s="18" t="n">
        <f aca="false">((($AE132/2)/60)*5280)/($X132*3.2*PI())</f>
        <v>216.509982424214</v>
      </c>
      <c r="X132" s="3" t="n">
        <v>1.88</v>
      </c>
      <c r="Y132" s="3" t="n">
        <f aca="false">((($S132*$S132/4)*PI())*($T132/12)*$U132*$V132*$W132)/(33000*1.1)</f>
        <v>2292.66539228723</v>
      </c>
      <c r="Z132" s="1" t="n">
        <v>91</v>
      </c>
      <c r="AA132" s="2" t="n">
        <v>54</v>
      </c>
      <c r="AC132" s="1" t="n">
        <v>150</v>
      </c>
      <c r="AD132" s="4" t="n">
        <f aca="false">IF(AND(Z132&gt;0,AC132&gt;0),(AC132/((Z132+AA132)*10)),"")</f>
        <v>0.103448275862069</v>
      </c>
      <c r="AE132" s="1" t="n">
        <v>93</v>
      </c>
      <c r="AF132" s="1" t="n">
        <f aca="false">ROUND(AE132*1.6, 0)</f>
        <v>149</v>
      </c>
      <c r="AH132" s="1" t="n">
        <v>1</v>
      </c>
      <c r="AI132" s="1" t="n">
        <v>20.24</v>
      </c>
      <c r="AJ132" s="1" t="n">
        <f aca="false">AI132-7.5</f>
        <v>12.74</v>
      </c>
      <c r="AM132" s="5" t="n">
        <v>0</v>
      </c>
      <c r="AN132" s="1" t="str">
        <f aca="false">CONCATENATE(VLOOKUP(AO132, 'Voxel Sizes'!$A$2:$B$18,2,FALSE()),"x",INT(AK132*15), "x", INT(AL132*15))</f>
        <v>120x0x0</v>
      </c>
      <c r="AO132" s="1" t="n">
        <f aca="false">ROUND(15*((AJ132*10)/256),0)</f>
        <v>7</v>
      </c>
      <c r="AP132" s="1" t="s">
        <v>185</v>
      </c>
      <c r="AQ132" s="1" t="str">
        <f aca="false">CONCATENATE(VLOOKUP(AO132,Constants!$A$2:$C$16,IF(AP132&lt;&gt;"", 3, 2), FALSE()),IF(AP132&lt;&gt;"",CONCATENATE(",",VLOOKUP(AP132,$B:$AQ,42,FALSE())),""))</f>
        <v>2,3,2,2,1,2</v>
      </c>
      <c r="AY132" s="1" t="n">
        <v>1</v>
      </c>
      <c r="BA132" s="1" t="n">
        <v>32</v>
      </c>
      <c r="BB132" s="16" t="n">
        <f aca="false">IF(O132&lt;&gt;"",MAX(16,(O132-M132)+8),"")</f>
        <v>38</v>
      </c>
      <c r="BE132" s="1" t="n">
        <f aca="false">MIN(AE132/150, 1)*30</f>
        <v>18.6</v>
      </c>
      <c r="BF132" s="1" t="n">
        <f aca="false">MIN(Q132/4000, 1)*20</f>
        <v>9.5</v>
      </c>
      <c r="BG132" s="1" t="n">
        <f aca="false">MIN(AC132/400,1)*20</f>
        <v>7.5</v>
      </c>
      <c r="BH132" s="4" t="n">
        <f aca="false">1-(MAX(M132-1900, 0)/750)</f>
        <v>0.952</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81</v>
      </c>
      <c r="BM132" s="1" t="n">
        <f aca="false">INT(POWER((((Constants!$G$1+$BE132+$BF132+$BG132+$BI132)*($BH132))*$BJ132),IF($J132="wagon",1,1.2)))+$BC132</f>
        <v>123</v>
      </c>
      <c r="BN132" s="17" t="n">
        <f aca="false">BL132*IF($J132="wagon",62.5,781.25)</f>
        <v>63281.25</v>
      </c>
      <c r="BO132" s="17" t="n">
        <f aca="false">BM132*IF($J132="wagon",2.73,81.25)</f>
        <v>9993.75</v>
      </c>
      <c r="BY132" s="1" t="n">
        <v>3</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479</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{GOLD}0.8 tiles{}{SILVER}The Gresley V2 is derived from the A3 type, adapted to mixed traffic with a shorter boiler, smaller driving wheels and a 2-6-2 layout.</v>
      </c>
    </row>
    <row r="133" s="25" customFormat="true" ht="14.25" hidden="false" customHeight="false" outlineLevel="0" collapsed="false">
      <c r="A133" s="25" t="s">
        <v>480</v>
      </c>
      <c r="B133" s="26" t="s">
        <v>481</v>
      </c>
      <c r="C133" s="1" t="n">
        <v>3020</v>
      </c>
      <c r="E133" s="1" t="n">
        <v>89</v>
      </c>
      <c r="F133" s="25" t="s">
        <v>140</v>
      </c>
      <c r="G133" s="1" t="str">
        <f aca="false">IF($F133&lt;&gt;"",_xlfn.CONCAT(VLOOKUP($CE133, Constants!$T:$U, 2, FALSE()),",",$F133),VLOOKUP($CE133, Constants!$T:$U, 2, FALSE()))</f>
        <v>role/mixed,role/shunting</v>
      </c>
      <c r="H133" s="1" t="str">
        <f aca="false">IF($G133&lt;&gt;"",_xlfn.CONCAT(VLOOKUP($CG133, Constants!$M:$P, 4, FALSE()),",",$G133),VLOOKUP($CG133, Constants!$M:$P, 4, FALSE()))</f>
        <v>flag/GB,power/diesel,role/mixed,role/shunting</v>
      </c>
      <c r="I133" s="25" t="s">
        <v>198</v>
      </c>
      <c r="J133" s="25" t="s">
        <v>206</v>
      </c>
      <c r="K133" s="25" t="s">
        <v>482</v>
      </c>
      <c r="L133" s="25" t="s">
        <v>149</v>
      </c>
      <c r="M133" s="25" t="n">
        <v>1936</v>
      </c>
      <c r="N133" s="25" t="n">
        <v>1960</v>
      </c>
      <c r="O133" s="25" t="n">
        <v>1985</v>
      </c>
      <c r="Q133" s="25" t="n">
        <v>45</v>
      </c>
      <c r="R133" s="2"/>
      <c r="S133" s="3"/>
      <c r="T133" s="3"/>
      <c r="U133" s="3"/>
      <c r="V133" s="3"/>
      <c r="W133" s="18"/>
      <c r="X133" s="3"/>
      <c r="Y133" s="3"/>
      <c r="Z133" s="25" t="n">
        <v>7</v>
      </c>
      <c r="AA133" s="2"/>
      <c r="AB133" s="25" t="n">
        <v>5</v>
      </c>
      <c r="AC133" s="25" t="n">
        <v>15</v>
      </c>
      <c r="AD133" s="4" t="n">
        <f aca="false">IF(AND(Z133&gt;0,AC133&gt;0),(AC133/((Z133+AA133)*10)),"")</f>
        <v>0.214285714285714</v>
      </c>
      <c r="AE133" s="25" t="n">
        <v>12</v>
      </c>
      <c r="AF133" s="25" t="n">
        <f aca="false">ROUND(AE133*1.6, 0)</f>
        <v>19</v>
      </c>
      <c r="AI133" s="25" t="n">
        <v>5.5</v>
      </c>
      <c r="AJ133" s="25" t="n">
        <v>6</v>
      </c>
      <c r="AK133" s="25" t="n">
        <v>2.4</v>
      </c>
      <c r="AL133" s="25" t="n">
        <v>3.32</v>
      </c>
      <c r="AM133" s="5" t="n">
        <v>0</v>
      </c>
      <c r="AN133" s="1" t="str">
        <f aca="false">CONCATENATE(VLOOKUP(AO133, '[1]Voxel Sizes'!$A$2:$B$18,2,FALSE()),"x",INT(AK133*15), "x", INT(AL133*15))</f>
        <v>66x36x49</v>
      </c>
      <c r="AO133" s="25" t="n">
        <f aca="false">ROUND(15*((AJ133*10)/256),0)</f>
        <v>4</v>
      </c>
      <c r="AQ133" s="1" t="str">
        <f aca="false">CONCATENATE(VLOOKUP(AO133,Constants!$A$2:$C$16,IF(AP133&lt;&gt;"", 3, 2), FALSE()),IF(AP133&lt;&gt;"",CONCATENATE(",",VLOOKUP(AP133,$B:$AQ,42,FALSE())),""))</f>
        <v>1,2,1</v>
      </c>
      <c r="AS133" s="6"/>
      <c r="AT133" s="6"/>
      <c r="BA133" s="25" t="n">
        <v>60</v>
      </c>
      <c r="BB133" s="16" t="n">
        <f aca="false">IF(O133&lt;&gt;"",MAX(16,(O133-M133)+8),"")</f>
        <v>57</v>
      </c>
      <c r="BC133" s="25" t="n">
        <v>-11</v>
      </c>
      <c r="BD133" s="25" t="n">
        <v>-14</v>
      </c>
      <c r="BE133" s="20" t="n">
        <f aca="false">MIN(AE133/150, 1)*30</f>
        <v>2.4</v>
      </c>
      <c r="BF133" s="20" t="n">
        <f aca="false">MIN(Q133/4000, 1)*20</f>
        <v>0.225</v>
      </c>
      <c r="BG133" s="20" t="n">
        <f aca="false">MIN(AC133/400,1)*20</f>
        <v>0.75</v>
      </c>
      <c r="BH133" s="21" t="n">
        <f aca="false">1-(MAX(M133-1900, 0)/750)</f>
        <v>0.952</v>
      </c>
      <c r="BI133" s="20" t="n">
        <f aca="false">((MAX($P133,1)*MIN($AM133/300,1)))*IF(J133="Wagon",50,10)</f>
        <v>0</v>
      </c>
      <c r="BJ133" s="1" t="n">
        <f aca="false">VLOOKUP($K133,Constants!$I:$K, 2, FALSE())</f>
        <v>1</v>
      </c>
      <c r="BK133" s="1" t="n">
        <f aca="false">VLOOKUP($K133,Constants!$I:$K, 3, FALSE())*IF(AND(J133="multiple_unit",AE133&lt;110),0.75,1)</f>
        <v>2</v>
      </c>
      <c r="BL133" s="25" t="n">
        <f aca="false">INT(POWER((([1]Constants!$G$2+$BE133+$BF133+$BG133+$BI133)*$BH133)*$BK133, 1.05))+$BD133</f>
        <v>4</v>
      </c>
      <c r="BM133" s="25" t="n">
        <f aca="false">INT(POWER(((([1]Constants!$G$1+$BE133+$BF133+$BG133+$BI133)*($BH133))*$BJ133),IF($J133="wagon",1,1.2)))+$BC133</f>
        <v>20</v>
      </c>
      <c r="BN133" s="22" t="n">
        <f aca="false">BL133*IF($J133="wagon",62.5,781.25)</f>
        <v>3125</v>
      </c>
      <c r="BO133" s="22" t="n">
        <f aca="false">BM133*IF($J133="wagon",2.73,81.25)</f>
        <v>1625</v>
      </c>
      <c r="BY133" s="25" t="n">
        <v>5</v>
      </c>
      <c r="CD133" s="25" t="str">
        <f aca="false">VLOOKUP(M133,[1]Eras!$A$2:$C$10, 2, TRUE())</f>
        <v>big4</v>
      </c>
      <c r="CE133" s="25" t="s">
        <v>316</v>
      </c>
      <c r="CF133" s="27" t="str">
        <f aca="false">CONCATENATE(CD133,"_",CE133)</f>
        <v>big4_Cheap</v>
      </c>
      <c r="CG133" s="27" t="str">
        <f aca="false">_xlfn.CONCAT(K133, "_",L133)</f>
        <v>diesel_RAIL</v>
      </c>
      <c r="CH133" s="7" t="str">
        <f aca="false">_xlfn.CONCAT("{BLACK}Length: {GOLD}", TEXT(ROUNDUP(IF(AT133&lt;&gt;"",SUM(VALUE(_xlfn.TEXTSPLIT(AT133, ","))), SUM(VALUE(_xlfn.TEXTSPLIT(AQ133, ",")))*IF(P133, P133, 1))/16, 1), "#,##0.0"), " tiles{}")</f>
        <v>{BLACK}Length: {GOLD}0.3 tiles{}</v>
      </c>
      <c r="CI133" s="1" t="n">
        <f aca="false">VLOOKUP($CG133, Constants!$M:$N, 2, FALSE())</f>
        <v>0</v>
      </c>
      <c r="CJ133" s="1" t="str">
        <f aca="false">IF(P133&gt;1,_xlfn.CONCAT("{BLACK}Cars: {GOLD}", P133),"")</f>
        <v/>
      </c>
      <c r="CK133" s="25" t="s">
        <v>483</v>
      </c>
      <c r="CM133" s="25" t="str">
        <f aca="false">IF(CA133="buffet","{YELLOW}25% long distance bonus for consist{}",IF(CD133="BRAKE","{YELLOW}Speed bonus for slow wagons{}",IF(BZ133&gt;190,CONCATENATE("{YELLOW}",INT((BZ133-185)/1.85),"% bonus for long distance travel{}"),IF(AND(BZ133&lt;180,BZ133&lt;&gt;0),CONCATENATE("{YELLOW}",INT((185-BZ133)/1.85),"% penalty for long distance travel{}"),""))))</f>
        <v/>
      </c>
      <c r="CN133" s="25" t="str">
        <f aca="false">_xlfn.CONCAT(CI133,IF(CI133 &lt;&gt; "", " ", ""),CJ133,IF(OR(CJ133&lt;&gt;"", CI133&lt;&gt;""), "{}",""), CH133, CM133,"{SILVER}", CK133)</f>
        <v>{BLACK}Length: {GOLD}0.3 tiles{}{SILVER}A “Really Useless Engine” – these small, simple industrial locomotives saw service in many industrial yards but were almost never seen on the boader network.</v>
      </c>
    </row>
    <row r="134" s="25" customFormat="true" ht="14.25" hidden="false" customHeight="false" outlineLevel="0" collapsed="false">
      <c r="A134" s="25" t="s">
        <v>484</v>
      </c>
      <c r="B134" s="26" t="s">
        <v>485</v>
      </c>
      <c r="C134" s="1" t="n">
        <v>3021</v>
      </c>
      <c r="E134" s="1" t="n">
        <v>90</v>
      </c>
      <c r="F134" s="25" t="s">
        <v>140</v>
      </c>
      <c r="G134" s="1" t="str">
        <f aca="false">IF($F134&lt;&gt;"",_xlfn.CONCAT(VLOOKUP($CE134, Constants!$T:$U, 2, FALSE()),",",$F134),VLOOKUP($CE134, Constants!$T:$U, 2, FALSE()))</f>
        <v>role/mixed,role/shunting</v>
      </c>
      <c r="H134" s="1" t="str">
        <f aca="false">IF($G134&lt;&gt;"",_xlfn.CONCAT(VLOOKUP($CG134, Constants!$M:$P, 4, FALSE()),",",$G134),VLOOKUP($CG134, Constants!$M:$P, 4, FALSE()))</f>
        <v>flag/GB,power/diesel,role/mixed,role/shunting</v>
      </c>
      <c r="I134" s="25" t="s">
        <v>198</v>
      </c>
      <c r="J134" s="25" t="s">
        <v>206</v>
      </c>
      <c r="K134" s="25" t="s">
        <v>482</v>
      </c>
      <c r="L134" s="25" t="s">
        <v>149</v>
      </c>
      <c r="M134" s="25" t="n">
        <v>1938</v>
      </c>
      <c r="N134" s="25" t="n">
        <v>1966</v>
      </c>
      <c r="O134" s="25" t="n">
        <v>1991</v>
      </c>
      <c r="Q134" s="25" t="n">
        <v>84</v>
      </c>
      <c r="R134" s="2"/>
      <c r="S134" s="3"/>
      <c r="T134" s="3"/>
      <c r="U134" s="3"/>
      <c r="V134" s="3"/>
      <c r="W134" s="18"/>
      <c r="X134" s="3"/>
      <c r="Y134" s="3"/>
      <c r="Z134" s="25" t="n">
        <v>17</v>
      </c>
      <c r="AA134" s="2"/>
      <c r="AB134" s="25" t="n">
        <v>5</v>
      </c>
      <c r="AC134" s="25" t="n">
        <v>60</v>
      </c>
      <c r="AD134" s="4" t="n">
        <f aca="false">IF(AND(Z134&gt;0,AC134&gt;0),(AC134/((Z134+AA134)*10)),"")</f>
        <v>0.352941176470588</v>
      </c>
      <c r="AE134" s="25" t="n">
        <v>18</v>
      </c>
      <c r="AF134" s="25" t="n">
        <f aca="false">ROUND(AE134*1.6, 0)</f>
        <v>29</v>
      </c>
      <c r="AI134" s="25" t="n">
        <v>6.2</v>
      </c>
      <c r="AJ134" s="25" t="n">
        <v>8</v>
      </c>
      <c r="AK134" s="25" t="n">
        <v>2.4</v>
      </c>
      <c r="AL134" s="25" t="n">
        <v>3.32</v>
      </c>
      <c r="AM134" s="5" t="n">
        <v>0</v>
      </c>
      <c r="AN134" s="1" t="str">
        <f aca="false">CONCATENATE(VLOOKUP(AO134, '[1]Voxel Sizes'!$A$2:$B$18,2,FALSE()),"x",INT(AK134*15), "x", INT(AL134*15))</f>
        <v>82x36x49</v>
      </c>
      <c r="AO134" s="25" t="n">
        <f aca="false">ROUND(15*((AJ134*10)/256),0)</f>
        <v>5</v>
      </c>
      <c r="AQ134" s="1" t="str">
        <f aca="false">CONCATENATE(VLOOKUP(AO134,Constants!$A$2:$C$16,IF(AP134&lt;&gt;"", 3, 2), FALSE()),IF(AP134&lt;&gt;"",CONCATENATE(",",VLOOKUP(AP134,$B:$AQ,42,FALSE())),""))</f>
        <v>2,1,2</v>
      </c>
      <c r="AS134" s="6"/>
      <c r="AT134" s="6"/>
      <c r="BA134" s="25" t="n">
        <v>60</v>
      </c>
      <c r="BB134" s="16" t="n">
        <f aca="false">IF(O134&lt;&gt;"",MAX(16,(O134-M134)+8),"")</f>
        <v>61</v>
      </c>
      <c r="BC134" s="25" t="n">
        <v>-11</v>
      </c>
      <c r="BD134" s="25" t="n">
        <v>-14</v>
      </c>
      <c r="BE134" s="20" t="n">
        <f aca="false">MIN(AE134/150, 1)*30</f>
        <v>3.6</v>
      </c>
      <c r="BF134" s="20" t="n">
        <f aca="false">MIN(Q134/4000, 1)*20</f>
        <v>0.42</v>
      </c>
      <c r="BG134" s="20" t="n">
        <f aca="false">MIN(AC134/400,1)*20</f>
        <v>3</v>
      </c>
      <c r="BH134" s="21" t="n">
        <f aca="false">1-(MAX(M134-1900, 0)/750)</f>
        <v>0.949333333333333</v>
      </c>
      <c r="BI134" s="20" t="n">
        <f aca="false">((MAX($P134,1)*MIN($AM134/300,1)))*IF(J134="Wagon",50,10)</f>
        <v>0</v>
      </c>
      <c r="BJ134" s="1" t="n">
        <f aca="false">VLOOKUP($K134,Constants!$I:$K, 2, FALSE())</f>
        <v>1</v>
      </c>
      <c r="BK134" s="1" t="n">
        <f aca="false">VLOOKUP($K134,Constants!$I:$K, 3, FALSE())*IF(AND(J134="multiple_unit",AE134&lt;110),0.75,1)</f>
        <v>2</v>
      </c>
      <c r="BL134" s="25" t="n">
        <f aca="false">INT(POWER((([1]Constants!$G$2+$BE134+$BF134+$BG134+$BI134)*$BH134)*$BK134, 1.05))+$BD134</f>
        <v>12</v>
      </c>
      <c r="BM134" s="25" t="n">
        <f aca="false">INT(POWER(((([1]Constants!$G$1+$BE134+$BF134+$BG134+$BI134)*($BH134))*$BJ134),IF($J134="wagon",1,1.2)))+$BC134</f>
        <v>27</v>
      </c>
      <c r="BN134" s="22" t="n">
        <f aca="false">BL134*IF($J134="wagon",62.5,781.25)</f>
        <v>9375</v>
      </c>
      <c r="BO134" s="22" t="n">
        <f aca="false">BM134*IF($J134="wagon",2.73,81.25)</f>
        <v>2193.75</v>
      </c>
      <c r="BY134" s="25" t="n">
        <v>5</v>
      </c>
      <c r="CD134" s="25" t="str">
        <f aca="false">VLOOKUP(M134,[1]Eras!$A$2:$C$10, 2, TRUE())</f>
        <v>big4</v>
      </c>
      <c r="CE134" s="25" t="s">
        <v>316</v>
      </c>
      <c r="CF134" s="27" t="str">
        <f aca="false">CONCATENATE(CD134,"_",CE134)</f>
        <v>big4_Cheap</v>
      </c>
      <c r="CG134" s="27" t="str">
        <f aca="false">_xlfn.CONCAT(K134, "_",L134)</f>
        <v>diesel_RAIL</v>
      </c>
      <c r="CH134" s="7" t="str">
        <f aca="false">_xlfn.CONCAT("{BLACK}Length: {GOLD}", TEXT(ROUNDUP(IF(AT134&lt;&gt;"",SUM(VALUE(_xlfn.TEXTSPLIT(AT134, ","))), SUM(VALUE(_xlfn.TEXTSPLIT(AQ134, ",")))*IF(P134, P134, 1))/16, 1), "#,##0.0"), " tiles{}")</f>
        <v>{BLACK}Length: {GOLD}0.4 tiles{}</v>
      </c>
      <c r="CI134" s="1" t="n">
        <f aca="false">VLOOKUP($CG134, Constants!$M:$N, 2, FALSE())</f>
        <v>0</v>
      </c>
      <c r="CJ134" s="1" t="str">
        <f aca="false">IF(P134&gt;1,_xlfn.CONCAT("{BLACK}Cars: {GOLD}", P134),"")</f>
        <v/>
      </c>
      <c r="CK134" s="25" t="s">
        <v>486</v>
      </c>
      <c r="CM134" s="25" t="str">
        <f aca="false">IF(CA134="buffet","{YELLOW}25% long distance bonus for consist{}",IF(CD134="BRAKE","{YELLOW}Speed bonus for slow wagons{}",IF(BZ134&gt;190,CONCATENATE("{YELLOW}",INT((BZ134-185)/1.85),"% bonus for long distance travel{}"),IF(AND(BZ134&lt;180,BZ134&lt;&gt;0),CONCATENATE("{YELLOW}",INT((185-BZ134)/1.85),"% penalty for long distance travel{}"),""))))</f>
        <v/>
      </c>
      <c r="CN134" s="25" t="str">
        <f aca="false">_xlfn.CONCAT(CI134,IF(CI134 &lt;&gt; "", " ", ""),CJ134,IF(OR(CJ134&lt;&gt;"", CI134&lt;&gt;""), "{}",""), CH134, CM134,"{SILVER}", CK134)</f>
        <v>{BLACK}Length: {GOLD}0.4 tiles{}{SILVER}A mild upgrade in power made the Ruston 88 significantly more effective than it’s little brother, without vastly increasing cost.</v>
      </c>
    </row>
    <row r="135" customFormat="false" ht="14.25" hidden="false" customHeight="false" outlineLevel="0" collapsed="false">
      <c r="A135" s="1" t="s">
        <v>487</v>
      </c>
      <c r="B135" s="15" t="s">
        <v>488</v>
      </c>
      <c r="C135" s="1" t="n">
        <v>159</v>
      </c>
      <c r="E135" s="1" t="n">
        <v>91</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198</v>
      </c>
      <c r="J135" s="1" t="s">
        <v>206</v>
      </c>
      <c r="K135" s="1" t="s">
        <v>207</v>
      </c>
      <c r="L135" s="1" t="s">
        <v>149</v>
      </c>
      <c r="M135" s="1" t="n">
        <v>1936</v>
      </c>
      <c r="N135" s="1" t="n">
        <v>1939</v>
      </c>
      <c r="O135" s="1" t="n">
        <v>1965</v>
      </c>
      <c r="Q135" s="1" t="n">
        <v>1600</v>
      </c>
      <c r="S135" s="3" t="n">
        <v>18.5</v>
      </c>
      <c r="T135" s="3" t="n">
        <v>30</v>
      </c>
      <c r="U135" s="3" t="n">
        <v>2</v>
      </c>
      <c r="V135" s="3" t="n">
        <v>225</v>
      </c>
      <c r="W135" s="18" t="n">
        <f aca="false">((($AE135/2)/60)*5280)/($X135*3.2*PI())</f>
        <v>193.092394192373</v>
      </c>
      <c r="X135" s="3" t="n">
        <v>1.7</v>
      </c>
      <c r="Y135" s="3" t="n">
        <f aca="false">((($S135*$S135/4)*PI())*($T135/12)*$U135*$V135*$W135)/(33000*1.1)</f>
        <v>1608.5864388369</v>
      </c>
      <c r="Z135" s="1" t="n">
        <v>75.2</v>
      </c>
      <c r="AA135" s="2" t="n">
        <v>48</v>
      </c>
      <c r="AC135" s="1" t="n">
        <v>128</v>
      </c>
      <c r="AD135" s="4" t="n">
        <f aca="false">IF(AND(Z135&gt;0,AC135&gt;0),(AC135/((Z135+AA135)*10)),"")</f>
        <v>0.103896103896104</v>
      </c>
      <c r="AE135" s="1" t="n">
        <v>75</v>
      </c>
      <c r="AF135" s="1" t="n">
        <f aca="false">ROUND(AE135*1.6, 0)</f>
        <v>120</v>
      </c>
      <c r="AI135" s="1" t="n">
        <v>19.21</v>
      </c>
      <c r="AJ135" s="1" t="n">
        <f aca="false">AI135-7.5</f>
        <v>11.71</v>
      </c>
      <c r="AL135" s="1" t="n">
        <v>3.96</v>
      </c>
      <c r="AM135" s="5" t="n">
        <v>0</v>
      </c>
      <c r="AN135" s="1" t="str">
        <f aca="false">CONCATENATE(VLOOKUP(AO135, 'Voxel Sizes'!$A$2:$B$18,2,FALSE()),"x",INT(AK135*15), "x", INT(AL135*15))</f>
        <v>120x0x59</v>
      </c>
      <c r="AO135" s="1" t="n">
        <f aca="false">ROUND(15*((AJ135*10)/256),0)</f>
        <v>7</v>
      </c>
      <c r="AP135" s="1" t="s">
        <v>148</v>
      </c>
      <c r="AQ135" s="1" t="str">
        <f aca="false">CONCATENATE(VLOOKUP(AO135,Constants!$A$2:$C$16,IF(AP135&lt;&gt;"", 3, 2), FALSE()),IF(AP135&lt;&gt;"",CONCATENATE(",",VLOOKUP(AP135,$B:$AQ,42,FALSE())),""))</f>
        <v>2,3,2,2,1,2</v>
      </c>
      <c r="AY135" s="1" t="n">
        <v>1</v>
      </c>
      <c r="BA135" s="1" t="n">
        <v>30</v>
      </c>
      <c r="BB135" s="16" t="n">
        <f aca="false">IF(O135&lt;&gt;"",MAX(16,(O135-M135)+8),"")</f>
        <v>37</v>
      </c>
      <c r="BE135" s="1" t="n">
        <f aca="false">MIN(AE135/150, 1)*30</f>
        <v>15</v>
      </c>
      <c r="BF135" s="1" t="n">
        <f aca="false">MIN(Q135/4000, 1)*20</f>
        <v>8</v>
      </c>
      <c r="BG135" s="1" t="n">
        <f aca="false">MIN(AC135/400,1)*20</f>
        <v>6.4</v>
      </c>
      <c r="BH135" s="4" t="n">
        <f aca="false">1-(MAX(M135-1900, 0)/750)</f>
        <v>0.952</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68</v>
      </c>
      <c r="BM135" s="1" t="n">
        <f aca="false">INT(POWER((((Constants!$G$1+$BE135+$BF135+$BG135+$BI135)*($BH135))*$BJ135),IF($J135="wagon",1,1.2)))+$BC135</f>
        <v>105</v>
      </c>
      <c r="BN135" s="17" t="n">
        <f aca="false">BL135*IF($J135="wagon",62.5,781.25)</f>
        <v>53125</v>
      </c>
      <c r="BO135" s="17" t="n">
        <f aca="false">BM135*IF($J135="wagon",2.73,81.25)</f>
        <v>8531.25</v>
      </c>
      <c r="BY135" s="1" t="n">
        <v>4</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TEXT(ROUNDUP(IF(AT135&lt;&gt;"",SUM(VALUE(_xlfn.TEXTSPLIT(AT135, ","))), SUM(VALUE(_xlfn.TEXTSPLIT(AQ135, ",")))*IF(P135, P135, 1))/16, 1), "#,##0.0"), " tiles{}")</f>
        <v>{BLACK}Length: {GOLD}0.8 tiles{}</v>
      </c>
      <c r="CI135" s="1" t="n">
        <f aca="false">VLOOKUP($CG135, Constants!$M:$N, 2, FALSE())</f>
        <v>0</v>
      </c>
      <c r="CJ135" s="1" t="str">
        <f aca="false">IF(P135&gt;1,_xlfn.CONCAT("{BLACK}Cars: {GOLD}", P135),"")</f>
        <v/>
      </c>
      <c r="CK135" s="1" t="s">
        <v>489</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{GOLD}0.8 tiles{}{SILVER}The Grange class is a conservative design similar to the Hall class with smaller driving wheels, but proved to be reliable in service.</v>
      </c>
    </row>
    <row r="136" customFormat="false" ht="14.25" hidden="false" customHeight="false" outlineLevel="0" collapsed="false">
      <c r="A136" s="1" t="s">
        <v>490</v>
      </c>
      <c r="B136" s="15" t="s">
        <v>491</v>
      </c>
      <c r="C136" s="1" t="n">
        <v>160</v>
      </c>
      <c r="E136" s="1" t="n">
        <v>92</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198</v>
      </c>
      <c r="J136" s="1" t="s">
        <v>206</v>
      </c>
      <c r="K136" s="1" t="s">
        <v>207</v>
      </c>
      <c r="L136" s="1" t="s">
        <v>149</v>
      </c>
      <c r="M136" s="1" t="n">
        <v>1937</v>
      </c>
      <c r="N136" s="1" t="n">
        <v>1948</v>
      </c>
      <c r="O136" s="1" t="n">
        <v>1964</v>
      </c>
      <c r="Q136" s="1" t="n">
        <v>2500</v>
      </c>
      <c r="Z136" s="1" t="n">
        <v>110</v>
      </c>
      <c r="AA136" s="2" t="n">
        <v>57</v>
      </c>
      <c r="AC136" s="1" t="n">
        <v>180</v>
      </c>
      <c r="AD136" s="4" t="n">
        <f aca="false">IF(AND(Z136&gt;0,AC136&gt;0),(AC136/((Z136+AA136)*10)),"")</f>
        <v>0.107784431137725</v>
      </c>
      <c r="AE136" s="1" t="n">
        <v>115</v>
      </c>
      <c r="AF136" s="1" t="n">
        <f aca="false">ROUND(AE136*1.6, 0)</f>
        <v>184</v>
      </c>
      <c r="AH136" s="1" t="n">
        <v>1</v>
      </c>
      <c r="AI136" s="1" t="n">
        <v>22.49</v>
      </c>
      <c r="AJ136" s="1" t="n">
        <f aca="false">AI136-7.5</f>
        <v>14.99</v>
      </c>
      <c r="AL136" s="1" t="n">
        <v>4.039</v>
      </c>
      <c r="AM136" s="5" t="n">
        <v>0</v>
      </c>
      <c r="AN136" s="1" t="str">
        <f aca="false">CONCATENATE(VLOOKUP(AO136, 'Voxel Sizes'!$A$2:$B$18,2,FALSE()),"x",INT(AK136*15), "x", INT(AL136*15))</f>
        <v>152x0x60</v>
      </c>
      <c r="AO136" s="1" t="n">
        <f aca="false">ROUND(15*((AJ136*10)/256),0)</f>
        <v>9</v>
      </c>
      <c r="AP136" s="1" t="s">
        <v>187</v>
      </c>
      <c r="AQ136" s="1" t="str">
        <f aca="false">CONCATENATE(VLOOKUP(AO136,Constants!$A$2:$C$16,IF(AP136&lt;&gt;"", 3, 2), FALSE()),IF(AP136&lt;&gt;"",CONCATENATE(",",VLOOKUP(AP136,$B:$AQ,42,FALSE())),""))</f>
        <v>2,5,2,2,1,2</v>
      </c>
      <c r="AY136" s="1" t="n">
        <v>1</v>
      </c>
      <c r="BA136" s="1" t="n">
        <v>35</v>
      </c>
      <c r="BB136" s="16" t="n">
        <f aca="false">IF(O136&lt;&gt;"",MAX(16,(O136-M136)+8),"")</f>
        <v>35</v>
      </c>
      <c r="BE136" s="1" t="n">
        <f aca="false">MIN(AE136/150, 1)*30</f>
        <v>23</v>
      </c>
      <c r="BF136" s="1" t="n">
        <f aca="false">MIN(Q136/4000, 1)*20</f>
        <v>12.5</v>
      </c>
      <c r="BG136" s="1" t="n">
        <f aca="false">MIN(AC136/400,1)*20</f>
        <v>9</v>
      </c>
      <c r="BH136" s="4" t="n">
        <f aca="false">1-(MAX(M136-1900, 0)/750)</f>
        <v>0.950666666666667</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99</v>
      </c>
      <c r="BM136" s="1" t="n">
        <f aca="false">INT(POWER((((Constants!$G$1+$BE136+$BF136+$BG136+$BI136)*($BH136))*$BJ136),IF($J136="wagon",1,1.2)))+$BC136</f>
        <v>149</v>
      </c>
      <c r="BN136" s="17" t="n">
        <f aca="false">BL136*IF($J136="wagon",62.5,781.25)</f>
        <v>77343.75</v>
      </c>
      <c r="BO136" s="17" t="n">
        <f aca="false">BM136*IF($J136="wagon",2.73,81.25)</f>
        <v>12106.25</v>
      </c>
      <c r="BY136" s="1" t="n">
        <v>5</v>
      </c>
      <c r="CD136" s="1" t="str">
        <f aca="false">VLOOKUP(M136,Eras!$A$2:$C$10, 2, TRUE())</f>
        <v>big4</v>
      </c>
      <c r="CE136" s="1" t="s">
        <v>241</v>
      </c>
      <c r="CF136" s="1" t="str">
        <f aca="false">CONCATENATE(CD136,"_",CE136)</f>
        <v>big4_Express</v>
      </c>
      <c r="CG136" s="1" t="str">
        <f aca="false">_xlfn.CONCAT(K136, "_",L136)</f>
        <v>steam_RAIL</v>
      </c>
      <c r="CH136" s="7" t="str">
        <f aca="false">_xlfn.CONCAT("{BLACK}Length: {GOLD}", TEXT(ROUNDUP(IF(AT136&lt;&gt;"",SUM(VALUE(_xlfn.TEXTSPLIT(AT136, ","))), SUM(VALUE(_xlfn.TEXTSPLIT(AQ136, ",")))*IF(P136, P136, 1))/16, 1), "#,##0.0"), " tiles{}")</f>
        <v>{BLACK}Length: {GOLD}0.9 tiles{}</v>
      </c>
      <c r="CI136" s="1" t="n">
        <f aca="false">VLOOKUP($CG136, Constants!$M:$N, 2, FALSE())</f>
        <v>0</v>
      </c>
      <c r="CJ136" s="1" t="str">
        <f aca="false">IF(P136&gt;1,_xlfn.CONCAT("{BLACK}Cars: {GOLD}", P136),"")</f>
        <v/>
      </c>
      <c r="CK136" s="1" t="s">
        <v>492</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{GOLD}0.9 tiles{}{SILVER}The Stanier Coronation briefly held the British speed record for a steam locomotive. In real life, the streamlined casing was only fitted to early examples.</v>
      </c>
    </row>
    <row r="137" customFormat="false" ht="14.25" hidden="false" customHeight="false" outlineLevel="0" collapsed="false">
      <c r="A137" s="1" t="s">
        <v>493</v>
      </c>
      <c r="B137" s="15" t="s">
        <v>494</v>
      </c>
      <c r="C137" s="1" t="n">
        <v>161</v>
      </c>
      <c r="E137" s="1" t="n">
        <v>93</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198</v>
      </c>
      <c r="J137" s="1" t="s">
        <v>206</v>
      </c>
      <c r="K137" s="1" t="s">
        <v>207</v>
      </c>
      <c r="L137" s="1" t="s">
        <v>149</v>
      </c>
      <c r="M137" s="1" t="n">
        <v>1941</v>
      </c>
      <c r="N137" s="1" t="n">
        <v>1949</v>
      </c>
      <c r="O137" s="1" t="n">
        <v>1967</v>
      </c>
      <c r="Q137" s="1" t="n">
        <v>2100</v>
      </c>
      <c r="S137" s="3" t="n">
        <v>18</v>
      </c>
      <c r="T137" s="3" t="n">
        <v>24</v>
      </c>
      <c r="U137" s="3" t="n">
        <v>3</v>
      </c>
      <c r="V137" s="3" t="n">
        <v>250</v>
      </c>
      <c r="W137" s="18" t="n">
        <f aca="false">((($AE137/2)/60)*5280)/($X137*3.2*PI())</f>
        <v>241.87363061992</v>
      </c>
      <c r="X137" s="3" t="n">
        <v>1.9</v>
      </c>
      <c r="Y137" s="3" t="n">
        <f aca="false">((($S137*$S137/4)*PI())*($T137/12)*$U137*$V137*$W137)/(33000*1.1)</f>
        <v>2543.36124401914</v>
      </c>
      <c r="Z137" s="1" t="n">
        <v>96.3</v>
      </c>
      <c r="AA137" s="2" t="n">
        <v>52</v>
      </c>
      <c r="AC137" s="1" t="n">
        <v>167</v>
      </c>
      <c r="AD137" s="4" t="n">
        <f aca="false">IF(AND(Z137&gt;0,AC137&gt;0),(AC137/((Z137+AA137)*10)),"")</f>
        <v>0.112609575185435</v>
      </c>
      <c r="AE137" s="1" t="n">
        <v>105</v>
      </c>
      <c r="AF137" s="1" t="n">
        <f aca="false">ROUND(AE137*1.6, 0)</f>
        <v>168</v>
      </c>
      <c r="AH137" s="1" t="n">
        <v>1</v>
      </c>
      <c r="AI137" s="1" t="n">
        <v>21.23</v>
      </c>
      <c r="AJ137" s="1" t="n">
        <f aca="false">AI137-7.5</f>
        <v>13.73</v>
      </c>
      <c r="AM137" s="5" t="n">
        <v>0</v>
      </c>
      <c r="AN137" s="1" t="str">
        <f aca="false">CONCATENATE(VLOOKUP(AO137, 'Voxel Sizes'!$A$2:$B$18,2,FALSE()),"x",INT(AK137*15), "x", INT(AL137*15))</f>
        <v>136x0x0</v>
      </c>
      <c r="AO137" s="1" t="n">
        <f aca="false">ROUND(15*((AJ137*10)/256),0)</f>
        <v>8</v>
      </c>
      <c r="AP137" s="1" t="s">
        <v>189</v>
      </c>
      <c r="AQ137" s="1" t="str">
        <f aca="false">CONCATENATE(VLOOKUP(AO137,Constants!$A$2:$C$16,IF(AP137&lt;&gt;"", 3, 2), FALSE()),IF(AP137&lt;&gt;"",CONCATENATE(",",VLOOKUP(AP137,$B:$AQ,42,FALSE())),""))</f>
        <v>2,4,2,2,1,2</v>
      </c>
      <c r="AY137" s="1" t="n">
        <v>1</v>
      </c>
      <c r="BA137" s="1" t="n">
        <v>32</v>
      </c>
      <c r="BB137" s="16" t="n">
        <f aca="false">IF(O137&lt;&gt;"",MAX(16,(O137-M137)+8),"")</f>
        <v>34</v>
      </c>
      <c r="BE137" s="1" t="n">
        <f aca="false">MIN(AE137/150, 1)*30</f>
        <v>21</v>
      </c>
      <c r="BF137" s="1" t="n">
        <f aca="false">MIN(Q137/4000, 1)*20</f>
        <v>10.5</v>
      </c>
      <c r="BG137" s="1" t="n">
        <f aca="false">MIN(AC137/400,1)*20</f>
        <v>8.35</v>
      </c>
      <c r="BH137" s="4" t="n">
        <f aca="false">1-(MAX(M137-1900, 0)/750)</f>
        <v>0.945333333333333</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89</v>
      </c>
      <c r="BM137" s="1" t="n">
        <f aca="false">INT(POWER((((Constants!$G$1+$BE137+$BF137+$BG137+$BI137)*($BH137))*$BJ137),IF($J137="wagon",1,1.2)))+$BC137</f>
        <v>135</v>
      </c>
      <c r="BN137" s="17" t="n">
        <f aca="false">BL137*IF($J137="wagon",62.5,781.25)</f>
        <v>69531.25</v>
      </c>
      <c r="BO137" s="17" t="n">
        <f aca="false">BM137*IF($J137="wagon",2.73,81.25)</f>
        <v>10968.75</v>
      </c>
      <c r="BY137" s="1" t="n">
        <v>6</v>
      </c>
      <c r="CD137" s="1" t="str">
        <f aca="false">VLOOKUP(M137,Eras!$A$2:$C$10, 2, TRUE())</f>
        <v>big4</v>
      </c>
      <c r="CE137" s="1" t="s">
        <v>241</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{GOLD}0.9 tiles{}</v>
      </c>
      <c r="CI137" s="1" t="n">
        <f aca="false">VLOOKUP($CG137, Constants!$M:$N, 2, FALSE())</f>
        <v>0</v>
      </c>
      <c r="CJ137" s="1" t="str">
        <f aca="false">IF(P137&gt;1,_xlfn.CONCAT("{BLACK}Cars: {GOLD}", P137),"")</f>
        <v/>
      </c>
      <c r="CK137" s="1" t="s">
        <v>495</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{GOLD}0.9 tiles{}{SILVER}The SR Merchant Navy is a large, powerful locomotive with an air-smoothed casing. Bulleid's novel design features proved to be troublesome, and the class was later rebuilt.</v>
      </c>
    </row>
    <row r="138" customFormat="false" ht="14.25" hidden="false" customHeight="false" outlineLevel="0" collapsed="false">
      <c r="A138" s="1" t="s">
        <v>496</v>
      </c>
      <c r="B138" s="15" t="s">
        <v>497</v>
      </c>
      <c r="C138" s="1" t="n">
        <v>162</v>
      </c>
      <c r="E138" s="1" t="n">
        <v>94</v>
      </c>
      <c r="G138" s="1" t="str">
        <f aca="false">IF($F138&lt;&gt;"",_xlfn.CONCAT(VLOOKUP($CE138, Constants!$T:$U, 2, FALSE()),",",$F138),VLOOKUP($CE138, Constants!$T:$U, 2, FALSE()))</f>
        <v>role/mixed</v>
      </c>
      <c r="H138" s="1" t="str">
        <f aca="false">IF($G138&lt;&gt;"",_xlfn.CONCAT(VLOOKUP($CG138, Constants!$M:$P, 4, FALSE()),",",$G138),VLOOKUP($CG138, Constants!$M:$P, 4, FALSE()))</f>
        <v>flag/GB,power/electric,role/mixed</v>
      </c>
      <c r="I138" s="1" t="s">
        <v>198</v>
      </c>
      <c r="J138" s="1" t="s">
        <v>206</v>
      </c>
      <c r="K138" s="1" t="s">
        <v>349</v>
      </c>
      <c r="L138" s="1" t="s">
        <v>498</v>
      </c>
      <c r="M138" s="1" t="n">
        <v>1941</v>
      </c>
      <c r="N138" s="1" t="n">
        <v>1948</v>
      </c>
      <c r="O138" s="1" t="n">
        <v>1968</v>
      </c>
      <c r="Q138" s="1" t="n">
        <v>1470</v>
      </c>
      <c r="Z138" s="1" t="n">
        <v>101</v>
      </c>
      <c r="AC138" s="1" t="n">
        <v>178</v>
      </c>
      <c r="AD138" s="4" t="n">
        <f aca="false">IF(AND(Z138&gt;0,AC138&gt;0),(AC138/((Z138+AA138)*10)),"")</f>
        <v>0.176237623762376</v>
      </c>
      <c r="AE138" s="1" t="n">
        <v>75</v>
      </c>
      <c r="AF138" s="1" t="n">
        <f aca="false">ROUND(AE138*1.6, 0)</f>
        <v>120</v>
      </c>
      <c r="AH138" s="1" t="n">
        <v>1</v>
      </c>
      <c r="AI138" s="1" t="n">
        <v>17</v>
      </c>
      <c r="AJ138" s="1" t="n">
        <v>17</v>
      </c>
      <c r="AM138" s="5" t="n">
        <v>0</v>
      </c>
      <c r="AN138" s="1" t="str">
        <f aca="false">CONCATENATE(VLOOKUP(AO138, 'Voxel Sizes'!$A$2:$B$18,2,FALSE()),"x",INT(AK138*15), "x", INT(AL138*15))</f>
        <v>164x0x0</v>
      </c>
      <c r="AO138" s="1" t="n">
        <f aca="false">ROUND(15*((AJ138*10)/256),0)</f>
        <v>10</v>
      </c>
      <c r="AQ138" s="1" t="str">
        <f aca="false">CONCATENATE(VLOOKUP(AO138,Constants!$A$2:$C$16,IF(AP138&lt;&gt;"", 3, 2), FALSE()),IF(AP138&lt;&gt;"",CONCATENATE(",",VLOOKUP(AP138,$B:$AQ,42,FALSE())),""))</f>
        <v>4,2,4</v>
      </c>
      <c r="BA138" s="1" t="n">
        <v>31</v>
      </c>
      <c r="BB138" s="16" t="n">
        <f aca="false">IF(O138&lt;&gt;"",MAX(16,(O138-M138)+8),"")</f>
        <v>35</v>
      </c>
      <c r="BE138" s="1" t="n">
        <f aca="false">MIN(AE138/150, 1)*30</f>
        <v>15</v>
      </c>
      <c r="BF138" s="1" t="n">
        <f aca="false">MIN(Q138/4000, 1)*20</f>
        <v>7.35</v>
      </c>
      <c r="BG138" s="1" t="n">
        <f aca="false">MIN(AC138/400,1)*20</f>
        <v>8.9</v>
      </c>
      <c r="BH138" s="4" t="n">
        <f aca="false">1-(MAX(M138-1900, 0)/750)</f>
        <v>0.945333333333333</v>
      </c>
      <c r="BI138" s="1" t="n">
        <f aca="false">((MAX($P138,1)*MIN($AM138/300,1)))*IF(J138="Wagon",50,10)</f>
        <v>0</v>
      </c>
      <c r="BJ138" s="1" t="n">
        <f aca="false">VLOOKUP($K138,Constants!$I:$K, 2, FALSE())</f>
        <v>0.85</v>
      </c>
      <c r="BK138" s="1" t="n">
        <f aca="false">VLOOKUP($K138,Constants!$I:$K, 3, FALSE())*IF(AND(J138="multiple_unit",AE138&lt;110),0.75,1)</f>
        <v>2.3</v>
      </c>
      <c r="BL138" s="1" t="n">
        <f aca="false">INT(POWER(((Constants!$G$2+$BE138+$BF138+$BG138+$BI138)*$BH138)*$BK138, 1.05))+$BD138</f>
        <v>98</v>
      </c>
      <c r="BM138" s="1" t="n">
        <f aca="false">INT(POWER((((Constants!$G$1+$BE138+$BF138+$BG138+$BI138)*($BH138))*$BJ138),IF($J138="wagon",1,1.2)))+$BC138</f>
        <v>76</v>
      </c>
      <c r="BN138" s="17" t="n">
        <f aca="false">BL138*IF($J138="wagon",62.5,781.25)</f>
        <v>76562.5</v>
      </c>
      <c r="BO138" s="17" t="n">
        <f aca="false">BM138*IF($J138="wagon",2.73,81.25)</f>
        <v>6175</v>
      </c>
      <c r="BY138" s="1" t="n">
        <v>8</v>
      </c>
      <c r="CD138" s="1" t="str">
        <f aca="false">VLOOKUP(M138,Eras!$A$2:$C$10, 2, TRUE())</f>
        <v>big4</v>
      </c>
      <c r="CE138" s="1" t="s">
        <v>499</v>
      </c>
      <c r="CF138" s="1" t="str">
        <f aca="false">CONCATENATE(CD138,"_",CE138)</f>
        <v>big4_MT (Electric)</v>
      </c>
      <c r="CG138" s="1" t="str">
        <f aca="false">_xlfn.CONCAT(K138, "_",L138)</f>
        <v>electric_THIRD_RAIL</v>
      </c>
      <c r="CH138" s="7" t="str">
        <f aca="false">_xlfn.CONCAT("{BLACK}Length: {GOLD}", TEXT(ROUNDUP(IF(AT138&lt;&gt;"",SUM(VALUE(_xlfn.TEXTSPLIT(AT138, ","))), SUM(VALUE(_xlfn.TEXTSPLIT(AQ138, ",")))*IF(P138, P138, 1))/16, 1), "#,##0.0"), " tiles{}")</f>
        <v>{BLACK}Length: {GOLD}0.7 tiles{}</v>
      </c>
      <c r="CI138" s="1" t="n">
        <f aca="false">VLOOKUP($CG138, Constants!$M:$N, 2, FALSE())</f>
        <v>0</v>
      </c>
      <c r="CJ138" s="1" t="str">
        <f aca="false">IF(P138&gt;1,_xlfn.CONCAT("{BLACK}Cars: {GOLD}", P138),"")</f>
        <v/>
      </c>
      <c r="CK138" s="1" t="s">
        <v>500</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{GOLD}0.7 tiles{}{SILVER}With six traction motors, the CC is adept at handling both heavy freight and long passenger trains.</v>
      </c>
    </row>
    <row r="139" customFormat="false" ht="14.25" hidden="false" customHeight="false" outlineLevel="0" collapsed="false">
      <c r="A139" s="1" t="s">
        <v>501</v>
      </c>
      <c r="B139" s="15" t="s">
        <v>502</v>
      </c>
      <c r="C139" s="1" t="n">
        <v>163</v>
      </c>
      <c r="E139" s="1" t="n">
        <v>95</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198</v>
      </c>
      <c r="J139" s="1" t="s">
        <v>206</v>
      </c>
      <c r="K139" s="1" t="s">
        <v>207</v>
      </c>
      <c r="L139" s="1" t="s">
        <v>149</v>
      </c>
      <c r="M139" s="1" t="n">
        <v>1942</v>
      </c>
      <c r="N139" s="1" t="n">
        <v>1942</v>
      </c>
      <c r="O139" s="1" t="n">
        <v>1966</v>
      </c>
      <c r="Q139" s="1" t="n">
        <v>1600</v>
      </c>
      <c r="S139" s="3" t="n">
        <v>19</v>
      </c>
      <c r="T139" s="3" t="n">
        <v>26</v>
      </c>
      <c r="U139" s="3" t="n">
        <v>2</v>
      </c>
      <c r="V139" s="3" t="n">
        <v>230</v>
      </c>
      <c r="W139" s="18" t="n">
        <f aca="false">((($AE139/2)/60)*5280)/($X139*3.2*PI())</f>
        <v>218.838046751356</v>
      </c>
      <c r="X139" s="3" t="n">
        <v>1.5</v>
      </c>
      <c r="Y139" s="3" t="n">
        <f aca="false">((($S139*$S139/4)*PI())*($T139/12)*$U139*$V139*$W139)/(33000*1.1)</f>
        <v>1703.5827020202</v>
      </c>
      <c r="Z139" s="1" t="n">
        <v>50.3</v>
      </c>
      <c r="AA139" s="2" t="n">
        <f aca="false">90.7-Z139</f>
        <v>40.4</v>
      </c>
      <c r="AC139" s="1" t="n">
        <v>134</v>
      </c>
      <c r="AD139" s="4" t="n">
        <f aca="false">IF(AND(Z139&gt;0,AC139&gt;0),(AC139/((Z139+AA139)*10)),"")</f>
        <v>0.14773980154355</v>
      </c>
      <c r="AE139" s="1" t="n">
        <v>75</v>
      </c>
      <c r="AF139" s="1" t="n">
        <f aca="false">ROUND(AE139*1.6, 0)</f>
        <v>120</v>
      </c>
      <c r="AH139" s="1" t="n">
        <v>1</v>
      </c>
      <c r="AI139" s="1" t="n">
        <v>16.73</v>
      </c>
      <c r="AJ139" s="1" t="n">
        <v>10</v>
      </c>
      <c r="AM139" s="5" t="n">
        <v>0</v>
      </c>
      <c r="AN139" s="1" t="str">
        <f aca="false">CONCATENATE(VLOOKUP(AO139, 'Voxel Sizes'!$A$2:$B$18,2,FALSE()),"x",INT(AK139*15), "x", INT(AL139*15))</f>
        <v>102x0x0</v>
      </c>
      <c r="AO139" s="1" t="n">
        <f aca="false">ROUND(15*((AJ139*10)/256),0)</f>
        <v>6</v>
      </c>
      <c r="AP139" s="1" t="s">
        <v>191</v>
      </c>
      <c r="AQ139" s="1" t="str">
        <f aca="false">CONCATENATE(VLOOKUP(AO139,Constants!$A$2:$C$16,IF(AP139&lt;&gt;"", 3, 2), FALSE()),IF(AP139&lt;&gt;"",CONCATENATE(",",VLOOKUP(AP139,$B:$AQ,42,FALSE())),""))</f>
        <v>2,2,2,1,2,1</v>
      </c>
      <c r="AY139" s="1" t="n">
        <v>1</v>
      </c>
      <c r="BA139" s="1" t="n">
        <v>25</v>
      </c>
      <c r="BB139" s="16" t="n">
        <f aca="false">IF(O139&lt;&gt;"",MAX(16,(O139-M139)+8),"")</f>
        <v>32</v>
      </c>
      <c r="BE139" s="1" t="n">
        <f aca="false">MIN(AE139/150, 1)*30</f>
        <v>15</v>
      </c>
      <c r="BF139" s="1" t="n">
        <f aca="false">MIN(Q139/4000, 1)*20</f>
        <v>8</v>
      </c>
      <c r="BG139" s="1" t="n">
        <f aca="false">MIN(AC139/400,1)*20</f>
        <v>6.7</v>
      </c>
      <c r="BH139" s="4" t="n">
        <f aca="false">1-(MAX(M139-1900, 0)/750)</f>
        <v>0.944</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Y139" s="1" t="n">
        <v>9</v>
      </c>
      <c r="CD139" s="1" t="str">
        <f aca="false">VLOOKUP(M139,Eras!$A$2:$C$10, 2, TRUE())</f>
        <v>big4</v>
      </c>
      <c r="CE139" s="1" t="s">
        <v>316</v>
      </c>
      <c r="CF139" s="1" t="str">
        <f aca="false">CONCATENATE(CD139,"_",CE139)</f>
        <v>big4_Cheap</v>
      </c>
      <c r="CG139" s="1" t="str">
        <f aca="false">_xlfn.CONCAT(K139, "_",L139)</f>
        <v>steam_RAIL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{GOLD}0.7 tiles{}{SILVER}The Q1 was designed for function over form and the most efficient possible use of materials.</v>
      </c>
    </row>
    <row r="140" customFormat="false" ht="14.25" hidden="false" customHeight="false" outlineLevel="0" collapsed="false">
      <c r="A140" s="1" t="s">
        <v>504</v>
      </c>
      <c r="B140" s="19" t="s">
        <v>505</v>
      </c>
      <c r="C140" s="1" t="n">
        <v>1041</v>
      </c>
      <c r="E140" s="1" t="n">
        <v>96</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198</v>
      </c>
      <c r="J140" s="1" t="s">
        <v>206</v>
      </c>
      <c r="K140" s="1" t="s">
        <v>207</v>
      </c>
      <c r="L140" s="1" t="s">
        <v>149</v>
      </c>
      <c r="M140" s="1" t="n">
        <v>1942</v>
      </c>
      <c r="O140" s="1" t="n">
        <v>1967</v>
      </c>
      <c r="Q140" s="1" t="n">
        <v>1700</v>
      </c>
      <c r="S140" s="3" t="n">
        <v>20</v>
      </c>
      <c r="T140" s="3" t="n">
        <v>26</v>
      </c>
      <c r="U140" s="3" t="n">
        <v>2</v>
      </c>
      <c r="V140" s="3" t="n">
        <v>225</v>
      </c>
      <c r="W140" s="18" t="n">
        <f aca="false">((($AE140/2)/60)*5280)/($X140*3.2*PI())</f>
        <v>197.885467807077</v>
      </c>
      <c r="X140" s="3" t="n">
        <v>1.88</v>
      </c>
      <c r="Y140" s="3" t="n">
        <f aca="false">((($S140*$S140/4)*PI())*($T140/12)*$U140*$V140*$W140)/(33000*1.1)</f>
        <v>1669.78965183752</v>
      </c>
      <c r="Z140" s="1" t="n">
        <v>72</v>
      </c>
      <c r="AC140" s="1" t="n">
        <v>119</v>
      </c>
      <c r="AD140" s="4" t="n">
        <f aca="false">IF(AND(Z140&gt;0,AC140&gt;0),(AC140/((Z140+AA140)*10)),"")</f>
        <v>0.165277777777778</v>
      </c>
      <c r="AE140" s="1" t="n">
        <v>85</v>
      </c>
      <c r="AF140" s="1" t="n">
        <f aca="false">ROUND(AE140*1.6, 0)</f>
        <v>136</v>
      </c>
      <c r="AI140" s="1" t="n">
        <v>18.7</v>
      </c>
      <c r="AJ140" s="1" t="n">
        <v>14</v>
      </c>
      <c r="AN140" s="16" t="s">
        <v>364</v>
      </c>
      <c r="AO140" s="16" t="n">
        <f aca="false">ROUND(15*((AJ140*10)/256),0)</f>
        <v>8</v>
      </c>
      <c r="AP140" s="1" t="s">
        <v>382</v>
      </c>
      <c r="AQ140" s="1" t="str">
        <f aca="false">CONCATENATE(VLOOKUP(AO140,Constants!$A$2:$C$16,IF(AP140&lt;&gt;"", 3, 2), FALSE()),IF(AP140&lt;&gt;"",CONCATENATE(",",VLOOKUP(AP140,$B:$AQ,42,FALSE())),""))</f>
        <v>2,4,2,2,1,2</v>
      </c>
      <c r="AY140" s="1" t="n">
        <v>1</v>
      </c>
      <c r="BA140" s="1" t="n">
        <v>31</v>
      </c>
      <c r="BB140" s="16" t="n">
        <f aca="false">IF(O140&lt;&gt;"",MAX(16,(O140-M140)+8),"")</f>
        <v>33</v>
      </c>
      <c r="BE140" s="20" t="n">
        <f aca="false">MIN(AE140/150, 1)*30</f>
        <v>17</v>
      </c>
      <c r="BF140" s="20" t="n">
        <f aca="false">MIN(Q140/4000, 1)*20</f>
        <v>8.5</v>
      </c>
      <c r="BG140" s="20" t="n">
        <f aca="false">MIN(AC140/400,1)*20</f>
        <v>5.95</v>
      </c>
      <c r="BH140" s="4" t="n">
        <f aca="false">1-(MAX(M140-1900, 0)/750)</f>
        <v>0.944</v>
      </c>
      <c r="BI140" s="20" t="n">
        <f aca="false">((MAX($P140,1)*MIN($AM140/300,1)))*IF(J140="Wagon",50,10)</f>
        <v>0</v>
      </c>
      <c r="BJ140" s="1" t="n">
        <f aca="false">VLOOKUP($K140,Constants!$I:$K, 2, FALSE())</f>
        <v>1.15</v>
      </c>
      <c r="BK140" s="1" t="n">
        <f aca="false">VLOOKUP($K140,Constants!$I:$K, 3, FALSE())*IF(AND(J140="multiple_unit",AE140&lt;110),0.75,1)</f>
        <v>1.7</v>
      </c>
      <c r="BL140" s="20" t="n">
        <v>71</v>
      </c>
      <c r="BM140" s="20" t="n">
        <v>110</v>
      </c>
      <c r="BN140" s="22" t="n">
        <f aca="false">BL140*IF($J140="wagon",62.5,781.25)</f>
        <v>55468.75</v>
      </c>
      <c r="BO140" s="22" t="n">
        <f aca="false">BM140*IF($J140="wagon",2.73,81.25)</f>
        <v>8937.5</v>
      </c>
      <c r="BY140" s="1" t="n">
        <v>7</v>
      </c>
      <c r="CD140" s="23" t="s">
        <v>428</v>
      </c>
      <c r="CE140" s="1" t="s">
        <v>129</v>
      </c>
      <c r="CF140" s="23" t="str">
        <f aca="false">CONCATENATE(CD140,"_",CE140)</f>
        <v>big4_Mixed Traffic</v>
      </c>
      <c r="CG140" s="23"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consist{}",IF(CB140="DANDY","{YELLOW}Faster downhill speeds for horse-drawn trains (1 required per 2 horses){}",IF(CB140="BRAKE","{YELLOW}Speed bonus for slow wagons{}",IF(CB140="NGPassengers","{YELLOW}Preserved railway bonus: passengers pay more when hauled by old locomotives{}",IF(AND(BZ140&gt;190,NOT(AND(L140="NARROW_GAUGE",CB140&lt;&gt;"PASS"))),CONCATENATE("{YELLOW}",INT((BZ140-185)/1.85),"%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tiles{}{SILVER}LNER's B2 was a mixed traffic locomotive, the early examples of which were named after breeds of antelope, with 61018 "Gnu" having the record for shortest name given to a British locomotive. </v>
      </c>
    </row>
    <row r="141" customFormat="false" ht="14.25" hidden="false" customHeight="false" outlineLevel="0" collapsed="false">
      <c r="A141" s="1" t="s">
        <v>507</v>
      </c>
      <c r="B141" s="15" t="s">
        <v>508</v>
      </c>
      <c r="C141" s="1" t="n">
        <v>164</v>
      </c>
      <c r="E141" s="1" t="n">
        <v>97</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198</v>
      </c>
      <c r="J141" s="1" t="s">
        <v>206</v>
      </c>
      <c r="K141" s="1" t="s">
        <v>207</v>
      </c>
      <c r="L141" s="1" t="s">
        <v>149</v>
      </c>
      <c r="M141" s="1" t="n">
        <v>1943</v>
      </c>
      <c r="N141" s="1" t="n">
        <v>1964</v>
      </c>
      <c r="O141" s="1" t="n">
        <v>1967</v>
      </c>
      <c r="Q141" s="1" t="n">
        <v>500</v>
      </c>
      <c r="S141" s="3" t="n">
        <v>18</v>
      </c>
      <c r="T141" s="3" t="n">
        <v>26</v>
      </c>
      <c r="U141" s="3" t="n">
        <v>2</v>
      </c>
      <c r="V141" s="3" t="n">
        <v>170</v>
      </c>
      <c r="W141" s="18" t="n">
        <f aca="false">((($AE141/2)/60)*5280)/($X141*3.2*PI())</f>
        <v>94.2686970621226</v>
      </c>
      <c r="X141" s="3" t="n">
        <v>1.3</v>
      </c>
      <c r="Y141" s="3" t="n">
        <f aca="false">((($S141*$S141/4)*PI())*($T141/12)*$U141*$V141*$W141)/(33000*1.1)</f>
        <v>486.818181818182</v>
      </c>
      <c r="Z141" s="1" t="n">
        <v>49</v>
      </c>
      <c r="AC141" s="1" t="n">
        <v>106</v>
      </c>
      <c r="AD141" s="4" t="n">
        <f aca="false">IF(AND(Z141&gt;0,AC141&gt;0),(AC141/((Z141+AA141)*10)),"")</f>
        <v>0.216326530612245</v>
      </c>
      <c r="AE141" s="1" t="n">
        <v>28</v>
      </c>
      <c r="AF141" s="1" t="n">
        <f aca="false">ROUND(AE141*1.6, 0)</f>
        <v>45</v>
      </c>
      <c r="AH141" s="1" t="n">
        <v>1</v>
      </c>
      <c r="AI141" s="1" t="n">
        <v>9.25</v>
      </c>
      <c r="AJ141" s="1" t="n">
        <v>9.25</v>
      </c>
      <c r="AM141" s="5" t="n">
        <v>0</v>
      </c>
      <c r="AN141" s="1" t="str">
        <f aca="false">CONCATENATE(VLOOKUP(AO141, 'Voxel Sizes'!$A$2:$B$18,2,FALSE()),"x",INT(AK141*15), "x", INT(AL141*15))</f>
        <v>82x0x0</v>
      </c>
      <c r="AO141" s="1" t="n">
        <f aca="false">ROUND(15*((AJ141*10)/256),0)</f>
        <v>5</v>
      </c>
      <c r="AQ141" s="1" t="str">
        <f aca="false">CONCATENATE(VLOOKUP(AO141,Constants!$A$2:$C$16,IF(AP141&lt;&gt;"", 3, 2), FALSE()),IF(AP141&lt;&gt;"",CONCATENATE(",",VLOOKUP(AP141,$B:$AQ,42,FALSE())),""))</f>
        <v>2,1,2</v>
      </c>
      <c r="AY141" s="1" t="n">
        <v>1</v>
      </c>
      <c r="BA141" s="1" t="n">
        <v>23</v>
      </c>
      <c r="BB141" s="16" t="n">
        <f aca="false">IF(O141&lt;&gt;"",MAX(16,(O141-M141)+8),"")</f>
        <v>32</v>
      </c>
      <c r="BE141" s="1" t="n">
        <f aca="false">MIN(AE141/150, 1)*30</f>
        <v>5.6</v>
      </c>
      <c r="BF141" s="1" t="n">
        <f aca="false">MIN(Q141/4000, 1)*20</f>
        <v>2.5</v>
      </c>
      <c r="BG141" s="1" t="n">
        <f aca="false">MIN(AC141/400,1)*20</f>
        <v>5.3</v>
      </c>
      <c r="BH141" s="4" t="n">
        <f aca="false">1-(MAX(M141-1900, 0)/750)</f>
        <v>0.942666666666667</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34</v>
      </c>
      <c r="BM141" s="1" t="n">
        <f aca="false">INT(POWER((((Constants!$G$1+$BE141+$BF141+$BG141+$BI141)*($BH141))*$BJ141),IF($J141="wagon",1,1.2)))+$BC141</f>
        <v>61</v>
      </c>
      <c r="BN141" s="17" t="n">
        <f aca="false">BL141*IF($J141="wagon",62.5,781.25)</f>
        <v>26562.5</v>
      </c>
      <c r="BO141" s="17" t="n">
        <f aca="false">BM141*IF($J141="wagon",2.73,81.25)</f>
        <v>4956.25</v>
      </c>
      <c r="BY141" s="1" t="n">
        <v>10</v>
      </c>
      <c r="CD141" s="1" t="str">
        <f aca="false">VLOOKUP(M141,Eras!$A$2:$C$10, 2, TRUE())</f>
        <v>big4</v>
      </c>
      <c r="CE141" s="1" t="s">
        <v>316</v>
      </c>
      <c r="CF141" s="1" t="str">
        <f aca="false">CONCATENATE(CD141,"_",CE141)</f>
        <v>big4_Cheap</v>
      </c>
      <c r="CG141" s="1" t="str">
        <f aca="false">_xlfn.CONCAT(K141, "_",L141)</f>
        <v>steam_RAIL</v>
      </c>
      <c r="CH141" s="7" t="str">
        <f aca="false">_xlfn.CONCAT("{BLACK}Length: {GOLD}", TEXT(ROUNDUP(IF(AT141&lt;&gt;"",SUM(VALUE(_xlfn.TEXTSPLIT(AT141, ","))), SUM(VALUE(_xlfn.TEXTSPLIT(AQ141, ",")))*IF(P141, P141, 1))/16, 1), "#,##0.0"), " tiles{}")</f>
        <v>{BLACK}Length: {GOLD}0.4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{GOLD}0.4 tiles{}{SILVER}Hunslet's Austerity was designed for shunting duties. It's powerful for its size with good adhesion, but does not run well at higher speeds.</v>
      </c>
    </row>
    <row r="142" customFormat="false" ht="14.25" hidden="false" customHeight="false" outlineLevel="0" collapsed="false">
      <c r="A142" s="1" t="s">
        <v>510</v>
      </c>
      <c r="B142" s="15" t="s">
        <v>511</v>
      </c>
      <c r="C142" s="1" t="n">
        <v>165</v>
      </c>
      <c r="E142" s="1" t="n">
        <v>98</v>
      </c>
      <c r="G142" s="1" t="str">
        <f aca="false">IF($F142&lt;&gt;"",_xlfn.CONCAT(VLOOKUP($CE142, Constants!$T:$U, 2, FALSE()),",",$F142),VLOOKUP($CE142, Constants!$T:$U, 2, FALSE()))</f>
        <v>role/freight</v>
      </c>
      <c r="H142" s="1" t="str">
        <f aca="false">IF($G142&lt;&gt;"",_xlfn.CONCAT(VLOOKUP($CG142, Constants!$M:$P, 4, FALSE()),",",$G142),VLOOKUP($CG142, Constants!$M:$P, 4, FALSE()))</f>
        <v>flag/GB,power/steam,role/freight</v>
      </c>
      <c r="I142" s="1" t="s">
        <v>198</v>
      </c>
      <c r="J142" s="1" t="s">
        <v>206</v>
      </c>
      <c r="K142" s="1" t="s">
        <v>207</v>
      </c>
      <c r="L142" s="1" t="s">
        <v>149</v>
      </c>
      <c r="M142" s="1" t="n">
        <v>1943</v>
      </c>
      <c r="N142" s="1" t="n">
        <v>1945</v>
      </c>
      <c r="O142" s="1" t="n">
        <v>1962</v>
      </c>
      <c r="Q142" s="1" t="n">
        <v>1200</v>
      </c>
      <c r="S142" s="3" t="n">
        <v>19</v>
      </c>
      <c r="T142" s="3" t="n">
        <v>28</v>
      </c>
      <c r="U142" s="3" t="n">
        <v>2</v>
      </c>
      <c r="V142" s="3" t="n">
        <v>225</v>
      </c>
      <c r="W142" s="18" t="n">
        <f aca="false">((($AE142/2)/60)*5280)/($X142*3.2*PI())</f>
        <v>212.585531129889</v>
      </c>
      <c r="X142" s="3" t="n">
        <v>1.4</v>
      </c>
      <c r="Y142" s="3" t="n">
        <f aca="false">((($S142*$S142/4)*PI())*($T142/12)*$U142*$V142*$W142)/(33000*1.1)</f>
        <v>1743.46590909091</v>
      </c>
      <c r="Z142" s="1" t="n">
        <v>71.4</v>
      </c>
      <c r="AA142" s="2" t="n">
        <v>56.4</v>
      </c>
      <c r="AC142" s="1" t="n">
        <v>152</v>
      </c>
      <c r="AD142" s="4" t="n">
        <f aca="false">IF(AND(Z142&gt;0,AC142&gt;0),(AC142/((Z142+AA142)*10)),"")</f>
        <v>0.118935837245696</v>
      </c>
      <c r="AE142" s="1" t="n">
        <v>68</v>
      </c>
      <c r="AF142" s="1" t="n">
        <f aca="false">ROUND(AE142*1.6, 0)</f>
        <v>109</v>
      </c>
      <c r="AI142" s="1" t="n">
        <v>19.35</v>
      </c>
      <c r="AJ142" s="1" t="n">
        <v>11.7</v>
      </c>
      <c r="AM142" s="5" t="n">
        <v>0</v>
      </c>
      <c r="AN142" s="1" t="str">
        <f aca="false">CONCATENATE(VLOOKUP(AO142, 'Voxel Sizes'!$A$2:$B$18,2,FALSE()),"x",INT(AK142*15), "x", INT(AL142*15))</f>
        <v>120x0x0</v>
      </c>
      <c r="AO142" s="1" t="n">
        <f aca="false">ROUND(15*((AJ142*10)/256),0)</f>
        <v>7</v>
      </c>
      <c r="AP142" s="1" t="s">
        <v>193</v>
      </c>
      <c r="AQ142" s="1" t="str">
        <f aca="false">CONCATENATE(VLOOKUP(AO142,Constants!$A$2:$C$16,IF(AP142&lt;&gt;"", 3, 2), FALSE()),IF(AP142&lt;&gt;"",CONCATENATE(",",VLOOKUP(AP142,$B:$AQ,42,FALSE())),""))</f>
        <v>2,3,2,1,2,1</v>
      </c>
      <c r="AY142" s="1" t="n">
        <v>1</v>
      </c>
      <c r="BA142" s="1" t="n">
        <v>26</v>
      </c>
      <c r="BB142" s="16" t="n">
        <f aca="false">IF(O142&lt;&gt;"",MAX(16,(O142-M142)+8),"")</f>
        <v>27</v>
      </c>
      <c r="BE142" s="1" t="n">
        <f aca="false">MIN(AE142/150, 1)*30</f>
        <v>13.6</v>
      </c>
      <c r="BF142" s="1" t="n">
        <f aca="false">MIN(Q142/4000, 1)*20</f>
        <v>6</v>
      </c>
      <c r="BG142" s="1" t="n">
        <f aca="false">MIN(AC142/400,1)*20</f>
        <v>7.6</v>
      </c>
      <c r="BH142" s="4" t="n">
        <f aca="false">1-(MAX(M142-1900, 0)/750)</f>
        <v>0.942666666666667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62</v>
      </c>
      <c r="BM142" s="1" t="n">
        <f aca="false">INT(POWER((((Constants!$G$1+$BE142+$BF142+$BG142+$BI142)*($BH142))*$BJ142),IF($J142="wagon",1,1.2)))+$BC142</f>
        <v>98</v>
      </c>
      <c r="BN142" s="17" t="n">
        <f aca="false">BL142*IF($J142="wagon",62.5,781.25)</f>
        <v>48437.5</v>
      </c>
      <c r="BO142" s="17" t="n">
        <f aca="false">BM142*IF($J142="wagon",2.73,81.25)</f>
        <v>7962.5</v>
      </c>
      <c r="BY142" s="1" t="n">
        <v>11</v>
      </c>
      <c r="CD142" s="1" t="str">
        <f aca="false">VLOOKUP(M142,Eras!$A$2:$C$10, 2, TRUE())</f>
        <v>big4</v>
      </c>
      <c r="CE142" s="1" t="s">
        <v>132</v>
      </c>
      <c r="CF142" s="1" t="str">
        <f aca="false">CONCATENATE(CD142,"_",CE142)</f>
        <v>big4_Freight</v>
      </c>
      <c r="CG142" s="1" t="str">
        <f aca="false">_xlfn.CONCAT(K142, "_",L142)</f>
        <v>steam_RAIL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512</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tiles{}{SILVER}Robert Riddles adapted the LMS 8F for low cost and simple construction, resulting in this "austerity" freight locomotive.</v>
      </c>
    </row>
    <row r="143" customFormat="false" ht="14.25" hidden="false" customHeight="false" outlineLevel="0" collapsed="false">
      <c r="A143" s="1" t="s">
        <v>513</v>
      </c>
      <c r="B143" s="15" t="s">
        <v>514</v>
      </c>
      <c r="C143" s="1" t="n">
        <v>166</v>
      </c>
      <c r="E143" s="1" t="n">
        <v>99</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198</v>
      </c>
      <c r="J143" s="1" t="s">
        <v>206</v>
      </c>
      <c r="K143" s="1" t="s">
        <v>207</v>
      </c>
      <c r="L143" s="1" t="s">
        <v>149</v>
      </c>
      <c r="M143" s="1" t="n">
        <v>1944</v>
      </c>
      <c r="N143" s="1" t="n">
        <v>1950</v>
      </c>
      <c r="O143" s="1" t="n">
        <v>1965</v>
      </c>
      <c r="Q143" s="1" t="n">
        <v>1700</v>
      </c>
      <c r="S143" s="3" t="n">
        <v>18.5</v>
      </c>
      <c r="T143" s="3" t="n">
        <v>30</v>
      </c>
      <c r="U143" s="3" t="n">
        <v>2</v>
      </c>
      <c r="V143" s="3" t="n">
        <v>225</v>
      </c>
      <c r="W143" s="18" t="n">
        <f aca="false">((($AE143/2)/60)*5280)/($X143*3.2*PI())</f>
        <v>206.680377487392</v>
      </c>
      <c r="X143" s="3" t="n">
        <v>1.8</v>
      </c>
      <c r="Y143" s="3" t="n">
        <f aca="false">((($S143*$S143/4)*PI())*($T143/12)*$U143*$V143*$W143)/(33000*1.1)</f>
        <v>1721.78326231061</v>
      </c>
      <c r="Z143" s="1" t="n">
        <v>77</v>
      </c>
      <c r="AA143" s="2" t="n">
        <v>48</v>
      </c>
      <c r="AC143" s="1" t="n">
        <v>121</v>
      </c>
      <c r="AD143" s="4" t="n">
        <f aca="false">IF(AND(Z143&gt;0,AC143&gt;0),(AC143/((Z143+AA143)*10)),"")</f>
        <v>0.0968</v>
      </c>
      <c r="AE143" s="1" t="n">
        <v>85</v>
      </c>
      <c r="AF143" s="1" t="n">
        <f aca="false">ROUND(AE143*1.6, 0)</f>
        <v>136</v>
      </c>
      <c r="AI143" s="1" t="n">
        <v>19.2</v>
      </c>
      <c r="AJ143" s="1" t="n">
        <v>11.7</v>
      </c>
      <c r="AL143" s="1" t="n">
        <v>4.01</v>
      </c>
      <c r="AM143" s="5" t="n">
        <v>0</v>
      </c>
      <c r="AN143" s="1" t="str">
        <f aca="false">CONCATENATE(VLOOKUP(AO143, 'Voxel Sizes'!$A$2:$B$18,2,FALSE()),"x",INT(AK143*15), "x", INT(AL143*15))</f>
        <v>120x0x60</v>
      </c>
      <c r="AO143" s="1" t="n">
        <f aca="false">ROUND(15*((AJ143*10)/256),0)</f>
        <v>7</v>
      </c>
      <c r="AP143" s="1" t="s">
        <v>148</v>
      </c>
      <c r="AQ143" s="1" t="str">
        <f aca="false">CONCATENATE(VLOOKUP(AO143,Constants!$A$2:$C$16,IF(AP143&lt;&gt;"", 3, 2), FALSE()),IF(AP143&lt;&gt;"",CONCATENATE(",",VLOOKUP(AP143,$B:$AQ,42,FALSE())),""))</f>
        <v>2,3,2,2,1,2</v>
      </c>
      <c r="AX143" s="1" t="s">
        <v>448</v>
      </c>
      <c r="AY143" s="1" t="n">
        <v>1</v>
      </c>
      <c r="BA143" s="1" t="n">
        <v>31</v>
      </c>
      <c r="BB143" s="16" t="n">
        <f aca="false">IF(O143&lt;&gt;"",MAX(16,(O143-M143)+8),"")</f>
        <v>29</v>
      </c>
      <c r="BE143" s="1" t="n">
        <f aca="false">MIN(AE143/150, 1)*30</f>
        <v>17</v>
      </c>
      <c r="BF143" s="1" t="n">
        <f aca="false">MIN(Q143/4000, 1)*20</f>
        <v>8.5</v>
      </c>
      <c r="BG143" s="1" t="n">
        <f aca="false">MIN(AC143/400,1)*20</f>
        <v>6.05</v>
      </c>
      <c r="BH143" s="4" t="n">
        <f aca="false">1-(MAX(M143-1900, 0)/750)</f>
        <v>0.941333333333333</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71</v>
      </c>
      <c r="BM143" s="1" t="n">
        <f aca="false">INT(POWER((((Constants!$G$1+$BE143+$BF143+$BG143+$BI143)*($BH143))*$BJ143),IF($J143="wagon",1,1.2)))+$BC143</f>
        <v>110</v>
      </c>
      <c r="BN143" s="17" t="n">
        <f aca="false">BL143*IF($J143="wagon",62.5,781.25)</f>
        <v>55468.75</v>
      </c>
      <c r="BO143" s="17" t="n">
        <f aca="false">BM143*IF($J143="wagon",2.73,81.25)</f>
        <v>8937.5</v>
      </c>
      <c r="BY143" s="1" t="n">
        <v>12</v>
      </c>
      <c r="CD143" s="1" t="str">
        <f aca="false">VLOOKUP(M143,Eras!$A$2:$C$10, 2, TRUE())</f>
        <v>big4</v>
      </c>
      <c r="CE143" s="1" t="s">
        <v>129</v>
      </c>
      <c r="CF143" s="1" t="str">
        <f aca="false">CONCATENATE(CD143,"_",CE143)</f>
        <v>big4_Mixed Traffic</v>
      </c>
      <c r="CG143" s="1" t="str">
        <f aca="false">_xlfn.CONCAT(K143, "_",L143)</f>
        <v>steam_RAIL</v>
      </c>
      <c r="CH143" s="7" t="str">
        <f aca="false">_xlfn.CONCAT("{BLACK}Length: {GOLD}", TEXT(ROUNDUP(IF(AT143&lt;&gt;"",SUM(VALUE(_xlfn.TEXTSPLIT(AT143, ","))), SUM(VALUE(_xlfn.TEXTSPLIT(AQ143, ",")))*IF(P143, P143, 1))/16, 1), "#,##0.0"), " tiles{}")</f>
        <v>{BLACK}Length: {GOLD}0.8 tiles{}</v>
      </c>
      <c r="CI143" s="1" t="n">
        <f aca="false">VLOOKUP($CG143, Constants!$M:$N, 2, FALSE())</f>
        <v>0</v>
      </c>
      <c r="CJ143" s="1" t="str">
        <f aca="false">IF(P143&gt;1,_xlfn.CONCAT("{BLACK}Cars: {GOLD}", P143),"")</f>
        <v/>
      </c>
      <c r="CK143" s="1" t="s">
        <v>515</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tiles{}{SILVER}While externally identical to the original Hall class, the Modified Hall was completely new on the inside with many design innovations.</v>
      </c>
    </row>
    <row r="144" customFormat="false" ht="14.25" hidden="false" customHeight="false" outlineLevel="0" collapsed="false">
      <c r="A144" s="1" t="s">
        <v>516</v>
      </c>
      <c r="B144" s="15" t="s">
        <v>517</v>
      </c>
      <c r="C144" s="1" t="n">
        <v>167</v>
      </c>
      <c r="E144" s="1" t="n">
        <v>100</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198</v>
      </c>
      <c r="J144" s="1" t="s">
        <v>206</v>
      </c>
      <c r="K144" s="1" t="s">
        <v>207</v>
      </c>
      <c r="L144" s="1" t="s">
        <v>149</v>
      </c>
      <c r="M144" s="1" t="n">
        <v>1945</v>
      </c>
      <c r="N144" s="1" t="n">
        <v>1947</v>
      </c>
      <c r="O144" s="1" t="n">
        <v>1964</v>
      </c>
      <c r="Q144" s="1" t="n">
        <v>2200</v>
      </c>
      <c r="S144" s="3" t="n">
        <v>18.5</v>
      </c>
      <c r="T144" s="3" t="n">
        <v>30</v>
      </c>
      <c r="U144" s="3" t="n">
        <v>2</v>
      </c>
      <c r="V144" s="3" t="n">
        <v>280</v>
      </c>
      <c r="W144" s="18" t="n">
        <f aca="false">((($AE144/2)/60)*5280)/($X144*3.2*PI())</f>
        <v>230.355838685638</v>
      </c>
      <c r="X144" s="3" t="n">
        <v>1.9</v>
      </c>
      <c r="Y144" s="3" t="n">
        <f aca="false">((($S144*$S144/4)*PI())*($T144/12)*$U144*$V144*$W144)/(33000*1.1)</f>
        <v>2388.10805422648</v>
      </c>
      <c r="Z144" s="1" t="n">
        <v>78.1</v>
      </c>
      <c r="AA144" s="2" t="n">
        <v>49.8</v>
      </c>
      <c r="AC144" s="1" t="n">
        <v>145</v>
      </c>
      <c r="AD144" s="4" t="n">
        <f aca="false">IF(AND(Z144&gt;0,AC144&gt;0),(AC144/((Z144+AA144)*10)),"")</f>
        <v>0.113369820172009</v>
      </c>
      <c r="AE144" s="1" t="n">
        <v>100</v>
      </c>
      <c r="AF144" s="1" t="n">
        <f aca="false">ROUND(AE144*1.6, 0)</f>
        <v>160</v>
      </c>
      <c r="AI144" s="1" t="n">
        <v>19.21</v>
      </c>
      <c r="AJ144" s="1" t="n">
        <v>11.7</v>
      </c>
      <c r="AL144" s="1" t="n">
        <v>4.08</v>
      </c>
      <c r="AM144" s="5" t="n">
        <v>0</v>
      </c>
      <c r="AN144" s="1" t="str">
        <f aca="false">CONCATENATE(VLOOKUP(AO144, 'Voxel Sizes'!$A$2:$B$18,2,FALSE()),"x",INT(AK144*15), "x", INT(AL144*15))</f>
        <v>120x0x61</v>
      </c>
      <c r="AO144" s="1" t="n">
        <f aca="false">ROUND(15*((AJ144*10)/256),0)</f>
        <v>7</v>
      </c>
      <c r="AP144" s="1" t="s">
        <v>148</v>
      </c>
      <c r="AQ144" s="1" t="str">
        <f aca="false">CONCATENATE(VLOOKUP(AO144,Constants!$A$2:$C$16,IF(AP144&lt;&gt;"", 3, 2), FALSE()),IF(AP144&lt;&gt;"",CONCATENATE(",",VLOOKUP(AP144,$B:$AQ,42,FALSE())),""))</f>
        <v>2,3,2,2,1,2</v>
      </c>
      <c r="AY144" s="1" t="n">
        <v>1</v>
      </c>
      <c r="BA144" s="1" t="n">
        <v>30</v>
      </c>
      <c r="BB144" s="16" t="n">
        <f aca="false">IF(O144&lt;&gt;"",MAX(16,(O144-M144)+8),"")</f>
        <v>27</v>
      </c>
      <c r="BE144" s="1" t="n">
        <f aca="false">MIN(AE144/150, 1)*30</f>
        <v>20</v>
      </c>
      <c r="BF144" s="1" t="n">
        <f aca="false">MIN(Q144/4000, 1)*20</f>
        <v>11</v>
      </c>
      <c r="BG144" s="1" t="n">
        <f aca="false">MIN(AC144/400,1)*20</f>
        <v>7.25</v>
      </c>
      <c r="BH144" s="4" t="n">
        <f aca="false">1-(MAX(M144-1900, 0)/750)</f>
        <v>0.94</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85</v>
      </c>
      <c r="BM144" s="1" t="n">
        <f aca="false">INT(POWER((((Constants!$G$1+$BE144+$BF144+$BG144+$BI144)*($BH144))*$BJ144),IF($J144="wagon",1,1.2)))+$BC144</f>
        <v>129</v>
      </c>
      <c r="BN144" s="17" t="n">
        <f aca="false">BL144*IF($J144="wagon",62.5,781.25)</f>
        <v>66406.25</v>
      </c>
      <c r="BO144" s="17" t="n">
        <f aca="false">BM144*IF($J144="wagon",2.73,81.25)</f>
        <v>10481.25</v>
      </c>
      <c r="BY144" s="1" t="n">
        <v>1</v>
      </c>
      <c r="CD144" s="1" t="str">
        <f aca="false">VLOOKUP(M144,Eras!$A$2:$C$10, 2, TRUE())</f>
        <v>big4</v>
      </c>
      <c r="CE144" s="1" t="s">
        <v>241</v>
      </c>
      <c r="CF144" s="1" t="str">
        <f aca="false">CONCATENATE(CD144,"_",CE144)</f>
        <v>big4_Express</v>
      </c>
      <c r="CG144" s="1" t="str">
        <f aca="false">_xlfn.CONCAT(K144, "_",L144)</f>
        <v>steam_RAIL</v>
      </c>
      <c r="CH144" s="7" t="str">
        <f aca="false">_xlfn.CONCAT("{BLACK}Length: {GOLD}", TEXT(ROUNDUP(IF(AT144&lt;&gt;"",SUM(VALUE(_xlfn.TEXTSPLIT(AT144, ","))), SUM(VALUE(_xlfn.TEXTSPLIT(AQ144, ",")))*IF(P144, P144, 1))/16, 1), "#,##0.0"), " tiles{}")</f>
        <v>{BLACK}Length: {GOLD}0.8 tiles{}</v>
      </c>
      <c r="CI144" s="1" t="n">
        <f aca="false">VLOOKUP($CG144, Constants!$M:$N, 2, FALSE())</f>
        <v>0</v>
      </c>
      <c r="CJ144" s="1" t="str">
        <f aca="false">IF(P144&gt;1,_xlfn.CONCAT("{BLACK}Cars: {GOLD}", P144),"")</f>
        <v/>
      </c>
      <c r="CK144" s="1" t="s">
        <v>518</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tiles{}{SILVER}The County Class was  Frederick Hawksworth's test of design ideas for a new Pacific. Sadly there was not enough demand for express steam locomotives in the late 1940s.</v>
      </c>
    </row>
    <row r="145" customFormat="false" ht="14.25" hidden="false" customHeight="false" outlineLevel="0" collapsed="false">
      <c r="A145" s="1" t="s">
        <v>519</v>
      </c>
      <c r="B145" s="15" t="s">
        <v>520</v>
      </c>
      <c r="C145" s="1" t="n">
        <v>168</v>
      </c>
      <c r="E145" s="1" t="n">
        <v>101</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198</v>
      </c>
      <c r="J145" s="1" t="s">
        <v>206</v>
      </c>
      <c r="K145" s="1" t="s">
        <v>207</v>
      </c>
      <c r="L145" s="1" t="s">
        <v>149</v>
      </c>
      <c r="M145" s="1" t="n">
        <v>1945</v>
      </c>
      <c r="N145" s="1" t="n">
        <v>1951</v>
      </c>
      <c r="O145" s="1" t="n">
        <v>1967</v>
      </c>
      <c r="Q145" s="1" t="n">
        <v>1800</v>
      </c>
      <c r="S145" s="3" t="n">
        <v>16.375</v>
      </c>
      <c r="T145" s="3" t="n">
        <v>24</v>
      </c>
      <c r="U145" s="3" t="n">
        <v>3</v>
      </c>
      <c r="V145" s="3" t="n">
        <v>280</v>
      </c>
      <c r="W145" s="18" t="n">
        <f aca="false">((($AE145/2)/60)*5280)/($X145*3.2*PI())</f>
        <v>234.962955459351</v>
      </c>
      <c r="X145" s="3" t="n">
        <v>1.9</v>
      </c>
      <c r="Y145" s="3" t="n">
        <f aca="false">((($S145*$S145/4)*PI())*($T145/12)*$U145*$V145*$W145)/(33000*1.1)</f>
        <v>2290.10055322967</v>
      </c>
      <c r="Z145" s="1" t="n">
        <v>87.4</v>
      </c>
      <c r="AA145" s="2" t="n">
        <v>48</v>
      </c>
      <c r="AC145" s="1" t="n">
        <v>138</v>
      </c>
      <c r="AD145" s="4" t="n">
        <f aca="false">IF(AND(Z145&gt;0,AC145&gt;0),(AC145/((Z145+AA145)*10)),"")</f>
        <v>0.10192023633678</v>
      </c>
      <c r="AE145" s="1" t="n">
        <v>102</v>
      </c>
      <c r="AF145" s="1" t="n">
        <f aca="false">ROUND(AE145*1.6, 0)</f>
        <v>163</v>
      </c>
      <c r="AI145" s="1" t="n">
        <v>20.54</v>
      </c>
      <c r="AJ145" s="1" t="n">
        <v>13</v>
      </c>
      <c r="AM145" s="5" t="n">
        <v>0</v>
      </c>
      <c r="AN145" s="1" t="str">
        <f aca="false">CONCATENATE(VLOOKUP(AO145, 'Voxel Sizes'!$A$2:$B$18,2,FALSE()),"x",INT(AK145*15), "x", INT(AL145*15))</f>
        <v>136x0x0</v>
      </c>
      <c r="AO145" s="1" t="n">
        <f aca="false">ROUND(15*((AJ145*10)/256),0)</f>
        <v>8</v>
      </c>
      <c r="AP145" s="1" t="s">
        <v>189</v>
      </c>
      <c r="AQ145" s="1" t="str">
        <f aca="false">CONCATENATE(VLOOKUP(AO145,Constants!$A$2:$C$16,IF(AP145&lt;&gt;"", 3, 2), FALSE()),IF(AP145&lt;&gt;"",CONCATENATE(",",VLOOKUP(AP145,$B:$AQ,42,FALSE())),""))</f>
        <v>2,4,2,2,1,2</v>
      </c>
      <c r="AY145" s="1" t="n">
        <v>1</v>
      </c>
      <c r="BA145" s="1" t="n">
        <v>30</v>
      </c>
      <c r="BB145" s="16" t="n">
        <f aca="false">IF(O145&lt;&gt;"",MAX(16,(O145-M145)+8),"")</f>
        <v>30</v>
      </c>
      <c r="BE145" s="1" t="n">
        <f aca="false">MIN(AE145/150, 1)*30</f>
        <v>20.4</v>
      </c>
      <c r="BF145" s="1" t="n">
        <f aca="false">MIN(Q145/4000, 1)*20</f>
        <v>9</v>
      </c>
      <c r="BG145" s="1" t="n">
        <f aca="false">MIN(AC145/400,1)*20</f>
        <v>6.9</v>
      </c>
      <c r="BH145" s="4" t="n">
        <f aca="false">1-(MAX(M145-1900, 0)/750)</f>
        <v>0.94</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81</v>
      </c>
      <c r="BM145" s="1" t="n">
        <f aca="false">INT(POWER((((Constants!$G$1+$BE145+$BF145+$BG145+$BI145)*($BH145))*$BJ145),IF($J145="wagon",1,1.2)))+$BC145</f>
        <v>123</v>
      </c>
      <c r="BN145" s="17" t="n">
        <f aca="false">BL145*IF($J145="wagon",62.5,781.25)</f>
        <v>63281.25</v>
      </c>
      <c r="BO145" s="17" t="n">
        <f aca="false">BM145*IF($J145="wagon",2.73,81.25)</f>
        <v>9993.75</v>
      </c>
      <c r="BY145" s="1" t="n">
        <v>2</v>
      </c>
      <c r="CD145" s="1" t="str">
        <f aca="false">VLOOKUP(M145,Eras!$A$2:$C$10, 2, TRUE())</f>
        <v>big4</v>
      </c>
      <c r="CE145" s="1" t="s">
        <v>129</v>
      </c>
      <c r="CF145" s="1" t="str">
        <f aca="false">CONCATENATE(CD145,"_",CE145)</f>
        <v>big4_Mixed Traffic</v>
      </c>
      <c r="CG145" s="1" t="str">
        <f aca="false">_xlfn.CONCAT(K145, "_",L145)</f>
        <v>steam_RAIL</v>
      </c>
      <c r="CH145" s="7" t="str">
        <f aca="false">_xlfn.CONCAT("{BLACK}Length: {GOLD}", TEXT(ROUNDUP(IF(AT145&lt;&gt;"",SUM(VALUE(_xlfn.TEXTSPLIT(AT145, ","))), SUM(VALUE(_xlfn.TEXTSPLIT(AQ145, ",")))*IF(P145, P145, 1))/16, 1), "#,##0.0"), " tiles{}")</f>
        <v>{BLACK}Length: {GOLD}0.9 tiles{}</v>
      </c>
      <c r="CI145" s="1" t="n">
        <f aca="false">VLOOKUP($CG145, Constants!$M:$N, 2, FALSE())</f>
        <v>0</v>
      </c>
      <c r="CJ145" s="1" t="str">
        <f aca="false">IF(P145&gt;1,_xlfn.CONCAT("{BLACK}Cars: {GOLD}", P145),"")</f>
        <v/>
      </c>
      <c r="CK145" s="1" t="s">
        <v>521</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{GOLD}0.9 tiles{}{SILVER}Bulleid's "Light Pacific" is a smaller and lighter version of the Merchant Navy, capable of operating on more routes.</v>
      </c>
    </row>
    <row r="146" customFormat="false" ht="14.25" hidden="false" customHeight="false" outlineLevel="0" collapsed="false">
      <c r="A146" s="1" t="s">
        <v>522</v>
      </c>
      <c r="B146" s="15" t="s">
        <v>523</v>
      </c>
      <c r="C146" s="1" t="n">
        <v>169</v>
      </c>
      <c r="E146" s="1" t="n">
        <v>102</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198</v>
      </c>
      <c r="J146" s="1" t="s">
        <v>206</v>
      </c>
      <c r="K146" s="1" t="s">
        <v>207</v>
      </c>
      <c r="L146" s="1" t="s">
        <v>149</v>
      </c>
      <c r="M146" s="1" t="n">
        <v>1946</v>
      </c>
      <c r="N146" s="1" t="n">
        <v>1949</v>
      </c>
      <c r="O146" s="1" t="n">
        <v>1951</v>
      </c>
      <c r="Q146" s="1" t="n">
        <v>1800</v>
      </c>
      <c r="S146" s="3" t="n">
        <v>12.25</v>
      </c>
      <c r="T146" s="3" t="n">
        <v>15</v>
      </c>
      <c r="U146" s="3" t="n">
        <v>6</v>
      </c>
      <c r="V146" s="3" t="n">
        <v>280</v>
      </c>
      <c r="W146" s="18" t="n">
        <f aca="false">((($AE146/2)/60)*5280)/($X146*3.2*PI())</f>
        <v>262.605656101627</v>
      </c>
      <c r="X146" s="3" t="n">
        <v>1.5</v>
      </c>
      <c r="Y146" s="3" t="n">
        <f aca="false">((($S146*$S146/4)*PI())*($T146/12)*$U146*$V146*$W146)/(33000*1.1)</f>
        <v>1790.51846590909</v>
      </c>
      <c r="Z146" s="1" t="n">
        <v>152</v>
      </c>
      <c r="AC146" s="1" t="n">
        <v>117</v>
      </c>
      <c r="AD146" s="4" t="n">
        <f aca="false">IF(AND(Z146&gt;0,AC146&gt;0),(AC146/((Z146+AA146)*10)),"")</f>
        <v>0.0769736842105263</v>
      </c>
      <c r="AE146" s="1" t="n">
        <v>90</v>
      </c>
      <c r="AF146" s="1" t="n">
        <f aca="false">ROUND(AE146*1.6, 0)</f>
        <v>144</v>
      </c>
      <c r="AH146" s="1" t="n">
        <v>1</v>
      </c>
      <c r="AI146" s="1" t="n">
        <v>20.42</v>
      </c>
      <c r="AJ146" s="1" t="n">
        <v>20.42</v>
      </c>
      <c r="AM146" s="5" t="n">
        <v>0</v>
      </c>
      <c r="AN146" s="1" t="str">
        <f aca="false">CONCATENATE(VLOOKUP(AO146, 'Voxel Sizes'!$A$2:$B$18,2,FALSE()),"x",INT(AK146*15), "x", INT(AL146*15))</f>
        <v>198x0x0</v>
      </c>
      <c r="AO146" s="1" t="n">
        <f aca="false">ROUND(15*((AJ146*10)/256),0)</f>
        <v>12</v>
      </c>
      <c r="AQ146" s="1" t="str">
        <f aca="false">CONCATENATE(VLOOKUP(AO146,Constants!$A$2:$C$16,IF(AP146&lt;&gt;"", 3, 2), FALSE()),IF(AP146&lt;&gt;"",CONCATENATE(",",VLOOKUP(AP146,$B:$AQ,42,FALSE())),""))</f>
        <v>4,4,4</v>
      </c>
      <c r="BA146" s="1" t="n">
        <v>19</v>
      </c>
      <c r="BB146" s="16" t="n">
        <f aca="false">IF(O146&lt;&gt;"",MAX(16,(O146-M146)+8),"")</f>
        <v>16</v>
      </c>
      <c r="BE146" s="1" t="n">
        <f aca="false">MIN(AE146/150, 1)*30</f>
        <v>18</v>
      </c>
      <c r="BF146" s="1" t="n">
        <f aca="false">MIN(Q146/4000, 1)*20</f>
        <v>9</v>
      </c>
      <c r="BG146" s="1" t="n">
        <f aca="false">MIN(AC146/400,1)*20</f>
        <v>5.85</v>
      </c>
      <c r="BH146" s="4" t="n">
        <f aca="false">1-(MAX(M146-1900, 0)/750)</f>
        <v>0.938666666666667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74</v>
      </c>
      <c r="BM146" s="1" t="n">
        <f aca="false">INT(POWER((((Constants!$G$1+$BE146+$BF146+$BG146+$BI146)*($BH146))*$BJ146),IF($J146="wagon",1,1.2)))+$BC146</f>
        <v>113</v>
      </c>
      <c r="BN146" s="17" t="n">
        <f aca="false">BL146*IF($J146="wagon",62.5,781.25)</f>
        <v>57812.5</v>
      </c>
      <c r="BO146" s="17" t="n">
        <f aca="false">BM146*IF($J146="wagon",2.73,81.25)</f>
        <v>9181.25</v>
      </c>
      <c r="BY146" s="1" t="n">
        <v>3</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TEXT(ROUNDUP(IF(AT146&lt;&gt;"",SUM(VALUE(_xlfn.TEXTSPLIT(AT146, ","))), SUM(VALUE(_xlfn.TEXTSPLIT(AQ146, ",")))*IF(P146, P146, 1))/16, 1), "#,##0.0"), " tiles{}")</f>
        <v>{BLACK}Length: {GOLD}0.8 tiles{}</v>
      </c>
      <c r="CI146" s="1" t="n">
        <f aca="false">VLOOKUP($CG146, Constants!$M:$N, 2, FALSE())</f>
        <v>0</v>
      </c>
      <c r="CJ146" s="1" t="str">
        <f aca="false">IF(P146&gt;1,_xlfn.CONCAT("{BLACK}Cars: {GOLD}", P146),"")</f>
        <v/>
      </c>
      <c r="CK146" s="1" t="s">
        <v>524</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{GOLD}0.8 tiles{}{SILVER}The Leader was an attempt to make a steam locomotive as easy to operate as a diesel or electric. Complexity, poor reliability and uncomfortably hot cabs caused the project to be scrapped by 1951.</v>
      </c>
    </row>
    <row r="147" customFormat="false" ht="14.25" hidden="false" customHeight="false" outlineLevel="0" collapsed="false">
      <c r="A147" s="1" t="s">
        <v>525</v>
      </c>
      <c r="B147" s="15" t="s">
        <v>526</v>
      </c>
      <c r="C147" s="1" t="n">
        <v>170</v>
      </c>
      <c r="E147" s="1" t="n">
        <v>103</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198</v>
      </c>
      <c r="J147" s="1" t="s">
        <v>206</v>
      </c>
      <c r="K147" s="1" t="s">
        <v>207</v>
      </c>
      <c r="L147" s="1" t="s">
        <v>149</v>
      </c>
      <c r="M147" s="1" t="n">
        <v>1946</v>
      </c>
      <c r="N147" s="1" t="n">
        <v>1953</v>
      </c>
      <c r="O147" s="1" t="n">
        <v>1967</v>
      </c>
      <c r="Q147" s="1" t="n">
        <v>1000</v>
      </c>
      <c r="S147" s="3" t="n">
        <v>16</v>
      </c>
      <c r="T147" s="3" t="n">
        <v>24</v>
      </c>
      <c r="U147" s="3" t="n">
        <v>2</v>
      </c>
      <c r="V147" s="3" t="n">
        <v>200</v>
      </c>
      <c r="W147" s="18" t="n">
        <f aca="false">((($AE147/2)/60)*5280)/($X147*3.2*PI())</f>
        <v>233.427249868113</v>
      </c>
      <c r="X147" s="3" t="n">
        <v>1.5</v>
      </c>
      <c r="Y147" s="3" t="n">
        <f aca="false">((($S147*$S147/4)*PI())*($T147/12)*$U147*$V147*$W147)/(33000*1.1)</f>
        <v>1034.34343434343</v>
      </c>
      <c r="Z147" s="1" t="n">
        <v>47.9</v>
      </c>
      <c r="AA147" s="2" t="n">
        <v>37.7</v>
      </c>
      <c r="AC147" s="1" t="n">
        <v>77</v>
      </c>
      <c r="AD147" s="4" t="n">
        <f aca="false">IF(AND(Z147&gt;0,AC147&gt;0),(AC147/((Z147+AA147)*10)),"")</f>
        <v>0.0899532710280374</v>
      </c>
      <c r="AE147" s="1" t="n">
        <v>80</v>
      </c>
      <c r="AF147" s="1" t="n">
        <f aca="false">ROUND(AE147*1.6, 0)</f>
        <v>128</v>
      </c>
      <c r="AI147" s="1" t="n">
        <v>16.2</v>
      </c>
      <c r="AJ147" s="1" t="n">
        <f aca="false">AI147-6</f>
        <v>10.2</v>
      </c>
      <c r="AM147" s="5" t="n">
        <v>0</v>
      </c>
      <c r="AN147" s="1" t="str">
        <f aca="false">CONCATENATE(VLOOKUP(AO147, 'Voxel Sizes'!$A$2:$B$18,2,FALSE()),"x",INT(AK147*15), "x", INT(AL147*15))</f>
        <v>102x0x0</v>
      </c>
      <c r="AO147" s="1" t="n">
        <f aca="false">ROUND(15*((AJ147*10)/256),0)</f>
        <v>6</v>
      </c>
      <c r="AP147" s="1" t="s">
        <v>195</v>
      </c>
      <c r="AQ147" s="1" t="str">
        <f aca="false">CONCATENATE(VLOOKUP(AO147,Constants!$A$2:$C$16,IF(AP147&lt;&gt;"", 3, 2), FALSE()),IF(AP147&lt;&gt;"",CONCATENATE(",",VLOOKUP(AP147,$B:$AQ,42,FALSE())),""))</f>
        <v>2,2,2,1,2,1</v>
      </c>
      <c r="AY147" s="1" t="n">
        <v>1</v>
      </c>
      <c r="BA147" s="1" t="n">
        <v>30</v>
      </c>
      <c r="BB147" s="16" t="n">
        <f aca="false">IF(O147&lt;&gt;"",MAX(16,(O147-M147)+8),"")</f>
        <v>29</v>
      </c>
      <c r="BE147" s="1" t="n">
        <f aca="false">MIN(AE147/150, 1)*30</f>
        <v>16</v>
      </c>
      <c r="BF147" s="1" t="n">
        <f aca="false">MIN(Q147/4000, 1)*20</f>
        <v>5</v>
      </c>
      <c r="BG147" s="1" t="n">
        <f aca="false">MIN(AC147/400,1)*20</f>
        <v>3.85</v>
      </c>
      <c r="BH147" s="4" t="n">
        <f aca="false">1-(MAX(M147-1900, 0)/750)</f>
        <v>0.938666666666667</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57</v>
      </c>
      <c r="BM147" s="1" t="n">
        <f aca="false">INT(POWER((((Constants!$G$1+$BE147+$BF147+$BG147+$BI147)*($BH147))*$BJ147),IF($J147="wagon",1,1.2)))+$BC147</f>
        <v>91</v>
      </c>
      <c r="BN147" s="17" t="n">
        <f aca="false">BL147*IF($J147="wagon",62.5,781.25)</f>
        <v>44531.25</v>
      </c>
      <c r="BO147" s="17" t="n">
        <f aca="false">BM147*IF($J147="wagon",2.73,81.25)</f>
        <v>7393.75</v>
      </c>
      <c r="BY147" s="1" t="n">
        <v>4</v>
      </c>
      <c r="CD147" s="1" t="str">
        <f aca="false">VLOOKUP(M147,Eras!$A$2:$C$10, 2, TRUE())</f>
        <v>big4</v>
      </c>
      <c r="CE147" s="1" t="s">
        <v>316</v>
      </c>
      <c r="CF147" s="1" t="str">
        <f aca="false">CONCATENATE(CD147,"_",CE147)</f>
        <v>big4_Cheap</v>
      </c>
      <c r="CG147" s="1" t="str">
        <f aca="false">_xlfn.CONCAT(K147, "_",L147)</f>
        <v>steam_RAIL</v>
      </c>
      <c r="CH147" s="7" t="str">
        <f aca="false">_xlfn.CONCAT("{BLACK}Length: {GOLD}", TEXT(ROUNDUP(IF(AT147&lt;&gt;"",SUM(VALUE(_xlfn.TEXTSPLIT(AT147, ","))), SUM(VALUE(_xlfn.TEXTSPLIT(AQ147, ",")))*IF(P147, P147, 1))/16, 1), "#,##0.0"), " tiles{}")</f>
        <v>{BLACK}Length: {GOLD}0.7 tiles{}</v>
      </c>
      <c r="CI147" s="1" t="n">
        <f aca="false">VLOOKUP($CG147, Constants!$M:$N, 2, FALSE())</f>
        <v>0</v>
      </c>
      <c r="CJ147" s="1" t="str">
        <f aca="false">IF(P147&gt;1,_xlfn.CONCAT("{BLACK}Cars: {GOLD}", P147),"")</f>
        <v/>
      </c>
      <c r="CK147" s="1" t="s">
        <v>527</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{GOLD}0.7 tiles{}{SILVER}The Ivatt Class 2 is a light, low-powered Mogul designed to replace the LMS fleet of 0-6-0 engines.</v>
      </c>
    </row>
    <row r="148" customFormat="false" ht="14.25" hidden="false" customHeight="false" outlineLevel="0" collapsed="false">
      <c r="A148" s="1" t="s">
        <v>528</v>
      </c>
      <c r="B148" s="15" t="s">
        <v>529</v>
      </c>
      <c r="C148" s="1" t="n">
        <v>171</v>
      </c>
      <c r="E148" s="1" t="n">
        <v>104</v>
      </c>
      <c r="F148" s="1" t="s">
        <v>143</v>
      </c>
      <c r="G148" s="1" t="str">
        <f aca="false">IF($F148&lt;&gt;"",_xlfn.CONCAT(VLOOKUP($CE148, Constants!$T:$U, 2, FALSE()),",",$F148),VLOOKUP($CE148, Constants!$T:$U, 2, FALSE()))</f>
        <v>role/mixed,role/prototype</v>
      </c>
      <c r="H148" s="1" t="str">
        <f aca="false">IF($G148&lt;&gt;"",_xlfn.CONCAT(VLOOKUP($CG148, Constants!$M:$P, 4, FALSE()),",",$G148),VLOOKUP($CG148, Constants!$M:$P, 4, FALSE()))</f>
        <v>flag/GB,power/diesel,role/mixed,role/prototype</v>
      </c>
      <c r="I148" s="1" t="s">
        <v>198</v>
      </c>
      <c r="J148" s="1" t="s">
        <v>206</v>
      </c>
      <c r="K148" s="1" t="s">
        <v>482</v>
      </c>
      <c r="L148" s="1" t="s">
        <v>149</v>
      </c>
      <c r="M148" s="1" t="n">
        <v>1947</v>
      </c>
      <c r="N148" s="1" t="n">
        <v>1948</v>
      </c>
      <c r="O148" s="1" t="n">
        <v>1966</v>
      </c>
      <c r="Q148" s="1" t="n">
        <v>1600</v>
      </c>
      <c r="Z148" s="1" t="n">
        <v>129.7</v>
      </c>
      <c r="AC148" s="1" t="n">
        <v>184</v>
      </c>
      <c r="AD148" s="4" t="n">
        <f aca="false">IF(AND(Z148&gt;0,AC148&gt;0),(AC148/((Z148+AA148)*10)),"")</f>
        <v>0.141865844255975</v>
      </c>
      <c r="AE148" s="1" t="n">
        <v>93</v>
      </c>
      <c r="AF148" s="1" t="n">
        <f aca="false">ROUND(AE148*1.6, 0)</f>
        <v>149</v>
      </c>
      <c r="AI148" s="1" t="n">
        <v>18.64</v>
      </c>
      <c r="AJ148" s="1" t="n">
        <v>18.64</v>
      </c>
      <c r="AL148" s="1" t="n">
        <v>3.95</v>
      </c>
      <c r="AM148" s="5" t="n">
        <v>0</v>
      </c>
      <c r="AN148" s="1" t="str">
        <f aca="false">CONCATENATE(VLOOKUP(AO148, 'Voxel Sizes'!$A$2:$B$18,2,FALSE()),"x",INT(AK148*15), "x", INT(AL148*15))</f>
        <v>186x0x59</v>
      </c>
      <c r="AO148" s="1" t="n">
        <f aca="false">ROUND(15*((AJ148*10)/256),0)</f>
        <v>11</v>
      </c>
      <c r="AQ148" s="1" t="str">
        <f aca="false">CONCATENATE(VLOOKUP(AO148,Constants!$A$2:$C$16,IF(AP148&lt;&gt;"", 3, 2), FALSE()),IF(AP148&lt;&gt;"",CONCATENATE(",",VLOOKUP(AP148,$B:$AQ,42,FALSE())),""))</f>
        <v>4,3,4</v>
      </c>
      <c r="BA148" s="1" t="n">
        <v>26</v>
      </c>
      <c r="BB148" s="16" t="n">
        <f aca="false">IF(O148&lt;&gt;"",MAX(16,(O148-M148)+8),"")</f>
        <v>27</v>
      </c>
      <c r="BE148" s="1" t="n">
        <f aca="false">MIN(AE148/150, 1)*30</f>
        <v>18.6</v>
      </c>
      <c r="BF148" s="1" t="n">
        <f aca="false">MIN(Q148/4000, 1)*20</f>
        <v>8</v>
      </c>
      <c r="BG148" s="1" t="n">
        <f aca="false">MIN(AC148/400,1)*20</f>
        <v>9.2</v>
      </c>
      <c r="BH148" s="4" t="n">
        <f aca="false">1-(MAX(M148-1900, 0)/750)</f>
        <v>0.937333333333333</v>
      </c>
      <c r="BI148" s="1" t="n">
        <f aca="false">((MAX($P148,1)*MIN($AM148/300,1)))*IF(J148="Wagon",50,10)</f>
        <v>0</v>
      </c>
      <c r="BJ148" s="1" t="n">
        <f aca="false">VLOOKUP($K148,Constants!$I:$K, 2, FALSE())</f>
        <v>1</v>
      </c>
      <c r="BK148" s="1" t="n">
        <f aca="false">VLOOKUP($K148,Constants!$I:$K, 3, FALSE())*IF(AND(J148="multiple_unit",AE148&lt;110),0.75,1)</f>
        <v>2</v>
      </c>
      <c r="BL148" s="1" t="n">
        <f aca="false">INT(POWER(((Constants!$G$2+$BE148+$BF148+$BG148+$BI148)*$BH148)*$BK148, 1.05))+$BD148</f>
        <v>95</v>
      </c>
      <c r="BM148" s="1" t="n">
        <f aca="false">INT(POWER((((Constants!$G$1+$BE148+$BF148+$BG148+$BI148)*($BH148))*$BJ148),IF($J148="wagon",1,1.2)))+$BC148</f>
        <v>103</v>
      </c>
      <c r="BN148" s="17" t="n">
        <f aca="false">BL148*IF($J148="wagon",62.5,781.25)</f>
        <v>74218.75</v>
      </c>
      <c r="BO148" s="17" t="n">
        <f aca="false">BM148*IF($J148="wagon",2.73,81.25)</f>
        <v>8368.75</v>
      </c>
      <c r="BY148" s="1" t="n">
        <v>5</v>
      </c>
      <c r="CD148" s="1" t="str">
        <f aca="false">VLOOKUP(M148,Eras!$A$2:$C$10, 2, TRUE())</f>
        <v>big4</v>
      </c>
      <c r="CE148" s="1" t="s">
        <v>129</v>
      </c>
      <c r="CF148" s="1" t="str">
        <f aca="false">CONCATENATE(CD148,"_",CE148)</f>
        <v>big4_Mixed Traffic</v>
      </c>
      <c r="CG148" s="1" t="str">
        <f aca="false">_xlfn.CONCAT(K148, "_",L148)</f>
        <v>diesel_RAIL</v>
      </c>
      <c r="CH148" s="7" t="str">
        <f aca="false">_xlfn.CONCAT("{BLACK}Length: {GOLD}", TEXT(ROUNDUP(IF(AT148&lt;&gt;"",SUM(VALUE(_xlfn.TEXTSPLIT(AT148, ","))), SUM(VALUE(_xlfn.TEXTSPLIT(AQ148, ",")))*IF(P148, P148, 1))/16, 1), "#,##0.0"), " tiles{}")</f>
        <v>{BLACK}Length: {GOLD}0.7 tiles{}</v>
      </c>
      <c r="CI148" s="1" t="n">
        <f aca="false">VLOOKUP($CG148, Constants!$M:$N, 2, FALSE())</f>
        <v>0</v>
      </c>
      <c r="CJ148" s="1" t="str">
        <f aca="false">IF(P148&gt;1,_xlfn.CONCAT("{BLACK}Cars: {GOLD}", P148),"")</f>
        <v/>
      </c>
      <c r="CK148" s="1" t="s">
        <v>530</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{GOLD}0.7 tiles{}{SILVER}The EE 10000 is the first mainline diesel locomotive built in the UK. Two were built for the LMS.</v>
      </c>
    </row>
    <row r="149" customFormat="false" ht="14.25" hidden="false" customHeight="false" outlineLevel="0" collapsed="false">
      <c r="A149" s="1" t="s">
        <v>531</v>
      </c>
      <c r="B149" s="15" t="s">
        <v>532</v>
      </c>
      <c r="C149" s="1" t="n">
        <v>172</v>
      </c>
      <c r="E149" s="1" t="n">
        <v>105</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198</v>
      </c>
      <c r="J149" s="1" t="s">
        <v>206</v>
      </c>
      <c r="K149" s="1" t="s">
        <v>207</v>
      </c>
      <c r="L149" s="1" t="s">
        <v>149</v>
      </c>
      <c r="M149" s="1" t="n">
        <v>1948</v>
      </c>
      <c r="N149" s="1" t="n">
        <v>1949</v>
      </c>
      <c r="O149" s="1" t="n">
        <v>1966</v>
      </c>
      <c r="Q149" s="1" t="n">
        <v>2700</v>
      </c>
      <c r="S149" s="3" t="n">
        <v>19</v>
      </c>
      <c r="T149" s="3" t="n">
        <v>26</v>
      </c>
      <c r="U149" s="3" t="n">
        <v>3</v>
      </c>
      <c r="V149" s="3" t="n">
        <v>250</v>
      </c>
      <c r="W149" s="18" t="n">
        <f aca="false">((($AE149/2)/60)*5280)/($X149*3.2*PI())</f>
        <v>215.603986947149</v>
      </c>
      <c r="X149" s="3" t="n">
        <v>2.03</v>
      </c>
      <c r="Y149" s="3" t="n">
        <f aca="false">((($S149*$S149/4)*PI())*($T149/12)*$U149*$V149*$W149)/(33000*1.1)</f>
        <v>2736.53250485147</v>
      </c>
      <c r="Z149" s="1" t="n">
        <v>106.9</v>
      </c>
      <c r="AA149" s="2" t="n">
        <v>61.9</v>
      </c>
      <c r="AC149" s="1" t="n">
        <v>166</v>
      </c>
      <c r="AD149" s="4" t="n">
        <f aca="false">IF(AND(Z149&gt;0,AC149&gt;0),(AC149/((Z149+AA149)*10)),"")</f>
        <v>0.0983412322274882</v>
      </c>
      <c r="AE149" s="1" t="n">
        <v>100</v>
      </c>
      <c r="AF149" s="1" t="n">
        <f aca="false">ROUND(AE149*1.6, 0)</f>
        <v>160</v>
      </c>
      <c r="AI149" s="1" t="n">
        <v>22.24</v>
      </c>
      <c r="AJ149" s="1" t="n">
        <f aca="false">AI149-7.5</f>
        <v>14.74</v>
      </c>
      <c r="AL149" s="1" t="n">
        <v>3.99</v>
      </c>
      <c r="AM149" s="5" t="n">
        <v>0</v>
      </c>
      <c r="AN149" s="1" t="str">
        <f aca="false">CONCATENATE(VLOOKUP(AO149, 'Voxel Sizes'!$A$2:$B$18,2,FALSE()),"x",INT(AK149*15), "x", INT(AL149*15))</f>
        <v>152x0x59</v>
      </c>
      <c r="AO149" s="1" t="n">
        <f aca="false">ROUND(15*((AJ149*10)/256),0)</f>
        <v>9</v>
      </c>
      <c r="AP149" s="1" t="s">
        <v>185</v>
      </c>
      <c r="AQ149" s="1" t="str">
        <f aca="false">CONCATENATE(VLOOKUP(AO149,Constants!$A$2:$C$16,IF(AP149&lt;&gt;"", 3, 2), FALSE()),IF(AP149&lt;&gt;"",CONCATENATE(",",VLOOKUP(AP149,$B:$AQ,42,FALSE())),""))</f>
        <v>2,5,2,2,1,2</v>
      </c>
      <c r="AY149" s="1" t="n">
        <v>1</v>
      </c>
      <c r="BA149" s="1" t="n">
        <v>32</v>
      </c>
      <c r="BB149" s="16" t="n">
        <f aca="false">IF(O149&lt;&gt;"",MAX(16,(O149-M149)+8),"")</f>
        <v>26</v>
      </c>
      <c r="BE149" s="1" t="n">
        <f aca="false">MIN(AE149/150, 1)*30</f>
        <v>20</v>
      </c>
      <c r="BF149" s="1" t="n">
        <f aca="false">MIN(Q149/4000, 1)*20</f>
        <v>13.5</v>
      </c>
      <c r="BG149" s="1" t="n">
        <f aca="false">MIN(AC149/400,1)*20</f>
        <v>8.3</v>
      </c>
      <c r="BH149" s="4" t="n">
        <f aca="false">1-(MAX(M149-1900, 0)/750)</f>
        <v>0.936</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92</v>
      </c>
      <c r="BM149" s="1" t="n">
        <f aca="false">INT(POWER((((Constants!$G$1+$BE149+$BF149+$BG149+$BI149)*($BH149))*$BJ149),IF($J149="wagon",1,1.2)))+$BC149</f>
        <v>139</v>
      </c>
      <c r="BN149" s="17" t="n">
        <f aca="false">BL149*IF($J149="wagon",62.5,781.25)</f>
        <v>71875</v>
      </c>
      <c r="BO149" s="17" t="n">
        <f aca="false">BM149*IF($J149="wagon",2.73,81.25)</f>
        <v>11293.75</v>
      </c>
      <c r="BY149" s="1" t="n">
        <v>6</v>
      </c>
      <c r="CD149" s="1" t="str">
        <f aca="false">VLOOKUP(M149,Eras!$A$2:$C$10, 2, TRUE())</f>
        <v>ebr</v>
      </c>
      <c r="CE149" s="1" t="s">
        <v>241</v>
      </c>
      <c r="CF149" s="1" t="str">
        <f aca="false">CONCATENATE(CD149,"_",CE149)</f>
        <v>ebr_Express</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533</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tiles{}{SILVER}The Peppercorn A1 is designed for hauling heavy passenger trains of 12 or more carriages. A continuation of the series, 'Tornado', was built in 2008.</v>
      </c>
    </row>
    <row r="150" customFormat="false" ht="14.25" hidden="false" customHeight="false" outlineLevel="0" collapsed="false">
      <c r="A150" s="1" t="s">
        <v>534</v>
      </c>
      <c r="B150" s="19" t="s">
        <v>535</v>
      </c>
      <c r="C150" s="1" t="n">
        <v>1042</v>
      </c>
      <c r="E150" s="1" t="n">
        <v>106</v>
      </c>
      <c r="F150" s="1" t="s">
        <v>143</v>
      </c>
      <c r="G150" s="1" t="str">
        <f aca="false">IF($F150&lt;&gt;"",_xlfn.CONCAT(VLOOKUP($CE150, Constants!$T:$U, 2, FALSE()),",",$F150),VLOOKUP($CE150, Constants!$T:$U, 2, FALSE()))</f>
        <v>role/freight,role/prototype</v>
      </c>
      <c r="H150" s="1" t="str">
        <f aca="false">IF($G150&lt;&gt;"",_xlfn.CONCAT(VLOOKUP($CG150, Constants!$M:$P, 4, FALSE()),",",$G150),VLOOKUP($CG150, Constants!$M:$P, 4, FALSE()))</f>
        <v>flag/GB,power/turbine,role/freight,role/prototype</v>
      </c>
      <c r="I150" s="1" t="s">
        <v>198</v>
      </c>
      <c r="J150" s="1" t="s">
        <v>206</v>
      </c>
      <c r="K150" s="1" t="s">
        <v>536</v>
      </c>
      <c r="L150" s="1" t="s">
        <v>149</v>
      </c>
      <c r="M150" s="1" t="n">
        <v>1949</v>
      </c>
      <c r="O150" s="1" t="n">
        <v>1964</v>
      </c>
      <c r="Q150" s="1" t="n">
        <v>2500</v>
      </c>
      <c r="Z150" s="1" t="n">
        <v>117</v>
      </c>
      <c r="AC150" s="1" t="n">
        <v>140</v>
      </c>
      <c r="AD150" s="4" t="n">
        <f aca="false">IF(AND(Z150&gt;0,AC150&gt;0),(AC150/((Z150+AA150)*10)),"")</f>
        <v>0.11965811965812</v>
      </c>
      <c r="AE150" s="1" t="n">
        <v>90</v>
      </c>
      <c r="AF150" s="1" t="n">
        <f aca="false">ROUND(AE150*1.6, 0)</f>
        <v>144</v>
      </c>
      <c r="AJ150" s="1" t="n">
        <v>18</v>
      </c>
      <c r="AN150" s="16" t="s">
        <v>537</v>
      </c>
      <c r="AO150" s="16" t="n">
        <f aca="false">ROUND(15*((AJ150*10)/256),0)</f>
        <v>11</v>
      </c>
      <c r="AQ150" s="1" t="str">
        <f aca="false">CONCATENATE(VLOOKUP(AO150,Constants!$A$2:$C$16,IF(AP150&lt;&gt;"", 3, 2), FALSE()),IF(AP150&lt;&gt;"",CONCATENATE(",",VLOOKUP(AP150,$B:$AQ,42,FALSE())),""))</f>
        <v>4,3,4</v>
      </c>
      <c r="BA150" s="1" t="n">
        <v>22</v>
      </c>
      <c r="BB150" s="16" t="n">
        <f aca="false">IF(O150&lt;&gt;"",MAX(16,(O150-M150)+8),"")</f>
        <v>23</v>
      </c>
      <c r="BC150" s="1" t="n">
        <v>9</v>
      </c>
      <c r="BD150" s="1" t="n">
        <v>2</v>
      </c>
      <c r="BE150" s="20" t="n">
        <f aca="false">MIN(AE150/150, 1)*30</f>
        <v>18</v>
      </c>
      <c r="BF150" s="20" t="n">
        <f aca="false">MIN(Q150/4000, 1)*20</f>
        <v>12.5</v>
      </c>
      <c r="BG150" s="20" t="n">
        <f aca="false">MIN(AC150/400,1)*20</f>
        <v>7</v>
      </c>
      <c r="BH150" s="21" t="n">
        <f aca="false">1-(MAX(M150-1900, 0)/750)</f>
        <v>0.934666666666667</v>
      </c>
      <c r="BI150" s="20" t="n">
        <f aca="false">((MAX($P150,1)*MIN($AM150/300,1)))*IF(J150="Wagon",50,10)</f>
        <v>0</v>
      </c>
      <c r="BJ150" s="1" t="n">
        <f aca="false">VLOOKUP($K150,Constants!$I:$K, 2, FALSE())</f>
        <v>1</v>
      </c>
      <c r="BK150" s="1" t="n">
        <f aca="false">VLOOKUP($K150,Constants!$I:$K, 3, FALSE())*IF(AND(J150="multiple_unit",AE150&lt;110),0.75,1)</f>
        <v>2</v>
      </c>
      <c r="BL150" s="20" t="n">
        <v>100</v>
      </c>
      <c r="BM150" s="20" t="n">
        <v>115</v>
      </c>
      <c r="BN150" s="22" t="n">
        <f aca="false">BL150*IF($J150="wagon",62.5,781.25)</f>
        <v>78125</v>
      </c>
      <c r="BO150" s="22" t="n">
        <f aca="false">BM150*IF($J150="wagon",2.73,81.25)</f>
        <v>9343.75</v>
      </c>
      <c r="BY150" s="1" t="n">
        <v>6</v>
      </c>
      <c r="CD150" s="23" t="s">
        <v>538</v>
      </c>
      <c r="CE150" s="1" t="s">
        <v>132</v>
      </c>
      <c r="CF150" s="23" t="str">
        <f aca="false">CONCATENATE(CD150,"_",CE150)</f>
        <v>ebr_Freight</v>
      </c>
      <c r="CG150" s="23" t="str">
        <f aca="false">_xlfn.CONCAT(K150, "_",L150)</f>
        <v>gas_turbine_RAIL</v>
      </c>
      <c r="CH150" s="7" t="str">
        <f aca="false">_xlfn.CONCAT("{BLACK}Length: {GOLD}", TEXT(ROUNDUP(IF(AT150&lt;&gt;"",SUM(VALUE(_xlfn.TEXTSPLIT(AT150, ","))), SUM(VALUE(_xlfn.TEXTSPLIT(AQ150, ",")))*IF(P150, P150, 1))/16, 1), "#,##0.0"), " tiles{}")</f>
        <v>{BLACK}Length: {GOLD}0.7 tiles{}</v>
      </c>
      <c r="CI150" s="1" t="n">
        <f aca="false">VLOOKUP($CG150, Constants!$M:$N, 2, FALSE())</f>
        <v>0</v>
      </c>
      <c r="CJ150" s="1" t="str">
        <f aca="false">IF(P150&gt;1,_xlfn.CONCAT("{BLACK}Cars: {GOLD}", P150),"")</f>
        <v/>
      </c>
      <c r="CK150" s="1" t="s">
        <v>539</v>
      </c>
      <c r="CL150" s="1" t="str">
        <f aca="false">IF($BX150="!param_no_gameplay_units","{GREEN}Included for gameplay purposes","")</f>
        <v/>
      </c>
      <c r="CM150" s="1" t="str">
        <f aca="false">IF(CA150="buffet","{YELLOW}25% long distance bonus for consist{}",IF(CB150="DANDY","{YELLOW}Faster downhill speeds for horse-drawn trains (1 required per 2 horses){}",IF(CB150="BRAKE","{YELLOW}Speed bonus for slow wagons{}",IF(CB150="NGPassengers","{YELLOW}Preserved railway bonus: passengers pay more when hauled by old locomotives{}",IF(AND(BZ150&gt;190,NOT(AND(L150="NARROW_GAUGE",CB150&lt;&gt;"PASS"))),CONCATENATE("{YELLOW}",INT((BZ150-185)/1.85),"%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{GOLD}0.7 tiles{}{SILVER}Originally ordered by the GWR, the 18000 used a gas turbine to match the power output of the King Class. This resulted in it being unreliable and expensive to run.</v>
      </c>
    </row>
    <row r="151" customFormat="false" ht="14.25" hidden="false" customHeight="false" outlineLevel="0" collapsed="false">
      <c r="A151" s="1" t="s">
        <v>540</v>
      </c>
      <c r="B151" s="28" t="s">
        <v>541</v>
      </c>
      <c r="C151" s="1" t="n">
        <v>4171</v>
      </c>
      <c r="E151" s="1" t="n">
        <v>107</v>
      </c>
      <c r="F151" s="1" t="s">
        <v>143</v>
      </c>
      <c r="G151" s="1" t="str">
        <f aca="false">IF($F151&lt;&gt;"",_xlfn.CONCAT(VLOOKUP($CE151, Constants!$T:$U, 2, FALSE()),",",$F151),VLOOKUP($CE151, Constants!$T:$U, 2, FALSE()))</f>
        <v>role/mixed,role/prototype</v>
      </c>
      <c r="H151" s="1" t="str">
        <f aca="false">IF($G151&lt;&gt;"",_xlfn.CONCAT(VLOOKUP($CG151, Constants!$M:$P, 4, FALSE()),",",$G151),VLOOKUP($CG151, Constants!$M:$P, 4, FALSE()))</f>
        <v>flag/GB,power/diesel,role/mixed,role/prototype</v>
      </c>
      <c r="I151" s="1" t="s">
        <v>198</v>
      </c>
      <c r="J151" s="1" t="s">
        <v>206</v>
      </c>
      <c r="K151" s="1" t="s">
        <v>482</v>
      </c>
      <c r="L151" s="1" t="s">
        <v>149</v>
      </c>
      <c r="M151" s="1" t="n">
        <v>1950</v>
      </c>
      <c r="N151" s="1" t="n">
        <v>1955</v>
      </c>
      <c r="O151" s="1" t="n">
        <v>1968</v>
      </c>
      <c r="Q151" s="1" t="n">
        <v>1750</v>
      </c>
      <c r="Z151" s="1" t="n">
        <v>135</v>
      </c>
      <c r="AC151" s="1" t="n">
        <v>213</v>
      </c>
      <c r="AD151" s="4" t="n">
        <f aca="false">IF(AND(Z151&gt;0,AC151&gt;0),(AC151/((Z151+AA151)*10)),"")</f>
        <v>0.157777777777778</v>
      </c>
      <c r="AE151" s="1" t="n">
        <v>110</v>
      </c>
      <c r="AF151" s="1" t="n">
        <f aca="false">ROUND(AE151*1.6, 0)</f>
        <v>176</v>
      </c>
      <c r="AI151" s="1" t="n">
        <v>18.64</v>
      </c>
      <c r="AJ151" s="1" t="n">
        <v>18.64</v>
      </c>
      <c r="AL151" s="1" t="n">
        <v>3.95</v>
      </c>
      <c r="AM151" s="5" t="n">
        <v>0</v>
      </c>
      <c r="AN151" s="1" t="str">
        <f aca="false">CONCATENATE(VLOOKUP(AO151, 'Voxel Sizes'!$A$2:$B$18,2,FALSE()),"x",INT(AK151*15), "x", INT(AL151*15))</f>
        <v>186x0x59</v>
      </c>
      <c r="AO151" s="1" t="n">
        <f aca="false">ROUND(15*((AJ151*10)/256),0)</f>
        <v>11</v>
      </c>
      <c r="AQ151" s="1" t="str">
        <f aca="false">CONCATENATE(VLOOKUP(AO151,Constants!$A$2:$C$16,IF(AP151&lt;&gt;"", 3, 2), FALSE()),IF(AP151&lt;&gt;"",CONCATENATE(",",VLOOKUP(AP151,$B:$AQ,42,FALSE())),""))</f>
        <v>4,3,4</v>
      </c>
      <c r="BA151" s="1" t="n">
        <v>26</v>
      </c>
      <c r="BB151" s="16" t="n">
        <f aca="false">IF(O151&lt;&gt;"",MAX(16,(O151-M151)+8),"")</f>
        <v>26</v>
      </c>
      <c r="BE151" s="1" t="n">
        <f aca="false">MIN(AE151/150, 1)*30</f>
        <v>22</v>
      </c>
      <c r="BF151" s="1" t="n">
        <f aca="false">MIN(Q151/4000, 1)*20</f>
        <v>8.75</v>
      </c>
      <c r="BG151" s="1" t="n">
        <f aca="false">MIN(AC151/400,1)*20</f>
        <v>10.65</v>
      </c>
      <c r="BH151" s="4" t="n">
        <f aca="false">1-(MAX(M151-1900, 0)/750)</f>
        <v>0.933333333333333</v>
      </c>
      <c r="BI151" s="1" t="n">
        <f aca="false">((MAX($P151,1)*MIN($AM151/300,1)))*IF(J151="Wagon",50,10)</f>
        <v>0</v>
      </c>
      <c r="BJ151" s="1" t="n">
        <f aca="false">VLOOKUP($K151,Constants!$I:$K, 2, FALSE())</f>
        <v>1</v>
      </c>
      <c r="BK151" s="1" t="n">
        <f aca="false">VLOOKUP($K151,Constants!$I:$K, 3, FALSE())*IF(AND(J151="multiple_unit",AE151&lt;110),0.75,1)</f>
        <v>2</v>
      </c>
      <c r="BL151" s="1" t="n">
        <f aca="false">INT(POWER(((Constants!$G$2+$BE151+$BF151+$BG151+$BI151)*$BH151)*$BK151, 1.05))+$BD151</f>
        <v>108</v>
      </c>
      <c r="BM151" s="1" t="n">
        <f aca="false">INT(POWER((((Constants!$G$1+$BE151+$BF151+$BG151+$BI151)*($BH151))*$BJ151),IF($J151="wagon",1,1.2)))+$BC151</f>
        <v>116</v>
      </c>
      <c r="BN151" s="17" t="n">
        <f aca="false">BL151*IF($J151="wagon",62.5,781.25)</f>
        <v>84375</v>
      </c>
      <c r="BO151" s="17" t="n">
        <f aca="false">BM151*IF($J151="wagon",2.73,81.25)</f>
        <v>9425</v>
      </c>
      <c r="BY151" s="1" t="n">
        <v>5</v>
      </c>
      <c r="CD151" s="1" t="str">
        <f aca="false">VLOOKUP(M151,Eras!$A$2:$C$10, 2, TRUE())</f>
        <v>ebr</v>
      </c>
      <c r="CE151" s="1" t="s">
        <v>129</v>
      </c>
      <c r="CF151" s="1" t="str">
        <f aca="false">CONCATENATE(CD151,"_",CE151)</f>
        <v>ebr_Mixed Traffic</v>
      </c>
      <c r="CG151" s="1" t="str">
        <f aca="false">_xlfn.CONCAT(K151, "_",L151)</f>
        <v>diesel_RAIL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530</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tiles{}{SILVER}The EE 10000 is the first mainline diesel locomotive built in the UK. Two were built for the LMS.</v>
      </c>
    </row>
    <row r="152" customFormat="false" ht="14.25" hidden="false" customHeight="false" outlineLevel="0" collapsed="false">
      <c r="A152" s="1" t="s">
        <v>542</v>
      </c>
      <c r="B152" s="15" t="s">
        <v>543</v>
      </c>
      <c r="C152" s="1" t="n">
        <v>173</v>
      </c>
      <c r="E152" s="1" t="n">
        <v>108</v>
      </c>
      <c r="G152" s="1" t="str">
        <f aca="false">IF($F152&lt;&gt;"",_xlfn.CONCAT(VLOOKUP($CE152, Constants!$T:$U, 2, FALSE()),",",$F152),VLOOKUP($CE152, Constants!$T:$U, 2, FALSE()))</f>
        <v>role/freight</v>
      </c>
      <c r="H152" s="1" t="str">
        <f aca="false">IF($G152&lt;&gt;"",_xlfn.CONCAT(VLOOKUP($CG152, Constants!$M:$P, 4, FALSE()),",",$G152),VLOOKUP($CG152, Constants!$M:$P, 4, FALSE()))</f>
        <v>flag/GB,power/electric,role/freight</v>
      </c>
      <c r="I152" s="1" t="s">
        <v>198</v>
      </c>
      <c r="J152" s="1" t="s">
        <v>206</v>
      </c>
      <c r="K152" s="1" t="s">
        <v>349</v>
      </c>
      <c r="L152" s="1" t="s">
        <v>350</v>
      </c>
      <c r="M152" s="1" t="n">
        <v>1950</v>
      </c>
      <c r="N152" s="1" t="n">
        <v>1953</v>
      </c>
      <c r="O152" s="1" t="n">
        <v>1981</v>
      </c>
      <c r="Q152" s="1" t="n">
        <v>1300</v>
      </c>
      <c r="Z152" s="1" t="n">
        <v>89.3</v>
      </c>
      <c r="AC152" s="1" t="n">
        <v>200</v>
      </c>
      <c r="AD152" s="4" t="n">
        <f aca="false">IF(AND(Z152&gt;0,AC152&gt;0),(AC152/((Z152+AA152)*10)),"")</f>
        <v>0.223964165733483</v>
      </c>
      <c r="AE152" s="1" t="n">
        <v>65</v>
      </c>
      <c r="AF152" s="1" t="n">
        <f aca="false">ROUND(AE152*1.6, 0)</f>
        <v>104</v>
      </c>
      <c r="AI152" s="1" t="n">
        <v>15.34</v>
      </c>
      <c r="AJ152" s="1" t="n">
        <v>15.34</v>
      </c>
      <c r="AM152" s="5" t="n">
        <v>0</v>
      </c>
      <c r="AN152" s="1" t="str">
        <f aca="false">CONCATENATE(VLOOKUP(AO152, 'Voxel Sizes'!$A$2:$B$18,2,FALSE()),"x",INT(AK152*15), "x", INT(AL152*15))</f>
        <v>152x0x0</v>
      </c>
      <c r="AO152" s="1" t="n">
        <f aca="false">ROUND(15*((AJ152*10)/256),0)</f>
        <v>9</v>
      </c>
      <c r="AQ152" s="1" t="str">
        <f aca="false">CONCATENATE(VLOOKUP(AO152,Constants!$A$2:$C$16,IF(AP152&lt;&gt;"", 3, 2), FALSE()),IF(AP152&lt;&gt;"",CONCATENATE(",",VLOOKUP(AP152,$B:$AQ,42,FALSE())),""))</f>
        <v>2,5,2</v>
      </c>
      <c r="BA152" s="1" t="n">
        <v>30</v>
      </c>
      <c r="BB152" s="16" t="n">
        <f aca="false">IF(O152&lt;&gt;"",MAX(16,(O152-M152)+8),"")</f>
        <v>39</v>
      </c>
      <c r="BE152" s="1" t="n">
        <f aca="false">MIN(AE152/150, 1)*30</f>
        <v>13</v>
      </c>
      <c r="BF152" s="1" t="n">
        <f aca="false">MIN(Q152/4000, 1)*20</f>
        <v>6.5</v>
      </c>
      <c r="BG152" s="1" t="n">
        <f aca="false">MIN(AC152/400,1)*20</f>
        <v>10</v>
      </c>
      <c r="BH152" s="4" t="n">
        <f aca="false">1-(MAX(M152-1900, 0)/750)</f>
        <v>0.933333333333333</v>
      </c>
      <c r="BI152" s="1" t="n">
        <f aca="false">((MAX($P152,1)*MIN($AM152/300,1)))*IF(J152="Wagon",50,10)</f>
        <v>0</v>
      </c>
      <c r="BJ152" s="1" t="n">
        <f aca="false">VLOOKUP($K152,Constants!$I:$K, 2, FALSE())</f>
        <v>0.85</v>
      </c>
      <c r="BK152" s="1" t="n">
        <f aca="false">VLOOKUP($K152,Constants!$I:$K, 3, FALSE())*IF(AND(J152="multiple_unit",AE152&lt;110),0.75,1)</f>
        <v>2.3</v>
      </c>
      <c r="BL152" s="1" t="n">
        <f aca="false">INT(POWER(((Constants!$G$2+$BE152+$BF152+$BG152+$BI152)*$BH152)*$BK152, 1.05))+$BD152</f>
        <v>91</v>
      </c>
      <c r="BM152" s="1" t="n">
        <f aca="false">INT(POWER((((Constants!$G$1+$BE152+$BF152+$BG152+$BI152)*($BH152))*$BJ152),IF($J152="wagon",1,1.2)))+$BC152</f>
        <v>72</v>
      </c>
      <c r="BN152" s="17" t="n">
        <f aca="false">BL152*IF($J152="wagon",62.5,781.25)</f>
        <v>71093.75</v>
      </c>
      <c r="BO152" s="17" t="n">
        <f aca="false">BM152*IF($J152="wagon",2.73,81.25)</f>
        <v>5850</v>
      </c>
      <c r="BY152" s="1" t="n">
        <v>7</v>
      </c>
      <c r="CD152" s="1" t="str">
        <f aca="false">VLOOKUP(M152,Eras!$A$2:$C$10, 2, TRUE())</f>
        <v>ebr</v>
      </c>
      <c r="CE152" s="1" t="s">
        <v>351</v>
      </c>
      <c r="CF152" s="1" t="str">
        <f aca="false">CONCATENATE(CD152,"_",CE152)</f>
        <v>ebr_Freight (Electric)</v>
      </c>
      <c r="CG152" s="1" t="str">
        <f aca="false">_xlfn.CONCAT(K152, "_",L152)</f>
        <v>electric_ELRL</v>
      </c>
      <c r="CH152" s="7" t="str">
        <f aca="false">_xlfn.CONCAT("{BLACK}Length: {GOLD}", TEXT(ROUNDUP(IF(AT152&lt;&gt;"",SUM(VALUE(_xlfn.TEXTSPLIT(AT152, ","))), SUM(VALUE(_xlfn.TEXTSPLIT(AQ152, ",")))*IF(P152, P152, 1))/16, 1), "#,##0.0"), " tiles{}")</f>
        <v>{BLACK}Length: {GOLD}0.6 tiles{}</v>
      </c>
      <c r="CI152" s="1" t="n">
        <f aca="false">VLOOKUP($CG152, Constants!$M:$N, 2, FALSE())</f>
        <v>0</v>
      </c>
      <c r="CJ152" s="1" t="str">
        <f aca="false">IF(P152&gt;1,_xlfn.CONCAT("{BLACK}Cars: {GOLD}", P152),"")</f>
        <v/>
      </c>
      <c r="CK152" s="1" t="s">
        <v>544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{GOLD}0.6 tiles{}{SILVER}The Class 76 is an electric freight locomotive designed for the Woodhead Line in the northern Peak District. With high tractive effort, electric traction lent itself to the steep gradients and many tunnels of the line.</v>
      </c>
    </row>
    <row r="153" customFormat="false" ht="14.25" hidden="false" customHeight="false" outlineLevel="0" collapsed="false">
      <c r="A153" s="1" t="s">
        <v>545</v>
      </c>
      <c r="B153" s="15" t="s">
        <v>546</v>
      </c>
      <c r="C153" s="1" t="n">
        <v>174</v>
      </c>
      <c r="E153" s="1" t="n">
        <v>109</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198</v>
      </c>
      <c r="J153" s="1" t="s">
        <v>206</v>
      </c>
      <c r="K153" s="1" t="s">
        <v>207</v>
      </c>
      <c r="L153" s="1" t="s">
        <v>149</v>
      </c>
      <c r="M153" s="1" t="n">
        <v>1951</v>
      </c>
      <c r="N153" s="1" t="n">
        <v>1952</v>
      </c>
      <c r="O153" s="1" t="n">
        <v>1966</v>
      </c>
      <c r="Q153" s="1" t="n">
        <v>1500</v>
      </c>
      <c r="S153" s="3" t="n">
        <v>19.5</v>
      </c>
      <c r="T153" s="3" t="n">
        <v>28</v>
      </c>
      <c r="U153" s="3" t="n">
        <v>2</v>
      </c>
      <c r="V153" s="3" t="n">
        <v>225</v>
      </c>
      <c r="W153" s="18" t="n">
        <f aca="false">((($AE153/2)/60)*5280)/($X153*3.2*PI())</f>
        <v>184.28467094851</v>
      </c>
      <c r="X153" s="3" t="n">
        <v>1.9</v>
      </c>
      <c r="Y153" s="3" t="n">
        <f aca="false">((($S153*$S153/4)*PI())*($T153/12)*$U153*$V153*$W153)/(33000*1.1)</f>
        <v>1591.95574162679</v>
      </c>
      <c r="Z153" s="1" t="n">
        <v>89.92</v>
      </c>
      <c r="AA153" s="2" t="n">
        <v>14.38</v>
      </c>
      <c r="AC153" s="1" t="n">
        <v>122</v>
      </c>
      <c r="AD153" s="4" t="n">
        <f aca="false">IF(AND(Z153&gt;0,AC153&gt;0),(AC153/((Z153+AA153)*10)),"")</f>
        <v>0.116970278044104</v>
      </c>
      <c r="AE153" s="1" t="n">
        <v>80</v>
      </c>
      <c r="AF153" s="1" t="n">
        <f aca="false">ROUND(AE153*1.6, 0)</f>
        <v>128</v>
      </c>
      <c r="AI153" s="1" t="n">
        <v>20.96</v>
      </c>
      <c r="AJ153" s="1" t="n">
        <f aca="false">AI153-7.5</f>
        <v>13.46</v>
      </c>
      <c r="AL153" s="1" t="n">
        <v>3.98</v>
      </c>
      <c r="AM153" s="5" t="n">
        <v>0</v>
      </c>
      <c r="AN153" s="1" t="str">
        <f aca="false">CONCATENATE(VLOOKUP(AO153, 'Voxel Sizes'!$A$2:$B$18,2,FALSE()),"x",INT(AK153*15), "x", INT(AL153*15))</f>
        <v>136x0x59</v>
      </c>
      <c r="AO153" s="1" t="n">
        <f aca="false">ROUND(15*((AJ153*10)/256),0)</f>
        <v>8</v>
      </c>
      <c r="AP153" s="1" t="s">
        <v>179</v>
      </c>
      <c r="AQ153" s="1" t="str">
        <f aca="false">CONCATENATE(VLOOKUP(AO153,Constants!$A$2:$C$16,IF(AP153&lt;&gt;"", 3, 2), FALSE()),IF(AP153&lt;&gt;"",CONCATENATE(",",VLOOKUP(AP153,$B:$AQ,42,FALSE())),""))</f>
        <v>2,4,2,2,1,2</v>
      </c>
      <c r="AY153" s="1" t="n">
        <v>1</v>
      </c>
      <c r="BA153" s="1" t="n">
        <v>30</v>
      </c>
      <c r="BB153" s="16" t="n">
        <f aca="false">IF(O153&lt;&gt;"",MAX(16,(O153-M153)+8),"")</f>
        <v>23</v>
      </c>
      <c r="BE153" s="1" t="n">
        <f aca="false">MIN(AE153/150, 1)*30</f>
        <v>16</v>
      </c>
      <c r="BF153" s="1" t="n">
        <f aca="false">MIN(Q153/4000, 1)*20</f>
        <v>7.5</v>
      </c>
      <c r="BG153" s="1" t="n">
        <f aca="false">MIN(AC153/400,1)*20</f>
        <v>6.1</v>
      </c>
      <c r="BH153" s="4" t="n">
        <f aca="false">1-(MAX(M153-1900, 0)/750)</f>
        <v>0.932</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66</v>
      </c>
      <c r="BM153" s="1" t="n">
        <f aca="false">INT(POWER((((Constants!$G$1+$BE153+$BF153+$BG153+$BI153)*($BH153))*$BJ153),IF($J153="wagon",1,1.2)))+$BC153</f>
        <v>103</v>
      </c>
      <c r="BN153" s="17" t="n">
        <f aca="false">BL153*IF($J153="wagon",62.5,781.25)</f>
        <v>51562.5</v>
      </c>
      <c r="BO153" s="17" t="n">
        <f aca="false">BM153*IF($J153="wagon",2.73,81.25)</f>
        <v>8368.75</v>
      </c>
      <c r="BY153" s="1" t="n">
        <v>8</v>
      </c>
      <c r="CD153" s="1" t="str">
        <f aca="false">VLOOKUP(M153,Eras!$A$2:$C$10, 2, TRUE())</f>
        <v>ebr</v>
      </c>
      <c r="CE153" s="1" t="s">
        <v>129</v>
      </c>
      <c r="CF153" s="1" t="str">
        <f aca="false">CONCATENATE(CD153,"_",CE153)</f>
        <v>ebr_Mixed Traffic</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547</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Class 6 is a lighter version of the Class 7 "Britannia", with a smaller boiler. Only 10 were produced due to steel shortages.</v>
      </c>
    </row>
    <row r="154" customFormat="false" ht="14.25" hidden="false" customHeight="false" outlineLevel="0" collapsed="false">
      <c r="A154" s="1" t="s">
        <v>548</v>
      </c>
      <c r="B154" s="15" t="s">
        <v>549</v>
      </c>
      <c r="C154" s="1" t="n">
        <v>175</v>
      </c>
      <c r="E154" s="1" t="n">
        <v>110</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198</v>
      </c>
      <c r="J154" s="1" t="s">
        <v>206</v>
      </c>
      <c r="K154" s="1" t="s">
        <v>207</v>
      </c>
      <c r="L154" s="1" t="s">
        <v>149</v>
      </c>
      <c r="M154" s="1" t="n">
        <v>1951</v>
      </c>
      <c r="N154" s="1" t="n">
        <v>1954</v>
      </c>
      <c r="O154" s="1" t="n">
        <v>1968</v>
      </c>
      <c r="Q154" s="1" t="n">
        <v>2000</v>
      </c>
      <c r="S154" s="3" t="n">
        <v>20</v>
      </c>
      <c r="T154" s="3" t="n">
        <v>28</v>
      </c>
      <c r="U154" s="3" t="n">
        <v>2</v>
      </c>
      <c r="V154" s="3" t="n">
        <v>250</v>
      </c>
      <c r="W154" s="18" t="n">
        <f aca="false">((($AE154/2)/60)*5280)/($X154*3.2*PI())</f>
        <v>207.320254817074</v>
      </c>
      <c r="X154" s="3" t="n">
        <v>1.9</v>
      </c>
      <c r="Y154" s="3" t="n">
        <f aca="false">((($S154*$S154/4)*PI())*($T154/12)*$U154*$V154*$W154)/(33000*1.1)</f>
        <v>2093.3014354067</v>
      </c>
      <c r="Z154" s="1" t="n">
        <v>95.5</v>
      </c>
      <c r="AA154" s="2" t="n">
        <v>50</v>
      </c>
      <c r="AC154" s="1" t="n">
        <v>143</v>
      </c>
      <c r="AD154" s="4" t="n">
        <f aca="false">IF(AND(Z154&gt;0,AC154&gt;0),(AC154/((Z154+AA154)*10)),"")</f>
        <v>0.0982817869415808</v>
      </c>
      <c r="AE154" s="1" t="n">
        <v>90</v>
      </c>
      <c r="AF154" s="1" t="n">
        <f aca="false">ROUND(AE154*1.6, 0)</f>
        <v>144</v>
      </c>
      <c r="AI154" s="1" t="n">
        <v>20.96</v>
      </c>
      <c r="AJ154" s="1" t="n">
        <f aca="false">AI154-7.5</f>
        <v>13.46</v>
      </c>
      <c r="AL154" s="1" t="n">
        <v>3.98</v>
      </c>
      <c r="AM154" s="5" t="n">
        <v>0</v>
      </c>
      <c r="AN154" s="1" t="str">
        <f aca="false">CONCATENATE(VLOOKUP(AO154, 'Voxel Sizes'!$A$2:$B$18,2,FALSE()),"x",INT(AK154*15), "x", INT(AL154*15))</f>
        <v>136x0x59</v>
      </c>
      <c r="AO154" s="1" t="n">
        <f aca="false">ROUND(15*((AJ154*10)/256),0)</f>
        <v>8</v>
      </c>
      <c r="AP154" s="1" t="s">
        <v>179</v>
      </c>
      <c r="AQ154" s="1" t="str">
        <f aca="false">CONCATENATE(VLOOKUP(AO154,Constants!$A$2:$C$16,IF(AP154&lt;&gt;"", 3, 2), FALSE()),IF(AP154&lt;&gt;"",CONCATENATE(",",VLOOKUP(AP154,$B:$AQ,42,FALSE())),""))</f>
        <v>2,4,2,2,1,2</v>
      </c>
      <c r="AY154" s="1" t="n">
        <v>1</v>
      </c>
      <c r="BA154" s="1" t="n">
        <v>30</v>
      </c>
      <c r="BB154" s="16" t="n">
        <f aca="false">IF(O154&lt;&gt;"",MAX(16,(O154-M154)+8),"")</f>
        <v>25</v>
      </c>
      <c r="BE154" s="1" t="n">
        <f aca="false">MIN(AE154/150, 1)*30</f>
        <v>18</v>
      </c>
      <c r="BF154" s="1" t="n">
        <f aca="false">MIN(Q154/4000, 1)*20</f>
        <v>10</v>
      </c>
      <c r="BG154" s="1" t="n">
        <f aca="false">MIN(AC154/400,1)*20</f>
        <v>7.15</v>
      </c>
      <c r="BH154" s="4" t="n">
        <f aca="false">1-(MAX(M154-1900, 0)/750)</f>
        <v>0.932</v>
      </c>
      <c r="BI154" s="1" t="n">
        <f aca="false">((MAX($P154,1)*MIN($AM154/300,1)))*IF(J154="Wagon",50,10)</f>
        <v>0</v>
      </c>
      <c r="BJ154" s="1" t="n">
        <f aca="false">VLOOKUP($K154,Constants!$I:$K, 2, FALSE())</f>
        <v>1.15</v>
      </c>
      <c r="BK154" s="1" t="n">
        <f aca="false">VLOOKUP($K154,Constants!$I:$K, 3, FALSE())*IF(AND(J154="multiple_unit",AE154&lt;110),0.75,1)</f>
        <v>1.7</v>
      </c>
      <c r="BL154" s="1" t="n">
        <f aca="false">INT(POWER(((Constants!$G$2+$BE154+$BF154+$BG154+$BI154)*$BH154)*$BK154, 1.05))+$BD154</f>
        <v>78</v>
      </c>
      <c r="BM154" s="1" t="n">
        <f aca="false">INT(POWER((((Constants!$G$1+$BE154+$BF154+$BG154+$BI154)*($BH154))*$BJ154),IF($J154="wagon",1,1.2)))+$BC154</f>
        <v>119</v>
      </c>
      <c r="BN154" s="17" t="n">
        <f aca="false">BL154*IF($J154="wagon",62.5,781.25)</f>
        <v>60937.5</v>
      </c>
      <c r="BO154" s="17" t="n">
        <f aca="false">BM154*IF($J154="wagon",2.73,81.25)</f>
        <v>9668.75</v>
      </c>
      <c r="BY154" s="1" t="n">
        <v>9</v>
      </c>
      <c r="CD154" s="1" t="str">
        <f aca="false">VLOOKUP(M154,Eras!$A$2:$C$10, 2, TRUE())</f>
        <v>ebr</v>
      </c>
      <c r="CE154" s="1" t="s">
        <v>129</v>
      </c>
      <c r="CF154" s="1" t="str">
        <f aca="false">CONCATENATE(CD154,"_",CE154)</f>
        <v>ebr_Mixed Traffic</v>
      </c>
      <c r="CG154" s="1" t="str">
        <f aca="false">_xlfn.CONCAT(K154, "_",L154)</f>
        <v>steam_RAIL</v>
      </c>
      <c r="CH154" s="7" t="str">
        <f aca="false">_xlfn.CONCAT("{BLACK}Length: {GOLD}", TEXT(ROUNDUP(IF(AT154&lt;&gt;"",SUM(VALUE(_xlfn.TEXTSPLIT(AT154, ","))), SUM(VALUE(_xlfn.TEXTSPLIT(AQ154, ",")))*IF(P154, P154, 1))/16, 1), "#,##0.0"), " tiles{}")</f>
        <v>{BLACK}Length: {GOLD}0.9 tiles{}</v>
      </c>
      <c r="CI154" s="1" t="n">
        <f aca="false">VLOOKUP($CG154, Constants!$M:$N, 2, FALSE())</f>
        <v>0</v>
      </c>
      <c r="CJ154" s="1" t="str">
        <f aca="false">IF(P154&gt;1,_xlfn.CONCAT("{BLACK}Cars: {GOLD}", P154),"")</f>
        <v/>
      </c>
      <c r="CK154" s="1" t="s">
        <v>550</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{GOLD}0.9 tiles{}{SILVER}The Class 7 combines the best features of pre-BR designs from the Big Four, with the aim of reducing maintenance costs.</v>
      </c>
    </row>
    <row r="155" customFormat="false" ht="14.25" hidden="false" customHeight="false" outlineLevel="0" collapsed="false">
      <c r="A155" s="1" t="s">
        <v>551</v>
      </c>
      <c r="B155" s="15" t="s">
        <v>552</v>
      </c>
      <c r="C155" s="1" t="n">
        <v>176</v>
      </c>
      <c r="E155" s="1" t="n">
        <v>111</v>
      </c>
      <c r="F155" s="1" t="s">
        <v>140</v>
      </c>
      <c r="G155" s="1" t="str">
        <f aca="false">IF($F155&lt;&gt;"",_xlfn.CONCAT(VLOOKUP($CE155, Constants!$T:$U, 2, FALSE()),",",$F155),VLOOKUP($CE155, Constants!$T:$U, 2, FALSE()))</f>
        <v>role/mixed,role/shunting</v>
      </c>
      <c r="H155" s="1" t="str">
        <f aca="false">IF($G155&lt;&gt;"",_xlfn.CONCAT(VLOOKUP($CG155, Constants!$M:$P, 4, FALSE()),",",$G155),VLOOKUP($CG155, Constants!$M:$P, 4, FALSE()))</f>
        <v>flag/GB,power/diesel,role/mixed,role/shunting</v>
      </c>
      <c r="I155" s="1" t="s">
        <v>198</v>
      </c>
      <c r="J155" s="1" t="s">
        <v>206</v>
      </c>
      <c r="K155" s="1" t="s">
        <v>482</v>
      </c>
      <c r="L155" s="1" t="s">
        <v>149</v>
      </c>
      <c r="M155" s="1" t="n">
        <v>1952</v>
      </c>
      <c r="N155" s="1" t="n">
        <v>1962</v>
      </c>
      <c r="Q155" s="1" t="n">
        <v>350</v>
      </c>
      <c r="Z155" s="1" t="n">
        <v>49.8</v>
      </c>
      <c r="AC155" s="1" t="n">
        <v>160</v>
      </c>
      <c r="AD155" s="4" t="n">
        <f aca="false">IF(AND(Z155&gt;0,AC155&gt;0),(AC155/((Z155+AA155)*10)),"")</f>
        <v>0.321285140562249</v>
      </c>
      <c r="AE155" s="1" t="n">
        <v>20</v>
      </c>
      <c r="AF155" s="1" t="n">
        <f aca="false">ROUND(AE155*1.6, 0)</f>
        <v>32</v>
      </c>
      <c r="AI155" s="1" t="n">
        <v>8.92</v>
      </c>
      <c r="AJ155" s="1" t="n">
        <v>9.5</v>
      </c>
      <c r="AK155" s="1" t="n">
        <v>2.59</v>
      </c>
      <c r="AL155" s="1" t="n">
        <v>3.87</v>
      </c>
      <c r="AM155" s="5" t="n">
        <v>0</v>
      </c>
      <c r="AN155" s="1" t="str">
        <f aca="false">CONCATENATE(VLOOKUP(AO155, 'Voxel Sizes'!$A$2:$B$18,2,FALSE()),"x",INT(AK155*15), "x", INT(AL155*15))</f>
        <v>102x38x58</v>
      </c>
      <c r="AO155" s="1" t="n">
        <f aca="false">ROUND(15*((AJ155*10)/256),0)</f>
        <v>6</v>
      </c>
      <c r="AQ155" s="1" t="str">
        <f aca="false">CONCATENATE(VLOOKUP(AO155,Constants!$A$2:$C$16,IF(AP155&lt;&gt;"", 3, 2), FALSE()),IF(AP155&lt;&gt;"",CONCATENATE(",",VLOOKUP(AP155,$B:$AQ,42,FALSE())),""))</f>
        <v>2,2,2</v>
      </c>
      <c r="AY155" s="1" t="n">
        <v>1</v>
      </c>
      <c r="BA155" s="1" t="n">
        <v>42</v>
      </c>
      <c r="BB155" s="16" t="str">
        <f aca="false">IF(O155&lt;&gt;"",MAX(16,(O155-M155)+8),"")</f>
        <v/>
      </c>
      <c r="BD155" s="1" t="n">
        <v>-10</v>
      </c>
      <c r="BE155" s="1" t="n">
        <f aca="false">MIN(AE155/150, 1)*30</f>
        <v>4</v>
      </c>
      <c r="BF155" s="1" t="n">
        <f aca="false">MIN(Q155/4000, 1)*20</f>
        <v>1.75</v>
      </c>
      <c r="BG155" s="1" t="n">
        <f aca="false">MIN(AC155/400,1)*20</f>
        <v>8</v>
      </c>
      <c r="BH155" s="4" t="n">
        <f aca="false">1-(MAX(M155-1900, 0)/750)</f>
        <v>0.930666666666667</v>
      </c>
      <c r="BI155" s="1" t="n">
        <f aca="false">((MAX($P155,1)*MIN($AM155/300,1)))*IF(J155="Wagon",50,10)</f>
        <v>0</v>
      </c>
      <c r="BJ155" s="1" t="n">
        <f aca="false">VLOOKUP($K155,Constants!$I:$K, 2, FALSE())</f>
        <v>1</v>
      </c>
      <c r="BK155" s="1" t="n">
        <f aca="false">VLOOKUP($K155,Constants!$I:$K, 3, FALSE())*IF(AND(J155="multiple_unit",AE155&lt;110),0.75,1)</f>
        <v>2</v>
      </c>
      <c r="BL155" s="1" t="n">
        <f aca="false">INT(POWER(((Constants!$G$2+$BE155+$BF155+$BG155+$BI155)*$BH155)*$BK155, 1.05))+$BD155</f>
        <v>31</v>
      </c>
      <c r="BM155" s="1" t="n">
        <f aca="false">INT(POWER((((Constants!$G$1+$BE155+$BF155+$BG155+$BI155)*($BH155))*$BJ155),IF($J155="wagon",1,1.2)))+$BC155</f>
        <v>51</v>
      </c>
      <c r="BN155" s="17" t="n">
        <f aca="false">BL155*IF($J155="wagon",62.5,781.25)</f>
        <v>24218.75</v>
      </c>
      <c r="BO155" s="17" t="n">
        <f aca="false">BM155*IF($J155="wagon",2.73,81.25)</f>
        <v>4143.75</v>
      </c>
      <c r="BY155" s="1" t="n">
        <v>10</v>
      </c>
      <c r="CD155" s="1" t="str">
        <f aca="false">VLOOKUP(M155,Eras!$A$2:$C$10, 2, TRUE())</f>
        <v>ebr</v>
      </c>
      <c r="CE155" s="1" t="s">
        <v>316</v>
      </c>
      <c r="CF155" s="1" t="str">
        <f aca="false">CONCATENATE(CD155,"_",CE155)</f>
        <v>ebr_Cheap</v>
      </c>
      <c r="CG155" s="1" t="str">
        <f aca="false">_xlfn.CONCAT(K155, "_",L155)</f>
        <v>diesel_RAIL</v>
      </c>
      <c r="CH155" s="7" t="str">
        <f aca="false">_xlfn.CONCAT("{BLACK}Length: {GOLD}", TEXT(ROUNDUP(IF(AT155&lt;&gt;"",SUM(VALUE(_xlfn.TEXTSPLIT(AT155, ","))), SUM(VALUE(_xlfn.TEXTSPLIT(AQ155, ",")))*IF(P155, P155, 1))/16, 1), "#,##0.0"), " tiles{}")</f>
        <v>{BLACK}Length: {GOLD}0.4 tiles{}</v>
      </c>
      <c r="CI155" s="1" t="n">
        <f aca="false">VLOOKUP($CG155, Constants!$M:$N, 2, FALSE())</f>
        <v>0</v>
      </c>
      <c r="CJ155" s="1" t="str">
        <f aca="false">IF(P155&gt;1,_xlfn.CONCAT("{BLACK}Cars: {GOLD}", P155),"")</f>
        <v/>
      </c>
      <c r="CK155" s="1" t="s">
        <v>553</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56" customFormat="false" ht="14.25" hidden="false" customHeight="false" outlineLevel="0" collapsed="false">
      <c r="A156" s="1" t="s">
        <v>554</v>
      </c>
      <c r="B156" s="15" t="s">
        <v>555</v>
      </c>
      <c r="C156" s="1" t="n">
        <v>177</v>
      </c>
      <c r="E156" s="1" t="n">
        <v>112</v>
      </c>
      <c r="G156" s="1" t="str">
        <f aca="false">IF($F156&lt;&gt;"",_xlfn.CONCAT(VLOOKUP($CE156, Constants!$T:$U, 2, FALSE()),",",$F156),VLOOKUP($CE156, Constants!$T:$U, 2, FALSE()))</f>
        <v>role/express_passenger</v>
      </c>
      <c r="H156" s="1" t="str">
        <f aca="false">IF($G156&lt;&gt;"",_xlfn.CONCAT(VLOOKUP($CG156, Constants!$M:$P, 4, FALSE()),",",$G156),VLOOKUP($CG156, Constants!$M:$P, 4, FALSE()))</f>
        <v>flag/GB,power/electric,role/express_passenger</v>
      </c>
      <c r="I156" s="1" t="s">
        <v>198</v>
      </c>
      <c r="J156" s="1" t="s">
        <v>206</v>
      </c>
      <c r="K156" s="1" t="s">
        <v>349</v>
      </c>
      <c r="L156" s="1" t="s">
        <v>350</v>
      </c>
      <c r="M156" s="1" t="n">
        <v>1953</v>
      </c>
      <c r="N156" s="1" t="n">
        <v>1954</v>
      </c>
      <c r="O156" s="1" t="n">
        <v>1968</v>
      </c>
      <c r="Q156" s="1" t="n">
        <v>2490</v>
      </c>
      <c r="Z156" s="1" t="n">
        <v>104.1</v>
      </c>
      <c r="AC156" s="1" t="n">
        <v>200</v>
      </c>
      <c r="AD156" s="4" t="n">
        <f aca="false">IF(AND(Z156&gt;0,AC156&gt;0),(AC156/((Z156+AA156)*10)),"")</f>
        <v>0.192122958693564</v>
      </c>
      <c r="AE156" s="1" t="n">
        <v>90</v>
      </c>
      <c r="AF156" s="1" t="n">
        <f aca="false">ROUND(AE156*1.6, 0)</f>
        <v>144</v>
      </c>
      <c r="AI156" s="1" t="n">
        <v>17.98</v>
      </c>
      <c r="AJ156" s="1" t="n">
        <v>17.98</v>
      </c>
      <c r="AM156" s="5" t="n">
        <v>0</v>
      </c>
      <c r="AN156" s="1" t="str">
        <f aca="false">CONCATENATE(VLOOKUP(AO156, 'Voxel Sizes'!$A$2:$B$18,2,FALSE()),"x",INT(AK156*15), "x", INT(AL156*15))</f>
        <v>186x0x0</v>
      </c>
      <c r="AO156" s="1" t="n">
        <f aca="false">ROUND(15*((AJ156*10)/256),0)</f>
        <v>11</v>
      </c>
      <c r="AQ156" s="1" t="str">
        <f aca="false">CONCATENATE(VLOOKUP(AO156,Constants!$A$2:$C$16,IF(AP156&lt;&gt;"", 3, 2), FALSE()),IF(AP156&lt;&gt;"",CONCATENATE(",",VLOOKUP(AP156,$B:$AQ,42,FALSE())),""))</f>
        <v>4,3,4</v>
      </c>
      <c r="BA156" s="1" t="n">
        <v>25</v>
      </c>
      <c r="BB156" s="16" t="n">
        <f aca="false">IF(O156&lt;&gt;"",MAX(16,(O156-M156)+8),"")</f>
        <v>23</v>
      </c>
      <c r="BE156" s="1" t="n">
        <f aca="false">MIN(AE156/150, 1)*30</f>
        <v>18</v>
      </c>
      <c r="BF156" s="1" t="n">
        <f aca="false">MIN(Q156/4000, 1)*20</f>
        <v>12.45</v>
      </c>
      <c r="BG156" s="1" t="n">
        <f aca="false">MIN(AC156/400,1)*20</f>
        <v>10</v>
      </c>
      <c r="BH156" s="4" t="n">
        <f aca="false">1-(MAX(M156-1900, 0)/750)</f>
        <v>0.929333333333333</v>
      </c>
      <c r="BI156" s="1" t="n">
        <f aca="false">((MAX($P156,1)*MIN($AM156/300,1)))*IF(J156="Wagon",50,10)</f>
        <v>0</v>
      </c>
      <c r="BJ156" s="1" t="n">
        <f aca="false">VLOOKUP($K156,Constants!$I:$K, 2, FALSE())</f>
        <v>0.85</v>
      </c>
      <c r="BK156" s="1" t="n">
        <f aca="false">VLOOKUP($K156,Constants!$I:$K, 3, FALSE())*IF(AND(J156="multiple_unit",AE156&lt;110),0.75,1)</f>
        <v>2.3</v>
      </c>
      <c r="BL156" s="1" t="n">
        <f aca="false">INT(POWER(((Constants!$G$2+$BE156+$BF156+$BG156+$BI156)*$BH156)*$BK156, 1.05))+$BD156</f>
        <v>122</v>
      </c>
      <c r="BM156" s="1" t="n">
        <f aca="false">INT(POWER((((Constants!$G$1+$BE156+$BF156+$BG156+$BI156)*($BH156))*$BJ156),IF($J156="wagon",1,1.2)))+$BC156</f>
        <v>93</v>
      </c>
      <c r="BN156" s="17" t="n">
        <f aca="false">BL156*IF($J156="wagon",62.5,781.25)</f>
        <v>95312.5</v>
      </c>
      <c r="BO156" s="17" t="n">
        <f aca="false">BM156*IF($J156="wagon",2.73,81.25)</f>
        <v>7556.25</v>
      </c>
      <c r="BY156" s="1" t="n">
        <v>11</v>
      </c>
      <c r="CD156" s="1" t="str">
        <f aca="false">VLOOKUP(M156,Eras!$A$2:$C$10, 2, TRUE())</f>
        <v>ebr</v>
      </c>
      <c r="CE156" s="1" t="s">
        <v>556</v>
      </c>
      <c r="CF156" s="1" t="str">
        <f aca="false">CONCATENATE(CD156,"_",CE156)</f>
        <v>ebr_Express (Electric)</v>
      </c>
      <c r="CG156" s="1" t="str">
        <f aca="false">_xlfn.CONCAT(K156, "_",L156)</f>
        <v>electric_ELRL</v>
      </c>
      <c r="CH156" s="7" t="str">
        <f aca="false">_xlfn.CONCAT("{BLACK}Length: {GOLD}", TEXT(ROUNDUP(IF(AT156&lt;&gt;"",SUM(VALUE(_xlfn.TEXTSPLIT(AT156, ","))), SUM(VALUE(_xlfn.TEXTSPLIT(AQ156, ",")))*IF(P156, P156, 1))/16, 1), "#,##0.0"), " tiles{}")</f>
        <v>{BLACK}Length: {GOLD}0.7 tiles{}</v>
      </c>
      <c r="CI156" s="1" t="n">
        <f aca="false">VLOOKUP($CG156, Constants!$M:$N, 2, FALSE())</f>
        <v>0</v>
      </c>
      <c r="CJ156" s="1" t="str">
        <f aca="false">IF(P156&gt;1,_xlfn.CONCAT("{BLACK}Cars: {GOLD}", P156),"")</f>
        <v/>
      </c>
      <c r="CK156" s="1" t="s">
        <v>557</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{GOLD}0.7 tiles{}{SILVER}The Class 77  is a larger version of the earlier Class 76, designed to haul passenger services on the Woodhead Line.</v>
      </c>
    </row>
    <row r="157" customFormat="false" ht="14.25" hidden="false" customHeight="false" outlineLevel="0" collapsed="false">
      <c r="A157" s="1" t="s">
        <v>558</v>
      </c>
      <c r="B157" s="15" t="s">
        <v>559</v>
      </c>
      <c r="C157" s="1" t="n">
        <v>178</v>
      </c>
      <c r="E157" s="1" t="n">
        <v>113</v>
      </c>
      <c r="G157" s="1" t="str">
        <f aca="false">IF($F157&lt;&gt;"",_xlfn.CONCAT(VLOOKUP($CE157, Constants!$T:$U, 2, FALSE()),",",$F157),VLOOKUP($CE157, Constants!$T:$U, 2, FALSE()))</f>
        <v>role/freight</v>
      </c>
      <c r="H157" s="1" t="str">
        <f aca="false">IF($G157&lt;&gt;"",_xlfn.CONCAT(VLOOKUP($CG157, Constants!$M:$P, 4, FALSE()),",",$G157),VLOOKUP($CG157, Constants!$M:$P, 4, FALSE()))</f>
        <v>flag/GB,power/steam,role/freight</v>
      </c>
      <c r="I157" s="1" t="s">
        <v>198</v>
      </c>
      <c r="J157" s="1" t="s">
        <v>206</v>
      </c>
      <c r="K157" s="1" t="s">
        <v>207</v>
      </c>
      <c r="L157" s="1" t="s">
        <v>149</v>
      </c>
      <c r="M157" s="1" t="n">
        <v>1954</v>
      </c>
      <c r="N157" s="1" t="n">
        <v>1960</v>
      </c>
      <c r="O157" s="1" t="n">
        <v>1968</v>
      </c>
      <c r="Q157" s="1" t="n">
        <v>2500</v>
      </c>
      <c r="S157" s="3" t="n">
        <v>20</v>
      </c>
      <c r="T157" s="3" t="n">
        <v>28</v>
      </c>
      <c r="U157" s="3" t="n">
        <v>2</v>
      </c>
      <c r="V157" s="3" t="n">
        <v>250</v>
      </c>
      <c r="W157" s="18" t="n">
        <f aca="false">((($AE157/2)/60)*5280)/($X157*3.2*PI())</f>
        <v>262.605656101627</v>
      </c>
      <c r="X157" s="3" t="n">
        <v>1.5</v>
      </c>
      <c r="Y157" s="3" t="n">
        <f aca="false">((($S157*$S157/4)*PI())*($T157/12)*$U157*$V157*$W157)/(33000*1.1)</f>
        <v>2651.51515151515</v>
      </c>
      <c r="Z157" s="1" t="n">
        <v>90</v>
      </c>
      <c r="AA157" s="2" t="n">
        <v>51</v>
      </c>
      <c r="AC157" s="1" t="n">
        <v>176</v>
      </c>
      <c r="AD157" s="4" t="n">
        <f aca="false">IF(AND(Z157&gt;0,AC157&gt;0),(AC157/((Z157+AA157)*10)),"")</f>
        <v>0.124822695035461</v>
      </c>
      <c r="AE157" s="1" t="n">
        <v>90</v>
      </c>
      <c r="AF157" s="1" t="n">
        <f aca="false">ROUND(AE157*1.6, 0)</f>
        <v>144</v>
      </c>
      <c r="AI157" s="1" t="n">
        <v>20.17</v>
      </c>
      <c r="AJ157" s="1" t="n">
        <v>15</v>
      </c>
      <c r="AM157" s="5" t="n">
        <v>0</v>
      </c>
      <c r="AN157" s="1" t="str">
        <f aca="false">CONCATENATE(VLOOKUP(AO157, 'Voxel Sizes'!$A$2:$B$18,2,FALSE()),"x",INT(AK157*15), "x", INT(AL157*15))</f>
        <v>152x0x0</v>
      </c>
      <c r="AO157" s="1" t="n">
        <f aca="false">ROUND(15*((AJ157*10)/256),0)</f>
        <v>9</v>
      </c>
      <c r="AP157" s="1" t="s">
        <v>179</v>
      </c>
      <c r="AQ157" s="1" t="str">
        <f aca="false">CONCATENATE(VLOOKUP(AO157,Constants!$A$2:$C$16,IF(AP157&lt;&gt;"", 3, 2), FALSE()),IF(AP157&lt;&gt;"",CONCATENATE(",",VLOOKUP(AP157,$B:$AQ,42,FALSE())),""))</f>
        <v>2,5,2,2,1,2</v>
      </c>
      <c r="AY157" s="1" t="n">
        <v>1</v>
      </c>
      <c r="BA157" s="1" t="n">
        <v>33</v>
      </c>
      <c r="BB157" s="16" t="n">
        <f aca="false">IF(O157&lt;&gt;"",MAX(16,(O157-M157)+8),"")</f>
        <v>22</v>
      </c>
      <c r="BE157" s="1" t="n">
        <f aca="false">MIN(AE157/150, 1)*30</f>
        <v>18</v>
      </c>
      <c r="BF157" s="1" t="n">
        <f aca="false">MIN(Q157/4000, 1)*20</f>
        <v>12.5</v>
      </c>
      <c r="BG157" s="1" t="n">
        <f aca="false">MIN(AC157/400,1)*20</f>
        <v>8.8</v>
      </c>
      <c r="BH157" s="4" t="n">
        <f aca="false">1-(MAX(M157-1900, 0)/750)</f>
        <v>0.928</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86</v>
      </c>
      <c r="BM157" s="1" t="n">
        <f aca="false">INT(POWER((((Constants!$G$1+$BE157+$BF157+$BG157+$BI157)*($BH157))*$BJ157),IF($J157="wagon",1,1.2)))+$BC157</f>
        <v>130</v>
      </c>
      <c r="BN157" s="17" t="n">
        <f aca="false">BL157*IF($J157="wagon",62.5,781.25)</f>
        <v>67187.5</v>
      </c>
      <c r="BO157" s="17" t="n">
        <f aca="false">BM157*IF($J157="wagon",2.73,81.25)</f>
        <v>10562.5</v>
      </c>
      <c r="BY157" s="1" t="n">
        <v>12</v>
      </c>
      <c r="CD157" s="1" t="str">
        <f aca="false">VLOOKUP(M157,Eras!$A$2:$C$10, 2, TRUE())</f>
        <v>ebr</v>
      </c>
      <c r="CE157" s="1" t="s">
        <v>132</v>
      </c>
      <c r="CF157" s="1" t="str">
        <f aca="false">CONCATENATE(CD157,"_",CE157)</f>
        <v>ebr_Freight</v>
      </c>
      <c r="CG157" s="1" t="str">
        <f aca="false">_xlfn.CONCAT(K157, "_",L157)</f>
        <v>steam_RAIL</v>
      </c>
      <c r="CH157" s="7" t="str">
        <f aca="false">_xlfn.CONCAT("{BLACK}Length: {GOLD}", TEXT(ROUNDUP(IF(AT157&lt;&gt;"",SUM(VALUE(_xlfn.TEXTSPLIT(AT157, ","))), SUM(VALUE(_xlfn.TEXTSPLIT(AQ157, ",")))*IF(P157, P157, 1))/16, 1), "#,##0.0"), " tiles{}")</f>
        <v>{BLACK}Length: {GOLD}0.9 tiles{}</v>
      </c>
      <c r="CI157" s="1" t="n">
        <f aca="false">VLOOKUP($CG157, Constants!$M:$N, 2, FALSE())</f>
        <v>0</v>
      </c>
      <c r="CJ157" s="1" t="str">
        <f aca="false">IF(P157&gt;1,_xlfn.CONCAT("{BLACK}Cars: {GOLD}", P157),"")</f>
        <v/>
      </c>
      <c r="CK157" s="1" t="s">
        <v>560</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9F class included the last steam locomotive ever to be built by British Railways, "Evening Star"</v>
      </c>
    </row>
    <row r="158" customFormat="false" ht="14.25" hidden="false" customHeight="false" outlineLevel="0" collapsed="false">
      <c r="A158" s="1" t="s">
        <v>561</v>
      </c>
      <c r="B158" s="15" t="s">
        <v>562</v>
      </c>
      <c r="C158" s="1" t="n">
        <v>179</v>
      </c>
      <c r="E158" s="1" t="n">
        <v>114</v>
      </c>
      <c r="G158" s="1" t="str">
        <f aca="false">IF($F158&lt;&gt;"",_xlfn.CONCAT(VLOOKUP($CE158, Constants!$T:$U, 2, FALSE()),",",$F158),VLOOKUP($CE158, Constants!$T:$U, 2, FALSE()))</f>
        <v>role/express_passenger</v>
      </c>
      <c r="H158" s="1" t="str">
        <f aca="false">IF($G158&lt;&gt;"",_xlfn.CONCAT(VLOOKUP($CG158, Constants!$M:$P, 4, FALSE()),",",$G158),VLOOKUP($CG158, Constants!$M:$P, 4, FALSE()))</f>
        <v>flag/GB,power/diesel,role/express_passenger</v>
      </c>
      <c r="I158" s="1" t="s">
        <v>198</v>
      </c>
      <c r="J158" s="1" t="s">
        <v>206</v>
      </c>
      <c r="K158" s="1" t="s">
        <v>482</v>
      </c>
      <c r="L158" s="1" t="s">
        <v>149</v>
      </c>
      <c r="M158" s="1" t="n">
        <v>1955</v>
      </c>
      <c r="N158" s="1" t="n">
        <v>1962</v>
      </c>
      <c r="O158" s="1" t="n">
        <v>1982</v>
      </c>
      <c r="Q158" s="1" t="n">
        <v>3300</v>
      </c>
      <c r="Z158" s="1" t="n">
        <v>108</v>
      </c>
      <c r="AC158" s="1" t="n">
        <v>233</v>
      </c>
      <c r="AD158" s="4" t="n">
        <f aca="false">IF(AND(Z158&gt;0,AC158&gt;0),(AC158/((Z158+AA158)*10)),"")</f>
        <v>0.215740740740741</v>
      </c>
      <c r="AE158" s="1" t="n">
        <v>106</v>
      </c>
      <c r="AF158" s="1" t="n">
        <f aca="false">ROUND(AE158*1.6, 0)</f>
        <v>170</v>
      </c>
      <c r="AI158" s="1" t="n">
        <v>21.18</v>
      </c>
      <c r="AJ158" s="1" t="n">
        <v>21.18</v>
      </c>
      <c r="AL158" s="1" t="n">
        <v>3.91</v>
      </c>
      <c r="AM158" s="5" t="n">
        <v>0</v>
      </c>
      <c r="AN158" s="1" t="str">
        <f aca="false">CONCATENATE(VLOOKUP(AO158, 'Voxel Sizes'!$A$2:$B$18,2,FALSE()),"x",INT(AK158*15), "x", INT(AL158*15))</f>
        <v>198x0x58</v>
      </c>
      <c r="AO158" s="1" t="n">
        <f aca="false">ROUND(15*((AJ158*10)/256),0)</f>
        <v>12</v>
      </c>
      <c r="AQ158" s="1" t="str">
        <f aca="false">CONCATENATE(VLOOKUP(AO158,Constants!$A$2:$C$16,IF(AP158&lt;&gt;"", 3, 2), FALSE()),IF(AP158&lt;&gt;"",CONCATENATE(",",VLOOKUP(AP158,$B:$AQ,42,FALSE())),""))</f>
        <v>4,4,4</v>
      </c>
      <c r="BA158" s="1" t="n">
        <v>26</v>
      </c>
      <c r="BB158" s="16" t="n">
        <f aca="false">IF(O158&lt;&gt;"",MAX(16,(O158-M158)+8),"")</f>
        <v>35</v>
      </c>
      <c r="BE158" s="1" t="n">
        <f aca="false">MIN(AE158/150, 1)*30</f>
        <v>21.2</v>
      </c>
      <c r="BF158" s="1" t="n">
        <f aca="false">MIN(Q158/4000, 1)*20</f>
        <v>16.5</v>
      </c>
      <c r="BG158" s="1" t="n">
        <f aca="false">MIN(AC158/400,1)*20</f>
        <v>11.65</v>
      </c>
      <c r="BH158" s="4" t="n">
        <f aca="false">1-(MAX(M158-1900, 0)/750)</f>
        <v>0.926666666666667</v>
      </c>
      <c r="BI158" s="1" t="n">
        <f aca="false">((MAX($P158,1)*MIN($AM158/300,1)))*IF(J158="Wagon",50,10)</f>
        <v>0</v>
      </c>
      <c r="BJ158" s="1" t="n">
        <f aca="false">VLOOKUP($K158,Constants!$I:$K, 2, FALSE())</f>
        <v>1</v>
      </c>
      <c r="BK158" s="1" t="n">
        <f aca="false">VLOOKUP($K158,Constants!$I:$K, 3, FALSE())*IF(AND(J158="multiple_unit",AE158&lt;110),0.75,1)</f>
        <v>2</v>
      </c>
      <c r="BL158" s="1" t="n">
        <f aca="false">INT(POWER(((Constants!$G$2+$BE158+$BF158+$BG158+$BI158)*$BH158)*$BK158, 1.05))+$BD158</f>
        <v>126</v>
      </c>
      <c r="BM158" s="1" t="n">
        <f aca="false">INT(POWER((((Constants!$G$1+$BE158+$BF158+$BG158+$BI158)*($BH158))*$BJ158),IF($J158="wagon",1,1.2)))+$BC158</f>
        <v>135</v>
      </c>
      <c r="BN158" s="17" t="n">
        <f aca="false">BL158*IF($J158="wagon",62.5,781.25)</f>
        <v>98437.5</v>
      </c>
      <c r="BO158" s="17" t="n">
        <f aca="false">BM158*IF($J158="wagon",2.73,81.25)</f>
        <v>10968.75</v>
      </c>
      <c r="BY158" s="1" t="n">
        <v>1</v>
      </c>
      <c r="CD158" s="1" t="str">
        <f aca="false">VLOOKUP(M158,Eras!$A$2:$C$10, 2, TRUE())</f>
        <v>dsl</v>
      </c>
      <c r="CE158" s="1" t="s">
        <v>241</v>
      </c>
      <c r="CF158" s="1" t="str">
        <f aca="false">CONCATENATE(CD158,"_",CE158)</f>
        <v>dsl_Express</v>
      </c>
      <c r="CG158" s="1" t="str">
        <f aca="false">_xlfn.CONCAT(K158, "_",L158)</f>
        <v>diesel_RAIL</v>
      </c>
      <c r="CH158" s="7" t="str">
        <f aca="false">_xlfn.CONCAT("{BLACK}Length: {GOLD}", TEXT(ROUNDUP(IF(AT158&lt;&gt;"",SUM(VALUE(_xlfn.TEXTSPLIT(AT158, ","))), SUM(VALUE(_xlfn.TEXTSPLIT(AQ158, ",")))*IF(P158, P158, 1))/16, 1), "#,##0.0"), " tiles{}")</f>
        <v>{BLACK}Length: {GOLD}0.8 tiles{}</v>
      </c>
      <c r="CI158" s="1" t="n">
        <f aca="false">VLOOKUP($CG158, Constants!$M:$N, 2, FALSE())</f>
        <v>0</v>
      </c>
      <c r="CJ158" s="1" t="str">
        <f aca="false">IF(P158&gt;1,_xlfn.CONCAT("{BLACK}Cars: {GOLD}", P158),"")</f>
        <v/>
      </c>
      <c r="CK158" s="1" t="s">
        <v>563</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{GOLD}0.8 tiles{}{SILVER}The Class 55 uses two Napier Deltic marine engines to create a high speed express diesel locomotive.</v>
      </c>
    </row>
    <row r="159" customFormat="false" ht="14.25" hidden="false" customHeight="false" outlineLevel="0" collapsed="false">
      <c r="A159" s="1" t="s">
        <v>564</v>
      </c>
      <c r="B159" s="15" t="s">
        <v>565</v>
      </c>
      <c r="C159" s="1" t="n">
        <v>180</v>
      </c>
      <c r="E159" s="1" t="n">
        <v>115</v>
      </c>
      <c r="G159" s="1" t="str">
        <f aca="false">IF($F159&lt;&gt;"",_xlfn.CONCAT(VLOOKUP($CE159, Constants!$T:$U, 2, FALSE()),",",$F159),VLOOKUP($CE159, Constants!$T:$U, 2, FALSE()))</f>
        <v>role/freight</v>
      </c>
      <c r="H159" s="1" t="str">
        <f aca="false">IF($G159&lt;&gt;"",_xlfn.CONCAT(VLOOKUP($CG159, Constants!$M:$P, 4, FALSE()),",",$G159),VLOOKUP($CG159, Constants!$M:$P, 4, FALSE()))</f>
        <v>flag/GB,power/diesel,role/freight</v>
      </c>
      <c r="I159" s="1" t="s">
        <v>198</v>
      </c>
      <c r="J159" s="1" t="s">
        <v>206</v>
      </c>
      <c r="K159" s="1" t="s">
        <v>482</v>
      </c>
      <c r="L159" s="1" t="s">
        <v>149</v>
      </c>
      <c r="M159" s="1" t="n">
        <v>1957</v>
      </c>
      <c r="N159" s="1" t="n">
        <v>1962</v>
      </c>
      <c r="O159" s="1" t="n">
        <v>2017</v>
      </c>
      <c r="Q159" s="1" t="n">
        <v>1250</v>
      </c>
      <c r="Z159" s="1" t="n">
        <v>108.4</v>
      </c>
      <c r="AC159" s="1" t="n">
        <v>160</v>
      </c>
      <c r="AD159" s="4" t="n">
        <f aca="false">IF(AND(Z159&gt;0,AC159&gt;0),(AC159/((Z159+AA159)*10)),"")</f>
        <v>0.14760147601476</v>
      </c>
      <c r="AE159" s="1" t="n">
        <v>80</v>
      </c>
      <c r="AF159" s="1" t="n">
        <f aca="false">ROUND(AE159*1.6, 0)</f>
        <v>128</v>
      </c>
      <c r="AI159" s="1" t="n">
        <v>17.3</v>
      </c>
      <c r="AJ159" s="1" t="n">
        <v>17.3</v>
      </c>
      <c r="AL159" s="1" t="n">
        <v>3.84</v>
      </c>
      <c r="AM159" s="5" t="n">
        <v>0</v>
      </c>
      <c r="AN159" s="1" t="str">
        <f aca="false">CONCATENATE(VLOOKUP(AO159, 'Voxel Sizes'!$A$2:$B$18,2,FALSE()),"x",INT(AK159*15), "x", INT(AL159*15))</f>
        <v>164x0x57</v>
      </c>
      <c r="AO159" s="1" t="n">
        <f aca="false">ROUND(15*((AJ159*10)/256),0)</f>
        <v>10</v>
      </c>
      <c r="AQ159" s="1" t="str">
        <f aca="false">CONCATENATE(VLOOKUP(AO159,Constants!$A$2:$C$16,IF(AP159&lt;&gt;"", 3, 2), FALSE()),IF(AP159&lt;&gt;"",CONCATENATE(",",VLOOKUP(AP159,$B:$AQ,42,FALSE())),""))</f>
        <v>4,2,4</v>
      </c>
      <c r="BA159" s="1" t="n">
        <v>30</v>
      </c>
      <c r="BB159" s="16" t="n">
        <f aca="false">IF(O159&lt;&gt;"",MAX(16,(O159-M159)+8),"")</f>
        <v>68</v>
      </c>
      <c r="BE159" s="1" t="n">
        <f aca="false">MIN(AE159/150, 1)*30</f>
        <v>16</v>
      </c>
      <c r="BF159" s="1" t="n">
        <f aca="false">MIN(Q159/4000, 1)*20</f>
        <v>6.25</v>
      </c>
      <c r="BG159" s="1" t="n">
        <f aca="false">MIN(AC159/400,1)*20</f>
        <v>8</v>
      </c>
      <c r="BH159" s="4" t="n">
        <f aca="false">1-(MAX(M159-1900, 0)/750)</f>
        <v>0.924</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80</v>
      </c>
      <c r="BM159" s="1" t="n">
        <f aca="false">INT(POWER((((Constants!$G$1+$BE159+$BF159+$BG159+$BI159)*($BH159))*$BJ159),IF($J159="wagon",1,1.2)))+$BC159</f>
        <v>88</v>
      </c>
      <c r="BN159" s="17" t="n">
        <f aca="false">BL159*IF($J159="wagon",62.5,781.25)</f>
        <v>62500</v>
      </c>
      <c r="BO159" s="17" t="n">
        <f aca="false">BM159*IF($J159="wagon",2.73,81.25)</f>
        <v>7150</v>
      </c>
      <c r="BY159" s="1" t="n">
        <v>3</v>
      </c>
      <c r="CD159" s="1" t="str">
        <f aca="false">VLOOKUP(M159,Eras!$A$2:$C$10, 2, TRUE())</f>
        <v>dsl</v>
      </c>
      <c r="CE159" s="1" t="s">
        <v>132</v>
      </c>
      <c r="CF159" s="1" t="str">
        <f aca="false">CONCATENATE(CD159,"_",CE159)</f>
        <v>dsl_Freight</v>
      </c>
      <c r="CG159" s="1" t="str">
        <f aca="false">_xlfn.CONCAT(K159, "_",L159)</f>
        <v>diesel_RAIL</v>
      </c>
      <c r="CH159" s="7" t="str">
        <f aca="false">_xlfn.CONCAT("{BLACK}Length: {GOLD}", TEXT(ROUNDUP(IF(AT159&lt;&gt;"",SUM(VALUE(_xlfn.TEXTSPLIT(AT159, ","))), SUM(VALUE(_xlfn.TEXTSPLIT(AQ159, ",")))*IF(P159, P159, 1))/16, 1), "#,##0.0"), " tiles{}")</f>
        <v>{BLACK}Length: {GOLD}0.7 tiles{}</v>
      </c>
      <c r="CI159" s="1" t="n">
        <f aca="false">VLOOKUP($CG159, Constants!$M:$N, 2, FALSE())</f>
        <v>0</v>
      </c>
      <c r="CJ159" s="1" t="str">
        <f aca="false">IF(P159&gt;1,_xlfn.CONCAT("{BLACK}Cars: {GOLD}", P159),"")</f>
        <v/>
      </c>
      <c r="CK159" s="1" t="s">
        <v>566</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{GOLD}0.7 tiles{}{SILVER}The Class 31 (Brush Type 2) was part of BR's pilot scheme to test replacing steam locomotives with diesel traction. It had many nicknames including "Ped", "Gargoyle" and "Gurgler"</v>
      </c>
    </row>
    <row r="160" customFormat="false" ht="14.25" hidden="false" customHeight="false" outlineLevel="0" collapsed="false">
      <c r="A160" s="1" t="s">
        <v>567</v>
      </c>
      <c r="B160" s="19" t="s">
        <v>568</v>
      </c>
      <c r="C160" s="1" t="n">
        <v>1043</v>
      </c>
      <c r="E160" s="1" t="n">
        <v>116</v>
      </c>
      <c r="F160" s="1" t="s">
        <v>140</v>
      </c>
      <c r="G160" s="1" t="str">
        <f aca="false">IF($F160&lt;&gt;"",_xlfn.CONCAT(VLOOKUP($CE160, Constants!$T:$U, 2, FALSE()),",",$F160),VLOOKUP($CE160, Constants!$T:$U, 2, FALSE()))</f>
        <v>role/mixed,role/shunting</v>
      </c>
      <c r="H160" s="1" t="str">
        <f aca="false">IF($G160&lt;&gt;"",_xlfn.CONCAT(VLOOKUP($CG160, Constants!$M:$P, 4, FALSE()),",",$G160),VLOOKUP($CG160, Constants!$M:$P, 4, FALSE()))</f>
        <v>flag/GB,power/diesel,role/mixed,role/shunting</v>
      </c>
      <c r="I160" s="1" t="s">
        <v>198</v>
      </c>
      <c r="J160" s="1" t="s">
        <v>206</v>
      </c>
      <c r="K160" s="1" t="s">
        <v>482</v>
      </c>
      <c r="L160" s="1" t="s">
        <v>149</v>
      </c>
      <c r="M160" s="1" t="n">
        <v>1957</v>
      </c>
      <c r="N160" s="1" t="n">
        <v>1961</v>
      </c>
      <c r="O160" s="1" t="n">
        <v>1993</v>
      </c>
      <c r="Q160" s="1" t="n">
        <v>200</v>
      </c>
      <c r="Z160" s="1" t="n">
        <v>30</v>
      </c>
      <c r="AC160" s="1" t="n">
        <v>70</v>
      </c>
      <c r="AD160" s="4" t="n">
        <f aca="false">IF(AND(Z160&gt;0,AC160&gt;0),(AC160/((Z160+AA160)*10)),"")</f>
        <v>0.233333333333333</v>
      </c>
      <c r="AE160" s="1" t="n">
        <v>28</v>
      </c>
      <c r="AF160" s="1" t="n">
        <f aca="false">ROUND(AE160*1.6, 0)</f>
        <v>45</v>
      </c>
      <c r="AI160" s="1" t="n">
        <v>8</v>
      </c>
      <c r="AJ160" s="1" t="n">
        <v>9.5</v>
      </c>
      <c r="AN160" s="16" t="s">
        <v>268</v>
      </c>
      <c r="AO160" s="16" t="n">
        <f aca="false">ROUND(15*((AJ160*10)/256),0)</f>
        <v>6</v>
      </c>
      <c r="AQ160" s="1" t="str">
        <f aca="false">CONCATENATE(VLOOKUP(AO160,Constants!$A$2:$C$16,IF(AP160&lt;&gt;"", 3, 2), FALSE()),IF(AP160&lt;&gt;"",CONCATENATE(",",VLOOKUP(AP160,$B:$AQ,42,FALSE())),""))</f>
        <v>2,2,2</v>
      </c>
      <c r="AY160" s="1" t="n">
        <v>1</v>
      </c>
      <c r="BA160" s="1" t="n">
        <v>40</v>
      </c>
      <c r="BB160" s="16" t="n">
        <f aca="false">IF(O160&lt;&gt;"",MAX(16,(O160-M160)+8),"")</f>
        <v>44</v>
      </c>
      <c r="BE160" s="20" t="n">
        <f aca="false">MIN(AE160/150, 1)*30</f>
        <v>5.6</v>
      </c>
      <c r="BF160" s="20" t="n">
        <f aca="false">MIN(Q160/4000, 1)*20</f>
        <v>1</v>
      </c>
      <c r="BG160" s="20" t="n">
        <f aca="false">MIN(AC160/400,1)*20</f>
        <v>3.5</v>
      </c>
      <c r="BH160" s="21" t="n">
        <f aca="false">1-(MAX(M160-1900, 0)/750)</f>
        <v>0.924</v>
      </c>
      <c r="BI160" s="20" t="n">
        <f aca="false">((MAX($P160,1)*MIN($AM160/300,1)))*IF(J160="Wagon",50,10)</f>
        <v>0</v>
      </c>
      <c r="BJ160" s="1" t="n">
        <f aca="false">VLOOKUP($K160,Constants!$I:$K, 2, FALSE())</f>
        <v>1</v>
      </c>
      <c r="BK160" s="1" t="n">
        <f aca="false">VLOOKUP($K160,Constants!$I:$K, 3, FALSE())*IF(AND(J160="multiple_unit",AE160&lt;110),0.75,1)</f>
        <v>2</v>
      </c>
      <c r="BL160" s="20" t="n">
        <v>32</v>
      </c>
      <c r="BM160" s="20" t="n">
        <v>43</v>
      </c>
      <c r="BN160" s="22" t="n">
        <f aca="false">BL160*IF($J160="wagon",62.5,781.25)</f>
        <v>25000</v>
      </c>
      <c r="BO160" s="22" t="n">
        <f aca="false">BM160*IF($J160="wagon",2.73,81.25)</f>
        <v>3493.75</v>
      </c>
      <c r="BY160" s="1" t="n">
        <v>8</v>
      </c>
      <c r="CD160" s="23" t="s">
        <v>569</v>
      </c>
      <c r="CE160" s="1" t="s">
        <v>316</v>
      </c>
      <c r="CF160" s="23" t="str">
        <f aca="false">CONCATENATE(CD160,"_",CE160)</f>
        <v>dsl_Cheap</v>
      </c>
      <c r="CG160" s="23" t="str">
        <f aca="false">_xlfn.CONCAT(K160, "_",L160)</f>
        <v>diesel_RAIL</v>
      </c>
      <c r="CH160" s="7" t="str">
        <f aca="false">_xlfn.CONCAT("{BLACK}Length: {GOLD}", TEXT(ROUNDUP(IF(AT160&lt;&gt;"",SUM(VALUE(_xlfn.TEXTSPLIT(AT160, ","))), SUM(VALUE(_xlfn.TEXTSPLIT(AQ160, ",")))*IF(P160, P160, 1))/16, 1), "#,##0.0"), " tiles{}")</f>
        <v>{BLACK}Length: {GOLD}0.4 tiles{}</v>
      </c>
      <c r="CI160" s="1" t="n">
        <f aca="false">VLOOKUP($CG160, Constants!$M:$N, 2, FALSE())</f>
        <v>0</v>
      </c>
      <c r="CJ160" s="1" t="str">
        <f aca="false">IF(P160&gt;1,_xlfn.CONCAT("{BLACK}Cars: {GOLD}", P160),"")</f>
        <v/>
      </c>
      <c r="CK160" s="1" t="s">
        <v>570</v>
      </c>
      <c r="CL160" s="1" t="str">
        <f aca="false">IF($BX160="!param_no_gameplay_units","{GREEN}Included for gameplay purposes","")</f>
        <v/>
      </c>
      <c r="CM160" s="1" t="str">
        <f aca="false">IF(CA160="buffet","{YELLOW}25% long distance bonus for consist{}",IF(CB160="DANDY","{YELLOW}Faster downhill speeds for horse-drawn trains (1 required per 2 horses){}",IF(CB160="BRAKE","{YELLOW}Speed bonus for slow wagons{}",IF(CB160="NGPassengers","{YELLOW}Preserved railway bonus: passengers pay more when hauled by old locomotives{}",IF(AND(BZ160&gt;190,NOT(AND(L160="NARROW_GAUGE",CB160&lt;&gt;"PASS"))),CONCATENATE("{YELLOW}",INT((BZ160-185)/1.85),"%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{GOLD}0.4 tiles{}{SILVER}The Class 03 is a diesel-mechanical shunter, with a five speed manual gearbox driven through a fluid coupling. They were most useful in areas where the Class 08 was too large and heavy to operate.</v>
      </c>
    </row>
    <row r="161" customFormat="false" ht="14.25" hidden="false" customHeight="false" outlineLevel="0" collapsed="false">
      <c r="A161" s="1" t="s">
        <v>571</v>
      </c>
      <c r="B161" s="15" t="s">
        <v>572</v>
      </c>
      <c r="C161" s="1" t="n">
        <v>181</v>
      </c>
      <c r="E161" s="1" t="n">
        <v>117</v>
      </c>
      <c r="G161" s="1" t="str">
        <f aca="false">IF($F161&lt;&gt;"",_xlfn.CONCAT(VLOOKUP($CE161, Constants!$T:$U, 2, FALSE()),",",$F161),VLOOKUP($CE161, Constants!$T:$U, 2, FALSE()))</f>
        <v>role/mixed</v>
      </c>
      <c r="H161" s="1" t="str">
        <f aca="false">IF($G161&lt;&gt;"",_xlfn.CONCAT(VLOOKUP($CG161, Constants!$M:$P, 4, FALSE()),",",$G161),VLOOKUP($CG161, Constants!$M:$P, 4, FALSE()))</f>
        <v>flag/GB,power/diesel,role/mixed</v>
      </c>
      <c r="I161" s="1" t="s">
        <v>198</v>
      </c>
      <c r="J161" s="1" t="s">
        <v>206</v>
      </c>
      <c r="K161" s="1" t="s">
        <v>482</v>
      </c>
      <c r="L161" s="1" t="s">
        <v>149</v>
      </c>
      <c r="M161" s="1" t="n">
        <v>1957</v>
      </c>
      <c r="N161" s="1" t="n">
        <v>1968</v>
      </c>
      <c r="Q161" s="1" t="n">
        <v>1000</v>
      </c>
      <c r="Z161" s="1" t="n">
        <v>73</v>
      </c>
      <c r="AC161" s="1" t="n">
        <v>186</v>
      </c>
      <c r="AD161" s="4" t="n">
        <f aca="false">IF(AND(Z161&gt;0,AC161&gt;0),(AC161/((Z161+AA161)*10)),"")</f>
        <v>0.254794520547945</v>
      </c>
      <c r="AE161" s="1" t="n">
        <v>75</v>
      </c>
      <c r="AF161" s="1" t="n">
        <f aca="false">ROUND(AE161*1.6, 0)</f>
        <v>120</v>
      </c>
      <c r="AI161" s="1" t="n">
        <v>14.25</v>
      </c>
      <c r="AJ161" s="1" t="n">
        <v>14.25</v>
      </c>
      <c r="AK161" s="1" t="n">
        <v>2.67</v>
      </c>
      <c r="AL161" s="1" t="n">
        <v>3.85</v>
      </c>
      <c r="AM161" s="5" t="n">
        <v>0</v>
      </c>
      <c r="AN161" s="1" t="str">
        <f aca="false">CONCATENATE(VLOOKUP(AO161, 'Voxel Sizes'!$A$2:$B$18,2,FALSE()),"x",INT(AK161*15), "x", INT(AL161*15))</f>
        <v>136x40x57</v>
      </c>
      <c r="AO161" s="1" t="n">
        <f aca="false">ROUND(15*((AJ161*10)/256),0)</f>
        <v>8</v>
      </c>
      <c r="AQ161" s="1" t="str">
        <f aca="false">CONCATENATE(VLOOKUP(AO161,Constants!$A$2:$C$16,IF(AP161&lt;&gt;"", 3, 2), FALSE()),IF(AP161&lt;&gt;"",CONCATENATE(",",VLOOKUP(AP161,$B:$AQ,42,FALSE())),""))</f>
        <v>2,4,2</v>
      </c>
      <c r="BA161" s="1" t="n">
        <v>33</v>
      </c>
      <c r="BB161" s="16" t="str">
        <f aca="false">IF(O161&lt;&gt;"",MAX(16,(O161-M161)+8),"")</f>
        <v/>
      </c>
      <c r="BE161" s="1" t="n">
        <f aca="false">MIN(AE161/150, 1)*30</f>
        <v>15</v>
      </c>
      <c r="BF161" s="1" t="n">
        <f aca="false">MIN(Q161/4000, 1)*20</f>
        <v>5</v>
      </c>
      <c r="BG161" s="1" t="n">
        <f aca="false">MIN(AC161/400,1)*20</f>
        <v>9.3</v>
      </c>
      <c r="BH161" s="4" t="n">
        <f aca="false">1-(MAX(M161-1900, 0)/750)</f>
        <v>0.924</v>
      </c>
      <c r="BI161" s="1" t="n">
        <f aca="false">((MAX($P161,1)*MIN($AM161/300,1)))*IF(J161="Wagon",50,10)</f>
        <v>0</v>
      </c>
      <c r="BJ161" s="1" t="n">
        <f aca="false">VLOOKUP($K161,Constants!$I:$K, 2, FALSE())</f>
        <v>1</v>
      </c>
      <c r="BK161" s="1" t="n">
        <f aca="false">VLOOKUP($K161,Constants!$I:$K, 3, FALSE())*IF(AND(J161="multiple_unit",AE161&lt;110),0.75,1)</f>
        <v>2</v>
      </c>
      <c r="BL161" s="1" t="n">
        <f aca="false">INT(POWER(((Constants!$G$2+$BE161+$BF161+$BG161+$BI161)*$BH161)*$BK161, 1.05))+$BD161</f>
        <v>78</v>
      </c>
      <c r="BM161" s="1" t="n">
        <f aca="false">INT(POWER((((Constants!$G$1+$BE161+$BF161+$BG161+$BI161)*($BH161))*$BJ161),IF($J161="wagon",1,1.2)))+$BC161</f>
        <v>85</v>
      </c>
      <c r="BN161" s="17" t="n">
        <f aca="false">BL161*IF($J161="wagon",62.5,781.25)</f>
        <v>60937.5</v>
      </c>
      <c r="BO161" s="17" t="n">
        <f aca="false">BM161*IF($J161="wagon",2.73,81.25)</f>
        <v>6906.25</v>
      </c>
      <c r="BP161" s="1" t="n">
        <v>2</v>
      </c>
      <c r="BY161" s="1" t="n">
        <v>4</v>
      </c>
      <c r="CD161" s="1" t="str">
        <f aca="false">VLOOKUP(M161,Eras!$A$2:$C$10, 2, TRUE())</f>
        <v>dsl</v>
      </c>
      <c r="CE161" s="1" t="s">
        <v>129</v>
      </c>
      <c r="CF161" s="1" t="str">
        <f aca="false">CONCATENATE(CD161,"_",CE161)</f>
        <v>dsl_Mixed Traffic</v>
      </c>
      <c r="CG161" s="1" t="str">
        <f aca="false">_xlfn.CONCAT(K161, "_",L161)</f>
        <v>diesel_RAIL</v>
      </c>
      <c r="CH161" s="7" t="str">
        <f aca="false">_xlfn.CONCAT("{BLACK}Length: {GOLD}", TEXT(ROUNDUP(IF(AT161&lt;&gt;"",SUM(VALUE(_xlfn.TEXTSPLIT(AT161, ","))), SUM(VALUE(_xlfn.TEXTSPLIT(AQ161, ",")))*IF(P161, P161, 1))/16, 1), "#,##0.0"), " tiles{}")</f>
        <v>{BLACK}Length: {GOLD}0.5 tiles{}</v>
      </c>
      <c r="CI161" s="1" t="n">
        <f aca="false">VLOOKUP($CG161, Constants!$M:$N, 2, FALSE())</f>
        <v>0</v>
      </c>
      <c r="CJ161" s="1" t="str">
        <f aca="false">IF(P161&gt;1,_xlfn.CONCAT("{BLACK}Cars: {GOLD}", P161),"")</f>
        <v/>
      </c>
      <c r="CK161" s="1" t="s">
        <v>573</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{GOLD}0.5 tiles{}{SILVER}The Class 20 (English Electric Type 1) is a diesel-electric locomotive designed for light freight duties. Due to its simple design it was more reliable than many contemporary locomotives, leading to a large number being built.</v>
      </c>
    </row>
    <row r="162" customFormat="false" ht="14.25" hidden="false" customHeight="false" outlineLevel="0" collapsed="false">
      <c r="A162" s="1" t="s">
        <v>574</v>
      </c>
      <c r="B162" s="15" t="s">
        <v>575</v>
      </c>
      <c r="C162" s="1" t="n">
        <v>-1</v>
      </c>
      <c r="E162" s="1" t="n">
        <v>118</v>
      </c>
      <c r="J162" s="1" t="s">
        <v>41</v>
      </c>
      <c r="K162" s="1" t="s">
        <v>41</v>
      </c>
      <c r="L162" s="1" t="s">
        <v>149</v>
      </c>
      <c r="M162" s="1" t="n">
        <v>1958</v>
      </c>
      <c r="Z162" s="1" t="n">
        <v>52</v>
      </c>
      <c r="AD162" s="4" t="str">
        <f aca="false">IF(AND(Z162&gt;0,AC162&gt;0),(AC162/((Z162+AA162)*10)),"")</f>
        <v/>
      </c>
      <c r="AI162" s="1" t="n">
        <v>6</v>
      </c>
      <c r="AJ162" s="1" t="n">
        <v>8</v>
      </c>
      <c r="AM162" s="5" t="n">
        <v>0</v>
      </c>
      <c r="AN162" s="1" t="str">
        <f aca="false">CONCATENATE(VLOOKUP(AO162, 'Voxel Sizes'!$A$2:$B$18,2,FALSE()),"x",INT(AK162*15), "x", INT(AL162*15))</f>
        <v>82x0x0</v>
      </c>
      <c r="AO162" s="1" t="n">
        <f aca="false">ROUND(15*((AJ162*10)/256),0)</f>
        <v>5</v>
      </c>
      <c r="AQ162" s="1" t="str">
        <f aca="false">CONCATENATE(VLOOKUP(AO162,Constants!$A$2:$C$16,IF(AP162&lt;&gt;"", 3, 2), FALSE()),IF(AP162&lt;&gt;"",CONCATENATE(",",VLOOKUP(AP162,$B:$AQ,39,FALSE())),""))</f>
        <v>2,1,2</v>
      </c>
      <c r="BA162" s="1" t="n">
        <v>30</v>
      </c>
      <c r="BB162" s="16" t="str">
        <f aca="false">IF(O162&lt;&gt;"",MAX(16,(O162-M162)+8),"")</f>
        <v/>
      </c>
      <c r="BE162" s="1" t="n">
        <f aca="false">MIN(AE162/150, 1)*30</f>
        <v>0</v>
      </c>
      <c r="BF162" s="1" t="n">
        <f aca="false">MIN(Q162/4000, 1)*20</f>
        <v>0</v>
      </c>
      <c r="BG162" s="1" t="n">
        <f aca="false">MIN(AC162/400,1)*20</f>
        <v>0</v>
      </c>
      <c r="BH162" s="4" t="n">
        <f aca="false">1-(MAX(M162-1900, 0)/750)</f>
        <v>0.922666666666667</v>
      </c>
      <c r="BI162" s="1" t="n">
        <f aca="false">((MAX($P162,1)*MIN($AM162/300,1)))*IF(J162="Wagon",50,10)</f>
        <v>0</v>
      </c>
      <c r="BJ162" s="1" t="n">
        <f aca="false">VLOOKUP($K162,Constants!$I:$K, 2, FALSE())</f>
        <v>0</v>
      </c>
      <c r="BK162" s="1" t="n">
        <f aca="false">VLOOKUP($K162,Constants!$I:$K, 3, FALSE())*IF(AND(J162="multiple_unit",AE162&lt;110),0.75,1)</f>
        <v>0</v>
      </c>
      <c r="BL162" s="1" t="n">
        <f aca="false">INT(POWER(((Constants!$G$2+$BE162+$BF162+$BG162+$BI162)*$BH162)*$BK162, 1.05))+$BD162</f>
        <v>0</v>
      </c>
      <c r="BM162" s="1" t="n">
        <f aca="false">INT(POWER((((Constants!$G$1+$BE162+$BF162+$BG162+$BI162)*($BH162))*$BJ162),IF($J162="wagon",1,1.2)))+$BC162</f>
        <v>0</v>
      </c>
      <c r="BN162" s="17" t="n">
        <f aca="false">BL162*IF($J162="wagon",62.5,781.25)</f>
        <v>0</v>
      </c>
      <c r="BO162" s="17" t="n">
        <f aca="false">BM162*IF($J162="wagon",2.73,81.25)</f>
        <v>0</v>
      </c>
      <c r="CD162" s="1" t="str">
        <f aca="false">VLOOKUP(M162,Eras!$A$2:$C$10, 2, TRUE())</f>
        <v>dsl</v>
      </c>
      <c r="CF162" s="1" t="str">
        <f aca="false">CONCATENATE(CD162,"_",CE162)</f>
        <v>dsl_</v>
      </c>
      <c r="CG162" s="1" t="str">
        <f aca="false">_xlfn.CONCAT(K162, "_",L162)</f>
        <v>tender_RAIL</v>
      </c>
      <c r="CH162" s="7" t="str">
        <f aca="false">_xlfn.CONCAT("{BLACK}Length: {GOLD}", TEXT(ROUNDUP(IF(AT162&lt;&gt;"",SUM(VALUE(_xlfn.TEXTSPLIT(AT162, ","))), SUM(VALUE(_xlfn.TEXTSPLIT(AQ162, ",")))*IF(P162, P162, 1))/16, 1), "#,##0.0"), " tiles{}")</f>
        <v>{BLACK}Length: {GOLD}0.4 tiles{}</v>
      </c>
      <c r="CI162" s="1" t="n">
        <f aca="false">VLOOKUP($CG162, Constants!$M:$N, 2, FALSE())</f>
        <v>0</v>
      </c>
      <c r="CJ162" s="1" t="str">
        <f aca="false">IF(P162&gt;1,_xlfn.CONCAT("{BLACK}Cars: {GOLD}", P162),"")</f>
        <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{GOLD}0.4 tiles{}{SILVER}</v>
      </c>
    </row>
    <row r="163" customFormat="false" ht="14.25" hidden="false" customHeight="false" outlineLevel="0" collapsed="false">
      <c r="A163" s="1" t="s">
        <v>576</v>
      </c>
      <c r="B163" s="15" t="s">
        <v>577</v>
      </c>
      <c r="C163" s="1" t="n">
        <v>182</v>
      </c>
      <c r="E163" s="1" t="n">
        <v>119</v>
      </c>
      <c r="F163" s="1" t="s">
        <v>143</v>
      </c>
      <c r="G163" s="1" t="str">
        <f aca="false">IF($F163&lt;&gt;"",_xlfn.CONCAT(VLOOKUP($CE163, Constants!$T:$U, 2, FALSE()),",",$F163),VLOOKUP($CE163, Constants!$T:$U, 2, FALSE()))</f>
        <v>role/express_passenger,role/prototype</v>
      </c>
      <c r="H163" s="1" t="str">
        <f aca="false">IF($G163&lt;&gt;"",_xlfn.CONCAT(VLOOKUP($CG163, Constants!$M:$P, 4, FALSE()),",",$G163),VLOOKUP($CG163, Constants!$M:$P, 4, FALSE()))</f>
        <v>flag/GB,power/turbine,role/express_passenger,role/prototype</v>
      </c>
      <c r="I163" s="1" t="s">
        <v>198</v>
      </c>
      <c r="J163" s="1" t="s">
        <v>206</v>
      </c>
      <c r="K163" s="1" t="s">
        <v>536</v>
      </c>
      <c r="L163" s="1" t="s">
        <v>149</v>
      </c>
      <c r="M163" s="1" t="n">
        <v>1958</v>
      </c>
      <c r="N163" s="1" t="n">
        <v>1961</v>
      </c>
      <c r="O163" s="1" t="n">
        <v>1966</v>
      </c>
      <c r="Q163" s="1" t="n">
        <v>2750</v>
      </c>
      <c r="Z163" s="1" t="n">
        <v>81</v>
      </c>
      <c r="AA163" s="2" t="n">
        <v>45</v>
      </c>
      <c r="AC163" s="1" t="n">
        <v>169</v>
      </c>
      <c r="AD163" s="4" t="n">
        <f aca="false">IF(AND(Z163&gt;0,AC163&gt;0),(AC163/((Z163+AA163)*10)),"")</f>
        <v>0.134126984126984</v>
      </c>
      <c r="AE163" s="1" t="n">
        <v>90</v>
      </c>
      <c r="AF163" s="1" t="n">
        <f aca="false">ROUND(AE163*1.6, 0)</f>
        <v>144</v>
      </c>
      <c r="AI163" s="1" t="n">
        <v>20.74</v>
      </c>
      <c r="AJ163" s="1" t="n">
        <v>14</v>
      </c>
      <c r="AM163" s="5" t="n">
        <v>0</v>
      </c>
      <c r="AN163" s="1" t="str">
        <f aca="false">CONCATENATE(VLOOKUP(AO163, 'Voxel Sizes'!$A$2:$B$18,2,FALSE()),"x",INT(AK163*15), "x", INT(AL163*15))</f>
        <v>136x0x0</v>
      </c>
      <c r="AO163" s="1" t="n">
        <f aca="false">ROUND(15*((AJ163*10)/256),0)</f>
        <v>8</v>
      </c>
      <c r="AP163" s="1" t="s">
        <v>575</v>
      </c>
      <c r="AQ163" s="1" t="str">
        <f aca="false">CONCATENATE(VLOOKUP(AO163,Constants!$A$2:$C$16,IF(AP163&lt;&gt;"", 3, 2), FALSE()),IF(AP163&lt;&gt;"",CONCATENATE(",",VLOOKUP(AP163,$B:$AQ,42,FALSE())),""))</f>
        <v>2,4,2,2,1,2</v>
      </c>
      <c r="AY163" s="1" t="n">
        <v>1</v>
      </c>
      <c r="BA163" s="1" t="n">
        <v>9</v>
      </c>
      <c r="BB163" s="16" t="n">
        <f aca="false">IF(O163&lt;&gt;"",MAX(16,(O163-M163)+8),"")</f>
        <v>16</v>
      </c>
      <c r="BE163" s="1" t="n">
        <f aca="false">MIN(AE163/150, 1)*30</f>
        <v>18</v>
      </c>
      <c r="BF163" s="1" t="n">
        <f aca="false">MIN(Q163/4000, 1)*20</f>
        <v>13.75</v>
      </c>
      <c r="BG163" s="1" t="n">
        <f aca="false">MIN(AC163/400,1)*20</f>
        <v>8.45</v>
      </c>
      <c r="BH163" s="4" t="n">
        <f aca="false">1-(MAX(M163-1900, 0)/750)</f>
        <v>0.922666666666667</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104</v>
      </c>
      <c r="BM163" s="1" t="n">
        <f aca="false">INT(POWER((((Constants!$G$1+$BE163+$BF163+$BG163+$BI163)*($BH163))*$BJ163),IF($J163="wagon",1,1.2)))+$BC163</f>
        <v>111</v>
      </c>
      <c r="BN163" s="17" t="n">
        <f aca="false">BL163*IF($J163="wagon",62.5,781.25)</f>
        <v>81250</v>
      </c>
      <c r="BO163" s="17" t="n">
        <f aca="false">BM163*IF($J163="wagon",2.73,81.25)</f>
        <v>9018.75</v>
      </c>
      <c r="BY163" s="1" t="n">
        <v>5</v>
      </c>
      <c r="CD163" s="1" t="str">
        <f aca="false">VLOOKUP(M163,Eras!$A$2:$C$10, 2, TRUE())</f>
        <v>dsl</v>
      </c>
      <c r="CE163" s="1" t="s">
        <v>241</v>
      </c>
      <c r="CF163" s="1" t="str">
        <f aca="false">CONCATENATE(CD163,"_",CE163)</f>
        <v>dsl_Express</v>
      </c>
      <c r="CG163" s="1" t="str">
        <f aca="false">_xlfn.CONCAT(K163, "_",L163)</f>
        <v>gas_turbine_RAIL</v>
      </c>
      <c r="CH163" s="7" t="str">
        <f aca="false">_xlfn.CONCAT("{BLACK}Length: {GOLD}", TEXT(ROUNDUP(IF(AT163&lt;&gt;"",SUM(VALUE(_xlfn.TEXTSPLIT(AT163, ","))), SUM(VALUE(_xlfn.TEXTSPLIT(AQ163, ",")))*IF(P163, P163, 1))/16, 1), "#,##0.0"), " tiles{}")</f>
        <v>{BLACK}Length: {GOLD}0.9 tiles{}</v>
      </c>
      <c r="CI163" s="1" t="n">
        <f aca="false">VLOOKUP($CG163, Constants!$M:$N, 2, FALSE())</f>
        <v>0</v>
      </c>
      <c r="CJ163" s="1" t="str">
        <f aca="false">IF(P163&gt;1,_xlfn.CONCAT("{BLACK}Cars: {GOLD}", P163),"")</f>
        <v/>
      </c>
      <c r="CK163" s="1" t="s">
        <v>578</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{GOLD}0.9 tiles{}{SILVER}The GT3 was part of a programme to test gas turbine locomotives. It used a conventional steam driving wheel arrangement to keep the design simple.</v>
      </c>
    </row>
    <row r="164" customFormat="false" ht="14.25" hidden="false" customHeight="false" outlineLevel="0" collapsed="false">
      <c r="A164" s="1" t="s">
        <v>579</v>
      </c>
      <c r="B164" s="15" t="s">
        <v>580</v>
      </c>
      <c r="C164" s="1" t="n">
        <v>183</v>
      </c>
      <c r="E164" s="1" t="n">
        <v>120</v>
      </c>
      <c r="G164" s="1" t="str">
        <f aca="false">IF($F164&lt;&gt;"",_xlfn.CONCAT(VLOOKUP($CE164, Constants!$T:$U, 2, FALSE()),",",$F164),VLOOKUP($CE164, Constants!$T:$U, 2, FALSE()))</f>
        <v>role/passenger</v>
      </c>
      <c r="H164" s="1" t="str">
        <f aca="false">IF($G164&lt;&gt;"",_xlfn.CONCAT(VLOOKUP($CG164, Constants!$M:$P, 4, FALSE()),",",$G164),VLOOKUP($CG164, Constants!$M:$P, 4, FALSE()))</f>
        <v>flag/GB,power/diesel,role/passenger</v>
      </c>
      <c r="I164" s="1" t="s">
        <v>198</v>
      </c>
      <c r="J164" s="1" t="s">
        <v>206</v>
      </c>
      <c r="K164" s="1" t="s">
        <v>482</v>
      </c>
      <c r="L164" s="1" t="s">
        <v>149</v>
      </c>
      <c r="M164" s="1" t="n">
        <v>1958</v>
      </c>
      <c r="N164" s="1" t="n">
        <v>1961</v>
      </c>
      <c r="O164" s="1" t="n">
        <v>1972</v>
      </c>
      <c r="Q164" s="1" t="n">
        <f aca="false">1035*2</f>
        <v>2070</v>
      </c>
      <c r="Z164" s="1" t="n">
        <v>79.3</v>
      </c>
      <c r="AC164" s="1" t="n">
        <v>214</v>
      </c>
      <c r="AD164" s="4" t="n">
        <f aca="false">IF(AND(Z164&gt;0,AC164&gt;0),(AC164/((Z164+AA164)*10)),"")</f>
        <v>0.269861286254729</v>
      </c>
      <c r="AE164" s="1" t="n">
        <v>90</v>
      </c>
      <c r="AF164" s="1" t="n">
        <f aca="false">ROUND(AE164*1.6, 0)</f>
        <v>144</v>
      </c>
      <c r="AI164" s="1" t="n">
        <v>18.29</v>
      </c>
      <c r="AJ164" s="1" t="n">
        <v>18.29</v>
      </c>
      <c r="AL164" s="1" t="n">
        <v>3.67</v>
      </c>
      <c r="AM164" s="5" t="n">
        <v>0</v>
      </c>
      <c r="AN164" s="1" t="str">
        <f aca="false">CONCATENATE(VLOOKUP(AO164, 'Voxel Sizes'!$A$2:$B$18,2,FALSE()),"x",INT(AK164*15), "x", INT(AL164*15))</f>
        <v>186x0x55</v>
      </c>
      <c r="AO164" s="1" t="n">
        <f aca="false">ROUND(15*((AJ164*10)/256),0)</f>
        <v>11</v>
      </c>
      <c r="AQ164" s="1" t="str">
        <f aca="false">CONCATENATE(VLOOKUP(AO164,Constants!$A$2:$C$16,IF(AP164&lt;&gt;"", 3, 2), FALSE()),IF(AP164&lt;&gt;"",CONCATENATE(",",VLOOKUP(AP164,$B:$AQ,42,FALSE())),""))</f>
        <v>4,3,4</v>
      </c>
      <c r="BA164" s="1" t="n">
        <v>32</v>
      </c>
      <c r="BB164" s="16" t="n">
        <f aca="false">IF(O164&lt;&gt;"",MAX(16,(O164-M164)+8),"")</f>
        <v>22</v>
      </c>
      <c r="BE164" s="1" t="n">
        <f aca="false">MIN(AE164/150, 1)*30</f>
        <v>18</v>
      </c>
      <c r="BF164" s="1" t="n">
        <f aca="false">MIN(Q164/4000, 1)*20</f>
        <v>10.35</v>
      </c>
      <c r="BG164" s="1" t="n">
        <f aca="false">MIN(AC164/400,1)*20</f>
        <v>10.7</v>
      </c>
      <c r="BH164" s="4" t="n">
        <f aca="false">1-(MAX(M164-1900, 0)/750)</f>
        <v>0.922666666666667</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101</v>
      </c>
      <c r="BM164" s="1" t="n">
        <f aca="false">INT(POWER((((Constants!$G$1+$BE164+$BF164+$BG164+$BI164)*($BH164))*$BJ164),IF($J164="wagon",1,1.2)))+$BC164</f>
        <v>108</v>
      </c>
      <c r="BN164" s="17" t="n">
        <f aca="false">BL164*IF($J164="wagon",62.5,781.25)</f>
        <v>78906.25</v>
      </c>
      <c r="BO164" s="17" t="n">
        <f aca="false">BM164*IF($J164="wagon",2.73,81.25)</f>
        <v>8775</v>
      </c>
      <c r="BY164" s="1" t="n">
        <v>6</v>
      </c>
      <c r="CD164" s="1" t="str">
        <f aca="false">VLOOKUP(M164,Eras!$A$2:$C$10, 2, TRUE())</f>
        <v>dsl</v>
      </c>
      <c r="CE164" s="1" t="s">
        <v>123</v>
      </c>
      <c r="CF164" s="1" t="str">
        <f aca="false">CONCATENATE(CD164,"_",CE164)</f>
        <v>dsl_Passenger</v>
      </c>
      <c r="CG164" s="1" t="str">
        <f aca="false">_xlfn.CONCAT(K164, "_",L164)</f>
        <v>diesel_RAIL</v>
      </c>
      <c r="CH164" s="7" t="str">
        <f aca="false">_xlfn.CONCAT("{BLACK}Length: {GOLD}", TEXT(ROUNDUP(IF(AT164&lt;&gt;"",SUM(VALUE(_xlfn.TEXTSPLIT(AT164, ","))), SUM(VALUE(_xlfn.TEXTSPLIT(AQ164, ",")))*IF(P164, P164, 1))/16, 1), "#,##0.0"), " tiles{}")</f>
        <v>{BLACK}Length: {GOLD}0.7 tiles{}</v>
      </c>
      <c r="CI164" s="1" t="n">
        <f aca="false">VLOOKUP($CG164, Constants!$M:$N, 2, FALSE())</f>
        <v>0</v>
      </c>
      <c r="CJ164" s="1" t="str">
        <f aca="false">IF(P164&gt;1,_xlfn.CONCAT("{BLACK}Cars: {GOLD}", P164),"")</f>
        <v/>
      </c>
      <c r="CK164" s="1" t="s">
        <v>581</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{GOLD}0.7 tiles{}{SILVER}The Class 42 is based on the German V200 design, scaled down to fit the smaller British loading gauge and built under licence by British manufacturers.</v>
      </c>
    </row>
    <row r="165" customFormat="false" ht="14.25" hidden="false" customHeight="false" outlineLevel="0" collapsed="false">
      <c r="A165" s="1" t="s">
        <v>582</v>
      </c>
      <c r="B165" s="15" t="s">
        <v>583</v>
      </c>
      <c r="C165" s="1" t="n">
        <v>184</v>
      </c>
      <c r="E165" s="1" t="n">
        <v>121</v>
      </c>
      <c r="G165" s="1" t="str">
        <f aca="false">IF($F165&lt;&gt;"",_xlfn.CONCAT(VLOOKUP($CE165, Constants!$T:$U, 2, FALSE()),",",$F165),VLOOKUP($CE165, Constants!$T:$U, 2, FALSE()))</f>
        <v>role/express_passenger</v>
      </c>
      <c r="H165" s="1" t="str">
        <f aca="false">IF($G165&lt;&gt;"",_xlfn.CONCAT(VLOOKUP($CG165, Constants!$M:$P, 4, FALSE()),",",$G165),VLOOKUP($CG165, Constants!$M:$P, 4, FALSE()))</f>
        <v>flag/GB,power/diesel,role/express_passenger</v>
      </c>
      <c r="I165" s="1" t="s">
        <v>198</v>
      </c>
      <c r="J165" s="1" t="s">
        <v>206</v>
      </c>
      <c r="K165" s="1" t="s">
        <v>482</v>
      </c>
      <c r="L165" s="1" t="s">
        <v>149</v>
      </c>
      <c r="M165" s="1" t="n">
        <v>1958</v>
      </c>
      <c r="N165" s="1" t="n">
        <v>1962</v>
      </c>
      <c r="O165" s="1" t="n">
        <v>1985</v>
      </c>
      <c r="Q165" s="1" t="n">
        <v>2000</v>
      </c>
      <c r="Z165" s="1" t="n">
        <v>135</v>
      </c>
      <c r="AC165" s="1" t="n">
        <v>231</v>
      </c>
      <c r="AD165" s="4" t="n">
        <f aca="false">IF(AND(Z165&gt;0,AC165&gt;0),(AC165/((Z165+AA165)*10)),"")</f>
        <v>0.171111111111111</v>
      </c>
      <c r="AE165" s="1" t="n">
        <v>90</v>
      </c>
      <c r="AF165" s="1" t="n">
        <f aca="false">ROUND(AE165*1.6, 0)</f>
        <v>144</v>
      </c>
      <c r="AI165" s="1" t="n">
        <v>21.18</v>
      </c>
      <c r="AJ165" s="1" t="n">
        <v>21.18</v>
      </c>
      <c r="AL165" s="1" t="n">
        <v>3.91</v>
      </c>
      <c r="AM165" s="5" t="n">
        <v>0</v>
      </c>
      <c r="AN165" s="1" t="str">
        <f aca="false">CONCATENATE(VLOOKUP(AO165, 'Voxel Sizes'!$A$2:$B$18,2,FALSE()),"x",INT(AK165*15), "x", INT(AL165*15))</f>
        <v>198x0x58</v>
      </c>
      <c r="AO165" s="1" t="n">
        <f aca="false">ROUND(15*((AJ165*10)/256),0)</f>
        <v>12</v>
      </c>
      <c r="AQ165" s="1" t="str">
        <f aca="false">CONCATENATE(VLOOKUP(AO165,Constants!$A$2:$C$16,IF(AP165&lt;&gt;"", 3, 2), FALSE()),IF(AP165&lt;&gt;"",CONCATENATE(",",VLOOKUP(AP165,$B:$AQ,42,FALSE())),""))</f>
        <v>4,4,4</v>
      </c>
      <c r="BA165" s="1" t="n">
        <v>29</v>
      </c>
      <c r="BB165" s="16" t="n">
        <f aca="false">IF(O165&lt;&gt;"",MAX(16,(O165-M165)+8),"")</f>
        <v>35</v>
      </c>
      <c r="BE165" s="1" t="n">
        <f aca="false">MIN(AE165/150, 1)*30</f>
        <v>18</v>
      </c>
      <c r="BF165" s="1" t="n">
        <f aca="false">MIN(Q165/4000, 1)*20</f>
        <v>10</v>
      </c>
      <c r="BG165" s="1" t="n">
        <f aca="false">MIN(AC165/400,1)*20</f>
        <v>11.55</v>
      </c>
      <c r="BH165" s="4" t="n">
        <f aca="false">1-(MAX(M165-1900, 0)/750)</f>
        <v>0.922666666666667</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102</v>
      </c>
      <c r="BM165" s="1" t="n">
        <f aca="false">INT(POWER((((Constants!$G$1+$BE165+$BF165+$BG165+$BI165)*($BH165))*$BJ165),IF($J165="wagon",1,1.2)))+$BC165</f>
        <v>110</v>
      </c>
      <c r="BN165" s="17" t="n">
        <f aca="false">BL165*IF($J165="wagon",62.5,781.25)</f>
        <v>79687.5</v>
      </c>
      <c r="BO165" s="17" t="n">
        <f aca="false">BM165*IF($J165="wagon",2.73,81.25)</f>
        <v>8937.5</v>
      </c>
      <c r="BY165" s="1" t="n">
        <v>7</v>
      </c>
      <c r="CD165" s="1" t="str">
        <f aca="false">VLOOKUP(M165,Eras!$A$2:$C$10, 2, TRUE())</f>
        <v>dsl</v>
      </c>
      <c r="CE165" s="1" t="s">
        <v>241</v>
      </c>
      <c r="CF165" s="1" t="str">
        <f aca="false">CONCATENATE(CD165,"_",CE165)</f>
        <v>dsl_Express</v>
      </c>
      <c r="CG165" s="1" t="str">
        <f aca="false">_xlfn.CONCAT(K165, "_",L165)</f>
        <v>diesel_RAIL</v>
      </c>
      <c r="CH165" s="7" t="str">
        <f aca="false">_xlfn.CONCAT("{BLACK}Length: {GOLD}", TEXT(ROUNDUP(IF(AT165&lt;&gt;"",SUM(VALUE(_xlfn.TEXTSPLIT(AT165, ","))), SUM(VALUE(_xlfn.TEXTSPLIT(AQ165, ",")))*IF(P165, P165, 1))/16, 1), "#,##0.0"), " tiles{}")</f>
        <v>{BLACK}Length: {GOLD}0.8 tiles{}</v>
      </c>
      <c r="CI165" s="1" t="n">
        <f aca="false">VLOOKUP($CG165, Constants!$M:$N, 2, FALSE())</f>
        <v>0</v>
      </c>
      <c r="CJ165" s="1" t="str">
        <f aca="false">IF(P165&gt;1,_xlfn.CONCAT("{BLACK}Cars: {GOLD}", P165),"")</f>
        <v/>
      </c>
      <c r="CK165" s="1" t="s">
        <v>584</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{GOLD}0.8 tiles{}{SILVER}Initially unwanted due to the small improvement in performance over the Class 7 Britannia, the Class 40 (English Electric Type 4) found its home on the West Coast Main Line.</v>
      </c>
    </row>
    <row r="166" customFormat="false" ht="14.25" hidden="false" customHeight="false" outlineLevel="0" collapsed="false">
      <c r="A166" s="1" t="s">
        <v>585</v>
      </c>
      <c r="B166" s="15" t="s">
        <v>586</v>
      </c>
      <c r="C166" s="1" t="n">
        <v>185</v>
      </c>
      <c r="E166" s="1" t="n">
        <v>122</v>
      </c>
      <c r="G166" s="1" t="str">
        <f aca="false">IF($F166&lt;&gt;"",_xlfn.CONCAT(VLOOKUP($CE166, Constants!$T:$U, 2, FALSE()),",",$F166),VLOOKUP($CE166, Constants!$T:$U, 2, FALSE()))</f>
        <v>role/mixed</v>
      </c>
      <c r="H166" s="1" t="str">
        <f aca="false">IF($G166&lt;&gt;"",_xlfn.CONCAT(VLOOKUP($CG166, Constants!$M:$P, 4, FALSE()),",",$G166),VLOOKUP($CG166, Constants!$M:$P, 4, FALSE()))</f>
        <v>flag/GB,power/diesel,role/mixed</v>
      </c>
      <c r="I166" s="1" t="s">
        <v>198</v>
      </c>
      <c r="J166" s="1" t="s">
        <v>206</v>
      </c>
      <c r="K166" s="1" t="s">
        <v>482</v>
      </c>
      <c r="L166" s="1" t="s">
        <v>149</v>
      </c>
      <c r="M166" s="1" t="n">
        <v>1958</v>
      </c>
      <c r="N166" s="1" t="n">
        <v>1959</v>
      </c>
      <c r="O166" s="1" t="n">
        <v>1968</v>
      </c>
      <c r="Q166" s="1" t="n">
        <v>1200</v>
      </c>
      <c r="Z166" s="1" t="n">
        <v>98.6</v>
      </c>
      <c r="AC166" s="1" t="n">
        <v>222</v>
      </c>
      <c r="AD166" s="4" t="n">
        <f aca="false">IF(AND(Z166&gt;0,AC166&gt;0),(AC166/((Z166+AA166)*10)),"")</f>
        <v>0.225152129817444</v>
      </c>
      <c r="AE166" s="1" t="n">
        <v>75</v>
      </c>
      <c r="AF166" s="1" t="n">
        <f aca="false">ROUND(AE166*1.6, 0)</f>
        <v>120</v>
      </c>
      <c r="AI166" s="1" t="n">
        <v>17.26</v>
      </c>
      <c r="AJ166" s="1" t="n">
        <v>17.26</v>
      </c>
      <c r="AL166" s="1" t="n">
        <v>3.7</v>
      </c>
      <c r="AM166" s="5" t="n">
        <v>0</v>
      </c>
      <c r="AN166" s="1" t="str">
        <f aca="false">CONCATENATE(VLOOKUP(AO166, 'Voxel Sizes'!$A$2:$B$18,2,FALSE()),"x",INT(AK166*15), "x", INT(AL166*15))</f>
        <v>164x0x55</v>
      </c>
      <c r="AO166" s="1" t="n">
        <f aca="false">ROUND(15*((AJ166*10)/256),0)</f>
        <v>10</v>
      </c>
      <c r="AQ166" s="1" t="str">
        <f aca="false">CONCATENATE(VLOOKUP(AO166,Constants!$A$2:$C$16,IF(AP166&lt;&gt;"", 3, 2), FALSE()),IF(AP166&lt;&gt;"",CONCATENATE(",",VLOOKUP(AP166,$B:$AQ,42,FALSE())),""))</f>
        <v>4,2,4</v>
      </c>
      <c r="BA166" s="1" t="n">
        <v>21</v>
      </c>
      <c r="BB166" s="16" t="n">
        <f aca="false">IF(O166&lt;&gt;"",MAX(16,(O166-M166)+8),"")</f>
        <v>18</v>
      </c>
      <c r="BE166" s="1" t="n">
        <f aca="false">MIN(AE166/150, 1)*30</f>
        <v>15</v>
      </c>
      <c r="BF166" s="1" t="n">
        <f aca="false">MIN(Q166/4000, 1)*20</f>
        <v>6</v>
      </c>
      <c r="BG166" s="1" t="n">
        <f aca="false">MIN(AC166/400,1)*20</f>
        <v>11.1</v>
      </c>
      <c r="BH166" s="4" t="n">
        <f aca="false">1-(MAX(M166-1900, 0)/750)</f>
        <v>0.922666666666667</v>
      </c>
      <c r="BI166" s="1" t="n">
        <f aca="false">((MAX($P166,1)*MIN($AM166/300,1)))*IF(J166="Wagon",50,10)</f>
        <v>0</v>
      </c>
      <c r="BJ166" s="1" t="n">
        <f aca="false">VLOOKUP($K166,Constants!$I:$K, 2, FALSE())</f>
        <v>1</v>
      </c>
      <c r="BK166" s="1" t="n">
        <f aca="false">VLOOKUP($K166,Constants!$I:$K, 3, FALSE())*IF(AND(J166="multiple_unit",AE166&lt;110),0.75,1)</f>
        <v>2</v>
      </c>
      <c r="BL166" s="1" t="n">
        <f aca="false">INT(POWER(((Constants!$G$2+$BE166+$BF166+$BG166+$BI166)*$BH166)*$BK166, 1.05))+$BD166</f>
        <v>84</v>
      </c>
      <c r="BM166" s="1" t="n">
        <f aca="false">INT(POWER((((Constants!$G$1+$BE166+$BF166+$BG166+$BI166)*($BH166))*$BJ166),IF($J166="wagon",1,1.2)))+$BC166</f>
        <v>92</v>
      </c>
      <c r="BN166" s="17" t="n">
        <f aca="false">BL166*IF($J166="wagon",62.5,781.25)</f>
        <v>65625</v>
      </c>
      <c r="BO166" s="17" t="n">
        <f aca="false">BM166*IF($J166="wagon",2.73,81.25)</f>
        <v>7475</v>
      </c>
      <c r="BY166" s="1" t="n">
        <v>8</v>
      </c>
      <c r="CD166" s="1" t="str">
        <f aca="false">VLOOKUP(M166,Eras!$A$2:$C$10, 2, TRUE())</f>
        <v>dsl</v>
      </c>
      <c r="CE166" s="1" t="s">
        <v>129</v>
      </c>
      <c r="CF166" s="1" t="str">
        <f aca="false">CONCATENATE(CD166,"_",CE166)</f>
        <v>dsl_Mixed Traffic</v>
      </c>
      <c r="CG166" s="1" t="str">
        <f aca="false">_xlfn.CONCAT(K166, "_",L166)</f>
        <v>diesel_RAIL</v>
      </c>
      <c r="CH166" s="7" t="str">
        <f aca="false">_xlfn.CONCAT("{BLACK}Length: {GOLD}", TEXT(ROUNDUP(IF(AT166&lt;&gt;"",SUM(VALUE(_xlfn.TEXTSPLIT(AT166, ","))), SUM(VALUE(_xlfn.TEXTSPLIT(AQ166, ",")))*IF(P166, P166, 1))/16, 1), "#,##0.0"), " tiles{}")</f>
        <v>{BLACK}Length: {GOLD}0.7 tiles{}</v>
      </c>
      <c r="CI166" s="1" t="n">
        <f aca="false">VLOOKUP($CG166, Constants!$M:$N, 2, FALSE())</f>
        <v>0</v>
      </c>
      <c r="CJ166" s="1" t="str">
        <f aca="false">IF(P166&gt;1,_xlfn.CONCAT("{BLACK}Cars: {GOLD}", P166),"")</f>
        <v/>
      </c>
      <c r="CK166" s="1" t="s">
        <v>587</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67" customFormat="false" ht="14.25" hidden="false" customHeight="false" outlineLevel="0" collapsed="false">
      <c r="A167" s="1" t="s">
        <v>588</v>
      </c>
      <c r="B167" s="15" t="s">
        <v>589</v>
      </c>
      <c r="C167" s="1" t="n">
        <v>186</v>
      </c>
      <c r="E167" s="1" t="n">
        <v>123</v>
      </c>
      <c r="G167" s="1" t="str">
        <f aca="false">IF($F167&lt;&gt;"",_xlfn.CONCAT(VLOOKUP($CE167, Constants!$T:$U, 2, FALSE()),",",$F167),VLOOKUP($CE167, Constants!$T:$U, 2, FALSE()))</f>
        <v>role/mixed</v>
      </c>
      <c r="H167" s="1" t="str">
        <f aca="false">IF($G167&lt;&gt;"",_xlfn.CONCAT(VLOOKUP($CG167, Constants!$M:$P, 4, FALSE()),",",$G167),VLOOKUP($CG167, Constants!$M:$P, 4, FALSE()))</f>
        <v>flag/GB,power/electric,role/mixed</v>
      </c>
      <c r="I167" s="1" t="s">
        <v>198</v>
      </c>
      <c r="J167" s="1" t="s">
        <v>206</v>
      </c>
      <c r="K167" s="1" t="s">
        <v>349</v>
      </c>
      <c r="L167" s="1" t="s">
        <v>498</v>
      </c>
      <c r="M167" s="1" t="n">
        <v>1958</v>
      </c>
      <c r="N167" s="1" t="n">
        <v>1960</v>
      </c>
      <c r="O167" s="1" t="n">
        <v>1977</v>
      </c>
      <c r="Q167" s="1" t="n">
        <v>2300</v>
      </c>
      <c r="Z167" s="1" t="n">
        <v>78.24</v>
      </c>
      <c r="AC167" s="1" t="n">
        <v>195</v>
      </c>
      <c r="AD167" s="4" t="n">
        <f aca="false">IF(AND(Z167&gt;0,AC167&gt;0),(AC167/((Z167+AA167)*10)),"")</f>
        <v>0.249233128834356</v>
      </c>
      <c r="AE167" s="1" t="n">
        <v>90</v>
      </c>
      <c r="AF167" s="1" t="n">
        <f aca="false">ROUND(AE167*1.6, 0)</f>
        <v>144</v>
      </c>
      <c r="AI167" s="1" t="n">
        <v>16.36</v>
      </c>
      <c r="AJ167" s="1" t="n">
        <v>16.36</v>
      </c>
      <c r="AM167" s="5" t="n">
        <v>0</v>
      </c>
      <c r="AN167" s="1" t="str">
        <f aca="false">CONCATENATE(VLOOKUP(AO167, 'Voxel Sizes'!$A$2:$B$18,2,FALSE()),"x",INT(AK167*15), "x", INT(AL167*15))</f>
        <v>164x0x0</v>
      </c>
      <c r="AO167" s="1" t="n">
        <f aca="false">ROUND(15*((AJ167*10)/256),0)</f>
        <v>10</v>
      </c>
      <c r="AQ167" s="1" t="str">
        <f aca="false">CONCATENATE(VLOOKUP(AO167,Constants!$A$2:$C$16,IF(AP167&lt;&gt;"", 3, 2), FALSE()),IF(AP167&lt;&gt;"",CONCATENATE(",",VLOOKUP(AP167,$B:$AQ,42,FALSE())),""))</f>
        <v>4,2,4</v>
      </c>
      <c r="BA167" s="1" t="n">
        <v>32</v>
      </c>
      <c r="BB167" s="16" t="n">
        <f aca="false">IF(O167&lt;&gt;"",MAX(16,(O167-M167)+8),"")</f>
        <v>27</v>
      </c>
      <c r="BE167" s="1" t="n">
        <f aca="false">MIN(AE167/150, 1)*30</f>
        <v>18</v>
      </c>
      <c r="BF167" s="1" t="n">
        <f aca="false">MIN(Q167/4000, 1)*20</f>
        <v>11.5</v>
      </c>
      <c r="BG167" s="1" t="n">
        <f aca="false">MIN(AC167/400,1)*20</f>
        <v>9.75</v>
      </c>
      <c r="BH167" s="4" t="n">
        <f aca="false">1-(MAX(M167-1900, 0)/750)</f>
        <v>0.922666666666667</v>
      </c>
      <c r="BI167" s="1" t="n">
        <f aca="false">((MAX($P167,1)*MIN($AM167/300,1)))*IF(J167="Wagon",50,10)</f>
        <v>0</v>
      </c>
      <c r="BJ167" s="1" t="n">
        <f aca="false">VLOOKUP($K167,Constants!$I:$K, 2, FALSE())</f>
        <v>0.85</v>
      </c>
      <c r="BK167" s="1" t="n">
        <f aca="false">VLOOKUP($K167,Constants!$I:$K, 3, FALSE())*IF(AND(J167="multiple_unit",AE167&lt;110),0.75,1)</f>
        <v>2.3</v>
      </c>
      <c r="BL167" s="1" t="n">
        <f aca="false">INT(POWER(((Constants!$G$2+$BE167+$BF167+$BG167+$BI167)*$BH167)*$BK167, 1.05))+$BD167</f>
        <v>117</v>
      </c>
      <c r="BM167" s="1" t="n">
        <f aca="false">INT(POWER((((Constants!$G$1+$BE167+$BF167+$BG167+$BI167)*($BH167))*$BJ167),IF($J167="wagon",1,1.2)))+$BC167</f>
        <v>90</v>
      </c>
      <c r="BN167" s="17" t="n">
        <f aca="false">BL167*IF($J167="wagon",62.5,781.25)</f>
        <v>91406.25</v>
      </c>
      <c r="BO167" s="17" t="n">
        <f aca="false">BM167*IF($J167="wagon",2.73,81.25)</f>
        <v>7312.5</v>
      </c>
      <c r="BY167" s="1" t="n">
        <v>9</v>
      </c>
      <c r="CD167" s="1" t="str">
        <f aca="false">VLOOKUP(M167,Eras!$A$2:$C$10, 2, TRUE())</f>
        <v>dsl</v>
      </c>
      <c r="CE167" s="1" t="s">
        <v>499</v>
      </c>
      <c r="CF167" s="1" t="str">
        <f aca="false">CONCATENATE(CD167,"_",CE167)</f>
        <v>dsl_MT (Electric)</v>
      </c>
      <c r="CG167" s="1" t="str">
        <f aca="false">_xlfn.CONCAT(K167, "_",L167)</f>
        <v>electric_THIRD_RAIL</v>
      </c>
      <c r="CH167" s="7" t="str">
        <f aca="false">_xlfn.CONCAT("{BLACK}Length: {GOLD}", TEXT(ROUNDUP(IF(AT167&lt;&gt;"",SUM(VALUE(_xlfn.TEXTSPLIT(AT167, ","))), SUM(VALUE(_xlfn.TEXTSPLIT(AQ167, ",")))*IF(P167, P167, 1))/16, 1), "#,##0.0"), " tiles{}")</f>
        <v>{BLACK}Length: {GOLD}0.7 tiles{}</v>
      </c>
      <c r="CI167" s="1" t="n">
        <f aca="false">VLOOKUP($CG167, Constants!$M:$N, 2, FALSE())</f>
        <v>0</v>
      </c>
      <c r="CJ167" s="1" t="str">
        <f aca="false">IF(P167&gt;1,_xlfn.CONCAT("{BLACK}Cars: {GOLD}", P167),"")</f>
        <v/>
      </c>
      <c r="CK167" s="1" t="s">
        <v>590</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{GOLD}0.7 tiles{}{SILVER}The Class 71 is a mixed-traffic electric locomotive designed to work on the third rail system. It offered a lot of power for a small locomotive, but being confined to third rail power with no auxiliary option limited its usefulness.</v>
      </c>
    </row>
    <row r="168" customFormat="false" ht="14.25" hidden="false" customHeight="false" outlineLevel="0" collapsed="false">
      <c r="A168" s="1" t="s">
        <v>591</v>
      </c>
      <c r="B168" s="15" t="s">
        <v>592</v>
      </c>
      <c r="C168" s="1" t="n">
        <v>187</v>
      </c>
      <c r="E168" s="1" t="n">
        <v>124</v>
      </c>
      <c r="G168" s="1" t="str">
        <f aca="false">IF($F168&lt;&gt;"",_xlfn.CONCAT(VLOOKUP($CE168, Constants!$T:$U, 2, FALSE()),",",$F168),VLOOKUP($CE168, Constants!$T:$U, 2, FALSE()))</f>
        <v>role/mixed</v>
      </c>
      <c r="H168" s="1" t="str">
        <f aca="false">IF($G168&lt;&gt;"",_xlfn.CONCAT(VLOOKUP($CG168, Constants!$M:$P, 4, FALSE()),",",$G168),VLOOKUP($CG168, Constants!$M:$P, 4, FALSE()))</f>
        <v>flag/GB,power/diesel,role/mixed</v>
      </c>
      <c r="I168" s="1" t="s">
        <v>198</v>
      </c>
      <c r="J168" s="1" t="s">
        <v>206</v>
      </c>
      <c r="K168" s="1" t="s">
        <v>482</v>
      </c>
      <c r="L168" s="1" t="s">
        <v>149</v>
      </c>
      <c r="M168" s="1" t="n">
        <v>1958</v>
      </c>
      <c r="N168" s="1" t="n">
        <v>1959</v>
      </c>
      <c r="O168" s="1" t="n">
        <v>1994</v>
      </c>
      <c r="Q168" s="1" t="n">
        <v>1160</v>
      </c>
      <c r="Z168" s="1" t="n">
        <v>78.7</v>
      </c>
      <c r="AC168" s="1" t="n">
        <v>187</v>
      </c>
      <c r="AD168" s="4" t="n">
        <f aca="false">IF(AND(Z168&gt;0,AC168&gt;0),(AC168/((Z168+AA168)*10)),"")</f>
        <v>0.237611181702668</v>
      </c>
      <c r="AE168" s="1" t="n">
        <v>80</v>
      </c>
      <c r="AF168" s="1" t="n">
        <f aca="false">ROUND(AE168*1.6, 0)</f>
        <v>128</v>
      </c>
      <c r="AI168" s="1" t="n">
        <v>15.47</v>
      </c>
      <c r="AJ168" s="1" t="n">
        <v>15.47</v>
      </c>
      <c r="AL168" s="1" t="n">
        <v>3.86</v>
      </c>
      <c r="AM168" s="5" t="n">
        <v>0</v>
      </c>
      <c r="AN168" s="1" t="str">
        <f aca="false">CONCATENATE(VLOOKUP(AO168, 'Voxel Sizes'!$A$2:$B$18,2,FALSE()),"x",INT(AK168*15), "x", INT(AL168*15))</f>
        <v>152x0x57</v>
      </c>
      <c r="AO168" s="1" t="n">
        <f aca="false">ROUND(15*((AJ168*10)/256),0)</f>
        <v>9</v>
      </c>
      <c r="AQ168" s="1" t="str">
        <f aca="false">CONCATENATE(VLOOKUP(AO168,Constants!$A$2:$C$16,IF(AP168&lt;&gt;"", 3, 2), FALSE()),IF(AP168&lt;&gt;"",CONCATENATE(",",VLOOKUP(AP168,$B:$AQ,42,FALSE())),""))</f>
        <v>2,5,2</v>
      </c>
      <c r="BA168" s="1" t="n">
        <v>30</v>
      </c>
      <c r="BB168" s="16" t="n">
        <f aca="false">IF(O168&lt;&gt;"",MAX(16,(O168-M168)+8),"")</f>
        <v>44</v>
      </c>
      <c r="BE168" s="1" t="n">
        <f aca="false">MIN(AE168/150, 1)*30</f>
        <v>16</v>
      </c>
      <c r="BF168" s="1" t="n">
        <f aca="false">MIN(Q168/4000, 1)*20</f>
        <v>5.8</v>
      </c>
      <c r="BG168" s="1" t="n">
        <f aca="false">MIN(AC168/400,1)*20</f>
        <v>9.35</v>
      </c>
      <c r="BH168" s="4" t="n">
        <f aca="false">1-(MAX(M168-1900, 0)/750)</f>
        <v>0.922666666666667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82</v>
      </c>
      <c r="BM168" s="1" t="n">
        <f aca="false">INT(POWER((((Constants!$G$1+$BE168+$BF168+$BG168+$BI168)*($BH168))*$BJ168),IF($J168="wagon",1,1.2)))+$BC168</f>
        <v>90</v>
      </c>
      <c r="BN168" s="17" t="n">
        <f aca="false">BL168*IF($J168="wagon",62.5,781.25)</f>
        <v>64062.5</v>
      </c>
      <c r="BO168" s="17" t="n">
        <f aca="false">BM168*IF($J168="wagon",2.73,81.25)</f>
        <v>7312.5</v>
      </c>
      <c r="BY168" s="1" t="n">
        <v>10</v>
      </c>
      <c r="CD168" s="1" t="str">
        <f aca="false">VLOOKUP(M168,Eras!$A$2:$C$10, 2, TRUE())</f>
        <v>dsl</v>
      </c>
      <c r="CE168" s="1" t="s">
        <v>129</v>
      </c>
      <c r="CF168" s="1" t="str">
        <f aca="false">CONCATENATE(CD168,"_",CE168)</f>
        <v>dsl_Mixed Traffic</v>
      </c>
      <c r="CG168" s="1" t="str">
        <f aca="false">_xlfn.CONCAT(K168, "_",L168)</f>
        <v>diesel_RAIL</v>
      </c>
      <c r="CH168" s="7" t="str">
        <f aca="false">_xlfn.CONCAT("{BLACK}Length: {GOLD}", TEXT(ROUNDUP(IF(AT168&lt;&gt;"",SUM(VALUE(_xlfn.TEXTSPLIT(AT168, ","))), SUM(VALUE(_xlfn.TEXTSPLIT(AQ168, ",")))*IF(P168, P168, 1))/16, 1), "#,##0.0"), " tiles{}")</f>
        <v>{BLACK}Length: {GOLD}0.6 tiles{}</v>
      </c>
      <c r="CI168" s="1" t="n">
        <f aca="false">VLOOKUP($CG168, Constants!$M:$N, 2, FALSE())</f>
        <v>0</v>
      </c>
      <c r="CJ168" s="1" t="str">
        <f aca="false">IF(P168&gt;1,_xlfn.CONCAT("{BLACK}Cars: {GOLD}", P168),"")</f>
        <v/>
      </c>
      <c r="CK168" s="1" t="s">
        <v>593</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{GOLD}0.6 tiles{}{SILVER}The Class 26 "Teacup" (so named for its idling sound) was an early Type 2 locomotive, small diesels with engine output between 800 and 1,250 hp.</v>
      </c>
    </row>
    <row r="169" customFormat="false" ht="14.25" hidden="false" customHeight="false" outlineLevel="0" collapsed="false">
      <c r="A169" s="1" t="s">
        <v>594</v>
      </c>
      <c r="B169" s="15" t="s">
        <v>595</v>
      </c>
      <c r="C169" s="1" t="n">
        <v>188</v>
      </c>
      <c r="E169" s="1" t="n">
        <v>125</v>
      </c>
      <c r="G169" s="1" t="str">
        <f aca="false">IF($F169&lt;&gt;"",_xlfn.CONCAT(VLOOKUP($CE169, Constants!$T:$U, 2, FALSE()),",",$F169),VLOOKUP($CE169, Constants!$T:$U, 2, FALSE()))</f>
        <v>role/mixed</v>
      </c>
      <c r="H169" s="1" t="str">
        <f aca="false">IF($G169&lt;&gt;"",_xlfn.CONCAT(VLOOKUP($CG169, Constants!$M:$P, 4, FALSE()),",",$G169),VLOOKUP($CG169, Constants!$M:$P, 4, FALSE()))</f>
        <v>flag/GB,power/diesel,role/mixed</v>
      </c>
      <c r="I169" s="1" t="s">
        <v>198</v>
      </c>
      <c r="J169" s="1" t="s">
        <v>206</v>
      </c>
      <c r="K169" s="1" t="s">
        <v>482</v>
      </c>
      <c r="L169" s="1" t="s">
        <v>149</v>
      </c>
      <c r="M169" s="1" t="n">
        <v>1959</v>
      </c>
      <c r="N169" s="1" t="n">
        <v>1959</v>
      </c>
      <c r="O169" s="1" t="n">
        <v>1971</v>
      </c>
      <c r="Q169" s="1" t="n">
        <v>1100</v>
      </c>
      <c r="Z169" s="1" t="n">
        <v>75.2</v>
      </c>
      <c r="AC169" s="1" t="n">
        <v>209</v>
      </c>
      <c r="AD169" s="4" t="n">
        <f aca="false">IF(AND(Z169&gt;0,AC169&gt;0),(AC169/((Z169+AA169)*10)),"")</f>
        <v>0.277925531914894</v>
      </c>
      <c r="AE169" s="1" t="n">
        <v>75</v>
      </c>
      <c r="AF169" s="1" t="n">
        <f aca="false">ROUND(AE169*1.6, 0)</f>
        <v>120</v>
      </c>
      <c r="AI169" s="1" t="n">
        <v>16</v>
      </c>
      <c r="AJ169" s="1" t="n">
        <v>16</v>
      </c>
      <c r="AL169" s="1" t="n">
        <v>3.86</v>
      </c>
      <c r="AM169" s="5" t="n">
        <v>0</v>
      </c>
      <c r="AN169" s="1" t="str">
        <f aca="false">CONCATENATE(VLOOKUP(AO169, 'Voxel Sizes'!$A$2:$B$18,2,FALSE()),"x",INT(AK169*15), "x", INT(AL169*15))</f>
        <v>152x0x57</v>
      </c>
      <c r="AO169" s="1" t="n">
        <f aca="false">ROUND(15*((AJ169*10)/256),0)</f>
        <v>9</v>
      </c>
      <c r="AQ169" s="1" t="str">
        <f aca="false">CONCATENATE(VLOOKUP(AO169,Constants!$A$2:$C$16,IF(AP169&lt;&gt;"", 3, 2), FALSE()),IF(AP169&lt;&gt;"",CONCATENATE(",",VLOOKUP(AP169,$B:$AQ,42,FALSE())),""))</f>
        <v>2,5,2</v>
      </c>
      <c r="BA169" s="1" t="n">
        <v>26</v>
      </c>
      <c r="BB169" s="16" t="n">
        <f aca="false">IF(O169&lt;&gt;"",MAX(16,(O169-M169)+8),"")</f>
        <v>20</v>
      </c>
      <c r="BE169" s="1" t="n">
        <f aca="false">MIN(AE169/150, 1)*30</f>
        <v>15</v>
      </c>
      <c r="BF169" s="1" t="n">
        <f aca="false">MIN(Q169/4000, 1)*20</f>
        <v>5.5</v>
      </c>
      <c r="BG169" s="1" t="n">
        <f aca="false">MIN(AC169/400,1)*20</f>
        <v>10.45</v>
      </c>
      <c r="BH169" s="4" t="n">
        <f aca="false">1-(MAX(M169-1900, 0)/750)</f>
        <v>0.921333333333333</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81</v>
      </c>
      <c r="BM169" s="1" t="n">
        <f aca="false">INT(POWER((((Constants!$G$1+$BE169+$BF169+$BG169+$BI169)*($BH169))*$BJ169),IF($J169="wagon",1,1.2)))+$BC169</f>
        <v>89</v>
      </c>
      <c r="BN169" s="17" t="n">
        <f aca="false">BL169*IF($J169="wagon",62.5,781.25)</f>
        <v>63281.25</v>
      </c>
      <c r="BO169" s="17" t="n">
        <f aca="false">BM169*IF($J169="wagon",2.73,81.25)</f>
        <v>7231.25</v>
      </c>
      <c r="BY169" s="1" t="n">
        <v>11</v>
      </c>
      <c r="CD169" s="1" t="str">
        <f aca="false">VLOOKUP(M169,Eras!$A$2:$C$10, 2, TRUE())</f>
        <v>dsl</v>
      </c>
      <c r="CE169" s="1" t="s">
        <v>129</v>
      </c>
      <c r="CF169" s="1" t="str">
        <f aca="false">CONCATENATE(CD169,"_",CE169)</f>
        <v>dsl_Mixed Traffic</v>
      </c>
      <c r="CG169" s="1" t="str">
        <f aca="false">_xlfn.CONCAT(K169, "_",L169)</f>
        <v>diesel_RAIL</v>
      </c>
      <c r="CH169" s="7" t="str">
        <f aca="false">_xlfn.CONCAT("{BLACK}Length: {GOLD}", TEXT(ROUNDUP(IF(AT169&lt;&gt;"",SUM(VALUE(_xlfn.TEXTSPLIT(AT169, ","))), SUM(VALUE(_xlfn.TEXTSPLIT(AQ169, ",")))*IF(P169, P169, 1))/16, 1), "#,##0.0"), " tiles{}")</f>
        <v>{BLACK}Length: {GOLD}0.6 tiles{}</v>
      </c>
      <c r="CI169" s="1" t="n">
        <f aca="false">VLOOKUP($CG169, Constants!$M:$N, 2, FALSE())</f>
        <v>0</v>
      </c>
      <c r="CJ169" s="1" t="str">
        <f aca="false">IF(P169&gt;1,_xlfn.CONCAT("{BLACK}Cars: {GOLD}", P169),"")</f>
        <v/>
      </c>
      <c r="CK169" s="1" t="s">
        <v>596</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{GOLD}0.6 tiles{}{SILVER}The Class 23 uses a smaller version of the Napier Deltic engine fitted to the Class 55, leading to its nickname of "Baby Deltic".</v>
      </c>
    </row>
    <row r="170" customFormat="false" ht="14.25" hidden="false" customHeight="false" outlineLevel="0" collapsed="false">
      <c r="A170" s="1" t="s">
        <v>597</v>
      </c>
      <c r="B170" s="15" t="s">
        <v>598</v>
      </c>
      <c r="C170" s="1" t="n">
        <v>189</v>
      </c>
      <c r="E170" s="1" t="n">
        <v>126</v>
      </c>
      <c r="G170" s="1" t="str">
        <f aca="false">IF($F170&lt;&gt;"",_xlfn.CONCAT(VLOOKUP($CE170, Constants!$T:$U, 2, FALSE()),",",$F170),VLOOKUP($CE170, Constants!$T:$U, 2, FALSE()))</f>
        <v>role/express_passenger</v>
      </c>
      <c r="H170" s="1" t="str">
        <f aca="false">IF($G170&lt;&gt;"",_xlfn.CONCAT(VLOOKUP($CG170, Constants!$M:$P, 4, FALSE()),",",$G170),VLOOKUP($CG170, Constants!$M:$P, 4, FALSE()))</f>
        <v>flag/GB,power/electric,role/express_passenger</v>
      </c>
      <c r="I170" s="1" t="s">
        <v>198</v>
      </c>
      <c r="J170" s="1" t="s">
        <v>206</v>
      </c>
      <c r="K170" s="1" t="s">
        <v>349</v>
      </c>
      <c r="L170" s="1" t="s">
        <v>350</v>
      </c>
      <c r="M170" s="1" t="n">
        <v>1959</v>
      </c>
      <c r="N170" s="1" t="n">
        <v>1964</v>
      </c>
      <c r="O170" s="1" t="n">
        <v>1991</v>
      </c>
      <c r="Q170" s="1" t="n">
        <f aca="false">4*847</f>
        <v>3388</v>
      </c>
      <c r="Z170" s="1" t="n">
        <v>80.9</v>
      </c>
      <c r="AC170" s="1" t="n">
        <v>222</v>
      </c>
      <c r="AD170" s="4" t="n">
        <f aca="false">IF(AND(Z170&gt;0,AC170&gt;0),(AC170/((Z170+AA170)*10)),"")</f>
        <v>0.274412855377009</v>
      </c>
      <c r="AE170" s="1" t="n">
        <v>100</v>
      </c>
      <c r="AF170" s="1" t="n">
        <f aca="false">ROUND(AE170*1.6, 0)</f>
        <v>160</v>
      </c>
      <c r="AI170" s="1" t="n">
        <v>17.22</v>
      </c>
      <c r="AJ170" s="1" t="n">
        <v>17.22</v>
      </c>
      <c r="AL170" s="1" t="n">
        <v>3.77</v>
      </c>
      <c r="AM170" s="5" t="n">
        <v>0</v>
      </c>
      <c r="AN170" s="1" t="str">
        <f aca="false">CONCATENATE(VLOOKUP(AO170, 'Voxel Sizes'!$A$2:$B$18,2,FALSE()),"x",INT(AK170*15), "x", INT(AL170*15))</f>
        <v>164x0x56</v>
      </c>
      <c r="AO170" s="1" t="n">
        <f aca="false">ROUND(15*((AJ170*10)/256),0)</f>
        <v>10</v>
      </c>
      <c r="AQ170" s="1" t="str">
        <f aca="false">CONCATENATE(VLOOKUP(AO170,Constants!$A$2:$C$16,IF(AP170&lt;&gt;"", 3, 2), FALSE()),IF(AP170&lt;&gt;"",CONCATENATE(",",VLOOKUP(AP170,$B:$AQ,42,FALSE())),""))</f>
        <v>4,2,4</v>
      </c>
      <c r="BA170" s="1" t="n">
        <v>27</v>
      </c>
      <c r="BB170" s="16" t="n">
        <f aca="false">IF(O170&lt;&gt;"",MAX(16,(O170-M170)+8),"")</f>
        <v>40</v>
      </c>
      <c r="BE170" s="1" t="n">
        <f aca="false">MIN(AE170/150, 1)*30</f>
        <v>20</v>
      </c>
      <c r="BF170" s="1" t="n">
        <f aca="false">MIN(Q170/4000, 1)*20</f>
        <v>16.94</v>
      </c>
      <c r="BG170" s="1" t="n">
        <f aca="false">MIN(AC170/400,1)*20</f>
        <v>11.1</v>
      </c>
      <c r="BH170" s="4" t="n">
        <f aca="false">1-(MAX(M170-1900, 0)/750)</f>
        <v>0.921333333333333</v>
      </c>
      <c r="BI170" s="1" t="n">
        <f aca="false">((MAX($P170,1)*MIN($AM170/300,1)))*IF(J170="Wagon",50,10)</f>
        <v>0</v>
      </c>
      <c r="BJ170" s="1" t="n">
        <f aca="false">VLOOKUP($K170,Constants!$I:$K, 2, FALSE())</f>
        <v>0.85</v>
      </c>
      <c r="BK170" s="1" t="n">
        <f aca="false">VLOOKUP($K170,Constants!$I:$K, 3, FALSE())*IF(AND(J170="multiple_unit",AE170&lt;110),0.75,1)</f>
        <v>2.3</v>
      </c>
      <c r="BL170" s="1" t="n">
        <f aca="false">INT(POWER(((Constants!$G$2+$BE170+$BF170+$BG170+$BI170)*$BH170)*$BK170, 1.05))+$BD170</f>
        <v>142</v>
      </c>
      <c r="BM170" s="1" t="n">
        <f aca="false">INT(POWER((((Constants!$G$1+$BE170+$BF170+$BG170+$BI170)*($BH170))*$BJ170),IF($J170="wagon",1,1.2)))+$BC170</f>
        <v>107</v>
      </c>
      <c r="BN170" s="17" t="n">
        <f aca="false">BL170*IF($J170="wagon",62.5,781.25)</f>
        <v>110937.5</v>
      </c>
      <c r="BO170" s="17" t="n">
        <f aca="false">BM170*IF($J170="wagon",2.73,81.25)</f>
        <v>8693.75</v>
      </c>
      <c r="BY170" s="1" t="n">
        <v>12</v>
      </c>
      <c r="CD170" s="1" t="str">
        <f aca="false">VLOOKUP(M170,Eras!$A$2:$C$10, 2, TRUE())</f>
        <v>dsl</v>
      </c>
      <c r="CE170" s="1" t="s">
        <v>556</v>
      </c>
      <c r="CF170" s="1" t="str">
        <f aca="false">CONCATENATE(CD170,"_",CE170)</f>
        <v>dsl_Express (Electric)</v>
      </c>
      <c r="CG170" s="1" t="str">
        <f aca="false">_xlfn.CONCAT(K170, "_",L170)</f>
        <v>electric_ELRL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599</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{GOLD}0.7 tiles{}{SILVER}Built by Associated Electrical Industries, the Class 81 was British Railways' first AC electric locomotive. Two types were envisioned, but all delivered were geared for 100mph passenger and express freight usage.</v>
      </c>
    </row>
    <row r="171" customFormat="false" ht="14.25" hidden="false" customHeight="false" outlineLevel="0" collapsed="false">
      <c r="A171" s="1" t="s">
        <v>600</v>
      </c>
      <c r="B171" s="15" t="s">
        <v>601</v>
      </c>
      <c r="C171" s="1" t="n">
        <v>190</v>
      </c>
      <c r="E171" s="1" t="n">
        <v>127</v>
      </c>
      <c r="G171" s="1" t="str">
        <f aca="false">IF($F171&lt;&gt;"",_xlfn.CONCAT(VLOOKUP($CE171, Constants!$T:$U, 2, FALSE()),",",$F171),VLOOKUP($CE171, Constants!$T:$U, 2, FALSE()))</f>
        <v>role/freight</v>
      </c>
      <c r="H171" s="1" t="str">
        <f aca="false">IF($G171&lt;&gt;"",_xlfn.CONCAT(VLOOKUP($CG171, Constants!$M:$P, 4, FALSE()),",",$G171),VLOOKUP($CG171, Constants!$M:$P, 4, FALSE()))</f>
        <v>flag/GB,power/diesel,role/freight</v>
      </c>
      <c r="I171" s="1" t="s">
        <v>198</v>
      </c>
      <c r="J171" s="1" t="s">
        <v>206</v>
      </c>
      <c r="K171" s="1" t="s">
        <v>482</v>
      </c>
      <c r="L171" s="1" t="s">
        <v>149</v>
      </c>
      <c r="M171" s="1" t="n">
        <v>1960</v>
      </c>
      <c r="N171" s="1" t="n">
        <v>1965</v>
      </c>
      <c r="Q171" s="1" t="n">
        <v>1750</v>
      </c>
      <c r="Z171" s="1" t="n">
        <v>102</v>
      </c>
      <c r="AC171" s="1" t="n">
        <v>247</v>
      </c>
      <c r="AD171" s="4" t="n">
        <f aca="false">IF(AND(Z171&gt;0,AC171&gt;0),(AC171/((Z171+AA171)*10)),"")</f>
        <v>0.242156862745098</v>
      </c>
      <c r="AE171" s="1" t="n">
        <v>90</v>
      </c>
      <c r="AF171" s="1" t="n">
        <f aca="false">ROUND(AE171*1.6, 0)</f>
        <v>144</v>
      </c>
      <c r="AI171" s="1" t="n">
        <v>18.75</v>
      </c>
      <c r="AJ171" s="1" t="n">
        <v>18.75</v>
      </c>
      <c r="AK171" s="1" t="n">
        <v>2.71</v>
      </c>
      <c r="AL171" s="1" t="n">
        <v>3.89</v>
      </c>
      <c r="AM171" s="5" t="n">
        <v>0</v>
      </c>
      <c r="AN171" s="1" t="str">
        <f aca="false">CONCATENATE(VLOOKUP(AO171, 'Voxel Sizes'!$A$2:$B$18,2,FALSE()),"x",INT(AK171*15), "x", INT(AL171*15))</f>
        <v>186x40x58</v>
      </c>
      <c r="AO171" s="1" t="n">
        <f aca="false">ROUND(15*((AJ171*10)/256),0)</f>
        <v>11</v>
      </c>
      <c r="AQ171" s="1" t="str">
        <f aca="false">CONCATENATE(VLOOKUP(AO171,Constants!$A$2:$C$16,IF(AP171&lt;&gt;"", 3, 2), FALSE()),IF(AP171&lt;&gt;"",CONCATENATE(",",VLOOKUP(AP171,$B:$AQ,42,FALSE())),""))</f>
        <v>4,3,4</v>
      </c>
      <c r="BA171" s="1" t="n">
        <v>42</v>
      </c>
      <c r="BB171" s="16" t="str">
        <f aca="false">IF(O171&lt;&gt;"",MAX(16,(O171-M171)+8),"")</f>
        <v/>
      </c>
      <c r="BE171" s="1" t="n">
        <f aca="false">MIN(AE171/150, 1)*30</f>
        <v>18</v>
      </c>
      <c r="BF171" s="1" t="n">
        <f aca="false">MIN(Q171/4000, 1)*20</f>
        <v>8.75</v>
      </c>
      <c r="BG171" s="1" t="n">
        <f aca="false">MIN(AC171/400,1)*20</f>
        <v>12.35</v>
      </c>
      <c r="BH171" s="4" t="n">
        <f aca="false">1-(MAX(M171-1900, 0)/750)</f>
        <v>0.92</v>
      </c>
      <c r="BI171" s="1" t="n">
        <f aca="false">((MAX($P171,1)*MIN($AM171/300,1)))*IF(J171="Wagon",50,10)</f>
        <v>0</v>
      </c>
      <c r="BJ171" s="1" t="n">
        <f aca="false">VLOOKUP($K171,Constants!$I:$K, 2, FALSE())</f>
        <v>1</v>
      </c>
      <c r="BK171" s="1" t="n">
        <f aca="false">VLOOKUP($K171,Constants!$I:$K, 3, FALSE())*IF(AND(J171="multiple_unit",AE171&lt;110),0.75,1)</f>
        <v>2</v>
      </c>
      <c r="BL171" s="1" t="n">
        <f aca="false">INT(POWER(((Constants!$G$2+$BE171+$BF171+$BG171+$BI171)*$BH171)*$BK171, 1.05))+$BD171</f>
        <v>101</v>
      </c>
      <c r="BM171" s="1" t="n">
        <f aca="false">INT(POWER((((Constants!$G$1+$BE171+$BF171+$BG171+$BI171)*($BH171))*$BJ171),IF($J171="wagon",1,1.2)))+$BC171</f>
        <v>108</v>
      </c>
      <c r="BN171" s="17" t="n">
        <f aca="false">BL171*IF($J171="wagon",62.5,781.25)</f>
        <v>78906.25</v>
      </c>
      <c r="BO171" s="17" t="n">
        <f aca="false">BM171*IF($J171="wagon",2.73,81.25)</f>
        <v>8775</v>
      </c>
      <c r="BY171" s="1" t="n">
        <v>1</v>
      </c>
      <c r="CD171" s="1" t="str">
        <f aca="false">VLOOKUP(M171,Eras!$A$2:$C$10, 2, TRUE())</f>
        <v>dsl</v>
      </c>
      <c r="CE171" s="1" t="s">
        <v>132</v>
      </c>
      <c r="CF171" s="1" t="str">
        <f aca="false">CONCATENATE(CD171,"_",CE171)</f>
        <v>dsl_Freight</v>
      </c>
      <c r="CG171" s="1" t="str">
        <f aca="false">_xlfn.CONCAT(K171, "_",L171)</f>
        <v>diesel_RAIL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602</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37 (English Electric Type 3) is widely used, especially in Scotland where the high power, low axle load and lack of need for electrification make it ideal for hauling long trains in the Highlands.</v>
      </c>
    </row>
    <row r="172" s="25" customFormat="true" ht="14.25" hidden="false" customHeight="false" outlineLevel="0" collapsed="false">
      <c r="A172" s="25" t="s">
        <v>603</v>
      </c>
      <c r="B172" s="26" t="s">
        <v>604</v>
      </c>
      <c r="C172" s="1" t="n">
        <v>3075</v>
      </c>
      <c r="E172" s="1" t="n">
        <v>128</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25" t="s">
        <v>198</v>
      </c>
      <c r="J172" s="25" t="s">
        <v>206</v>
      </c>
      <c r="K172" s="25" t="s">
        <v>482</v>
      </c>
      <c r="L172" s="25" t="s">
        <v>149</v>
      </c>
      <c r="M172" s="25" t="n">
        <v>1994</v>
      </c>
      <c r="N172" s="25" t="n">
        <v>1965</v>
      </c>
      <c r="Q172" s="25" t="n">
        <v>1750</v>
      </c>
      <c r="R172" s="2"/>
      <c r="S172" s="3"/>
      <c r="T172" s="3"/>
      <c r="U172" s="3"/>
      <c r="V172" s="3"/>
      <c r="W172" s="3"/>
      <c r="X172" s="3"/>
      <c r="Y172" s="3"/>
      <c r="Z172" s="25" t="n">
        <v>105</v>
      </c>
      <c r="AA172" s="2"/>
      <c r="AC172" s="25" t="n">
        <v>247</v>
      </c>
      <c r="AD172" s="4" t="n">
        <f aca="false">IF(AND(Z172&gt;0,AC172&gt;0),(AC172/((Z172+AA172)*10)),"")</f>
        <v>0.235238095238095</v>
      </c>
      <c r="AE172" s="25" t="n">
        <v>90</v>
      </c>
      <c r="AF172" s="25" t="n">
        <f aca="false">ROUND(AE172*1.6, 0)</f>
        <v>144</v>
      </c>
      <c r="AI172" s="25" t="n">
        <v>18.75</v>
      </c>
      <c r="AJ172" s="25" t="n">
        <v>18.75</v>
      </c>
      <c r="AK172" s="25" t="n">
        <v>2.71</v>
      </c>
      <c r="AL172" s="25" t="n">
        <v>3.89</v>
      </c>
      <c r="AM172" s="5" t="n">
        <v>0</v>
      </c>
      <c r="AN172" s="1" t="str">
        <f aca="false">CONCATENATE(VLOOKUP(AO172, '[1]Voxel Sizes'!$A$2:$B$18,2,FALSE()),"x",INT(AK172*15), "x", INT(AL172*15))</f>
        <v>186x40x58</v>
      </c>
      <c r="AO172" s="25" t="n">
        <f aca="false">ROUND(15*((AJ172*10)/256),0)</f>
        <v>11</v>
      </c>
      <c r="AQ172" s="1" t="str">
        <f aca="false">CONCATENATE(VLOOKUP(AO172,Constants!$A$2:$C$16,IF(AP172&lt;&gt;"", 3, 2), FALSE()),IF(AP172&lt;&gt;"",CONCATENATE(",",VLOOKUP(AP172,$B:$AQ,42,FALSE())),""))</f>
        <v>4,3,4</v>
      </c>
      <c r="AS172" s="29"/>
      <c r="AT172" s="29"/>
      <c r="BA172" s="25" t="n">
        <v>40</v>
      </c>
      <c r="BB172" s="16" t="str">
        <f aca="false">IF(O172&lt;&gt;"",MAX(16,(O172-M172)+8),"")</f>
        <v/>
      </c>
      <c r="BD172" s="25" t="n">
        <v>-30</v>
      </c>
      <c r="BE172" s="25" t="n">
        <f aca="false">MIN(AE172/150, 1)*30</f>
        <v>18</v>
      </c>
      <c r="BF172" s="25" t="n">
        <f aca="false">MIN(Q172/4000, 1)*20</f>
        <v>8.75</v>
      </c>
      <c r="BG172" s="25" t="n">
        <f aca="false">MIN(AC172/400,1)*20</f>
        <v>12.35</v>
      </c>
      <c r="BH172" s="4" t="n">
        <f aca="false">1-(MAX(M172-1900, 0)/750)</f>
        <v>0.874666666666667</v>
      </c>
      <c r="BI172" s="25" t="n">
        <f aca="false">((MAX($P172,1)*MIN($AM172/300,1)))*IF(J172="Wagon",50,10)</f>
        <v>0</v>
      </c>
      <c r="BJ172" s="1" t="n">
        <f aca="false">VLOOKUP($K172,Constants!$I:$K, 2, FALSE())</f>
        <v>1</v>
      </c>
      <c r="BK172" s="1" t="n">
        <f aca="false">VLOOKUP($K172,Constants!$I:$K, 3, FALSE())*IF(AND(J172="multiple_unit",AE172&lt;110),0.75,1)</f>
        <v>2</v>
      </c>
      <c r="BL172" s="25" t="n">
        <f aca="false">INT(POWER((([1]Constants!$G$2+$BE172+$BF172+$BG172+$BI172)*$BH172)*$BK172, 1.05))+$BD172</f>
        <v>65</v>
      </c>
      <c r="BM172" s="25" t="n">
        <f aca="false">INT(POWER(((([1]Constants!$G$1+$BE172+$BF172+$BG172+$BI172)*($BH172))*$BJ172),IF($J172="wagon",1,1.2)))+$BC172</f>
        <v>102</v>
      </c>
      <c r="BN172" s="17" t="n">
        <f aca="false">BL172*IF($J172="wagon",62.5,781.25)</f>
        <v>50781.25</v>
      </c>
      <c r="BO172" s="17" t="n">
        <f aca="false">BM172*IF($J172="wagon",2.73,81.25)</f>
        <v>8287.5</v>
      </c>
      <c r="BY172" s="25" t="n">
        <v>1</v>
      </c>
      <c r="CD172" s="25" t="s">
        <v>605</v>
      </c>
      <c r="CE172" s="25" t="s">
        <v>132</v>
      </c>
      <c r="CF172" s="25" t="str">
        <f aca="false">CONCATENATE(CD172,"_",CE172)</f>
        <v>lbr_Freight</v>
      </c>
      <c r="CG172" s="25" t="str">
        <f aca="false">_xlfn.CONCAT(K172, "_",L172)</f>
        <v>diesel_RAIL</v>
      </c>
      <c r="CH172" s="7" t="str">
        <f aca="false">_xlfn.CONCAT("{BLACK}Length: {GOLD}", TEXT(ROUNDUP(IF(AT172&lt;&gt;"",SUM(VALUE(_xlfn.TEXTSPLIT(AT172, ","))), SUM(VALUE(_xlfn.TEXTSPLIT(AQ172, ",")))*IF(P172, P172, 1))/16, 1), "#,##0.0"), " tiles{}")</f>
        <v>{BLACK}Length: {GOLD}0.7 tiles{}</v>
      </c>
      <c r="CI172" s="1" t="n">
        <f aca="false">VLOOKUP($CG172, Constants!$M:$N, 2, FALSE())</f>
        <v>0</v>
      </c>
      <c r="CJ172" s="1" t="str">
        <f aca="false">IF(P172&gt;1,_xlfn.CONCAT("{BLACK}Cars: {GOLD}", P172),"")</f>
        <v/>
      </c>
      <c r="CK172" s="25" t="s">
        <v>606</v>
      </c>
      <c r="CM172" s="25" t="str">
        <f aca="false">IF(CA172="buffet","{YELLOW}25% long distance bonus for consist{}",IF(CD172="BRAKE","{YELLOW}Speed bonus for slow wagons{}",IF(BZ172&gt;190,CONCATENATE("{YELLOW}",INT((BZ172-185)/1.85),"% bonus for long distance travel{}"),IF(AND(BZ172&lt;180,BZ172&lt;&gt;0),CONCATENATE("{YELLOW}",INT((185-BZ172)/1.85),"% penalty for long distance travel{}"),""))))</f>
        <v/>
      </c>
      <c r="CN172" s="25" t="str">
        <f aca="false">_xlfn.CONCAT(CI172,IF(CI172 &lt;&gt; "", " ", ""),CJ172,IF(OR(CJ172&lt;&gt;"", CI172&lt;&gt;""), "{}",""), CH172, CM172,"{SILVER}", CK172)</f>
        <v>{BLACK}Length: {GOLD}0.7 tiles{}{SILVER}Originally to power the “Nightstar” european sleeper services away from electrified lines, this sub-class of 12 locomotives mostly saw use as rescue and freight locomotives with other operators.</v>
      </c>
    </row>
    <row r="173" customFormat="false" ht="14.25" hidden="false" customHeight="false" outlineLevel="0" collapsed="false">
      <c r="A173" s="1" t="s">
        <v>607</v>
      </c>
      <c r="B173" s="15" t="s">
        <v>608</v>
      </c>
      <c r="C173" s="1" t="n">
        <v>191</v>
      </c>
      <c r="E173" s="1" t="n">
        <v>129</v>
      </c>
      <c r="G173" s="1" t="str">
        <f aca="false">IF($F173&lt;&gt;"",_xlfn.CONCAT(VLOOKUP($CE173, Constants!$T:$U, 2, FALSE()),",",$F173),VLOOKUP($CE173, Constants!$T:$U, 2, FALSE()))</f>
        <v>role/express_passenger</v>
      </c>
      <c r="H173" s="1" t="str">
        <f aca="false">IF($G173&lt;&gt;"",_xlfn.CONCAT(VLOOKUP($CG173, Constants!$M:$P, 4, FALSE()),",",$G173),VLOOKUP($CG173, Constants!$M:$P, 4, FALSE()))</f>
        <v>flag/GB,power/diesel,role/express_passenger</v>
      </c>
      <c r="I173" s="1" t="s">
        <v>198</v>
      </c>
      <c r="J173" s="1" t="s">
        <v>206</v>
      </c>
      <c r="K173" s="1" t="s">
        <v>482</v>
      </c>
      <c r="L173" s="1" t="s">
        <v>149</v>
      </c>
      <c r="M173" s="1" t="n">
        <v>1960</v>
      </c>
      <c r="N173" s="1" t="n">
        <v>1962</v>
      </c>
      <c r="O173" s="1" t="n">
        <v>1989</v>
      </c>
      <c r="Q173" s="1" t="n">
        <v>2500</v>
      </c>
      <c r="Z173" s="1" t="n">
        <v>135</v>
      </c>
      <c r="AC173" s="1" t="n">
        <v>245</v>
      </c>
      <c r="AD173" s="4" t="n">
        <f aca="false">IF(AND(Z173&gt;0,AC173&gt;0),(AC173/((Z173+AA173)*10)),"")</f>
        <v>0.181481481481482</v>
      </c>
      <c r="AE173" s="1" t="n">
        <v>90</v>
      </c>
      <c r="AF173" s="1" t="n">
        <f aca="false">ROUND(AE173*1.6, 0)</f>
        <v>144</v>
      </c>
      <c r="AI173" s="1" t="n">
        <v>20.7</v>
      </c>
      <c r="AJ173" s="1" t="n">
        <v>20.7</v>
      </c>
      <c r="AL173" s="1" t="n">
        <v>3.91</v>
      </c>
      <c r="AM173" s="5" t="n">
        <v>0</v>
      </c>
      <c r="AN173" s="1" t="str">
        <f aca="false">CONCATENATE(VLOOKUP(AO173, 'Voxel Sizes'!$A$2:$B$18,2,FALSE()),"x",INT(AK173*15), "x", INT(AL173*15))</f>
        <v>198x0x58</v>
      </c>
      <c r="AO173" s="1" t="n">
        <f aca="false">ROUND(15*((AJ173*10)/256),0)</f>
        <v>12</v>
      </c>
      <c r="AQ173" s="1" t="str">
        <f aca="false">CONCATENATE(VLOOKUP(AO173,Constants!$A$2:$C$16,IF(AP173&lt;&gt;"", 3, 2), FALSE()),IF(AP173&lt;&gt;"",CONCATENATE(",",VLOOKUP(AP173,$B:$AQ,42,FALSE())),""))</f>
        <v>4,4,4</v>
      </c>
      <c r="BA173" s="1" t="n">
        <v>30</v>
      </c>
      <c r="BB173" s="16" t="n">
        <f aca="false">IF(O173&lt;&gt;"",MAX(16,(O173-M173)+8),"")</f>
        <v>37</v>
      </c>
      <c r="BE173" s="1" t="n">
        <f aca="false">MIN(AE173/150, 1)*30</f>
        <v>18</v>
      </c>
      <c r="BF173" s="1" t="n">
        <f aca="false">MIN(Q173/4000, 1)*20</f>
        <v>12.5</v>
      </c>
      <c r="BG173" s="1" t="n">
        <f aca="false">MIN(AC173/400,1)*20</f>
        <v>12.25</v>
      </c>
      <c r="BH173" s="4" t="n">
        <f aca="false">1-(MAX(M173-1900, 0)/750)</f>
        <v>0.92</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109</v>
      </c>
      <c r="BM173" s="1" t="n">
        <f aca="false">INT(POWER((((Constants!$G$1+$BE173+$BF173+$BG173+$BI173)*($BH173))*$BJ173),IF($J173="wagon",1,1.2)))+$BC173</f>
        <v>117</v>
      </c>
      <c r="BN173" s="17" t="n">
        <f aca="false">BL173*IF($J173="wagon",62.5,781.25)</f>
        <v>85156.25</v>
      </c>
      <c r="BO173" s="17" t="n">
        <f aca="false">BM173*IF($J173="wagon",2.73,81.25)</f>
        <v>9506.25</v>
      </c>
      <c r="BY173" s="1" t="n">
        <v>2</v>
      </c>
      <c r="CD173" s="1" t="str">
        <f aca="false">VLOOKUP(M173,Eras!$A$2:$C$10, 2, TRUE())</f>
        <v>dsl</v>
      </c>
      <c r="CE173" s="1" t="s">
        <v>241</v>
      </c>
      <c r="CF173" s="1" t="str">
        <f aca="false">CONCATENATE(CD173,"_",CE173)</f>
        <v>dsl_Express</v>
      </c>
      <c r="CG173" s="1" t="str">
        <f aca="false">_xlfn.CONCAT(K173, "_",L173)</f>
        <v>diesel_RAIL</v>
      </c>
      <c r="CH173" s="7" t="str">
        <f aca="false">_xlfn.CONCAT("{BLACK}Length: {GOLD}", TEXT(ROUNDUP(IF(AT173&lt;&gt;"",SUM(VALUE(_xlfn.TEXTSPLIT(AT173, ","))), SUM(VALUE(_xlfn.TEXTSPLIT(AQ173, ",")))*IF(P173, P173, 1))/16, 1), "#,##0.0"), " tiles{}")</f>
        <v>{BLACK}Length: {GOLD}0.8 tiles{}</v>
      </c>
      <c r="CI173" s="1" t="n">
        <f aca="false">VLOOKUP($CG173, Constants!$M:$N, 2, FALSE())</f>
        <v>0</v>
      </c>
      <c r="CJ173" s="1" t="str">
        <f aca="false">IF(P173&gt;1,_xlfn.CONCAT("{BLACK}Cars: {GOLD}", P173),"")</f>
        <v/>
      </c>
      <c r="CK173" s="1" t="s">
        <v>609</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{GOLD}0.8 tiles{}{SILVER}The Sulzer Peaks served express passenger trains on the Midland Main Line until the introduction of the HST.</v>
      </c>
    </row>
    <row r="174" customFormat="false" ht="14.25" hidden="false" customHeight="false" outlineLevel="0" collapsed="false">
      <c r="A174" s="1" t="s">
        <v>610</v>
      </c>
      <c r="B174" s="15" t="s">
        <v>611</v>
      </c>
      <c r="C174" s="1" t="n">
        <v>192</v>
      </c>
      <c r="E174" s="1" t="n">
        <v>130</v>
      </c>
      <c r="G174" s="1" t="str">
        <f aca="false">IF($F174&lt;&gt;"",_xlfn.CONCAT(VLOOKUP($CE174, Constants!$T:$U, 2, FALSE()),",",$F174),VLOOKUP($CE174, Constants!$T:$U, 2, FALSE()))</f>
        <v>role/mixed</v>
      </c>
      <c r="H174" s="1" t="str">
        <f aca="false">IF($G174&lt;&gt;"",_xlfn.CONCAT(VLOOKUP($CG174, Constants!$M:$P, 4, FALSE()),",",$G174),VLOOKUP($CG174, Constants!$M:$P, 4, FALSE()))</f>
        <v>flag/GB,power/diesel,role/mixed</v>
      </c>
      <c r="I174" s="1" t="s">
        <v>198</v>
      </c>
      <c r="J174" s="1" t="s">
        <v>206</v>
      </c>
      <c r="K174" s="1" t="s">
        <v>482</v>
      </c>
      <c r="L174" s="1" t="s">
        <v>149</v>
      </c>
      <c r="M174" s="1" t="n">
        <v>1960</v>
      </c>
      <c r="N174" s="1" t="n">
        <v>1962</v>
      </c>
      <c r="Q174" s="1" t="n">
        <v>1550</v>
      </c>
      <c r="Z174" s="1" t="n">
        <v>74.2</v>
      </c>
      <c r="AC174" s="1" t="n">
        <v>200</v>
      </c>
      <c r="AD174" s="4" t="n">
        <f aca="false">IF(AND(Z174&gt;0,AC174&gt;0),(AC174/((Z174+AA174)*10)),"")</f>
        <v>0.269541778975741</v>
      </c>
      <c r="AE174" s="1" t="n">
        <v>85</v>
      </c>
      <c r="AF174" s="1" t="n">
        <f aca="false">ROUND(AE174*1.6, 0)</f>
        <v>136</v>
      </c>
      <c r="AI174" s="1" t="n">
        <v>15.47</v>
      </c>
      <c r="AJ174" s="1" t="n">
        <v>15.47</v>
      </c>
      <c r="AL174" s="1" t="n">
        <v>3.86</v>
      </c>
      <c r="AM174" s="5" t="n">
        <v>0</v>
      </c>
      <c r="AN174" s="1" t="str">
        <f aca="false">CONCATENATE(VLOOKUP(AO174, 'Voxel Sizes'!$A$2:$B$18,2,FALSE()),"x",INT(AK174*15), "x", INT(AL174*15))</f>
        <v>152x0x57</v>
      </c>
      <c r="AO174" s="1" t="n">
        <f aca="false">ROUND(15*((AJ174*10)/256),0)</f>
        <v>9</v>
      </c>
      <c r="AQ174" s="1" t="str">
        <f aca="false">CONCATENATE(VLOOKUP(AO174,Constants!$A$2:$C$16,IF(AP174&lt;&gt;"", 3, 2), FALSE()),IF(AP174&lt;&gt;"",CONCATENATE(",",VLOOKUP(AP174,$B:$AQ,42,FALSE())),""))</f>
        <v>2,5,2</v>
      </c>
      <c r="BA174" s="1" t="n">
        <v>30</v>
      </c>
      <c r="BB174" s="16" t="str">
        <f aca="false">IF(O174&lt;&gt;"",MAX(16,(O174-M174)+8),"")</f>
        <v/>
      </c>
      <c r="BE174" s="1" t="n">
        <f aca="false">MIN(AE174/150, 1)*30</f>
        <v>17</v>
      </c>
      <c r="BF174" s="1" t="n">
        <f aca="false">MIN(Q174/4000, 1)*20</f>
        <v>7.75</v>
      </c>
      <c r="BG174" s="1" t="n">
        <f aca="false">MIN(AC174/400,1)*20</f>
        <v>10</v>
      </c>
      <c r="BH174" s="4" t="n">
        <f aca="false">1-(MAX(M174-1900, 0)/750)</f>
        <v>0.92</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90</v>
      </c>
      <c r="BM174" s="1" t="n">
        <f aca="false">INT(POWER((((Constants!$G$1+$BE174+$BF174+$BG174+$BI174)*($BH174))*$BJ174),IF($J174="wagon",1,1.2)))+$BC174</f>
        <v>98</v>
      </c>
      <c r="BN174" s="17" t="n">
        <f aca="false">BL174*IF($J174="wagon",62.5,781.25)</f>
        <v>70312.5</v>
      </c>
      <c r="BO174" s="17" t="n">
        <f aca="false">BM174*IF($J174="wagon",2.73,81.25)</f>
        <v>7962.5</v>
      </c>
      <c r="BY174" s="1" t="n">
        <v>3</v>
      </c>
      <c r="CD174" s="1" t="str">
        <f aca="false">VLOOKUP(M174,Eras!$A$2:$C$10, 2, TRUE())</f>
        <v>dsl</v>
      </c>
      <c r="CE174" s="1" t="s">
        <v>129</v>
      </c>
      <c r="CF174" s="1" t="str">
        <f aca="false">CONCATENATE(CD174,"_",CE174)</f>
        <v>dsl_Mixed Traffic</v>
      </c>
      <c r="CG174" s="1" t="str">
        <f aca="false">_xlfn.CONCAT(K174, "_",L174)</f>
        <v>diesel_RAIL</v>
      </c>
      <c r="CH174" s="7" t="str">
        <f aca="false">_xlfn.CONCAT("{BLACK}Length: {GOLD}", TEXT(ROUNDUP(IF(AT174&lt;&gt;"",SUM(VALUE(_xlfn.TEXTSPLIT(AT174, ","))), SUM(VALUE(_xlfn.TEXTSPLIT(AQ174, ",")))*IF(P174, P174, 1))/16, 1), "#,##0.0"), " tiles{}")</f>
        <v>{BLACK}Length: {GOLD}0.6 tiles{}</v>
      </c>
      <c r="CI174" s="1" t="n">
        <f aca="false">VLOOKUP($CG174, Constants!$M:$N, 2, FALSE())</f>
        <v>0</v>
      </c>
      <c r="CJ174" s="1" t="str">
        <f aca="false">IF(P174&gt;1,_xlfn.CONCAT("{BLACK}Cars: {GOLD}", P174),"")</f>
        <v/>
      </c>
      <c r="CK174" s="1" t="s">
        <v>612</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{GOLD}0.6 tiles{}{SILVER}The Class 33 was built without carriage heating, using the space for an 8 cylinder engine. This meant it was used for tourist-loaded passenger trains in summer, and freight in winter.</v>
      </c>
    </row>
    <row r="175" customFormat="false" ht="14.25" hidden="false" customHeight="false" outlineLevel="0" collapsed="false">
      <c r="A175" s="1" t="s">
        <v>613</v>
      </c>
      <c r="B175" s="15" t="s">
        <v>614</v>
      </c>
      <c r="C175" s="1" t="n">
        <v>193</v>
      </c>
      <c r="E175" s="1" t="n">
        <v>131</v>
      </c>
      <c r="G175" s="1" t="str">
        <f aca="false">IF($F175&lt;&gt;"",_xlfn.CONCAT(VLOOKUP($CE175, Constants!$T:$U, 2, FALSE()),",",$F175),VLOOKUP($CE175, Constants!$T:$U, 2, FALSE()))</f>
        <v>role/mixed</v>
      </c>
      <c r="H175" s="1" t="str">
        <f aca="false">IF($G175&lt;&gt;"",_xlfn.CONCAT(VLOOKUP($CG175, Constants!$M:$P, 4, FALSE()),",",$G175),VLOOKUP($CG175, Constants!$M:$P, 4, FALSE()))</f>
        <v>flag/GB,power/diesel,role/mixed</v>
      </c>
      <c r="I175" s="1" t="s">
        <v>198</v>
      </c>
      <c r="J175" s="1" t="s">
        <v>206</v>
      </c>
      <c r="K175" s="1" t="s">
        <v>482</v>
      </c>
      <c r="L175" s="1" t="s">
        <v>149</v>
      </c>
      <c r="M175" s="1" t="n">
        <v>1961</v>
      </c>
      <c r="N175" s="1" t="n">
        <v>1964</v>
      </c>
      <c r="O175" s="1" t="n">
        <v>1975</v>
      </c>
      <c r="Q175" s="1" t="n">
        <v>1700</v>
      </c>
      <c r="Z175" s="1" t="n">
        <v>76.2</v>
      </c>
      <c r="AC175" s="1" t="n">
        <v>207</v>
      </c>
      <c r="AD175" s="4" t="n">
        <f aca="false">IF(AND(Z175&gt;0,AC175&gt;0),(AC175/((Z175+AA175)*10)),"")</f>
        <v>0.271653543307087</v>
      </c>
      <c r="AE175" s="1" t="n">
        <v>90</v>
      </c>
      <c r="AF175" s="1" t="n">
        <f aca="false">ROUND(AE175*1.6, 0)</f>
        <v>144</v>
      </c>
      <c r="AI175" s="1" t="n">
        <v>15.76</v>
      </c>
      <c r="AJ175" s="1" t="n">
        <v>15.76</v>
      </c>
      <c r="AL175" s="1" t="n">
        <v>3.91</v>
      </c>
      <c r="AM175" s="5" t="n">
        <v>0</v>
      </c>
      <c r="AN175" s="1" t="str">
        <f aca="false">CONCATENATE(VLOOKUP(AO175, 'Voxel Sizes'!$A$2:$B$18,2,FALSE()),"x",INT(AK175*15), "x", INT(AL175*15))</f>
        <v>152x0x58</v>
      </c>
      <c r="AO175" s="1" t="n">
        <f aca="false">ROUND(15*((AJ175*10)/256),0)</f>
        <v>9</v>
      </c>
      <c r="AQ175" s="1" t="str">
        <f aca="false">CONCATENATE(VLOOKUP(AO175,Constants!$A$2:$C$16,IF(AP175&lt;&gt;"", 3, 2), FALSE()),IF(AP175&lt;&gt;"",CONCATENATE(",",VLOOKUP(AP175,$B:$AQ,42,FALSE())),""))</f>
        <v>2,5,2</v>
      </c>
      <c r="BA175" s="1" t="n">
        <v>30</v>
      </c>
      <c r="BB175" s="16" t="n">
        <f aca="false">IF(O175&lt;&gt;"",MAX(16,(O175-M175)+8),"")</f>
        <v>22</v>
      </c>
      <c r="BE175" s="1" t="n">
        <f aca="false">MIN(AE175/150, 1)*30</f>
        <v>18</v>
      </c>
      <c r="BF175" s="1" t="n">
        <f aca="false">MIN(Q175/4000, 1)*20</f>
        <v>8.5</v>
      </c>
      <c r="BG175" s="1" t="n">
        <f aca="false">MIN(AC175/400,1)*20</f>
        <v>10.35</v>
      </c>
      <c r="BH175" s="4" t="n">
        <f aca="false">1-(MAX(M175-1900, 0)/750)</f>
        <v>0.918666666666667</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95</v>
      </c>
      <c r="BM175" s="1" t="n">
        <f aca="false">INT(POWER((((Constants!$G$1+$BE175+$BF175+$BG175+$BI175)*($BH175))*$BJ175),IF($J175="wagon",1,1.2)))+$BC175</f>
        <v>103</v>
      </c>
      <c r="BN175" s="17" t="n">
        <f aca="false">BL175*IF($J175="wagon",62.5,781.25)</f>
        <v>74218.75</v>
      </c>
      <c r="BO175" s="17" t="n">
        <f aca="false">BM175*IF($J175="wagon",2.73,81.25)</f>
        <v>8368.75</v>
      </c>
      <c r="BY175" s="1" t="n">
        <v>4</v>
      </c>
      <c r="CD175" s="1" t="str">
        <f aca="false">VLOOKUP(M175,Eras!$A$2:$C$10, 2, TRUE())</f>
        <v>dsl</v>
      </c>
      <c r="CE175" s="1" t="s">
        <v>129</v>
      </c>
      <c r="CF175" s="1" t="str">
        <f aca="false">CONCATENATE(CD175,"_",CE175)</f>
        <v>dsl_Mixed Traffic</v>
      </c>
      <c r="CG175" s="1" t="str">
        <f aca="false">_xlfn.CONCAT(K175, "_",L175)</f>
        <v>diesel_RAIL</v>
      </c>
      <c r="CH175" s="7" t="str">
        <f aca="false">_xlfn.CONCAT("{BLACK}Length: {GOLD}", TEXT(ROUNDUP(IF(AT175&lt;&gt;"",SUM(VALUE(_xlfn.TEXTSPLIT(AT175, ","))), SUM(VALUE(_xlfn.TEXTSPLIT(AQ175, ",")))*IF(P175, P175, 1))/16, 1), "#,##0.0"), " tiles{}")</f>
        <v>{BLACK}Length: {GOLD}0.6 tiles{}</v>
      </c>
      <c r="CI175" s="1" t="n">
        <f aca="false">VLOOKUP($CG175, Constants!$M:$N, 2, FALSE())</f>
        <v>0</v>
      </c>
      <c r="CJ175" s="1" t="str">
        <f aca="false">IF(P175&gt;1,_xlfn.CONCAT("{BLACK}Cars: {GOLD}", P175),"")</f>
        <v/>
      </c>
      <c r="CK175" s="1" t="s">
        <v>615</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{GOLD}0.6 tiles{}{SILVER}The Hymeks were named for their hydraulic transmission. Sadly this also caused their early withdrawal, with BR viewing diesel-hydraulics as non-standard.</v>
      </c>
    </row>
    <row r="176" customFormat="false" ht="14.25" hidden="false" customHeight="false" outlineLevel="0" collapsed="false">
      <c r="A176" s="1" t="s">
        <v>616</v>
      </c>
      <c r="B176" s="15" t="s">
        <v>617</v>
      </c>
      <c r="C176" s="1" t="n">
        <v>194</v>
      </c>
      <c r="E176" s="1" t="n">
        <v>132</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198</v>
      </c>
      <c r="J176" s="1" t="s">
        <v>206</v>
      </c>
      <c r="K176" s="1" t="s">
        <v>482</v>
      </c>
      <c r="L176" s="1" t="s">
        <v>149</v>
      </c>
      <c r="M176" s="1" t="n">
        <v>1961</v>
      </c>
      <c r="N176" s="1" t="n">
        <v>1964</v>
      </c>
      <c r="O176" s="1" t="n">
        <v>1977</v>
      </c>
      <c r="Q176" s="1" t="n">
        <v>2000</v>
      </c>
      <c r="Z176" s="1" t="n">
        <v>110</v>
      </c>
      <c r="AC176" s="1" t="n">
        <v>297</v>
      </c>
      <c r="AD176" s="4" t="n">
        <f aca="false">IF(AND(Z176&gt;0,AC176&gt;0),(AC176/((Z176+AA176)*10)),"")</f>
        <v>0.27</v>
      </c>
      <c r="AE176" s="1" t="n">
        <v>90</v>
      </c>
      <c r="AF176" s="1" t="n">
        <f aca="false">ROUND(AE176*1.6, 0)</f>
        <v>144</v>
      </c>
      <c r="AI176" s="1" t="n">
        <v>20.73</v>
      </c>
      <c r="AJ176" s="1" t="n">
        <v>20.73</v>
      </c>
      <c r="AL176" s="1" t="n">
        <v>3.96</v>
      </c>
      <c r="AM176" s="5" t="n">
        <v>0</v>
      </c>
      <c r="AN176" s="1" t="str">
        <f aca="false">CONCATENATE(VLOOKUP(AO176, 'Voxel Sizes'!$A$2:$B$18,2,FALSE()),"x",INT(AK176*15), "x", INT(AL176*15))</f>
        <v>198x0x59</v>
      </c>
      <c r="AO176" s="1" t="n">
        <f aca="false">ROUND(15*((AJ176*10)/256),0)</f>
        <v>12</v>
      </c>
      <c r="AQ176" s="1" t="str">
        <f aca="false">CONCATENATE(VLOOKUP(AO176,Constants!$A$2:$C$16,IF(AP176&lt;&gt;"", 3, 2), FALSE()),IF(AP176&lt;&gt;"",CONCATENATE(",",VLOOKUP(AP176,$B:$AQ,42,FALSE())),""))</f>
        <v>4,4,4</v>
      </c>
      <c r="BA176" s="1" t="n">
        <v>30</v>
      </c>
      <c r="BB176" s="16" t="n">
        <f aca="false">IF(O176&lt;&gt;"",MAX(16,(O176-M176)+8),"")</f>
        <v>24</v>
      </c>
      <c r="BE176" s="1" t="n">
        <f aca="false">MIN(AE176/150, 1)*30</f>
        <v>18</v>
      </c>
      <c r="BF176" s="1" t="n">
        <f aca="false">MIN(Q176/4000, 1)*20</f>
        <v>10</v>
      </c>
      <c r="BG176" s="1" t="n">
        <f aca="false">MIN(AC176/400,1)*20</f>
        <v>14.85</v>
      </c>
      <c r="BH176" s="4" t="n">
        <f aca="false">1-(MAX(M176-1900, 0)/750)</f>
        <v>0.918666666666667</v>
      </c>
      <c r="BI176" s="1" t="n">
        <f aca="false">((MAX($P176,1)*MIN($AM176/300,1)))*IF(J176="Wagon",50,10)</f>
        <v>0</v>
      </c>
      <c r="BJ176" s="1" t="n">
        <f aca="false">VLOOKUP($K176,Constants!$I:$K, 2, FALSE())</f>
        <v>1</v>
      </c>
      <c r="BK176" s="1" t="n">
        <f aca="false">VLOOKUP($K176,Constants!$I:$K, 3, FALSE())*IF(AND(J176="multiple_unit",AE176&lt;110),0.75,1)</f>
        <v>2</v>
      </c>
      <c r="BL176" s="1" t="n">
        <f aca="false">INT(POWER(((Constants!$G$2+$BE176+$BF176+$BG176+$BI176)*$BH176)*$BK176, 1.05))+$BD176</f>
        <v>109</v>
      </c>
      <c r="BM176" s="1" t="n">
        <f aca="false">INT(POWER((((Constants!$G$1+$BE176+$BF176+$BG176+$BI176)*($BH176))*$BJ176),IF($J176="wagon",1,1.2)))+$BC176</f>
        <v>117</v>
      </c>
      <c r="BN176" s="17" t="n">
        <f aca="false">BL176*IF($J176="wagon",62.5,781.25)</f>
        <v>85156.25</v>
      </c>
      <c r="BO176" s="17" t="n">
        <f aca="false">BM176*IF($J176="wagon",2.73,81.25)</f>
        <v>9506.25</v>
      </c>
      <c r="BY176" s="1" t="n">
        <v>5</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TEXT(ROUNDUP(IF(AT176&lt;&gt;"",SUM(VALUE(_xlfn.TEXTSPLIT(AT176, ","))), SUM(VALUE(_xlfn.TEXTSPLIT(AQ176, ",")))*IF(P176, P176, 1))/16, 1), "#,##0.0"), " tiles{}")</f>
        <v>{BLACK}Length: {GOLD}0.8 tiles{}</v>
      </c>
      <c r="CI176" s="1" t="n">
        <f aca="false">VLOOKUP($CG176, Constants!$M:$N, 2, FALSE())</f>
        <v>0</v>
      </c>
      <c r="CJ176" s="1" t="str">
        <f aca="false">IF(P176&gt;1,_xlfn.CONCAT("{BLACK}Cars: {GOLD}", P176),"")</f>
        <v/>
      </c>
      <c r="CK176" s="1" t="s">
        <v>618</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{GOLD}0.8 tiles{}{SILVER}The Class 52 was the most powerful of the Western Region's diesel-hydraulic locomotives, pushing the limits of what 1960s transmission technology could achieve.</v>
      </c>
    </row>
    <row r="177" customFormat="false" ht="14.25" hidden="false" customHeight="false" outlineLevel="0" collapsed="false">
      <c r="A177" s="1" t="s">
        <v>619</v>
      </c>
      <c r="B177" s="19" t="s">
        <v>620</v>
      </c>
      <c r="C177" s="1" t="n">
        <v>1044</v>
      </c>
      <c r="E177" s="1" t="n">
        <v>133</v>
      </c>
      <c r="F177" s="1" t="s">
        <v>143</v>
      </c>
      <c r="G177" s="1" t="str">
        <f aca="false">IF($F177&lt;&gt;"",_xlfn.CONCAT(VLOOKUP($CE177, Constants!$T:$U, 2, FALSE()),",",$F177),VLOOKUP($CE177, Constants!$T:$U, 2, FALSE()))</f>
        <v>role/express_passenger,role/prototype</v>
      </c>
      <c r="H177" s="1" t="str">
        <f aca="false">IF($G177&lt;&gt;"",_xlfn.CONCAT(VLOOKUP($CG177, Constants!$M:$P, 4, FALSE()),",",$G177),VLOOKUP($CG177, Constants!$M:$P, 4, FALSE()))</f>
        <v>flag/GB,power/diesel,role/express_passenger,role/prototype</v>
      </c>
      <c r="I177" s="1" t="s">
        <v>198</v>
      </c>
      <c r="J177" s="1" t="s">
        <v>206</v>
      </c>
      <c r="K177" s="1" t="s">
        <v>482</v>
      </c>
      <c r="L177" s="1" t="s">
        <v>149</v>
      </c>
      <c r="M177" s="1" t="n">
        <v>1961</v>
      </c>
      <c r="O177" s="1" t="n">
        <v>1978</v>
      </c>
      <c r="Q177" s="1" t="n">
        <v>2880</v>
      </c>
      <c r="Z177" s="1" t="n">
        <v>117</v>
      </c>
      <c r="AC177" s="1" t="n">
        <v>266</v>
      </c>
      <c r="AD177" s="4" t="n">
        <f aca="false">IF(AND(Z177&gt;0,AC177&gt;0),(AC177/((Z177+AA177)*10)),"")</f>
        <v>0.227350427350427</v>
      </c>
      <c r="AE177" s="1" t="n">
        <v>100</v>
      </c>
      <c r="AF177" s="1" t="n">
        <f aca="false">ROUND(AE177*1.6, 0)</f>
        <v>160</v>
      </c>
      <c r="AI177" s="1" t="n">
        <v>20.98</v>
      </c>
      <c r="AJ177" s="1" t="n">
        <v>20.98</v>
      </c>
      <c r="AK177" s="1" t="n">
        <v>2.69</v>
      </c>
      <c r="AL177" s="1" t="n">
        <v>3.91</v>
      </c>
      <c r="AN177" s="16" t="s">
        <v>621</v>
      </c>
      <c r="AO177" s="16" t="n">
        <f aca="false">ROUND(15*((AJ177*10)/256),0)</f>
        <v>12</v>
      </c>
      <c r="AQ177" s="1" t="str">
        <f aca="false">CONCATENATE(VLOOKUP(AO177,Constants!$A$2:$C$16,IF(AP177&lt;&gt;"", 3, 2), FALSE()),IF(AP177&lt;&gt;"",CONCATENATE(",",VLOOKUP(AP177,$B:$AQ,42,FALSE())),""))</f>
        <v>4,4,4</v>
      </c>
      <c r="BA177" s="1" t="n">
        <v>22</v>
      </c>
      <c r="BB177" s="16" t="n">
        <f aca="false">IF(O177&lt;&gt;"",MAX(16,(O177-M177)+8),"")</f>
        <v>25</v>
      </c>
      <c r="BC177" s="1" t="n">
        <v>2</v>
      </c>
      <c r="BD177" s="1" t="n">
        <v>3</v>
      </c>
      <c r="BE177" s="20" t="n">
        <f aca="false">MIN(AE177/150, 1)*30</f>
        <v>20</v>
      </c>
      <c r="BF177" s="20" t="n">
        <f aca="false">MIN(Q177/4000, 1)*20</f>
        <v>14.4</v>
      </c>
      <c r="BG177" s="20" t="n">
        <f aca="false">MIN(AC177/400,1)*20</f>
        <v>13.3</v>
      </c>
      <c r="BH177" s="21" t="n">
        <f aca="false">1-(MAX(M177-1900, 0)/750)</f>
        <v>0.918666666666667</v>
      </c>
      <c r="BI177" s="20" t="n">
        <f aca="false">((MAX($P177,1)*MIN($AM177/300,1)))*IF(J177="Wagon",50,10)</f>
        <v>0</v>
      </c>
      <c r="BJ177" s="1" t="n">
        <f aca="false">VLOOKUP($K177,Constants!$I:$K, 2, FALSE())</f>
        <v>1</v>
      </c>
      <c r="BK177" s="1" t="n">
        <f aca="false">VLOOKUP($K177,Constants!$I:$K, 3, FALSE())*IF(AND(J177="multiple_unit",AE177&lt;110),0.75,1)</f>
        <v>2</v>
      </c>
      <c r="BL177" s="20" t="n">
        <v>124</v>
      </c>
      <c r="BM177" s="20" t="n">
        <v>131</v>
      </c>
      <c r="BN177" s="22" t="n">
        <f aca="false">BL177*IF($J177="wagon",62.5,781.25)</f>
        <v>96875</v>
      </c>
      <c r="BO177" s="22" t="n">
        <f aca="false">BM177*IF($J177="wagon",2.73,81.25)</f>
        <v>10643.75</v>
      </c>
      <c r="BY177" s="1" t="n">
        <v>6</v>
      </c>
      <c r="CD177" s="23" t="s">
        <v>569</v>
      </c>
      <c r="CE177" s="1" t="s">
        <v>241</v>
      </c>
      <c r="CF177" s="23" t="str">
        <f aca="false">CONCATENATE(CD177,"_",CE177)</f>
        <v>dsl_Express</v>
      </c>
      <c r="CG177" s="23"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622</v>
      </c>
      <c r="CL177" s="1" t="str">
        <f aca="false">IF($BX177="!param_no_gameplay_units","{GREEN}Included for gameplay purposes","")</f>
        <v/>
      </c>
      <c r="CM177" s="1" t="str">
        <f aca="false">IF(CA177="buffet","{YELLOW}25% long distance bonus for consist{}",IF(CB177="DANDY","{YELLOW}Faster downhill speeds for horse-drawn trains (1 required per 2 horses){}",IF(CB177="BRAKE","{YELLOW}Speed bonus for slow wagons{}",IF(CB177="NGPassengers","{YELLOW}Preserved railway bonus: passengers pay more when hauled by old locomotives{}",IF(AND(BZ177&gt;190,NOT(AND(L177="NARROW_GAUGE",CB177&lt;&gt;"PASS"))),CONCATENATE("{YELLOW}",INT((BZ177-185)/1.85),"%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tiles{}{SILVER}Brush's "Falcon" was a prototype for a new generation of Type 4 locomotives, but advances in single-engined diesel made the Falcon with its two Maybach diesels obsolete at the point of introduction.</v>
      </c>
    </row>
    <row r="178" customFormat="false" ht="14.25" hidden="false" customHeight="false" outlineLevel="0" collapsed="false">
      <c r="A178" s="1" t="s">
        <v>623</v>
      </c>
      <c r="B178" s="15" t="s">
        <v>624</v>
      </c>
      <c r="C178" s="1" t="n">
        <v>195</v>
      </c>
      <c r="E178" s="1" t="n">
        <v>134</v>
      </c>
      <c r="G178" s="1" t="str">
        <f aca="false">IF($F178&lt;&gt;"",_xlfn.CONCAT(VLOOKUP($CE178, Constants!$T:$U, 2, FALSE()),",",$F178),VLOOKUP($CE178, Constants!$T:$U, 2, FALSE()))</f>
        <v>role/freight</v>
      </c>
      <c r="H178" s="1" t="str">
        <f aca="false">IF($G178&lt;&gt;"",_xlfn.CONCAT(VLOOKUP($CG178, Constants!$M:$P, 4, FALSE()),",",$G178),VLOOKUP($CG178, Constants!$M:$P, 4, FALSE()))</f>
        <v>flag/GB,power/diesel,role/freight</v>
      </c>
      <c r="I178" s="1" t="s">
        <v>198</v>
      </c>
      <c r="J178" s="1" t="s">
        <v>206</v>
      </c>
      <c r="K178" s="1" t="s">
        <v>482</v>
      </c>
      <c r="L178" s="1" t="s">
        <v>149</v>
      </c>
      <c r="M178" s="1" t="n">
        <v>1961</v>
      </c>
      <c r="N178" s="1" t="n">
        <v>1967</v>
      </c>
      <c r="O178" s="1" t="n">
        <v>1987</v>
      </c>
      <c r="Q178" s="1" t="n">
        <v>1250</v>
      </c>
      <c r="Z178" s="1" t="n">
        <v>74.2</v>
      </c>
      <c r="AC178" s="1" t="n">
        <v>170</v>
      </c>
      <c r="AD178" s="4" t="n">
        <f aca="false">IF(AND(Z178&gt;0,AC178&gt;0),(AC178/((Z178+AA178)*10)),"")</f>
        <v>0.22911051212938</v>
      </c>
      <c r="AE178" s="1" t="n">
        <v>90</v>
      </c>
      <c r="AF178" s="1" t="n">
        <f aca="false">ROUND(AE178*1.6, 0)</f>
        <v>144</v>
      </c>
      <c r="AI178" s="1" t="n">
        <v>15.39</v>
      </c>
      <c r="AJ178" s="1" t="n">
        <v>15.39</v>
      </c>
      <c r="AL178" s="1" t="n">
        <v>3.86</v>
      </c>
      <c r="AM178" s="5" t="n">
        <v>0</v>
      </c>
      <c r="AN178" s="1" t="str">
        <f aca="false">CONCATENATE(VLOOKUP(AO178, 'Voxel Sizes'!$A$2:$B$18,2,FALSE()),"x",INT(AK178*15), "x", INT(AL178*15))</f>
        <v>152x0x57</v>
      </c>
      <c r="AO178" s="1" t="n">
        <f aca="false">ROUND(15*((AJ178*10)/256),0)</f>
        <v>9</v>
      </c>
      <c r="AQ178" s="1" t="str">
        <f aca="false">CONCATENATE(VLOOKUP(AO178,Constants!$A$2:$C$16,IF(AP178&lt;&gt;"", 3, 2), FALSE()),IF(AP178&lt;&gt;"",CONCATENATE(",",VLOOKUP(AP178,$B:$AQ,42,FALSE())),""))</f>
        <v>2,5,2</v>
      </c>
      <c r="BA178" s="1" t="n">
        <v>40</v>
      </c>
      <c r="BB178" s="16" t="n">
        <f aca="false">IF(O178&lt;&gt;"",MAX(16,(O178-M178)+8),"")</f>
        <v>34</v>
      </c>
      <c r="BE178" s="1" t="n">
        <f aca="false">MIN(AE178/150, 1)*30</f>
        <v>18</v>
      </c>
      <c r="BF178" s="1" t="n">
        <f aca="false">MIN(Q178/4000, 1)*20</f>
        <v>6.25</v>
      </c>
      <c r="BG178" s="1" t="n">
        <f aca="false">MIN(AC178/400,1)*20</f>
        <v>8.5</v>
      </c>
      <c r="BH178" s="4" t="n">
        <f aca="false">1-(MAX(M178-1900, 0)/750)</f>
        <v>0.918666666666667</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85</v>
      </c>
      <c r="BM178" s="1" t="n">
        <f aca="false">INT(POWER((((Constants!$G$1+$BE178+$BF178+$BG178+$BI178)*($BH178))*$BJ178),IF($J178="wagon",1,1.2)))+$BC178</f>
        <v>93</v>
      </c>
      <c r="BN178" s="17" t="n">
        <f aca="false">BL178*IF($J178="wagon",62.5,781.25)</f>
        <v>66406.25</v>
      </c>
      <c r="BO178" s="17" t="n">
        <f aca="false">BM178*IF($J178="wagon",2.73,81.25)</f>
        <v>7556.25</v>
      </c>
      <c r="BY178" s="1" t="n">
        <v>6</v>
      </c>
      <c r="CD178" s="1" t="str">
        <f aca="false">VLOOKUP(M178,Eras!$A$2:$C$10, 2, TRUE())</f>
        <v>dsl</v>
      </c>
      <c r="CE178" s="1" t="s">
        <v>132</v>
      </c>
      <c r="CF178" s="1" t="str">
        <f aca="false">CONCATENATE(CD178,"_",CE178)</f>
        <v>dsl_Freight</v>
      </c>
      <c r="CG178" s="1" t="str">
        <f aca="false">_xlfn.CONCAT(K178, "_",L178)</f>
        <v>diesel_RAIL</v>
      </c>
      <c r="CH178" s="7" t="str">
        <f aca="false">_xlfn.CONCAT("{BLACK}Length: {GOLD}", TEXT(ROUNDUP(IF(AT178&lt;&gt;"",SUM(VALUE(_xlfn.TEXTSPLIT(AT178, ","))), SUM(VALUE(_xlfn.TEXTSPLIT(AQ178, ",")))*IF(P178, P178, 1))/16, 1), "#,##0.0"), " tiles{}")</f>
        <v>{BLACK}Length: {GOLD}0.6 tiles{}</v>
      </c>
      <c r="CI178" s="1" t="n">
        <f aca="false">VLOOKUP($CG178, Constants!$M:$N, 2, FALSE())</f>
        <v>0</v>
      </c>
      <c r="CJ178" s="1" t="str">
        <f aca="false">IF(P178&gt;1,_xlfn.CONCAT("{BLACK}Cars: {GOLD}", P178),"")</f>
        <v/>
      </c>
      <c r="CK178" s="1" t="s">
        <v>625</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{GOLD}0.6 tiles{}{SILVER}The Class 25 locomotives became known as "Rats" because they were found all over the British Rail network.</v>
      </c>
    </row>
    <row r="179" customFormat="false" ht="14.25" hidden="false" customHeight="false" outlineLevel="0" collapsed="false">
      <c r="A179" s="1" t="s">
        <v>626</v>
      </c>
      <c r="B179" s="15" t="s">
        <v>627</v>
      </c>
      <c r="C179" s="1" t="n">
        <v>196</v>
      </c>
      <c r="E179" s="1" t="n">
        <v>135</v>
      </c>
      <c r="G179" s="1" t="str">
        <f aca="false">IF($F179&lt;&gt;"",_xlfn.CONCAT(VLOOKUP($CE179, Constants!$T:$U, 2, FALSE()),",",$F179),VLOOKUP($CE179, Constants!$T:$U, 2, FALSE()))</f>
        <v>role/freight</v>
      </c>
      <c r="H179" s="1" t="str">
        <f aca="false">IF($G179&lt;&gt;"",_xlfn.CONCAT(VLOOKUP($CG179, Constants!$M:$P, 4, FALSE()),",",$G179),VLOOKUP($CG179, Constants!$M:$P, 4, FALSE()))</f>
        <v>flag/GB,power/diesel,role/freight</v>
      </c>
      <c r="I179" s="1" t="s">
        <v>198</v>
      </c>
      <c r="J179" s="1" t="s">
        <v>206</v>
      </c>
      <c r="K179" s="1" t="s">
        <v>482</v>
      </c>
      <c r="L179" s="1" t="s">
        <v>149</v>
      </c>
      <c r="M179" s="1" t="n">
        <v>1962</v>
      </c>
      <c r="N179" s="1" t="n">
        <v>1968</v>
      </c>
      <c r="Q179" s="1" t="n">
        <v>2750</v>
      </c>
      <c r="Z179" s="1" t="n">
        <v>114</v>
      </c>
      <c r="AC179" s="1" t="n">
        <v>245</v>
      </c>
      <c r="AD179" s="4" t="n">
        <f aca="false">IF(AND(Z179&gt;0,AC179&gt;0),(AC179/((Z179+AA179)*10)),"")</f>
        <v>0.214912280701754</v>
      </c>
      <c r="AE179" s="1" t="n">
        <v>95</v>
      </c>
      <c r="AF179" s="1" t="n">
        <f aca="false">ROUND(AE179*1.6, 0)</f>
        <v>152</v>
      </c>
      <c r="AI179" s="1" t="n">
        <v>19.38</v>
      </c>
      <c r="AJ179" s="1" t="n">
        <v>19.38</v>
      </c>
      <c r="AL179" s="1" t="n">
        <v>3.9</v>
      </c>
      <c r="AM179" s="5" t="n">
        <v>0</v>
      </c>
      <c r="AN179" s="1" t="str">
        <f aca="false">CONCATENATE(VLOOKUP(AO179, 'Voxel Sizes'!$A$2:$B$18,2,FALSE()),"x",INT(AK179*15), "x", INT(AL179*15))</f>
        <v>186x0x58</v>
      </c>
      <c r="AO179" s="1" t="n">
        <f aca="false">ROUND(15*((AJ179*10)/256),0)</f>
        <v>11</v>
      </c>
      <c r="AQ179" s="1" t="str">
        <f aca="false">CONCATENATE(VLOOKUP(AO179,Constants!$A$2:$C$16,IF(AP179&lt;&gt;"", 3, 2), FALSE()),IF(AP179&lt;&gt;"",CONCATENATE(",",VLOOKUP(AP179,$B:$AQ,42,FALSE())),""))</f>
        <v>4,3,4</v>
      </c>
      <c r="BA179" s="1" t="n">
        <v>33</v>
      </c>
      <c r="BB179" s="16" t="str">
        <f aca="false">IF(O179&lt;&gt;"",MAX(16,(O179-M179)+8),"")</f>
        <v/>
      </c>
      <c r="BE179" s="1" t="n">
        <f aca="false">MIN(AE179/150, 1)*30</f>
        <v>19</v>
      </c>
      <c r="BF179" s="1" t="n">
        <f aca="false">MIN(Q179/4000, 1)*20</f>
        <v>13.75</v>
      </c>
      <c r="BG179" s="1" t="n">
        <f aca="false">MIN(AC179/400,1)*20</f>
        <v>12.25</v>
      </c>
      <c r="BH179" s="4" t="n">
        <f aca="false">1-(MAX(M179-1900, 0)/750)</f>
        <v>0.917333333333333</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114</v>
      </c>
      <c r="BM179" s="1" t="n">
        <f aca="false">INT(POWER((((Constants!$G$1+$BE179+$BF179+$BG179+$BI179)*($BH179))*$BJ179),IF($J179="wagon",1,1.2)))+$BC179</f>
        <v>122</v>
      </c>
      <c r="BN179" s="17" t="n">
        <f aca="false">BL179*IF($J179="wagon",62.5,781.25)</f>
        <v>89062.5</v>
      </c>
      <c r="BO179" s="17" t="n">
        <f aca="false">BM179*IF($J179="wagon",2.73,81.25)</f>
        <v>9912.5</v>
      </c>
      <c r="BY179" s="1" t="n">
        <v>7</v>
      </c>
      <c r="CD179" s="1" t="str">
        <f aca="false">VLOOKUP(M179,Eras!$A$2:$C$10, 2, TRUE())</f>
        <v>dsl</v>
      </c>
      <c r="CE179" s="1" t="s">
        <v>132</v>
      </c>
      <c r="CF179" s="1" t="str">
        <f aca="false">CONCATENATE(CD179,"_",CE179)</f>
        <v>dsl_Freight</v>
      </c>
      <c r="CG179" s="1" t="str">
        <f aca="false">_xlfn.CONCAT(K179, "_",L179)</f>
        <v>diesel_RAIL</v>
      </c>
      <c r="CH179" s="7" t="str">
        <f aca="false">_xlfn.CONCAT("{BLACK}Length: {GOLD}", TEXT(ROUNDUP(IF(AT179&lt;&gt;"",SUM(VALUE(_xlfn.TEXTSPLIT(AT179, ","))), SUM(VALUE(_xlfn.TEXTSPLIT(AQ179, ",")))*IF(P179, P179, 1))/16, 1), "#,##0.0"), " tiles{}")</f>
        <v>{BLACK}Length: {GOLD}0.7 tiles{}</v>
      </c>
      <c r="CI179" s="1" t="n">
        <f aca="false">VLOOKUP($CG179, Constants!$M:$N, 2, FALSE())</f>
        <v>0</v>
      </c>
      <c r="CJ179" s="1" t="str">
        <f aca="false">IF(P179&gt;1,_xlfn.CONCAT("{BLACK}Cars: {GOLD}", P179),"")</f>
        <v/>
      </c>
      <c r="CK179" s="1" t="s">
        <v>628</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{GOLD}0.7 tiles{}{SILVER}The Class 47 diesel-electric arose from BR's desire for a lighter Type 4 (over 2000hp) locomotive, without using the diesel-hydraulic technology favoured by the Western Region.</v>
      </c>
    </row>
    <row r="180" customFormat="false" ht="14.25" hidden="false" customHeight="false" outlineLevel="0" collapsed="false">
      <c r="A180" s="1" t="s">
        <v>629</v>
      </c>
      <c r="B180" s="15" t="s">
        <v>630</v>
      </c>
      <c r="C180" s="1" t="n">
        <v>197</v>
      </c>
      <c r="E180" s="1" t="n">
        <v>136</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198</v>
      </c>
      <c r="J180" s="1" t="s">
        <v>206</v>
      </c>
      <c r="K180" s="1" t="s">
        <v>482</v>
      </c>
      <c r="L180" s="1" t="s">
        <v>149</v>
      </c>
      <c r="M180" s="1" t="n">
        <v>1962</v>
      </c>
      <c r="N180" s="1" t="n">
        <v>1965</v>
      </c>
      <c r="O180" s="1" t="n">
        <v>1971</v>
      </c>
      <c r="Q180" s="1" t="n">
        <v>900</v>
      </c>
      <c r="Z180" s="1" t="n">
        <v>69</v>
      </c>
      <c r="AC180" s="1" t="n">
        <v>178</v>
      </c>
      <c r="AD180" s="4" t="n">
        <f aca="false">IF(AND(Z180&gt;0,AC180&gt;0),(AC180/((Z180+AA180)*10)),"")</f>
        <v>0.257971014492754</v>
      </c>
      <c r="AE180" s="1" t="n">
        <v>60</v>
      </c>
      <c r="AF180" s="1" t="n">
        <f aca="false">ROUND(AE180*1.6, 0)</f>
        <v>96</v>
      </c>
      <c r="AI180" s="1" t="n">
        <v>15.4</v>
      </c>
      <c r="AJ180" s="1" t="n">
        <v>15.4</v>
      </c>
      <c r="AL180" s="1" t="n">
        <v>3.86</v>
      </c>
      <c r="AM180" s="5" t="n">
        <v>0</v>
      </c>
      <c r="AN180" s="1" t="str">
        <f aca="false">CONCATENATE(VLOOKUP(AO180, 'Voxel Sizes'!$A$2:$B$18,2,FALSE()),"x",INT(AK180*15), "x", INT(AL180*15))</f>
        <v>152x0x57</v>
      </c>
      <c r="AO180" s="1" t="n">
        <f aca="false">ROUND(15*((AJ180*10)/256),0)</f>
        <v>9</v>
      </c>
      <c r="AQ180" s="1" t="str">
        <f aca="false">CONCATENATE(VLOOKUP(AO180,Constants!$A$2:$C$16,IF(AP180&lt;&gt;"", 3, 2), FALSE()),IF(AP180&lt;&gt;"",CONCATENATE(",",VLOOKUP(AP180,$B:$AQ,42,FALSE())),""))</f>
        <v>2,5,2</v>
      </c>
      <c r="BA180" s="1" t="n">
        <v>14</v>
      </c>
      <c r="BB180" s="16" t="n">
        <f aca="false">IF(O180&lt;&gt;"",MAX(16,(O180-M180)+8),"")</f>
        <v>17</v>
      </c>
      <c r="BE180" s="1" t="n">
        <f aca="false">MIN(AE180/150, 1)*30</f>
        <v>12</v>
      </c>
      <c r="BF180" s="1" t="n">
        <f aca="false">MIN(Q180/4000, 1)*20</f>
        <v>4.5</v>
      </c>
      <c r="BG180" s="1" t="n">
        <f aca="false">MIN(AC180/400,1)*20</f>
        <v>8.9</v>
      </c>
      <c r="BH180" s="4" t="n">
        <f aca="false">1-(MAX(M180-1900, 0)/750)</f>
        <v>0.917333333333333</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68</v>
      </c>
      <c r="BM180" s="1" t="n">
        <f aca="false">INT(POWER((((Constants!$G$1+$BE180+$BF180+$BG180+$BI180)*($BH180))*$BJ180),IF($J180="wagon",1,1.2)))+$BC180</f>
        <v>76</v>
      </c>
      <c r="BN180" s="17" t="n">
        <f aca="false">BL180*IF($J180="wagon",62.5,781.25)</f>
        <v>53125</v>
      </c>
      <c r="BO180" s="17" t="n">
        <f aca="false">BM180*IF($J180="wagon",2.73,81.25)</f>
        <v>6175</v>
      </c>
      <c r="BY180" s="1" t="n">
        <v>8</v>
      </c>
      <c r="CD180" s="1" t="str">
        <f aca="false">VLOOKUP(M180,Eras!$A$2:$C$10, 2, TRUE())</f>
        <v>dsl</v>
      </c>
      <c r="CE180" s="1" t="s">
        <v>316</v>
      </c>
      <c r="CF180" s="1" t="str">
        <f aca="false">CONCATENATE(CD180,"_",CE180)</f>
        <v>dsl_Cheap</v>
      </c>
      <c r="CG180" s="1" t="str">
        <f aca="false">_xlfn.CONCAT(K180, "_",L180)</f>
        <v>diesel_RAIL</v>
      </c>
      <c r="CH180" s="7" t="str">
        <f aca="false">_xlfn.CONCAT("{BLACK}Length: {GOLD}", TEXT(ROUNDUP(IF(AT180&lt;&gt;"",SUM(VALUE(_xlfn.TEXTSPLIT(AT180, ","))), SUM(VALUE(_xlfn.TEXTSPLIT(AQ180, ",")))*IF(P180, P180, 1))/16, 1), "#,##0.0"), " tiles{}")</f>
        <v>{BLACK}Length: {GOLD}0.6 tiles{}</v>
      </c>
      <c r="CI180" s="1" t="n">
        <f aca="false">VLOOKUP($CG180, Constants!$M:$N, 2, FALSE())</f>
        <v>0</v>
      </c>
      <c r="CJ180" s="1" t="str">
        <f aca="false">IF(P180&gt;1,_xlfn.CONCAT("{BLACK}Cars: {GOLD}", P180),"")</f>
        <v/>
      </c>
      <c r="CK180" s="1" t="s">
        <v>631</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{GOLD}0.6 tiles{}{SILVER}The Class 17 attempted to solve the problems of visibility from a single cab. It had an unsuccessful life beset by engine reliability problems, and all examples were withdrawn early.</v>
      </c>
    </row>
    <row r="181" customFormat="false" ht="14.25" hidden="false" customHeight="false" outlineLevel="0" collapsed="false">
      <c r="A181" s="1" t="s">
        <v>632</v>
      </c>
      <c r="B181" s="15" t="s">
        <v>633</v>
      </c>
      <c r="C181" s="1" t="n">
        <v>198</v>
      </c>
      <c r="E181" s="1" t="n">
        <v>137</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198</v>
      </c>
      <c r="J181" s="1" t="s">
        <v>206</v>
      </c>
      <c r="K181" s="1" t="s">
        <v>482</v>
      </c>
      <c r="L181" s="1" t="s">
        <v>149</v>
      </c>
      <c r="M181" s="1" t="n">
        <v>1964</v>
      </c>
      <c r="N181" s="1" t="n">
        <v>1965</v>
      </c>
      <c r="O181" s="1" t="n">
        <v>1984</v>
      </c>
      <c r="Q181" s="1" t="n">
        <v>650</v>
      </c>
      <c r="Z181" s="1" t="n">
        <v>48.5</v>
      </c>
      <c r="AC181" s="1" t="n">
        <v>137</v>
      </c>
      <c r="AD181" s="4" t="n">
        <f aca="false">IF(AND(Z181&gt;0,AC181&gt;0),(AC181/((Z181+AA181)*10)),"")</f>
        <v>0.282474226804124</v>
      </c>
      <c r="AE181" s="1" t="n">
        <v>40</v>
      </c>
      <c r="AF181" s="1" t="n">
        <f aca="false">ROUND(AE181*1.6, 0)</f>
        <v>64</v>
      </c>
      <c r="AI181" s="1" t="n">
        <v>10.3</v>
      </c>
      <c r="AJ181" s="1" t="n">
        <v>10.3</v>
      </c>
      <c r="AM181" s="5" t="n">
        <v>0</v>
      </c>
      <c r="AN181" s="1" t="str">
        <f aca="false">CONCATENATE(VLOOKUP(AO181, 'Voxel Sizes'!$A$2:$B$18,2,FALSE()),"x",INT(AK181*15), "x", INT(AL181*15))</f>
        <v>102x0x0</v>
      </c>
      <c r="AO181" s="1" t="n">
        <f aca="false">ROUND(15*((AJ181*10)/256),0)</f>
        <v>6</v>
      </c>
      <c r="AQ181" s="1" t="str">
        <f aca="false">CONCATENATE(VLOOKUP(AO181,Constants!$A$2:$C$16,IF(AP181&lt;&gt;"", 3, 2), FALSE()),IF(AP181&lt;&gt;"",CONCATENATE(",",VLOOKUP(AP181,$B:$AQ,42,FALSE())),""))</f>
        <v>2,2,2</v>
      </c>
      <c r="AY181" s="1" t="n">
        <v>1</v>
      </c>
      <c r="BA181" s="1" t="n">
        <v>18</v>
      </c>
      <c r="BB181" s="16" t="n">
        <f aca="false">IF(O181&lt;&gt;"",MAX(16,(O181-M181)+8),"")</f>
        <v>28</v>
      </c>
      <c r="BE181" s="1" t="n">
        <f aca="false">MIN(AE181/150, 1)*30</f>
        <v>8</v>
      </c>
      <c r="BF181" s="1" t="n">
        <f aca="false">MIN(Q181/4000, 1)*20</f>
        <v>3.25</v>
      </c>
      <c r="BG181" s="1" t="n">
        <f aca="false">MIN(AC181/400,1)*20</f>
        <v>6.85</v>
      </c>
      <c r="BH181" s="4" t="n">
        <f aca="false">1-(MAX(M181-1900, 0)/750)</f>
        <v>0.914666666666667</v>
      </c>
      <c r="BI181" s="1" t="n">
        <f aca="false">((MAX($P181,1)*MIN($AM181/300,1)))*IF(J181="Wagon",50,10)</f>
        <v>0</v>
      </c>
      <c r="BJ181" s="1" t="n">
        <f aca="false">VLOOKUP($K181,Constants!$I:$K, 2, FALSE())</f>
        <v>1</v>
      </c>
      <c r="BK181" s="1" t="n">
        <f aca="false">VLOOKUP($K181,Constants!$I:$K, 3, FALSE())*IF(AND(J181="multiple_unit",AE181&lt;110),0.75,1)</f>
        <v>2</v>
      </c>
      <c r="BL181" s="1" t="n">
        <f aca="false">INT(POWER(((Constants!$G$2+$BE181+$BF181+$BG181+$BI181)*$BH181)*$BK181, 1.05))+$BD181</f>
        <v>50</v>
      </c>
      <c r="BM181" s="1" t="n">
        <f aca="false">INT(POWER((((Constants!$G$1+$BE181+$BF181+$BG181+$BI181)*($BH181))*$BJ181),IF($J181="wagon",1,1.2)))+$BC181</f>
        <v>59</v>
      </c>
      <c r="BN181" s="17" t="n">
        <f aca="false">BL181*IF($J181="wagon",62.5,781.25)</f>
        <v>39062.5</v>
      </c>
      <c r="BO181" s="17" t="n">
        <f aca="false">BM181*IF($J181="wagon",2.73,81.25)</f>
        <v>4793.75</v>
      </c>
      <c r="BY181" s="1" t="n">
        <v>9</v>
      </c>
      <c r="CD181" s="1" t="str">
        <f aca="false">VLOOKUP(M181,Eras!$A$2:$C$10, 2, TRUE())</f>
        <v>dsl</v>
      </c>
      <c r="CE181" s="1" t="s">
        <v>316</v>
      </c>
      <c r="CF181" s="1" t="str">
        <f aca="false">CONCATENATE(CD181,"_",CE181)</f>
        <v>dsl_Cheap</v>
      </c>
      <c r="CG181" s="1" t="str">
        <f aca="false">_xlfn.CONCAT(K181, "_",L181)</f>
        <v>diesel_RAIL</v>
      </c>
      <c r="CH181" s="7" t="str">
        <f aca="false">_xlfn.CONCAT("{BLACK}Length: {GOLD}", TEXT(ROUNDUP(IF(AT181&lt;&gt;"",SUM(VALUE(_xlfn.TEXTSPLIT(AT181, ","))), SUM(VALUE(_xlfn.TEXTSPLIT(AQ181, ",")))*IF(P181, P181, 1))/16, 1), "#,##0.0"), " tiles{}")</f>
        <v>{BLACK}Length: {GOLD}0.4 tiles{}</v>
      </c>
      <c r="CI181" s="1" t="n">
        <f aca="false">VLOOKUP($CG181, Constants!$M:$N, 2, FALSE())</f>
        <v>0</v>
      </c>
      <c r="CJ181" s="1" t="str">
        <f aca="false">IF(P181&gt;1,_xlfn.CONCAT("{BLACK}Cars: {GOLD}", P181),"")</f>
        <v/>
      </c>
      <c r="CK181" s="1" t="s">
        <v>634</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{GOLD}0.4 tiles{}{SILVER}BR envisaged a need  for small diesel locomotives to run short-distance freight trains, but by the end of the 1960s this need had evaporated. The Class 14s were sold to industry, and saw continued use on private railways.</v>
      </c>
    </row>
    <row r="182" customFormat="false" ht="14.25" hidden="false" customHeight="false" outlineLevel="0" collapsed="false">
      <c r="A182" s="1" t="s">
        <v>635</v>
      </c>
      <c r="B182" s="15" t="s">
        <v>636</v>
      </c>
      <c r="C182" s="1" t="n">
        <v>199</v>
      </c>
      <c r="E182" s="1" t="n">
        <v>138</v>
      </c>
      <c r="G182" s="1" t="str">
        <f aca="false">IF($F182&lt;&gt;"",_xlfn.CONCAT(VLOOKUP($CE182, Constants!$T:$U, 2, FALSE()),",",$F182),VLOOKUP($CE182, Constants!$T:$U, 2, FALSE()))</f>
        <v>role/mixed</v>
      </c>
      <c r="H182" s="1" t="str">
        <f aca="false">IF($G182&lt;&gt;"",_xlfn.CONCAT(VLOOKUP($CG182, Constants!$M:$P, 4, FALSE()),",",$G182),VLOOKUP($CG182, Constants!$M:$P, 4, FALSE()))</f>
        <v>flag/GB,power/electric,power/diesel,role/mixed</v>
      </c>
      <c r="I182" s="1" t="s">
        <v>198</v>
      </c>
      <c r="J182" s="1" t="s">
        <v>206</v>
      </c>
      <c r="K182" s="1" t="s">
        <v>637</v>
      </c>
      <c r="L182" s="1" t="s">
        <v>149</v>
      </c>
      <c r="M182" s="1" t="n">
        <v>1965</v>
      </c>
      <c r="N182" s="1" t="n">
        <v>1967</v>
      </c>
      <c r="Q182" s="1" t="n">
        <v>1420</v>
      </c>
      <c r="R182" s="2" t="n">
        <v>600</v>
      </c>
      <c r="Z182" s="1" t="n">
        <v>76.3</v>
      </c>
      <c r="AC182" s="1" t="n">
        <v>186</v>
      </c>
      <c r="AD182" s="4" t="n">
        <f aca="false">IF(AND(Z182&gt;0,AC182&gt;0),(AC182/((Z182+AA182)*10)),"")</f>
        <v>0.243774574049803</v>
      </c>
      <c r="AE182" s="1" t="n">
        <v>80</v>
      </c>
      <c r="AF182" s="1" t="n">
        <f aca="false">ROUND(AE182*1.6, 0)</f>
        <v>128</v>
      </c>
      <c r="AI182" s="1" t="n">
        <v>16.36</v>
      </c>
      <c r="AJ182" s="1" t="n">
        <v>16.36</v>
      </c>
      <c r="AM182" s="5" t="n">
        <v>0</v>
      </c>
      <c r="AN182" s="1" t="str">
        <f aca="false">CONCATENATE(VLOOKUP(AO182, 'Voxel Sizes'!$A$2:$B$18,2,FALSE()),"x",INT(AK182*15), "x", INT(AL182*15))</f>
        <v>164x0x0</v>
      </c>
      <c r="AO182" s="1" t="n">
        <f aca="false">ROUND(15*((AJ182*10)/256),0)</f>
        <v>10</v>
      </c>
      <c r="AQ182" s="1" t="str">
        <f aca="false">CONCATENATE(VLOOKUP(AO182,Constants!$A$2:$C$16,IF(AP182&lt;&gt;"", 3, 2), FALSE()),IF(AP182&lt;&gt;"",CONCATENATE(",",VLOOKUP(AP182,$B:$AQ,42,FALSE())),""))</f>
        <v>4,2,4</v>
      </c>
      <c r="BA182" s="1" t="n">
        <v>33</v>
      </c>
      <c r="BB182" s="16" t="str">
        <f aca="false">IF(O182&lt;&gt;"",MAX(16,(O182-M182)+8),"")</f>
        <v/>
      </c>
      <c r="BE182" s="1" t="n">
        <f aca="false">MIN(AE182/150, 1)*30</f>
        <v>16</v>
      </c>
      <c r="BF182" s="1" t="n">
        <f aca="false">MIN(Q182/4000, 1)*20</f>
        <v>7.1</v>
      </c>
      <c r="BG182" s="1" t="n">
        <f aca="false">MIN(AC182/400,1)*20</f>
        <v>9.3</v>
      </c>
      <c r="BH182" s="4" t="n">
        <f aca="false">1-(MAX(M182-1900, 0)/750)</f>
        <v>0.913333333333333</v>
      </c>
      <c r="BI182" s="1" t="n">
        <f aca="false">((MAX($P182,1)*MIN($AM182/300,1)))*IF(J182="Wagon",50,10)</f>
        <v>0</v>
      </c>
      <c r="BJ182" s="1" t="n">
        <f aca="false">VLOOKUP($K182,Constants!$I:$K, 2, FALSE())</f>
        <v>0.9</v>
      </c>
      <c r="BK182" s="1" t="n">
        <f aca="false">VLOOKUP($K182,Constants!$I:$K, 3, FALSE())*IF(AND(J182="multiple_unit",AE182&lt;110),0.75,1)</f>
        <v>2.5</v>
      </c>
      <c r="BL182" s="1" t="n">
        <f aca="false">INT(POWER(((Constants!$G$2+$BE182+$BF182+$BG182+$BI182)*$BH182)*$BK182, 1.05))+$BD182</f>
        <v>106</v>
      </c>
      <c r="BM182" s="1" t="n">
        <f aca="false">INT(POWER((((Constants!$G$1+$BE182+$BF182+$BG182+$BI182)*($BH182))*$BJ182),IF($J182="wagon",1,1.2)))+$BC182</f>
        <v>81</v>
      </c>
      <c r="BN182" s="17" t="n">
        <f aca="false">BL182*IF($J182="wagon",62.5,781.25)</f>
        <v>82812.5</v>
      </c>
      <c r="BO182" s="17" t="n">
        <f aca="false">BM182*IF($J182="wagon",2.73,81.25)</f>
        <v>6581.25</v>
      </c>
      <c r="BY182" s="1" t="n">
        <v>10</v>
      </c>
      <c r="CD182" s="1" t="str">
        <f aca="false">VLOOKUP(M182,Eras!$A$2:$C$10, 2, TRUE())</f>
        <v>dsl</v>
      </c>
      <c r="CE182" s="1" t="s">
        <v>129</v>
      </c>
      <c r="CF182" s="1" t="str">
        <f aca="false">CONCATENATE(CD182,"_",CE182)</f>
        <v>dsl_Mixed Traffic</v>
      </c>
      <c r="CG182" s="1" t="str">
        <f aca="false">_xlfn.CONCAT(K182, "_",L182)</f>
        <v>dual_power_RAIL</v>
      </c>
      <c r="CH182" s="7" t="str">
        <f aca="false">_xlfn.CONCAT("{BLACK}Length: {GOLD}", TEXT(ROUNDUP(IF(AT182&lt;&gt;"",SUM(VALUE(_xlfn.TEXTSPLIT(AT182, ","))), SUM(VALUE(_xlfn.TEXTSPLIT(AQ182, ",")))*IF(P182, P182, 1))/16, 1), "#,##0.0"), " tiles{}")</f>
        <v>{BLACK}Length: {GOLD}0.7 tiles{}</v>
      </c>
      <c r="CI182" s="1" t="n">
        <f aca="false">VLOOKUP($CG182, Constants!$M:$N, 2, FALSE())</f>
        <v>0</v>
      </c>
      <c r="CJ182" s="1" t="str">
        <f aca="false">IF(P182&gt;1,_xlfn.CONCAT("{BLACK}Cars: {GOLD}", P182),"")</f>
        <v/>
      </c>
      <c r="CK182" s="1" t="s">
        <v>638</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{GOLD}0.7 tiles{}{SILVER}The Class 73 is a dual-power locomotive, running at full power when connected to a third rail supply but carrying a small diesel engine for running on non-electrified track.</v>
      </c>
    </row>
    <row r="183" customFormat="false" ht="14.25" hidden="false" customHeight="false" outlineLevel="0" collapsed="false">
      <c r="A183" s="1" t="s">
        <v>639</v>
      </c>
      <c r="B183" s="15" t="s">
        <v>640</v>
      </c>
      <c r="C183" s="1" t="n">
        <v>200</v>
      </c>
      <c r="E183" s="1" t="n">
        <v>139</v>
      </c>
      <c r="G183" s="1" t="str">
        <f aca="false">IF($F183&lt;&gt;"",_xlfn.CONCAT(VLOOKUP($CE183, Constants!$T:$U, 2, FALSE()),",",$F183),VLOOKUP($CE183, Constants!$T:$U, 2, FALSE()))</f>
        <v>role/express_passenger</v>
      </c>
      <c r="H183" s="1" t="str">
        <f aca="false">IF($G183&lt;&gt;"",_xlfn.CONCAT(VLOOKUP($CG183, Constants!$M:$P, 4, FALSE()),",",$G183),VLOOKUP($CG183, Constants!$M:$P, 4, FALSE()))</f>
        <v>flag/GB,power/electric,role/express_passenger</v>
      </c>
      <c r="I183" s="1" t="s">
        <v>198</v>
      </c>
      <c r="J183" s="1" t="s">
        <v>206</v>
      </c>
      <c r="K183" s="1" t="s">
        <v>349</v>
      </c>
      <c r="L183" s="1" t="s">
        <v>350</v>
      </c>
      <c r="M183" s="1" t="n">
        <v>1965</v>
      </c>
      <c r="N183" s="1" t="n">
        <v>1966</v>
      </c>
      <c r="Q183" s="1" t="n">
        <v>3600</v>
      </c>
      <c r="Z183" s="1" t="n">
        <v>82</v>
      </c>
      <c r="AC183" s="1" t="n">
        <v>267</v>
      </c>
      <c r="AD183" s="4" t="n">
        <f aca="false">IF(AND(Z183&gt;0,AC183&gt;0),(AC183/((Z183+AA183)*10)),"")</f>
        <v>0.325609756097561</v>
      </c>
      <c r="AE183" s="1" t="n">
        <v>100</v>
      </c>
      <c r="AF183" s="1" t="n">
        <f aca="false">ROUND(AE183*1.6, 0)</f>
        <v>160</v>
      </c>
      <c r="AI183" s="1" t="n">
        <v>17.83</v>
      </c>
      <c r="AJ183" s="1" t="n">
        <v>17.83</v>
      </c>
      <c r="AL183" s="1" t="n">
        <v>3.77</v>
      </c>
      <c r="AM183" s="5" t="n">
        <v>0</v>
      </c>
      <c r="AN183" s="1" t="str">
        <f aca="false">CONCATENATE(VLOOKUP(AO183, 'Voxel Sizes'!$A$2:$B$18,2,FALSE()),"x",INT(AK183*15), "x", INT(AL183*15))</f>
        <v>164x0x56</v>
      </c>
      <c r="AO183" s="1" t="n">
        <f aca="false">ROUND(15*((AJ183*10)/256),0)</f>
        <v>10</v>
      </c>
      <c r="AQ183" s="1" t="str">
        <f aca="false">CONCATENATE(VLOOKUP(AO183,Constants!$A$2:$C$16,IF(AP183&lt;&gt;"", 3, 2), FALSE()),IF(AP183&lt;&gt;"",CONCATENATE(",",VLOOKUP(AP183,$B:$AQ,42,FALSE())),""))</f>
        <v>4,2,4</v>
      </c>
      <c r="BA183" s="1" t="n">
        <v>37</v>
      </c>
      <c r="BB183" s="16" t="str">
        <f aca="false">IF(O183&lt;&gt;"",MAX(16,(O183-M183)+8),"")</f>
        <v/>
      </c>
      <c r="BE183" s="1" t="n">
        <f aca="false">MIN(AE183/150, 1)*30</f>
        <v>20</v>
      </c>
      <c r="BF183" s="1" t="n">
        <f aca="false">MIN(Q183/4000, 1)*20</f>
        <v>18</v>
      </c>
      <c r="BG183" s="1" t="n">
        <f aca="false">MIN(AC183/400,1)*20</f>
        <v>13.35</v>
      </c>
      <c r="BH183" s="4" t="n">
        <f aca="false">1-(MAX(M183-1900, 0)/750)</f>
        <v>0.913333333333333</v>
      </c>
      <c r="BI183" s="1" t="n">
        <f aca="false">((MAX($P183,1)*MIN($AM183/300,1)))*IF(J183="Wagon",50,10)</f>
        <v>0</v>
      </c>
      <c r="BJ183" s="1" t="n">
        <f aca="false">VLOOKUP($K183,Constants!$I:$K, 2, FALSE())</f>
        <v>0.85</v>
      </c>
      <c r="BK183" s="1" t="n">
        <f aca="false">VLOOKUP($K183,Constants!$I:$K, 3, FALSE())*IF(AND(J183="multiple_unit",AE183&lt;110),0.75,1)</f>
        <v>2.3</v>
      </c>
      <c r="BL183" s="1" t="n">
        <f aca="false">INT(POWER(((Constants!$G$2+$BE183+$BF183+$BG183+$BI183)*$BH183)*$BK183, 1.05))+$BD183</f>
        <v>150</v>
      </c>
      <c r="BM183" s="1" t="n">
        <f aca="false">INT(POWER((((Constants!$G$1+$BE183+$BF183+$BG183+$BI183)*($BH183))*$BJ183),IF($J183="wagon",1,1.2)))+$BC183</f>
        <v>113</v>
      </c>
      <c r="BN183" s="17" t="n">
        <f aca="false">BL183*IF($J183="wagon",62.5,781.25)</f>
        <v>117187.5</v>
      </c>
      <c r="BO183" s="17" t="n">
        <f aca="false">BM183*IF($J183="wagon",2.73,81.25)</f>
        <v>9181.25</v>
      </c>
      <c r="BY183" s="1" t="n">
        <v>11</v>
      </c>
      <c r="CD183" s="1" t="str">
        <f aca="false">VLOOKUP(M183,Eras!$A$2:$C$10, 2, TRUE())</f>
        <v>dsl</v>
      </c>
      <c r="CE183" s="1" t="s">
        <v>556</v>
      </c>
      <c r="CF183" s="1" t="str">
        <f aca="false">CONCATENATE(CD183,"_",CE183)</f>
        <v>dsl_Express (Electric)</v>
      </c>
      <c r="CG183" s="1" t="str">
        <f aca="false">_xlfn.CONCAT(K183, "_",L183)</f>
        <v>electric_ELRL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641</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86 (originally AL6) was BR's first standard electric locomotive, incorporating experience from prototypes such as the Class 81.</v>
      </c>
    </row>
    <row r="184" customFormat="false" ht="14.25" hidden="false" customHeight="false" outlineLevel="0" collapsed="false">
      <c r="A184" s="1" t="s">
        <v>642</v>
      </c>
      <c r="B184" s="15" t="s">
        <v>643</v>
      </c>
      <c r="C184" s="1" t="n">
        <v>201</v>
      </c>
      <c r="E184" s="1" t="n">
        <v>140</v>
      </c>
      <c r="G184" s="1" t="str">
        <f aca="false">IF($F184&lt;&gt;"",_xlfn.CONCAT(VLOOKUP($CE184, Constants!$T:$U, 2, FALSE()),",",$F184),VLOOKUP($CE184, Constants!$T:$U, 2, FALSE()))</f>
        <v>role/express_passenger</v>
      </c>
      <c r="H184" s="1" t="str">
        <f aca="false">IF($G184&lt;&gt;"",_xlfn.CONCAT(VLOOKUP($CG184, Constants!$M:$P, 4, FALSE()),",",$G184),VLOOKUP($CG184, Constants!$M:$P, 4, FALSE()))</f>
        <v>flag/GB,power/diesel,role/express_passenger</v>
      </c>
      <c r="I184" s="1" t="s">
        <v>198</v>
      </c>
      <c r="J184" s="1" t="s">
        <v>206</v>
      </c>
      <c r="K184" s="1" t="s">
        <v>482</v>
      </c>
      <c r="L184" s="1" t="s">
        <v>149</v>
      </c>
      <c r="M184" s="1" t="n">
        <v>1967</v>
      </c>
      <c r="N184" s="1" t="n">
        <v>1968</v>
      </c>
      <c r="O184" s="1" t="n">
        <v>1994</v>
      </c>
      <c r="Q184" s="1" t="n">
        <v>2700</v>
      </c>
      <c r="Z184" s="1" t="n">
        <v>117</v>
      </c>
      <c r="AC184" s="1" t="n">
        <v>216</v>
      </c>
      <c r="AD184" s="4" t="n">
        <f aca="false">IF(AND(Z184&gt;0,AC184&gt;0),(AC184/((Z184+AA184)*10)),"")</f>
        <v>0.184615384615385</v>
      </c>
      <c r="AE184" s="1" t="n">
        <v>100</v>
      </c>
      <c r="AF184" s="1" t="n">
        <f aca="false">ROUND(AE184*1.6, 0)</f>
        <v>160</v>
      </c>
      <c r="AI184" s="1" t="n">
        <v>20.88</v>
      </c>
      <c r="AJ184" s="1" t="n">
        <v>20.88</v>
      </c>
      <c r="AL184" s="1" t="n">
        <v>3.89</v>
      </c>
      <c r="AM184" s="5" t="n">
        <v>0</v>
      </c>
      <c r="AN184" s="1" t="str">
        <f aca="false">CONCATENATE(VLOOKUP(AO184, 'Voxel Sizes'!$A$2:$B$18,2,FALSE()),"x",INT(AK184*15), "x", INT(AL184*15))</f>
        <v>198x0x58</v>
      </c>
      <c r="AO184" s="1" t="n">
        <f aca="false">ROUND(15*((AJ184*10)/256),0)</f>
        <v>12</v>
      </c>
      <c r="AQ184" s="1" t="str">
        <f aca="false">CONCATENATE(VLOOKUP(AO184,Constants!$A$2:$C$16,IF(AP184&lt;&gt;"", 3, 2), FALSE()),IF(AP184&lt;&gt;"",CONCATENATE(",",VLOOKUP(AP184,$B:$AQ,42,FALSE())),""))</f>
        <v>4,4,4</v>
      </c>
      <c r="BA184" s="1" t="n">
        <v>30</v>
      </c>
      <c r="BB184" s="16" t="n">
        <f aca="false">IF(O184&lt;&gt;"",MAX(16,(O184-M184)+8),"")</f>
        <v>35</v>
      </c>
      <c r="BE184" s="1" t="n">
        <f aca="false">MIN(AE184/150, 1)*30</f>
        <v>20</v>
      </c>
      <c r="BF184" s="1" t="n">
        <f aca="false">MIN(Q184/4000, 1)*20</f>
        <v>13.5</v>
      </c>
      <c r="BG184" s="1" t="n">
        <f aca="false">MIN(AC184/400,1)*20</f>
        <v>10.8</v>
      </c>
      <c r="BH184" s="4" t="n">
        <f aca="false">1-(MAX(M184-1900, 0)/750)</f>
        <v>0.910666666666667</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112</v>
      </c>
      <c r="BM184" s="1" t="n">
        <f aca="false">INT(POWER((((Constants!$G$1+$BE184+$BF184+$BG184+$BI184)*($BH184))*$BJ184),IF($J184="wagon",1,1.2)))+$BC184</f>
        <v>119</v>
      </c>
      <c r="BN184" s="17" t="n">
        <f aca="false">BL184*IF($J184="wagon",62.5,781.25)</f>
        <v>87500</v>
      </c>
      <c r="BO184" s="17" t="n">
        <f aca="false">BM184*IF($J184="wagon",2.73,81.25)</f>
        <v>9668.75</v>
      </c>
      <c r="BY184" s="1" t="n">
        <v>12</v>
      </c>
      <c r="CD184" s="1" t="str">
        <f aca="false">VLOOKUP(M184,Eras!$A$2:$C$10, 2, TRUE())</f>
        <v>dsl</v>
      </c>
      <c r="CE184" s="1" t="s">
        <v>241</v>
      </c>
      <c r="CF184" s="1" t="str">
        <f aca="false">CONCATENATE(CD184,"_",CE184)</f>
        <v>dsl_Express</v>
      </c>
      <c r="CG184" s="1" t="str">
        <f aca="false">_xlfn.CONCAT(K184, "_",L184)</f>
        <v>diesel_RAIL</v>
      </c>
      <c r="CH184" s="7" t="str">
        <f aca="false">_xlfn.CONCAT("{BLACK}Length: {GOLD}", TEXT(ROUNDUP(IF(AT184&lt;&gt;"",SUM(VALUE(_xlfn.TEXTSPLIT(AT184, ","))), SUM(VALUE(_xlfn.TEXTSPLIT(AQ184, ",")))*IF(P184, P184, 1))/16, 1), "#,##0.0"), " tiles{}")</f>
        <v>{BLACK}Length: {GOLD}0.8 tiles{}</v>
      </c>
      <c r="CI184" s="1" t="n">
        <f aca="false">VLOOKUP($CG184, Constants!$M:$N, 2, FALSE())</f>
        <v>0</v>
      </c>
      <c r="CJ184" s="1" t="str">
        <f aca="false">IF(P184&gt;1,_xlfn.CONCAT("{BLACK}Cars: {GOLD}", P184),"")</f>
        <v/>
      </c>
      <c r="CK184" s="1" t="s">
        <v>644</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{GOLD}0.8 tiles{}{SILVER}The Class 50 hauled express services on the West Coast Main Line until electrification, at which point they were used to replace diesel-hydraulic engines in the Western Region.</v>
      </c>
    </row>
    <row r="185" customFormat="false" ht="14.25" hidden="false" customHeight="false" outlineLevel="0" collapsed="false">
      <c r="A185" s="1" t="s">
        <v>645</v>
      </c>
      <c r="B185" s="19" t="s">
        <v>646</v>
      </c>
      <c r="C185" s="1" t="n">
        <v>1045</v>
      </c>
      <c r="E185" s="1" t="n">
        <v>141</v>
      </c>
      <c r="F185" s="1" t="s">
        <v>143</v>
      </c>
      <c r="G185" s="1" t="str">
        <f aca="false">IF($F185&lt;&gt;"",_xlfn.CONCAT(VLOOKUP($CE185, Constants!$T:$U, 2, FALSE()),",",$F185),VLOOKUP($CE185, Constants!$T:$U, 2, FALSE()))</f>
        <v>role/express_passenger,role/prototype</v>
      </c>
      <c r="H185" s="1" t="str">
        <f aca="false">IF($G185&lt;&gt;"",_xlfn.CONCAT(VLOOKUP($CG185, Constants!$M:$P, 4, FALSE()),",",$G185),VLOOKUP($CG185, Constants!$M:$P, 4, FALSE()))</f>
        <v>flag/GB,power/diesel,role/express_passenger,role/prototype</v>
      </c>
      <c r="I185" s="1" t="s">
        <v>198</v>
      </c>
      <c r="J185" s="1" t="s">
        <v>206</v>
      </c>
      <c r="K185" s="1" t="s">
        <v>482</v>
      </c>
      <c r="L185" s="1" t="s">
        <v>149</v>
      </c>
      <c r="M185" s="1" t="n">
        <v>1967</v>
      </c>
      <c r="O185" s="1" t="n">
        <v>1982</v>
      </c>
      <c r="Q185" s="1" t="n">
        <v>4000</v>
      </c>
      <c r="Z185" s="1" t="n">
        <v>126</v>
      </c>
      <c r="AC185" s="1" t="n">
        <v>270</v>
      </c>
      <c r="AD185" s="4" t="n">
        <f aca="false">IF(AND(Z185&gt;0,AC185&gt;0),(AC185/((Z185+AA185)*10)),"")</f>
        <v>0.214285714285714</v>
      </c>
      <c r="AE185" s="1" t="n">
        <v>110</v>
      </c>
      <c r="AF185" s="1" t="n">
        <f aca="false">ROUND(AE185*1.6, 0)</f>
        <v>176</v>
      </c>
      <c r="AI185" s="1" t="n">
        <v>20.27</v>
      </c>
      <c r="AJ185" s="1" t="n">
        <v>20.27</v>
      </c>
      <c r="AK185" s="1" t="n">
        <v>2.69</v>
      </c>
      <c r="AL185" s="1" t="n">
        <v>3.91</v>
      </c>
      <c r="AN185" s="16" t="s">
        <v>621</v>
      </c>
      <c r="AO185" s="16" t="n">
        <f aca="false">ROUND(15*((AJ185*10)/256),0)</f>
        <v>12</v>
      </c>
      <c r="AQ185" s="1" t="str">
        <f aca="false">CONCATENATE(VLOOKUP(AO185,Constants!$A$2:$C$16,IF(AP185&lt;&gt;"", 3, 2), FALSE()),IF(AP185&lt;&gt;"",CONCATENATE(",",VLOOKUP(AP185,$B:$AQ,42,FALSE())),""))</f>
        <v>4,4,4</v>
      </c>
      <c r="BA185" s="1" t="n">
        <v>21</v>
      </c>
      <c r="BB185" s="16" t="n">
        <f aca="false">IF(O185&lt;&gt;"",MAX(16,(O185-M185)+8),"")</f>
        <v>23</v>
      </c>
      <c r="BD185" s="1" t="n">
        <v>2</v>
      </c>
      <c r="BE185" s="20" t="n">
        <f aca="false">MIN(AE185/150, 1)*30</f>
        <v>22</v>
      </c>
      <c r="BF185" s="20" t="n">
        <f aca="false">MIN(Q185/4000, 1)*20</f>
        <v>20</v>
      </c>
      <c r="BG185" s="20" t="n">
        <f aca="false">MIN(AC185/400,1)*20</f>
        <v>13.5</v>
      </c>
      <c r="BH185" s="21" t="n">
        <f aca="false">1-(MAX(M185-1900, 0)/750)</f>
        <v>0.910666666666667</v>
      </c>
      <c r="BI185" s="20" t="n">
        <f aca="false">((MAX($P185,1)*MIN($AM185/300,1)))*IF(J185="Wagon",50,10)</f>
        <v>0</v>
      </c>
      <c r="BJ185" s="1" t="n">
        <f aca="false">VLOOKUP($K185,Constants!$I:$K, 2, FALSE())</f>
        <v>1</v>
      </c>
      <c r="BK185" s="1" t="n">
        <f aca="false">VLOOKUP($K185,Constants!$I:$K, 3, FALSE())*IF(AND(J185="multiple_unit",AE185&lt;110),0.75,1)</f>
        <v>2</v>
      </c>
      <c r="BL185" s="20" t="n">
        <v>141</v>
      </c>
      <c r="BM185" s="20" t="n">
        <v>147</v>
      </c>
      <c r="BN185" s="22" t="n">
        <f aca="false">BL185*IF($J185="wagon",62.5,781.25)</f>
        <v>110156.25</v>
      </c>
      <c r="BO185" s="22" t="n">
        <f aca="false">BM185*IF($J185="wagon",2.73,81.25)</f>
        <v>11943.75</v>
      </c>
      <c r="BY185" s="1" t="n">
        <v>6</v>
      </c>
      <c r="CD185" s="23" t="s">
        <v>569</v>
      </c>
      <c r="CE185" s="1" t="s">
        <v>241</v>
      </c>
      <c r="CF185" s="23" t="str">
        <f aca="false">CONCATENATE(CD185,"_",CE185)</f>
        <v>dsl_Express</v>
      </c>
      <c r="CG185" s="23" t="str">
        <f aca="false">_xlfn.CONCAT(K185, "_",L185)</f>
        <v>diesel_RAIL</v>
      </c>
      <c r="CH185" s="7" t="str">
        <f aca="false">_xlfn.CONCAT("{BLACK}Length: {GOLD}", TEXT(ROUNDUP(IF(AT185&lt;&gt;"",SUM(VALUE(_xlfn.TEXTSPLIT(AT185, ","))), SUM(VALUE(_xlfn.TEXTSPLIT(AQ185, ",")))*IF(P185, P185, 1))/16, 1), "#,##0.0"), " tiles{}")</f>
        <v>{BLACK}Length: {GOLD}0.8 tiles{}</v>
      </c>
      <c r="CI185" s="1" t="n">
        <f aca="false">VLOOKUP($CG185, Constants!$M:$N, 2, FALSE())</f>
        <v>0</v>
      </c>
      <c r="CJ185" s="1" t="str">
        <f aca="false">IF(P185&gt;1,_xlfn.CONCAT("{BLACK}Cars: {GOLD}", P185),"")</f>
        <v/>
      </c>
      <c r="CK185" s="1" t="s">
        <v>647</v>
      </c>
      <c r="CL185" s="1" t="str">
        <f aca="false">IF($BX185="!param_no_gameplay_units","{GREEN}Included for gameplay purposes","")</f>
        <v/>
      </c>
      <c r="CM185" s="1" t="str">
        <f aca="false">IF(CA185="buffet","{YELLOW}25% long distance bonus for consist{}",IF(CB185="DANDY","{YELLOW}Faster downhill speeds for horse-drawn trains (1 required per 2 horses){}",IF(CB185="BRAKE","{YELLOW}Speed bonus for slow wagons{}",IF(CB185="NGPassengers","{YELLOW}Preserved railway bonus: passengers pay more when hauled by old locomotives{}",IF(AND(BZ185&gt;190,NOT(AND(L185="NARROW_GAUGE",CB185&lt;&gt;"PASS"))),CONCATENATE("{YELLOW}",INT((BZ185-185)/1.85),"%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{GOLD}0.8 tiles{}{SILVER}The Brush "Kestrel" was a prototype high speed diesel locomotive. After a brief period of service in the UK it was sold to the Soviet Union, where it was re-gauged and used for testing.</v>
      </c>
    </row>
    <row r="186" customFormat="false" ht="14.25" hidden="false" customHeight="false" outlineLevel="0" collapsed="false">
      <c r="A186" s="1" t="s">
        <v>648</v>
      </c>
      <c r="B186" s="15" t="s">
        <v>649</v>
      </c>
      <c r="C186" s="1" t="n">
        <v>202</v>
      </c>
      <c r="E186" s="1" t="n">
        <v>142</v>
      </c>
      <c r="G186" s="1" t="str">
        <f aca="false">IF($F186&lt;&gt;"",_xlfn.CONCAT(VLOOKUP($CE186, Constants!$T:$U, 2, FALSE()),",",$F186),VLOOKUP($CE186, Constants!$T:$U, 2, FALSE()))</f>
        <v>role/express_passenger</v>
      </c>
      <c r="H186" s="1" t="str">
        <f aca="false">IF($G186&lt;&gt;"",_xlfn.CONCAT(VLOOKUP($CG186, Constants!$M:$P, 4, FALSE()),",",$G186),VLOOKUP($CG186, Constants!$M:$P, 4, FALSE()))</f>
        <v>flag/GB,power/electric,role/express_passenger</v>
      </c>
      <c r="I186" s="1" t="s">
        <v>198</v>
      </c>
      <c r="J186" s="1" t="s">
        <v>206</v>
      </c>
      <c r="K186" s="1" t="s">
        <v>349</v>
      </c>
      <c r="L186" s="1" t="s">
        <v>350</v>
      </c>
      <c r="M186" s="1" t="n">
        <v>1973</v>
      </c>
      <c r="N186" s="1" t="n">
        <v>1975</v>
      </c>
      <c r="O186" s="1" t="n">
        <v>2006</v>
      </c>
      <c r="Q186" s="1" t="n">
        <v>5000</v>
      </c>
      <c r="Z186" s="1" t="n">
        <v>81</v>
      </c>
      <c r="AC186" s="1" t="n">
        <v>258</v>
      </c>
      <c r="AD186" s="4" t="n">
        <f aca="false">IF(AND(Z186&gt;0,AC186&gt;0),(AC186/((Z186+AA186)*10)),"")</f>
        <v>0.318518518518519</v>
      </c>
      <c r="AE186" s="1" t="n">
        <v>110</v>
      </c>
      <c r="AF186" s="1" t="n">
        <f aca="false">ROUND(AE186*1.6, 0)</f>
        <v>176</v>
      </c>
      <c r="AI186" s="1" t="n">
        <v>17.83</v>
      </c>
      <c r="AJ186" s="1" t="n">
        <v>17.83</v>
      </c>
      <c r="AL186" s="1" t="n">
        <v>3.77</v>
      </c>
      <c r="AM186" s="5" t="n">
        <v>0</v>
      </c>
      <c r="AN186" s="1" t="str">
        <f aca="false">CONCATENATE(VLOOKUP(AO186, 'Voxel Sizes'!$A$2:$B$18,2,FALSE()),"x",INT(AK186*15), "x", INT(AL186*15))</f>
        <v>164x0x56</v>
      </c>
      <c r="AO186" s="1" t="n">
        <f aca="false">ROUND(15*((AJ186*10)/256),0)</f>
        <v>10</v>
      </c>
      <c r="AQ186" s="1" t="str">
        <f aca="false">CONCATENATE(VLOOKUP(AO186,Constants!$A$2:$C$16,IF(AP186&lt;&gt;"", 3, 2), FALSE()),IF(AP186&lt;&gt;"",CONCATENATE(",",VLOOKUP(AP186,$B:$AQ,42,FALSE())),""))</f>
        <v>4,2,4</v>
      </c>
      <c r="BA186" s="1" t="n">
        <v>30</v>
      </c>
      <c r="BB186" s="16" t="n">
        <f aca="false">IF(O186&lt;&gt;"",MAX(16,(O186-M186)+8),"")</f>
        <v>41</v>
      </c>
      <c r="BE186" s="1" t="n">
        <f aca="false">MIN(AE186/150, 1)*30</f>
        <v>22</v>
      </c>
      <c r="BF186" s="1" t="n">
        <f aca="false">MIN(Q186/4000, 1)*20</f>
        <v>20</v>
      </c>
      <c r="BG186" s="1" t="n">
        <f aca="false">MIN(AC186/400,1)*20</f>
        <v>12.9</v>
      </c>
      <c r="BH186" s="4" t="n">
        <f aca="false">1-(MAX(M186-1900, 0)/750)</f>
        <v>0.902666666666667</v>
      </c>
      <c r="BI186" s="1" t="n">
        <f aca="false">((MAX($P186,1)*MIN($AM186/300,1)))*IF(J186="Wagon",50,10)</f>
        <v>0</v>
      </c>
      <c r="BJ186" s="1" t="n">
        <f aca="false">VLOOKUP($K186,Constants!$I:$K, 2, FALSE())</f>
        <v>0.85</v>
      </c>
      <c r="BK186" s="1" t="n">
        <f aca="false">VLOOKUP($K186,Constants!$I:$K, 3, FALSE())*IF(AND(J186="multiple_unit",AE186&lt;110),0.75,1)</f>
        <v>2.3</v>
      </c>
      <c r="BL186" s="1" t="n">
        <f aca="false">INT(POWER(((Constants!$G$2+$BE186+$BF186+$BG186+$BI186)*$BH186)*$BK186, 1.05))+$BD186</f>
        <v>158</v>
      </c>
      <c r="BM186" s="1" t="n">
        <f aca="false">INT(POWER((((Constants!$G$1+$BE186+$BF186+$BG186+$BI186)*($BH186))*$BJ186),IF($J186="wagon",1,1.2)))+$BC186</f>
        <v>118</v>
      </c>
      <c r="BN186" s="17" t="n">
        <f aca="false">BL186*IF($J186="wagon",62.5,781.25)</f>
        <v>123437.5</v>
      </c>
      <c r="BO186" s="17" t="n">
        <f aca="false">BM186*IF($J186="wagon",2.73,81.25)</f>
        <v>9587.5</v>
      </c>
      <c r="BY186" s="1" t="n">
        <v>1</v>
      </c>
      <c r="CD186" s="1" t="str">
        <f aca="false">VLOOKUP(M186,Eras!$A$2:$C$10, 2, TRUE())</f>
        <v>lbr</v>
      </c>
      <c r="CE186" s="1" t="s">
        <v>556</v>
      </c>
      <c r="CF186" s="1" t="str">
        <f aca="false">CONCATENATE(CD186,"_",CE186)</f>
        <v>lbr_Express (Electric)</v>
      </c>
      <c r="CG186" s="1" t="str">
        <f aca="false">_xlfn.CONCAT(K186, "_",L186)</f>
        <v>electric_ELRL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650</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87 was a further development of the Class 86 with even more power and performance, serving as the flagship of the British Rail electric fleet.</v>
      </c>
    </row>
    <row r="187" customFormat="false" ht="14.25" hidden="false" customHeight="false" outlineLevel="0" collapsed="false">
      <c r="A187" s="25" t="s">
        <v>651</v>
      </c>
      <c r="B187" s="15" t="s">
        <v>652</v>
      </c>
      <c r="C187" s="1" t="n">
        <v>203</v>
      </c>
      <c r="E187" s="1" t="n">
        <v>143</v>
      </c>
      <c r="G187" s="1" t="str">
        <f aca="false">IF($F187&lt;&gt;"",_xlfn.CONCAT(VLOOKUP($CE187, Constants!$T:$U, 2, FALSE()),",",$F187),VLOOKUP($CE187, Constants!$T:$U, 2, FALSE()))</f>
        <v>role/express_passenger</v>
      </c>
      <c r="H187" s="1" t="str">
        <f aca="false">IF($G187&lt;&gt;"",_xlfn.CONCAT(VLOOKUP($CG187, Constants!$M:$P, 4, FALSE()),",",$G187),VLOOKUP($CG187, Constants!$M:$P, 4, FALSE()))</f>
        <v>flag/GB,power/diesel,role/express_passenger</v>
      </c>
      <c r="I187" s="1" t="s">
        <v>198</v>
      </c>
      <c r="J187" s="1" t="s">
        <v>206</v>
      </c>
      <c r="K187" s="1" t="s">
        <v>482</v>
      </c>
      <c r="L187" s="1" t="s">
        <v>149</v>
      </c>
      <c r="M187" s="1" t="n">
        <v>1975</v>
      </c>
      <c r="N187" s="1" t="n">
        <v>1982</v>
      </c>
      <c r="O187" s="1" t="n">
        <v>2021</v>
      </c>
      <c r="Q187" s="1" t="n">
        <v>1770</v>
      </c>
      <c r="Z187" s="1" t="n">
        <v>70.25</v>
      </c>
      <c r="AC187" s="1" t="n">
        <v>160</v>
      </c>
      <c r="AD187" s="4" t="n">
        <f aca="false">IF(AND(Z187&gt;0,AC187&gt;0),(AC187/((Z187+AA187)*10)),"")</f>
        <v>0.227758007117438</v>
      </c>
      <c r="AE187" s="1" t="n">
        <v>125</v>
      </c>
      <c r="AF187" s="1" t="n">
        <f aca="false">ROUND(AE187*1.6, 0)</f>
        <v>200</v>
      </c>
      <c r="AI187" s="1" t="n">
        <v>17.79</v>
      </c>
      <c r="AJ187" s="1" t="n">
        <v>17.79</v>
      </c>
      <c r="AM187" s="5" t="n">
        <v>0</v>
      </c>
      <c r="AN187" s="1" t="str">
        <f aca="false">CONCATENATE(VLOOKUP(AO187, 'Voxel Sizes'!$A$2:$B$18,2,FALSE()),"x",INT(AK187*15), "x", INT(AL187*15))</f>
        <v>164x0x0</v>
      </c>
      <c r="AO187" s="1" t="n">
        <f aca="false">ROUND(15*((AJ187*10)/256),0)</f>
        <v>10</v>
      </c>
      <c r="AQ187" s="1" t="str">
        <f aca="false">CONCATENATE(VLOOKUP(AO187,Constants!$A$2:$C$16,IF(AP187&lt;&gt;"", 3, 2), FALSE()),IF(AP187&lt;&gt;"",CONCATENATE(",",VLOOKUP(AP187,$B:$AQ,42,FALSE())),""))</f>
        <v>4,2,4</v>
      </c>
      <c r="BA187" s="1" t="n">
        <v>35</v>
      </c>
      <c r="BB187" s="16" t="n">
        <f aca="false">IF(O187&lt;&gt;"",MAX(16,(O187-M187)+8),"")</f>
        <v>54</v>
      </c>
      <c r="BE187" s="1" t="n">
        <f aca="false">MIN(AE187/150, 1)*30</f>
        <v>25</v>
      </c>
      <c r="BF187" s="1" t="n">
        <f aca="false">MIN(Q187/4000, 1)*20</f>
        <v>8.85</v>
      </c>
      <c r="BG187" s="1" t="n">
        <f aca="false">MIN(AC187/400,1)*20</f>
        <v>8</v>
      </c>
      <c r="BH187" s="4" t="n">
        <f aca="false">1-(MAX(M187-1900, 0)/750)</f>
        <v>0.9</v>
      </c>
      <c r="BI187" s="1" t="n">
        <f aca="false">((MAX($P187,1)*MIN($AM187/300,1)))*IF(J187="Wagon",50,10)</f>
        <v>0</v>
      </c>
      <c r="BJ187" s="1" t="n">
        <f aca="false">VLOOKUP($K187,Constants!$I:$K, 2, FALSE())</f>
        <v>1</v>
      </c>
      <c r="BK187" s="1" t="n">
        <f aca="false">VLOOKUP($K187,Constants!$I:$K, 3, FALSE())*IF(AND(J187="multiple_unit",AE187&lt;110),0.75,1)</f>
        <v>2</v>
      </c>
      <c r="BL187" s="1" t="n">
        <f aca="false">INT(POWER(((Constants!$G$2+$BE187+$BF187+$BG187+$BI187)*$BH187)*$BK187, 1.05))+$BD187</f>
        <v>105</v>
      </c>
      <c r="BM187" s="1" t="n">
        <f aca="false">INT(POWER((((Constants!$G$1+$BE187+$BF187+$BG187+$BI187)*($BH187))*$BJ187),IF($J187="wagon",1,1.2)))+$BC187</f>
        <v>112</v>
      </c>
      <c r="BN187" s="17" t="n">
        <f aca="false">BL187*IF($J187="wagon",62.5,781.25)</f>
        <v>82031.25</v>
      </c>
      <c r="BO187" s="17" t="n">
        <f aca="false">BM187*IF($J187="wagon",2.73,81.25)</f>
        <v>9100</v>
      </c>
      <c r="BP187" s="1" t="n">
        <v>1</v>
      </c>
      <c r="BQ187" s="1" t="n">
        <v>1</v>
      </c>
      <c r="BY187" s="1" t="n">
        <v>2</v>
      </c>
      <c r="CD187" s="1" t="str">
        <f aca="false">VLOOKUP(M187,Eras!$A$2:$C$10, 2, TRUE())</f>
        <v>lbr</v>
      </c>
      <c r="CE187" s="1" t="s">
        <v>241</v>
      </c>
      <c r="CF187" s="1" t="str">
        <f aca="false">CONCATENATE(CD187,"_",CE187)</f>
        <v>lbr_Express</v>
      </c>
      <c r="CG187" s="1" t="str">
        <f aca="false">_xlfn.CONCAT(K187, "_",L187)</f>
        <v>diesel_RAIL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653</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43 HST is a high-speed diesel-electric locomotive, also known as the Intercity 125 for its 125mph service speed and intended use on long routes between cities.</v>
      </c>
    </row>
    <row r="188" customFormat="false" ht="14.25" hidden="false" customHeight="false" outlineLevel="0" collapsed="false">
      <c r="A188" s="25" t="s">
        <v>654</v>
      </c>
      <c r="B188" s="26" t="s">
        <v>655</v>
      </c>
      <c r="C188" s="1" t="n">
        <v>3060</v>
      </c>
      <c r="D188" s="25" t="n">
        <v>203</v>
      </c>
      <c r="E188" s="1" t="n">
        <v>144</v>
      </c>
      <c r="F188" s="25"/>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25" t="s">
        <v>198</v>
      </c>
      <c r="J188" s="25" t="s">
        <v>206</v>
      </c>
      <c r="K188" s="25" t="s">
        <v>482</v>
      </c>
      <c r="L188" s="25" t="s">
        <v>149</v>
      </c>
      <c r="M188" s="25" t="n">
        <v>1986</v>
      </c>
      <c r="N188" s="25" t="n">
        <v>2026</v>
      </c>
      <c r="O188" s="25" t="n">
        <v>2031</v>
      </c>
      <c r="P188" s="25"/>
      <c r="Q188" s="25" t="n">
        <v>2250</v>
      </c>
      <c r="Z188" s="25" t="n">
        <v>71.5</v>
      </c>
      <c r="AB188" s="25"/>
      <c r="AC188" s="25" t="n">
        <v>180</v>
      </c>
      <c r="AD188" s="4" t="n">
        <f aca="false">IF(AND(Z188&gt;0,AC188&gt;0),(AC188/((Z188+AA188)*10)),"")</f>
        <v>0.251748251748252</v>
      </c>
      <c r="AE188" s="25" t="n">
        <v>125</v>
      </c>
      <c r="AF188" s="25" t="n">
        <f aca="false">ROUND(AE188*1.6, 0)</f>
        <v>200</v>
      </c>
      <c r="AG188" s="25"/>
      <c r="AH188" s="25"/>
      <c r="AI188" s="25" t="n">
        <v>17.79</v>
      </c>
      <c r="AJ188" s="25" t="n">
        <v>17.79</v>
      </c>
      <c r="AK188" s="25"/>
      <c r="AL188" s="25"/>
      <c r="AM188" s="5" t="n">
        <v>0</v>
      </c>
      <c r="AN188" s="1" t="str">
        <f aca="false">CONCATENATE(VLOOKUP(AO188, '[1]Voxel Sizes'!$A$2:$B$18,2,FALSE()),"x",INT(AK188*15), "x", INT(AL188*15))</f>
        <v>164x0x0</v>
      </c>
      <c r="AO188" s="25" t="n">
        <f aca="false">ROUND(15*((AJ188*10)/256),0)</f>
        <v>10</v>
      </c>
      <c r="AP188" s="25"/>
      <c r="AQ188" s="1" t="str">
        <f aca="false">CONCATENATE(VLOOKUP(AO188,Constants!$A$2:$C$16,IF(AP188&lt;&gt;"", 3, 2), FALSE()),IF(AP188&lt;&gt;"",CONCATENATE(",",VLOOKUP(AP188,$B:$AQ,42,FALSE())),""))</f>
        <v>4,2,4</v>
      </c>
      <c r="AR188" s="25"/>
      <c r="AU188" s="25"/>
      <c r="AV188" s="25"/>
      <c r="AW188" s="25"/>
      <c r="AX188" s="25"/>
      <c r="AY188" s="25"/>
      <c r="AZ188" s="25"/>
      <c r="BA188" s="25" t="n">
        <v>35</v>
      </c>
      <c r="BB188" s="16" t="n">
        <f aca="false">IF(O188&lt;&gt;"",MAX(16,(O188-M188)+8),"")</f>
        <v>53</v>
      </c>
      <c r="BC188" s="25"/>
      <c r="BD188" s="25"/>
      <c r="BE188" s="25" t="n">
        <f aca="false">MIN(AE188/150, 1)*30</f>
        <v>25</v>
      </c>
      <c r="BF188" s="25" t="n">
        <f aca="false">MIN(Q188/4000, 1)*20</f>
        <v>11.25</v>
      </c>
      <c r="BG188" s="25" t="n">
        <f aca="false">MIN(AC188/400,1)*20</f>
        <v>9</v>
      </c>
      <c r="BH188" s="4" t="n">
        <f aca="false">1-(MAX(M188-1900, 0)/750)</f>
        <v>0.885333333333333</v>
      </c>
      <c r="BI188" s="25" t="n">
        <f aca="false">((MAX($P188,1)*MIN($AM188/300,1)))*IF(J188="Wagon",50,10)</f>
        <v>0</v>
      </c>
      <c r="BJ188" s="1" t="n">
        <f aca="false">VLOOKUP($K188,Constants!$I:$K, 2, FALSE())</f>
        <v>1</v>
      </c>
      <c r="BK188" s="1" t="n">
        <f aca="false">VLOOKUP($K188,Constants!$I:$K, 3, FALSE())*IF(AND(J188="multiple_unit",AE188&lt;110),0.75,1)</f>
        <v>2</v>
      </c>
      <c r="BL188" s="25" t="n">
        <f aca="false">INT(POWER((([1]Constants!$G$2+$BE188+$BF188+$BG188+$BI188)*$BH188)*$BK188, 1.05))+$BD188</f>
        <v>111</v>
      </c>
      <c r="BM188" s="25" t="n">
        <f aca="false">INT(POWER(((([1]Constants!$G$1+$BE188+$BF188+$BG188+$BI188)*($BH188))*$BJ188),IF($J188="wagon",1,1.2)))+$BC188</f>
        <v>118</v>
      </c>
      <c r="BN188" s="17" t="n">
        <f aca="false">BL188*IF($J188="wagon",62.5,781.25)</f>
        <v>86718.75</v>
      </c>
      <c r="BO188" s="17" t="n">
        <f aca="false">BM188*IF($J188="wagon",2.73,81.25)</f>
        <v>9587.5</v>
      </c>
      <c r="BP188" s="25" t="n">
        <v>1</v>
      </c>
      <c r="BQ188" s="25" t="n">
        <v>1</v>
      </c>
      <c r="BR188" s="25"/>
      <c r="BS188" s="25"/>
      <c r="BT188" s="25"/>
      <c r="BU188" s="25"/>
      <c r="BV188" s="25"/>
      <c r="BW188" s="25"/>
      <c r="BX188" s="25"/>
      <c r="BY188" s="25" t="n">
        <v>2</v>
      </c>
      <c r="BZ188" s="25"/>
      <c r="CA188" s="25"/>
      <c r="CB188" s="25"/>
      <c r="CC188" s="25"/>
      <c r="CD188" s="25" t="str">
        <f aca="false">VLOOKUP(M188,[1]Eras!$A$2:$C$10, 2, TRUE())</f>
        <v>lbr</v>
      </c>
      <c r="CE188" s="25" t="s">
        <v>241</v>
      </c>
      <c r="CF188" s="25" t="str">
        <f aca="false">CONCATENATE(CD188,"_",CE188)</f>
        <v>lbr_Express</v>
      </c>
      <c r="CG188" s="25" t="str">
        <f aca="false">_xlfn.CONCAT(K188, "_",L188)</f>
        <v>diesel_RAIL</v>
      </c>
      <c r="CH188" s="7" t="str">
        <f aca="false">_xlfn.CONCAT("{BLACK}Length: {GOLD}", TEXT(ROUNDUP(IF(AT188&lt;&gt;"",SUM(VALUE(_xlfn.TEXTSPLIT(AT188, ","))), SUM(VALUE(_xlfn.TEXTSPLIT(AQ188, ",")))*IF(P188, P188, 1))/16, 1), "#,##0.0"), " tiles{}")</f>
        <v>{BLACK}Length: {GOLD}0.7 tiles{}</v>
      </c>
      <c r="CI188" s="1" t="n">
        <f aca="false">VLOOKUP($CG188, Constants!$M:$N, 2, FALSE())</f>
        <v>0</v>
      </c>
      <c r="CJ188" s="1" t="str">
        <f aca="false">IF(P188&gt;1,_xlfn.CONCAT("{BLACK}Cars: {GOLD}", P188),"")</f>
        <v/>
      </c>
      <c r="CK188" s="25" t="s">
        <v>656</v>
      </c>
      <c r="CL188" s="25"/>
      <c r="CM188" s="25" t="str">
        <f aca="false">IF(CA188="buffet","{YELLOW}25% long distance bonus for consist{}",IF(CD188="BRAKE","{YELLOW}Speed bonus for slow wagons{}",IF(BZ188&gt;190,CONCATENATE("{YELLOW}",INT((BZ188-185)/1.85),"% bonus for long distance travel{}"),IF(AND(BZ188&lt;180,BZ188&lt;&gt;0),CONCATENATE("{YELLOW}",INT((185-BZ188)/1.85),"% penalty for long distance travel{}"),""))))</f>
        <v/>
      </c>
      <c r="CN188" s="25" t="str">
        <f aca="false">_xlfn.CONCAT(CI188,IF(CI188 &lt;&gt; "", " ", ""),CJ188,IF(OR(CJ188&lt;&gt;"", CI188&lt;&gt;""), "{}",""), CH188, CM188,"{SILVER}", CK188)</f>
        <v>{BLACK}Length: {GOLD}0.7 tiles{}{SILVER}To facilitate the testing and introduction of the Class 91 fleet prior to the availability of Mark 4 Driving Van Trailers, 8 HST Power Cars were converted to act as control vehicles for electric locomotives.</v>
      </c>
      <c r="CO188" s="25"/>
      <c r="CP188" s="25"/>
    </row>
    <row r="189" s="25" customFormat="true" ht="14.25" hidden="false" customHeight="false" outlineLevel="0" collapsed="false">
      <c r="A189" s="25" t="s">
        <v>657</v>
      </c>
      <c r="B189" s="26" t="s">
        <v>658</v>
      </c>
      <c r="C189" s="1" t="n">
        <v>3062</v>
      </c>
      <c r="D189" s="25" t="n">
        <v>203</v>
      </c>
      <c r="E189" s="1" t="n">
        <v>145</v>
      </c>
      <c r="G189" s="1" t="str">
        <f aca="false">IF($F189&lt;&gt;"",_xlfn.CONCAT(VLOOKUP($CE189, Constants!$T:$U, 2, FALSE()),",",$F189),VLOOKUP($CE189, Constants!$T:$U, 2, FALSE()))</f>
        <v>role/express_passenger</v>
      </c>
      <c r="H189" s="1" t="str">
        <f aca="false">IF($G189&lt;&gt;"",_xlfn.CONCAT(VLOOKUP($CG189, Constants!$M:$P, 4, FALSE()),",",$G189),VLOOKUP($CG189, Constants!$M:$P, 4, FALSE()))</f>
        <v>flag/GB,role/express_passenger</v>
      </c>
      <c r="I189" s="25" t="s">
        <v>198</v>
      </c>
      <c r="J189" s="25" t="s">
        <v>206</v>
      </c>
      <c r="K189" s="25" t="s">
        <v>659</v>
      </c>
      <c r="L189" s="25" t="s">
        <v>149</v>
      </c>
      <c r="M189" s="25" t="n">
        <v>1986</v>
      </c>
      <c r="N189" s="25" t="n">
        <v>1991</v>
      </c>
      <c r="Q189" s="25" t="n">
        <v>100</v>
      </c>
      <c r="R189" s="2"/>
      <c r="S189" s="3"/>
      <c r="T189" s="3"/>
      <c r="U189" s="3"/>
      <c r="V189" s="3"/>
      <c r="W189" s="3"/>
      <c r="X189" s="3"/>
      <c r="Y189" s="3"/>
      <c r="Z189" s="25" t="n">
        <v>40</v>
      </c>
      <c r="AA189" s="2"/>
      <c r="AC189" s="25" t="n">
        <v>5</v>
      </c>
      <c r="AD189" s="4" t="n">
        <f aca="false">IF(AND(Z189&gt;0,AC189&gt;0),(AC189/((Z189+AA189)*10)),"")</f>
        <v>0.0125</v>
      </c>
      <c r="AE189" s="25" t="n">
        <v>125</v>
      </c>
      <c r="AF189" s="25" t="n">
        <f aca="false">ROUND(AE189*1.6, 0)</f>
        <v>200</v>
      </c>
      <c r="AI189" s="25" t="n">
        <v>17.79</v>
      </c>
      <c r="AJ189" s="25" t="n">
        <v>17.79</v>
      </c>
      <c r="AM189" s="5" t="n">
        <v>36</v>
      </c>
      <c r="AN189" s="1" t="str">
        <f aca="false">CONCATENATE(VLOOKUP(AO189, '[1]Voxel Sizes'!$A$2:$B$18,2,FALSE()),"x",INT(AK189*15), "x", INT(AL189*15))</f>
        <v>164x0x0</v>
      </c>
      <c r="AO189" s="25" t="n">
        <f aca="false">ROUND(15*((AJ189*10)/256),0)</f>
        <v>10</v>
      </c>
      <c r="AQ189" s="1" t="str">
        <f aca="false">CONCATENATE(VLOOKUP(AO189,Constants!$A$2:$C$16,IF(AP189&lt;&gt;"", 3, 2), FALSE()),IF(AP189&lt;&gt;"",CONCATENATE(",",VLOOKUP(AP189,$B:$AQ,42,FALSE())),""))</f>
        <v>4,2,4</v>
      </c>
      <c r="AS189" s="6"/>
      <c r="AT189" s="6"/>
      <c r="BA189" s="25" t="n">
        <v>27</v>
      </c>
      <c r="BB189" s="16" t="str">
        <f aca="false">IF(O189&lt;&gt;"",MAX(16,(O189-M189)+8),"")</f>
        <v/>
      </c>
      <c r="BC189" s="25" t="n">
        <v>-15</v>
      </c>
      <c r="BD189" s="25" t="n">
        <v>-55</v>
      </c>
      <c r="BE189" s="25" t="n">
        <f aca="false">MIN(AE189/150, 1)*30</f>
        <v>25</v>
      </c>
      <c r="BF189" s="25" t="n">
        <f aca="false">MIN(Q189/4000, 1)*20</f>
        <v>0.5</v>
      </c>
      <c r="BG189" s="25" t="n">
        <f aca="false">MIN(AC189/400,1)*20</f>
        <v>0.25</v>
      </c>
      <c r="BH189" s="4" t="n">
        <f aca="false">1-(MAX(M189-1900, 0)/750)</f>
        <v>0.885333333333333</v>
      </c>
      <c r="BI189" s="25" t="n">
        <f aca="false">((MAX($P189,1)*MIN($AM189/300,1)))*IF(J189="Wagon",50,10)</f>
        <v>1.2</v>
      </c>
      <c r="BJ189" s="1" t="n">
        <f aca="false">VLOOKUP($K189,Constants!$I:$K, 2, FALSE())</f>
        <v>0.85</v>
      </c>
      <c r="BK189" s="1" t="n">
        <f aca="false">VLOOKUP($K189,Constants!$I:$K, 3, FALSE())*IF(AND(J189="multiple_unit",AE189&lt;110),0.75,1)</f>
        <v>2.3</v>
      </c>
      <c r="BL189" s="25" t="n">
        <v>25</v>
      </c>
      <c r="BM189" s="25" t="n">
        <f aca="false">INT(POWER(((([1]Constants!$G$1+$BE189+$BF189+$BG189+$BI189)*($BH189))*$BJ189),IF($J189="wagon",1,1.2)))+$BC189</f>
        <v>47</v>
      </c>
      <c r="BN189" s="17" t="n">
        <f aca="false">BL189*IF($J189="wagon",62.5,781.25)</f>
        <v>19531.25</v>
      </c>
      <c r="BO189" s="17" t="n">
        <f aca="false">BM189*IF($J189="wagon",2.73,81.25)</f>
        <v>3818.75</v>
      </c>
      <c r="BP189" s="25" t="n">
        <v>1</v>
      </c>
      <c r="BQ189" s="25" t="n">
        <v>1</v>
      </c>
      <c r="BX189" s="25" t="s">
        <v>660</v>
      </c>
      <c r="BY189" s="25" t="n">
        <v>7</v>
      </c>
      <c r="CB189" s="25" t="s">
        <v>661</v>
      </c>
      <c r="CC189" s="25" t="s">
        <v>662</v>
      </c>
      <c r="CD189" s="25" t="str">
        <f aca="false">VLOOKUP(M189,[1]Eras!$A$2:$C$10, 2, TRUE())</f>
        <v>lbr</v>
      </c>
      <c r="CE189" s="25" t="s">
        <v>241</v>
      </c>
      <c r="CF189" s="25" t="str">
        <f aca="false">CONCATENATE(CD189,"_",CE189)</f>
        <v>lbr_Express</v>
      </c>
      <c r="CG189" s="25" t="str">
        <f aca="false">_xlfn.CONCAT(K189, "_",L189)</f>
        <v>none_RAIL</v>
      </c>
      <c r="CH189" s="7" t="str">
        <f aca="false">_xlfn.CONCAT("{BLACK}Length: {GOLD}", TEXT(ROUNDUP(IF(AT189&lt;&gt;"",SUM(VALUE(_xlfn.TEXTSPLIT(AT189, ","))), SUM(VALUE(_xlfn.TEXTSPLIT(AQ189, ",")))*IF(P189, P189, 1))/16, 1), "#,##0.0"), " tiles{}")</f>
        <v>{BLACK}Length: {GOLD}0.7 tiles{}</v>
      </c>
      <c r="CI189" s="1" t="n">
        <f aca="false">VLOOKUP($CG189, Constants!$M:$N, 2, FALSE())</f>
        <v>0</v>
      </c>
      <c r="CJ189" s="1" t="str">
        <f aca="false">IF(P189&gt;1,_xlfn.CONCAT("{BLACK}Cars: {GOLD}", P189),"")</f>
        <v/>
      </c>
      <c r="CK189" s="25" t="s">
        <v>663</v>
      </c>
      <c r="CM189" s="25" t="str">
        <f aca="false">IF(CA189="buffet","{YELLOW}25% long distance bonus for consist{}",IF(CD189="BRAKE","{YELLOW}Speed bonus for slow wagons{}",IF(BZ189&gt;190,CONCATENATE("{YELLOW}",INT((BZ189-185)/1.85),"% bonus for long distance travel{}"),IF(AND(BZ189&lt;180,BZ189&lt;&gt;0),CONCATENATE("{YELLOW}",INT((185-BZ189)/1.85),"% penalty for long distance travel{}"),""))))</f>
        <v/>
      </c>
      <c r="CN189" s="25" t="str">
        <f aca="false">_xlfn.CONCAT(CI189,IF(CI189 &lt;&gt; "", " ", ""),CJ189,IF(OR(CJ189&lt;&gt;"", CI189&lt;&gt;""), "{}",""), CH189, CM189,"{SILVER}", CK189)</f>
        <v>{BLACK}Length: {GOLD}0.7 tiles{}{SILVER}A depowered Class 43, proposed as a conversion from surplus power cars and now suitable for carrying baggage.</v>
      </c>
    </row>
    <row r="190" s="25" customFormat="true" ht="14.25" hidden="false" customHeight="false" outlineLevel="0" collapsed="false">
      <c r="A190" s="25" t="s">
        <v>664</v>
      </c>
      <c r="B190" s="26" t="s">
        <v>665</v>
      </c>
      <c r="C190" s="1" t="n">
        <v>3063</v>
      </c>
      <c r="D190" s="25" t="n">
        <v>203</v>
      </c>
      <c r="E190" s="1" t="n">
        <v>146</v>
      </c>
      <c r="G190" s="1" t="str">
        <f aca="false">IF($F190&lt;&gt;"",_xlfn.CONCAT(VLOOKUP($CE190, Constants!$T:$U, 2, FALSE()),",",$F190),VLOOKUP($CE190, Constants!$T:$U, 2, FALSE()))</f>
        <v>role/express_passenger</v>
      </c>
      <c r="H190" s="1" t="str">
        <f aca="false">IF($G190&lt;&gt;"",_xlfn.CONCAT(VLOOKUP($CG190, Constants!$M:$P, 4, FALSE()),",",$G190),VLOOKUP($CG190, Constants!$M:$P, 4, FALSE()))</f>
        <v>flag/GB,power/electric,role/express_passenger</v>
      </c>
      <c r="I190" s="25" t="s">
        <v>198</v>
      </c>
      <c r="J190" s="25" t="s">
        <v>206</v>
      </c>
      <c r="K190" s="25" t="s">
        <v>666</v>
      </c>
      <c r="L190" s="25" t="s">
        <v>350</v>
      </c>
      <c r="M190" s="25" t="n">
        <v>1986</v>
      </c>
      <c r="N190" s="25" t="n">
        <v>2026</v>
      </c>
      <c r="O190" s="25" t="n">
        <v>2031</v>
      </c>
      <c r="Q190" s="25" t="n">
        <v>2750</v>
      </c>
      <c r="R190" s="2"/>
      <c r="S190" s="3"/>
      <c r="T190" s="3"/>
      <c r="U190" s="3"/>
      <c r="V190" s="3"/>
      <c r="W190" s="3"/>
      <c r="X190" s="3"/>
      <c r="Y190" s="3"/>
      <c r="Z190" s="25" t="n">
        <v>74</v>
      </c>
      <c r="AA190" s="2"/>
      <c r="AC190" s="25" t="n">
        <v>180</v>
      </c>
      <c r="AD190" s="4" t="n">
        <f aca="false">IF(AND(Z190&gt;0,AC190&gt;0),(AC190/((Z190+AA190)*10)),"")</f>
        <v>0.243243243243243</v>
      </c>
      <c r="AE190" s="25" t="n">
        <v>125</v>
      </c>
      <c r="AF190" s="25" t="n">
        <f aca="false">ROUND(AE190*1.6, 0)</f>
        <v>200</v>
      </c>
      <c r="AI190" s="25" t="n">
        <v>17.79</v>
      </c>
      <c r="AJ190" s="25" t="n">
        <v>17.79</v>
      </c>
      <c r="AM190" s="5" t="n">
        <v>0</v>
      </c>
      <c r="AN190" s="1" t="str">
        <f aca="false">CONCATENATE(VLOOKUP(AO190, '[1]Voxel Sizes'!$A$2:$B$18,2,FALSE()),"x",INT(AK190*15), "x", INT(AL190*15))</f>
        <v>164x0x0</v>
      </c>
      <c r="AO190" s="25" t="n">
        <f aca="false">ROUND(15*((AJ190*10)/256),0)</f>
        <v>10</v>
      </c>
      <c r="AQ190" s="1" t="str">
        <f aca="false">CONCATENATE(VLOOKUP(AO190,Constants!$A$2:$C$16,IF(AP190&lt;&gt;"", 3, 2), FALSE()),IF(AP190&lt;&gt;"",CONCATENATE(",",VLOOKUP(AP190,$B:$AQ,42,FALSE())),""))</f>
        <v>4,2,4</v>
      </c>
      <c r="AS190" s="6"/>
      <c r="AT190" s="6"/>
      <c r="AV190" s="25" t="s">
        <v>665</v>
      </c>
      <c r="BA190" s="25" t="n">
        <v>35</v>
      </c>
      <c r="BB190" s="16" t="n">
        <f aca="false">IF(O190&lt;&gt;"",MAX(16,(O190-M190)+8),"")</f>
        <v>53</v>
      </c>
      <c r="BE190" s="25" t="n">
        <f aca="false">MIN(AE190/150, 1)*30</f>
        <v>25</v>
      </c>
      <c r="BF190" s="25" t="n">
        <f aca="false">MIN(Q190/4000, 1)*20</f>
        <v>13.75</v>
      </c>
      <c r="BG190" s="25" t="n">
        <f aca="false">MIN(AC190/400,1)*20</f>
        <v>9</v>
      </c>
      <c r="BH190" s="4" t="n">
        <f aca="false">1-(MAX(M190-1900, 0)/750)</f>
        <v>0.885333333333333</v>
      </c>
      <c r="BI190" s="25" t="n">
        <f aca="false">((MAX($P190,1)*MIN($AM190/300,1)))*IF(J190="Wagon",50,10)</f>
        <v>0</v>
      </c>
      <c r="BJ190" s="1" t="n">
        <f aca="false">VLOOKUP($K190,Constants!$I:$K, 2, FALSE())</f>
        <v>0.85</v>
      </c>
      <c r="BK190" s="1" t="n">
        <f aca="false">VLOOKUP($K190,Constants!$I:$K, 3, FALSE())*IF(AND(J190="multiple_unit",AE190&lt;110),0.75,1)</f>
        <v>2.4</v>
      </c>
      <c r="BL190" s="25" t="n">
        <f aca="false">INT(POWER((([1]Constants!$G$2+$BE190+$BF190+$BG190+$BI190)*$BH190)*$BK190, 1.05))+$BD190</f>
        <v>141</v>
      </c>
      <c r="BM190" s="25" t="n">
        <f aca="false">INT(POWER(((([1]Constants!$G$1+$BE190+$BF190+$BG190+$BI190)*($BH190))*$BJ190),IF($J190="wagon",1,1.2)))+$BC190</f>
        <v>102</v>
      </c>
      <c r="BN190" s="17" t="n">
        <f aca="false">BL190*IF($J190="wagon",62.5,781.25)</f>
        <v>110156.25</v>
      </c>
      <c r="BO190" s="17" t="n">
        <f aca="false">BM190*IF($J190="wagon",2.73,81.25)</f>
        <v>8287.5</v>
      </c>
      <c r="BP190" s="25" t="n">
        <v>1</v>
      </c>
      <c r="BQ190" s="25" t="n">
        <v>1</v>
      </c>
      <c r="BX190" s="25" t="s">
        <v>660</v>
      </c>
      <c r="BY190" s="25" t="n">
        <v>2</v>
      </c>
      <c r="CD190" s="25" t="str">
        <f aca="false">VLOOKUP(M190,[1]Eras!$A$2:$C$10, 2, TRUE())</f>
        <v>lbr</v>
      </c>
      <c r="CE190" s="25" t="s">
        <v>556</v>
      </c>
      <c r="CF190" s="25" t="str">
        <f aca="false">CONCATENATE(CD190,"_",CE190)</f>
        <v>lbr_Express (Electric)</v>
      </c>
      <c r="CG190" s="25" t="str">
        <f aca="false">_xlfn.CONCAT(K190, "_",L190)</f>
        <v>dual_electric_ELRL</v>
      </c>
      <c r="CH190" s="7" t="str">
        <f aca="false">_xlfn.CONCAT("{BLACK}Length: {GOLD}", TEXT(ROUNDUP(IF(AT190&lt;&gt;"",SUM(VALUE(_xlfn.TEXTSPLIT(AT190, ","))), SUM(VALUE(_xlfn.TEXTSPLIT(AQ190, ",")))*IF(P190, P190, 1))/16, 1), "#,##0.0"), " tiles{}")</f>
        <v>{BLACK}Length: {GOLD}0.7 tiles{}</v>
      </c>
      <c r="CI190" s="1" t="n">
        <f aca="false">VLOOKUP($CG190, Constants!$M:$N, 2, FALSE())</f>
        <v>0</v>
      </c>
      <c r="CJ190" s="1" t="str">
        <f aca="false">IF(P190&gt;1,_xlfn.CONCAT("{BLACK}Cars: {GOLD}", P190),"")</f>
        <v/>
      </c>
      <c r="CK190" s="25" t="s">
        <v>667</v>
      </c>
      <c r="CM190" s="25" t="str">
        <f aca="false">IF(CA190="buffet","{YELLOW}25% long distance bonus for consist{}",IF(CD190="BRAKE","{YELLOW}Speed bonus for slow wagons{}",IF(BZ190&gt;190,CONCATENATE("{YELLOW}",INT((BZ190-185)/1.85),"% bonus for long distance travel{}"),IF(AND(BZ190&lt;180,BZ190&lt;&gt;0),CONCATENATE("{YELLOW}",INT((185-BZ190)/1.85),"% penalty for long distance travel{}"),""))))</f>
        <v/>
      </c>
      <c r="CN190" s="25" t="str">
        <f aca="false">_xlfn.CONCAT(CI190,IF(CI190 &lt;&gt; "", " ", ""),CJ190,IF(OR(CJ190&lt;&gt;"", CI190&lt;&gt;""), "{}",""), CH190, CM190,"{SILVER}", CK190)</f>
        <v>{BLACK}Length: {GOLD}0.7 tiles{}{SILVER}A proposed electric version of the Class 43 ‘HST’ Power Car was oft-discussed after the failure of the APT program.</v>
      </c>
    </row>
    <row r="191" customFormat="false" ht="14.25" hidden="false" customHeight="false" outlineLevel="0" collapsed="false">
      <c r="A191" s="1" t="s">
        <v>668</v>
      </c>
      <c r="B191" s="15" t="s">
        <v>669</v>
      </c>
      <c r="C191" s="1" t="n">
        <v>204</v>
      </c>
      <c r="E191" s="1" t="n">
        <v>147</v>
      </c>
      <c r="G191" s="1" t="str">
        <f aca="false">IF($F191&lt;&gt;"",_xlfn.CONCAT(VLOOKUP($CE191, Constants!$T:$U, 2, FALSE()),",",$F191),VLOOKUP($CE191, Constants!$T:$U, 2, FALSE()))</f>
        <v>role/freight</v>
      </c>
      <c r="H191" s="1" t="str">
        <f aca="false">IF($G191&lt;&gt;"",_xlfn.CONCAT(VLOOKUP($CG191, Constants!$M:$P, 4, FALSE()),",",$G191),VLOOKUP($CG191, Constants!$M:$P, 4, FALSE()))</f>
        <v>flag/GB,power/diesel,role/freight</v>
      </c>
      <c r="I191" s="1" t="s">
        <v>198</v>
      </c>
      <c r="J191" s="1" t="s">
        <v>206</v>
      </c>
      <c r="K191" s="1" t="s">
        <v>482</v>
      </c>
      <c r="L191" s="1" t="s">
        <v>149</v>
      </c>
      <c r="M191" s="1" t="n">
        <v>1976</v>
      </c>
      <c r="N191" s="1" t="n">
        <v>1984</v>
      </c>
      <c r="Q191" s="1" t="n">
        <v>3250</v>
      </c>
      <c r="Z191" s="1" t="n">
        <v>125</v>
      </c>
      <c r="AC191" s="1" t="n">
        <v>275</v>
      </c>
      <c r="AD191" s="4" t="n">
        <f aca="false">IF(AND(Z191&gt;0,AC191&gt;0),(AC191/((Z191+AA191)*10)),"")</f>
        <v>0.22</v>
      </c>
      <c r="AE191" s="1" t="n">
        <v>80</v>
      </c>
      <c r="AF191" s="1" t="n">
        <f aca="false">ROUND(AE191*1.6, 0)</f>
        <v>128</v>
      </c>
      <c r="AI191" s="1" t="n">
        <v>19.35</v>
      </c>
      <c r="AJ191" s="1" t="n">
        <v>19.35</v>
      </c>
      <c r="AL191" s="1" t="n">
        <v>3.89</v>
      </c>
      <c r="AM191" s="5" t="n">
        <v>0</v>
      </c>
      <c r="AN191" s="1" t="str">
        <f aca="false">CONCATENATE(VLOOKUP(AO191, 'Voxel Sizes'!$A$2:$B$18,2,FALSE()),"x",INT(AK191*15), "x", INT(AL191*15))</f>
        <v>186x0x58</v>
      </c>
      <c r="AO191" s="1" t="n">
        <f aca="false">ROUND(15*((AJ191*10)/256),0)</f>
        <v>11</v>
      </c>
      <c r="AQ191" s="1" t="str">
        <f aca="false">CONCATENATE(VLOOKUP(AO191,Constants!$A$2:$C$16,IF(AP191&lt;&gt;"", 3, 2), FALSE()),IF(AP191&lt;&gt;"",CONCATENATE(",",VLOOKUP(AP191,$B:$AQ,42,FALSE())),""))</f>
        <v>4,3,4</v>
      </c>
      <c r="BA191" s="1" t="n">
        <v>30</v>
      </c>
      <c r="BB191" s="16" t="str">
        <f aca="false">IF(O191&lt;&gt;"",MAX(16,(O191-M191)+8),"")</f>
        <v/>
      </c>
      <c r="BE191" s="1" t="n">
        <f aca="false">MIN(AE191/150, 1)*30</f>
        <v>16</v>
      </c>
      <c r="BF191" s="1" t="n">
        <f aca="false">MIN(Q191/4000, 1)*20</f>
        <v>16.25</v>
      </c>
      <c r="BG191" s="1" t="n">
        <f aca="false">MIN(AC191/400,1)*20</f>
        <v>13.75</v>
      </c>
      <c r="BH191" s="4" t="n">
        <f aca="false">1-(MAX(M191-1900, 0)/750)</f>
        <v>0.898666666666667</v>
      </c>
      <c r="BI191" s="1" t="n">
        <f aca="false">((MAX($P191,1)*MIN($AM191/300,1)))*IF(J191="Wagon",50,10)</f>
        <v>0</v>
      </c>
      <c r="BJ191" s="1" t="n">
        <f aca="false">VLOOKUP($K191,Constants!$I:$K, 2, FALSE())</f>
        <v>1</v>
      </c>
      <c r="BK191" s="1" t="n">
        <f aca="false">VLOOKUP($K191,Constants!$I:$K, 3, FALSE())*IF(AND(J191="multiple_unit",AE191&lt;110),0.75,1)</f>
        <v>2</v>
      </c>
      <c r="BL191" s="1" t="n">
        <f aca="false">INT(POWER(((Constants!$G$2+$BE191+$BF191+$BG191+$BI191)*$BH191)*$BK191, 1.05))+$BD191</f>
        <v>114</v>
      </c>
      <c r="BM191" s="1" t="n">
        <f aca="false">INT(POWER((((Constants!$G$1+$BE191+$BF191+$BG191+$BI191)*($BH191))*$BJ191),IF($J191="wagon",1,1.2)))+$BC191</f>
        <v>122</v>
      </c>
      <c r="BN191" s="17" t="n">
        <f aca="false">BL191*IF($J191="wagon",62.5,781.25)</f>
        <v>89062.5</v>
      </c>
      <c r="BO191" s="17" t="n">
        <f aca="false">BM191*IF($J191="wagon",2.73,81.25)</f>
        <v>9912.5</v>
      </c>
      <c r="BY191" s="1" t="n">
        <v>3</v>
      </c>
      <c r="CD191" s="1" t="str">
        <f aca="false">VLOOKUP(M191,Eras!$A$2:$C$10, 2, TRUE())</f>
        <v>lbr</v>
      </c>
      <c r="CE191" s="1" t="s">
        <v>132</v>
      </c>
      <c r="CF191" s="1" t="str">
        <f aca="false">CONCATENATE(CD191,"_",CE191)</f>
        <v>lbr_Freight</v>
      </c>
      <c r="CG191" s="1" t="str">
        <f aca="false">_xlfn.CONCAT(K191, "_",L191)</f>
        <v>diesel_RAIL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670</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tiles{}{SILVER}The Class 56 is designed for heavy freight work. It contains many improvements to the electric drivetrain compared to earlier diesel-electric locomotives, making it more reliable and easier to operate.</v>
      </c>
    </row>
    <row r="192" customFormat="false" ht="14.25" hidden="false" customHeight="false" outlineLevel="0" collapsed="false">
      <c r="A192" s="1" t="s">
        <v>671</v>
      </c>
      <c r="B192" s="15" t="s">
        <v>672</v>
      </c>
      <c r="C192" s="1" t="n">
        <v>205</v>
      </c>
      <c r="E192" s="1" t="n">
        <v>148</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198</v>
      </c>
      <c r="J192" s="1" t="s">
        <v>206</v>
      </c>
      <c r="K192" s="1" t="s">
        <v>482</v>
      </c>
      <c r="L192" s="1" t="s">
        <v>149</v>
      </c>
      <c r="M192" s="1" t="n">
        <v>1983</v>
      </c>
      <c r="N192" s="1" t="n">
        <v>1987</v>
      </c>
      <c r="Q192" s="1" t="n">
        <v>3300</v>
      </c>
      <c r="Z192" s="1" t="n">
        <v>130</v>
      </c>
      <c r="AC192" s="1" t="n">
        <v>267</v>
      </c>
      <c r="AD192" s="4" t="n">
        <f aca="false">IF(AND(Z192&gt;0,AC192&gt;0),(AC192/((Z192+AA192)*10)),"")</f>
        <v>0.205384615384615</v>
      </c>
      <c r="AE192" s="1" t="n">
        <v>80</v>
      </c>
      <c r="AF192" s="1" t="n">
        <f aca="false">ROUND(AE192*1.6, 0)</f>
        <v>128</v>
      </c>
      <c r="AI192" s="1" t="n">
        <v>19.13</v>
      </c>
      <c r="AJ192" s="1" t="n">
        <v>19.13</v>
      </c>
      <c r="AL192" s="1" t="n">
        <v>3.91</v>
      </c>
      <c r="AM192" s="5" t="n">
        <v>0</v>
      </c>
      <c r="AN192" s="1" t="str">
        <f aca="false">CONCATENATE(VLOOKUP(AO192, 'Voxel Sizes'!$A$2:$B$18,2,FALSE()),"x",INT(AK192*15), "x", INT(AL192*15))</f>
        <v>186x0x58</v>
      </c>
      <c r="AO192" s="1" t="n">
        <f aca="false">ROUND(15*((AJ192*10)/256),0)</f>
        <v>11</v>
      </c>
      <c r="AQ192" s="1" t="str">
        <f aca="false">CONCATENATE(VLOOKUP(AO192,Constants!$A$2:$C$16,IF(AP192&lt;&gt;"", 3, 2), FALSE()),IF(AP192&lt;&gt;"",CONCATENATE(",",VLOOKUP(AP192,$B:$AQ,42,FALSE())),""))</f>
        <v>4,3,4</v>
      </c>
      <c r="BA192" s="1" t="n">
        <v>30</v>
      </c>
      <c r="BB192" s="16" t="str">
        <f aca="false">IF(O192&lt;&gt;"",MAX(16,(O192-M192)+8),"")</f>
        <v/>
      </c>
      <c r="BE192" s="1" t="n">
        <f aca="false">MIN(AE192/150, 1)*30</f>
        <v>16</v>
      </c>
      <c r="BF192" s="1" t="n">
        <f aca="false">MIN(Q192/4000, 1)*20</f>
        <v>16.5</v>
      </c>
      <c r="BG192" s="1" t="n">
        <f aca="false">MIN(AC192/400,1)*20</f>
        <v>13.35</v>
      </c>
      <c r="BH192" s="4" t="n">
        <f aca="false">1-(MAX(M192-1900, 0)/750)</f>
        <v>0.889333333333333</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113</v>
      </c>
      <c r="BM192" s="1" t="n">
        <f aca="false">INT(POWER((((Constants!$G$1+$BE192+$BF192+$BG192+$BI192)*($BH192))*$BJ192),IF($J192="wagon",1,1.2)))+$BC192</f>
        <v>120</v>
      </c>
      <c r="BN192" s="17" t="n">
        <f aca="false">BL192*IF($J192="wagon",62.5,781.25)</f>
        <v>88281.25</v>
      </c>
      <c r="BO192" s="17" t="n">
        <f aca="false">BM192*IF($J192="wagon",2.73,81.25)</f>
        <v>9750</v>
      </c>
      <c r="BY192" s="1" t="n">
        <v>4</v>
      </c>
      <c r="CD192" s="1" t="str">
        <f aca="false">VLOOKUP(M192,Eras!$A$2:$C$10, 2, TRUE())</f>
        <v>lbr</v>
      </c>
      <c r="CE192" s="1" t="s">
        <v>132</v>
      </c>
      <c r="CF192" s="1" t="str">
        <f aca="false">CONCATENATE(CD192,"_",CE192)</f>
        <v>lbr_Freight</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673</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58 used a modular design with replaceable modules mounted to an underframe. It was nicknamed "Bone" after the narrow central section.</v>
      </c>
    </row>
    <row r="193" customFormat="false" ht="14.25" hidden="false" customHeight="false" outlineLevel="0" collapsed="false">
      <c r="A193" s="1" t="s">
        <v>674</v>
      </c>
      <c r="B193" s="15" t="s">
        <v>675</v>
      </c>
      <c r="C193" s="1" t="n">
        <v>206</v>
      </c>
      <c r="E193" s="1" t="n">
        <v>149</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198</v>
      </c>
      <c r="J193" s="1" t="s">
        <v>206</v>
      </c>
      <c r="K193" s="1" t="s">
        <v>482</v>
      </c>
      <c r="L193" s="1" t="s">
        <v>149</v>
      </c>
      <c r="M193" s="1" t="n">
        <v>1985</v>
      </c>
      <c r="N193" s="1" t="n">
        <v>1995</v>
      </c>
      <c r="Q193" s="1" t="n">
        <v>3300</v>
      </c>
      <c r="Z193" s="1" t="n">
        <v>126</v>
      </c>
      <c r="AC193" s="1" t="n">
        <v>290</v>
      </c>
      <c r="AD193" s="4" t="n">
        <f aca="false">IF(AND(Z193&gt;0,AC193&gt;0),(AC193/((Z193+AA193)*10)),"")</f>
        <v>0.23015873015873</v>
      </c>
      <c r="AE193" s="1" t="n">
        <v>75</v>
      </c>
      <c r="AF193" s="1" t="n">
        <f aca="false">ROUND(AE193*1.6, 0)</f>
        <v>120</v>
      </c>
      <c r="AI193" s="1" t="n">
        <v>21.4</v>
      </c>
      <c r="AJ193" s="1" t="n">
        <v>21.4</v>
      </c>
      <c r="AL193" s="1" t="n">
        <v>3.91</v>
      </c>
      <c r="AM193" s="5" t="n">
        <v>0</v>
      </c>
      <c r="AN193" s="1" t="str">
        <f aca="false">CONCATENATE(VLOOKUP(AO193, 'Voxel Sizes'!$A$2:$B$18,2,FALSE()),"x",INT(AK193*15), "x", INT(AL193*15))</f>
        <v>214x0x58</v>
      </c>
      <c r="AO193" s="1" t="n">
        <f aca="false">ROUND(15*((AJ193*10)/256),0)</f>
        <v>13</v>
      </c>
      <c r="AQ193" s="1" t="str">
        <f aca="false">CONCATENATE(VLOOKUP(AO193,Constants!$A$2:$C$16,IF(AP193&lt;&gt;"", 3, 2), FALSE()),IF(AP193&lt;&gt;"",CONCATENATE(",",VLOOKUP(AP193,$B:$AQ,42,FALSE())),""))</f>
        <v>4,5,4</v>
      </c>
      <c r="BA193" s="1" t="n">
        <v>30</v>
      </c>
      <c r="BB193" s="16" t="str">
        <f aca="false">IF(O193&lt;&gt;"",MAX(16,(O193-M193)+8),"")</f>
        <v/>
      </c>
      <c r="BE193" s="1" t="n">
        <f aca="false">MIN(AE193/150, 1)*30</f>
        <v>15</v>
      </c>
      <c r="BF193" s="1" t="n">
        <f aca="false">MIN(Q193/4000, 1)*20</f>
        <v>16.5</v>
      </c>
      <c r="BG193" s="1" t="n">
        <f aca="false">MIN(AC193/400,1)*20</f>
        <v>14.5</v>
      </c>
      <c r="BH193" s="4" t="n">
        <f aca="false">1-(MAX(M193-1900, 0)/750)</f>
        <v>0.886666666666667</v>
      </c>
      <c r="BI193" s="1" t="n">
        <f aca="false">((MAX($P193,1)*MIN($AM193/300,1)))*IF(J193="Wagon",50,10)</f>
        <v>0</v>
      </c>
      <c r="BJ193" s="1" t="n">
        <f aca="false">VLOOKUP($K193,Constants!$I:$K, 2, FALSE())</f>
        <v>1</v>
      </c>
      <c r="BK193" s="1" t="n">
        <f aca="false">VLOOKUP($K193,Constants!$I:$K, 3, FALSE())*IF(AND(J193="multiple_unit",AE193&lt;110),0.75,1)</f>
        <v>2</v>
      </c>
      <c r="BL193" s="1" t="n">
        <f aca="false">INT(POWER(((Constants!$G$2+$BE193+$BF193+$BG193+$BI193)*$BH193)*$BK193, 1.05))+$BD193</f>
        <v>113</v>
      </c>
      <c r="BM193" s="1" t="n">
        <f aca="false">INT(POWER((((Constants!$G$1+$BE193+$BF193+$BG193+$BI193)*($BH193))*$BJ193),IF($J193="wagon",1,1.2)))+$BC193</f>
        <v>120</v>
      </c>
      <c r="BN193" s="17" t="n">
        <f aca="false">BL193*IF($J193="wagon",62.5,781.25)</f>
        <v>88281.25</v>
      </c>
      <c r="BO193" s="17" t="n">
        <f aca="false">BM193*IF($J193="wagon",2.73,81.25)</f>
        <v>9750</v>
      </c>
      <c r="BY193" s="1" t="n">
        <v>5</v>
      </c>
      <c r="CD193" s="1" t="str">
        <f aca="false">VLOOKUP(M193,Eras!$A$2:$C$10, 2, TRUE())</f>
        <v>lbr</v>
      </c>
      <c r="CE193" s="1" t="s">
        <v>132</v>
      </c>
      <c r="CF193" s="1" t="str">
        <f aca="false">CONCATENATE(CD193,"_",CE193)</f>
        <v>lbr_Freight</v>
      </c>
      <c r="CG193" s="1" t="str">
        <f aca="false">_xlfn.CONCAT(K193, "_",L193)</f>
        <v>diesel_RAIL</v>
      </c>
      <c r="CH193" s="7" t="str">
        <f aca="false">_xlfn.CONCAT("{BLACK}Length: {GOLD}", TEXT(ROUNDUP(IF(AT193&lt;&gt;"",SUM(VALUE(_xlfn.TEXTSPLIT(AT193, ","))), SUM(VALUE(_xlfn.TEXTSPLIT(AQ193, ",")))*IF(P193, P193, 1))/16, 1), "#,##0.0"), " tiles{}")</f>
        <v>{BLACK}Length: {GOLD}0.9 tiles{}</v>
      </c>
      <c r="CI193" s="1" t="n">
        <f aca="false">VLOOKUP($CG193, Constants!$M:$N, 2, FALSE())</f>
        <v>0</v>
      </c>
      <c r="CJ193" s="1" t="str">
        <f aca="false">IF(P193&gt;1,_xlfn.CONCAT("{BLACK}Cars: {GOLD}", P193),"")</f>
        <v/>
      </c>
      <c r="CK193" s="1" t="s">
        <v>676</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{GOLD}0.9 tiles{}{SILVER}The Class 59 is the first US-built locomotive to operate in mainland Great Britain. It is derived from the SD40, with a British cab layout.</v>
      </c>
    </row>
    <row r="194" s="25" customFormat="true" ht="14.25" hidden="false" customHeight="false" outlineLevel="0" collapsed="false">
      <c r="A194" s="25" t="s">
        <v>677</v>
      </c>
      <c r="B194" s="26" t="s">
        <v>678</v>
      </c>
      <c r="C194" s="1" t="n">
        <v>3064</v>
      </c>
      <c r="E194" s="1" t="n">
        <v>150</v>
      </c>
      <c r="G194" s="1" t="str">
        <f aca="false">IF($F194&lt;&gt;"",_xlfn.CONCAT(VLOOKUP($CE194, Constants!$T:$U, 2, FALSE()),",",$F194),VLOOKUP($CE194, Constants!$T:$U, 2, FALSE()))</f>
        <v>role/freight</v>
      </c>
      <c r="H194" s="1" t="str">
        <f aca="false">IF($G194&lt;&gt;"",_xlfn.CONCAT(VLOOKUP($CG194, Constants!$M:$P, 4, FALSE()),",",$G194),VLOOKUP($CG194, Constants!$M:$P, 4, FALSE()))</f>
        <v>flag/GB,power/electric,role/freight</v>
      </c>
      <c r="I194" s="25" t="s">
        <v>198</v>
      </c>
      <c r="J194" s="25" t="s">
        <v>206</v>
      </c>
      <c r="K194" s="25" t="s">
        <v>349</v>
      </c>
      <c r="L194" s="25" t="s">
        <v>350</v>
      </c>
      <c r="M194" s="25" t="n">
        <v>1985</v>
      </c>
      <c r="N194" s="25" t="n">
        <v>1999</v>
      </c>
      <c r="Q194" s="25" t="n">
        <v>5400</v>
      </c>
      <c r="R194" s="2"/>
      <c r="S194" s="3"/>
      <c r="T194" s="3"/>
      <c r="U194" s="3"/>
      <c r="V194" s="3"/>
      <c r="W194" s="3"/>
      <c r="X194" s="3"/>
      <c r="Y194" s="3"/>
      <c r="Z194" s="25" t="n">
        <v>109</v>
      </c>
      <c r="AA194" s="2"/>
      <c r="AC194" s="25" t="n">
        <v>267</v>
      </c>
      <c r="AD194" s="4" t="n">
        <v>0.205384615384615</v>
      </c>
      <c r="AE194" s="25" t="n">
        <v>75</v>
      </c>
      <c r="AF194" s="25" t="n">
        <v>128</v>
      </c>
      <c r="AI194" s="25" t="n">
        <v>19.13</v>
      </c>
      <c r="AJ194" s="25" t="n">
        <v>19.13</v>
      </c>
      <c r="AL194" s="25" t="n">
        <v>3.91</v>
      </c>
      <c r="AM194" s="5" t="n">
        <v>0</v>
      </c>
      <c r="AN194" s="1" t="str">
        <f aca="false">CONCATENATE(VLOOKUP(AO194, '[1]Voxel Sizes'!$A$2:$B$18,2,FALSE()),"x",INT(AK194*15), "x", INT(AL194*15))</f>
        <v>186x0x58</v>
      </c>
      <c r="AO194" s="25" t="n">
        <v>11</v>
      </c>
      <c r="AQ194" s="1" t="str">
        <f aca="false">CONCATENATE(VLOOKUP(AO194,Constants!$A$2:$C$16,IF(AP194&lt;&gt;"", 3, 2), FALSE()),IF(AP194&lt;&gt;"",CONCATENATE(",",VLOOKUP(AP194,$B:$AQ,42,FALSE())),""))</f>
        <v>4,3,4</v>
      </c>
      <c r="AS194" s="6"/>
      <c r="AT194" s="6"/>
      <c r="BA194" s="25" t="n">
        <v>30</v>
      </c>
      <c r="BB194" s="16"/>
      <c r="BC194" s="25" t="n">
        <v>15</v>
      </c>
      <c r="BD194" s="25" t="n">
        <v>-10</v>
      </c>
      <c r="BE194" s="25" t="n">
        <v>16</v>
      </c>
      <c r="BF194" s="25" t="n">
        <v>16.5</v>
      </c>
      <c r="BG194" s="25" t="n">
        <v>13.35</v>
      </c>
      <c r="BH194" s="4" t="n">
        <v>0.889333333333333</v>
      </c>
      <c r="BI194" s="25" t="n">
        <v>0</v>
      </c>
      <c r="BJ194" s="1" t="n">
        <f aca="false">VLOOKUP($K194,Constants!$I:$K, 2, FALSE())</f>
        <v>0.85</v>
      </c>
      <c r="BK194" s="1" t="n">
        <f aca="false">VLOOKUP($K194,Constants!$I:$K, 3, FALSE())*IF(AND(J194="multiple_unit",AE194&lt;110),0.75,1)</f>
        <v>2.3</v>
      </c>
      <c r="BL194" s="25" t="n">
        <f aca="false">INT(POWER((([1]Constants!$G$2+$BE194+$BF194+$BG194+$BI194)*$BH194)*$BK194, 1.05))+$BD194</f>
        <v>121</v>
      </c>
      <c r="BM194" s="25" t="n">
        <f aca="false">INT(POWER(((([1]Constants!$G$1+$BE194+$BF194+$BG194+$BI194)*($BH194))*$BJ194),IF($J194="wagon",1,1.2)))+$BC194</f>
        <v>113</v>
      </c>
      <c r="BN194" s="17" t="n">
        <f aca="false">BL194*IF($J194="wagon",62.5,781.25)</f>
        <v>94531.25</v>
      </c>
      <c r="BO194" s="17" t="n">
        <f aca="false">BM194*IF($J194="wagon",2.73,81.25)</f>
        <v>9181.25</v>
      </c>
      <c r="BX194" s="25" t="s">
        <v>660</v>
      </c>
      <c r="BY194" s="25" t="n">
        <v>4</v>
      </c>
      <c r="CD194" s="25" t="str">
        <f aca="false">VLOOKUP(M194,[1]Eras!$A$2:$C$10, 2, TRUE())</f>
        <v>lbr</v>
      </c>
      <c r="CE194" s="25" t="s">
        <v>132</v>
      </c>
      <c r="CF194" s="25" t="s">
        <v>679</v>
      </c>
      <c r="CG194" s="25" t="str">
        <f aca="false">_xlfn.CONCAT(K194, "_",L194)</f>
        <v>electric_ELRL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5" t="s">
        <v>680</v>
      </c>
      <c r="CM194" s="25"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25" t="str">
        <f aca="false">_xlfn.CONCAT(CI194,IF(CI194 &lt;&gt; "", " ", ""),CJ194,IF(OR(CJ194&lt;&gt;"", CI194&lt;&gt;""), "{}",""), CH194, CM194,"{SILVER}", CK194)</f>
        <v>{BLACK}Length: {GOLD}0.7 tiles{}{SILVER}The Class 88 was a proposed re-use of the Class 58 design, dropping the diesel engine for a 25kv Overhead power supply.</v>
      </c>
    </row>
    <row r="195" s="25" customFormat="true" ht="14.25" hidden="false" customHeight="false" outlineLevel="0" collapsed="false">
      <c r="A195" s="25" t="s">
        <v>681</v>
      </c>
      <c r="B195" s="26" t="s">
        <v>682</v>
      </c>
      <c r="C195" s="1" t="n">
        <v>3065</v>
      </c>
      <c r="E195" s="1" t="n">
        <v>151</v>
      </c>
      <c r="G195" s="1" t="str">
        <f aca="false">IF($F195&lt;&gt;"",_xlfn.CONCAT(VLOOKUP($CE195, Constants!$T:$U, 2, FALSE()),",",$F195),VLOOKUP($CE195, Constants!$T:$U, 2, FALSE()))</f>
        <v>role/freight</v>
      </c>
      <c r="H195" s="1" t="str">
        <f aca="false">IF($G195&lt;&gt;"",_xlfn.CONCAT(VLOOKUP($CG195, Constants!$M:$P, 4, FALSE()),",",$G195),VLOOKUP($CG195, Constants!$M:$P, 4, FALSE()))</f>
        <v>flag/GB,power/diesel,role/freight</v>
      </c>
      <c r="I195" s="25" t="s">
        <v>198</v>
      </c>
      <c r="J195" s="25" t="s">
        <v>206</v>
      </c>
      <c r="K195" s="25" t="s">
        <v>482</v>
      </c>
      <c r="L195" s="25" t="s">
        <v>149</v>
      </c>
      <c r="M195" s="25" t="n">
        <v>1985</v>
      </c>
      <c r="N195" s="25" t="n">
        <v>1994</v>
      </c>
      <c r="Q195" s="25" t="n">
        <v>2100</v>
      </c>
      <c r="R195" s="2"/>
      <c r="S195" s="3"/>
      <c r="T195" s="3"/>
      <c r="U195" s="3"/>
      <c r="V195" s="3"/>
      <c r="W195" s="3"/>
      <c r="X195" s="3"/>
      <c r="Y195" s="3"/>
      <c r="Z195" s="25" t="n">
        <v>120</v>
      </c>
      <c r="AA195" s="2"/>
      <c r="AC195" s="25" t="n">
        <v>192</v>
      </c>
      <c r="AD195" s="4" t="n">
        <f aca="false">IF(AND(Z195&gt;0,AC195&gt;0),(AC195/((Z195+AA195)*10)),"")</f>
        <v>0.16</v>
      </c>
      <c r="AE195" s="25" t="n">
        <v>75</v>
      </c>
      <c r="AF195" s="25" t="n">
        <f aca="false">ROUND(AE195*1.6, 0)</f>
        <v>120</v>
      </c>
      <c r="AI195" s="25" t="n">
        <v>18</v>
      </c>
      <c r="AJ195" s="25" t="n">
        <v>17</v>
      </c>
      <c r="AL195" s="25" t="n">
        <v>3.91</v>
      </c>
      <c r="AM195" s="5" t="n">
        <v>0</v>
      </c>
      <c r="AN195" s="1" t="str">
        <f aca="false">CONCATENATE(VLOOKUP(AO195, '[1]Voxel Sizes'!$A$2:$B$18,2,FALSE()),"x",INT(AK195*15), "x", INT(AL195*15))</f>
        <v>164x0x58</v>
      </c>
      <c r="AO195" s="25" t="n">
        <f aca="false">ROUND(15*((AJ195*10)/256),0)</f>
        <v>10</v>
      </c>
      <c r="AQ195" s="1" t="str">
        <f aca="false">CONCATENATE(VLOOKUP(AO195,Constants!$A$2:$C$16,IF(AP195&lt;&gt;"", 3, 2), FALSE()),IF(AP195&lt;&gt;"",CONCATENATE(",",VLOOKUP(AP195,$B:$AQ,42,FALSE())),""))</f>
        <v>4,2,4</v>
      </c>
      <c r="AS195" s="6"/>
      <c r="AT195" s="6"/>
      <c r="BA195" s="25" t="n">
        <v>30</v>
      </c>
      <c r="BB195" s="16" t="str">
        <f aca="false">IF(O195&lt;&gt;"",MAX(16,(O195-M195)+8),"")</f>
        <v/>
      </c>
      <c r="BC195" s="25" t="n">
        <v>15</v>
      </c>
      <c r="BD195" s="25" t="n">
        <v>-10</v>
      </c>
      <c r="BE195" s="25" t="n">
        <f aca="false">MIN(AE195/150, 1)*30</f>
        <v>15</v>
      </c>
      <c r="BF195" s="25" t="n">
        <f aca="false">MIN(Q195/4000, 1)*20</f>
        <v>10.5</v>
      </c>
      <c r="BG195" s="25" t="n">
        <f aca="false">MIN(AC195/400,1)*20</f>
        <v>9.6</v>
      </c>
      <c r="BH195" s="4" t="n">
        <f aca="false">1-(MAX(M195-1900, 0)/750)</f>
        <v>0.886666666666667</v>
      </c>
      <c r="BI195" s="25" t="n">
        <f aca="false">((MAX($P195,1)*MIN($AM195/300,1)))*IF(J195="Wagon",50,10)</f>
        <v>0</v>
      </c>
      <c r="BJ195" s="1" t="n">
        <f aca="false">VLOOKUP($K195,Constants!$I:$K, 2, FALSE())</f>
        <v>1</v>
      </c>
      <c r="BK195" s="1" t="n">
        <f aca="false">VLOOKUP($K195,Constants!$I:$K, 3, FALSE())*IF(AND(J195="multiple_unit",AE195&lt;110),0.75,1)</f>
        <v>2</v>
      </c>
      <c r="BL195" s="25" t="n">
        <f aca="false">INT(POWER((([1]Constants!$G$2+$BE195+$BF195+$BG195+$BI195)*$BH195)*$BK195, 1.05))+$BD195</f>
        <v>78</v>
      </c>
      <c r="BM195" s="25" t="n">
        <f aca="false">INT(POWER(((([1]Constants!$G$1+$BE195+$BF195+$BG195+$BI195)*($BH195))*$BJ195),IF($J195="wagon",1,1.2)))+$BC195</f>
        <v>109</v>
      </c>
      <c r="BN195" s="17" t="n">
        <f aca="false">BL195*IF($J195="wagon",62.5,781.25)</f>
        <v>60937.5</v>
      </c>
      <c r="BO195" s="17" t="n">
        <f aca="false">BM195*IF($J195="wagon",2.73,81.25)</f>
        <v>8856.25</v>
      </c>
      <c r="BX195" s="25" t="s">
        <v>660</v>
      </c>
      <c r="BY195" s="25" t="n">
        <v>6</v>
      </c>
      <c r="CD195" s="25" t="s">
        <v>605</v>
      </c>
      <c r="CE195" s="25" t="s">
        <v>132</v>
      </c>
      <c r="CF195" s="25" t="str">
        <f aca="false">CONCATENATE(CD195,"_",CE195)</f>
        <v>lbr_Freight</v>
      </c>
      <c r="CG195" s="25" t="str">
        <f aca="false">_xlfn.CONCAT(K195, "_",L195)</f>
        <v>diesel_RAIL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5" t="s">
        <v>683</v>
      </c>
      <c r="CM195" s="25"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25" t="str">
        <f aca="false">_xlfn.CONCAT(CI195,IF(CI195 &lt;&gt; "", " ", ""),CJ195,IF(OR(CJ195&lt;&gt;"", CI195&lt;&gt;""), "{}",""), CH195, CM195,"{SILVER}", CK195)</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196" s="25" customFormat="true" ht="14.25" hidden="false" customHeight="false" outlineLevel="0" collapsed="false">
      <c r="A196" s="25" t="s">
        <v>684</v>
      </c>
      <c r="B196" s="26" t="s">
        <v>685</v>
      </c>
      <c r="C196" s="1" t="n">
        <v>3056</v>
      </c>
      <c r="D196" s="25" t="n">
        <v>3057</v>
      </c>
      <c r="E196" s="1" t="n">
        <v>152</v>
      </c>
      <c r="G196" s="1" t="str">
        <f aca="false">IF($F196&lt;&gt;"",_xlfn.CONCAT(VLOOKUP($CE196, Constants!$T:$U, 2, FALSE()),",",$F196),VLOOKUP($CE196, Constants!$T:$U, 2, FALSE()))</f>
        <v>role/express_passenger</v>
      </c>
      <c r="H196" s="1" t="str">
        <f aca="false">IF($G196&lt;&gt;"",_xlfn.CONCAT(VLOOKUP($CG196, Constants!$M:$P, 4, FALSE()),",",$G196),VLOOKUP($CG196, Constants!$M:$P, 4, FALSE()))</f>
        <v>flag/GB,power/electric,role/express_passenger</v>
      </c>
      <c r="I196" s="25" t="s">
        <v>198</v>
      </c>
      <c r="J196" s="25" t="s">
        <v>206</v>
      </c>
      <c r="K196" s="25" t="s">
        <v>349</v>
      </c>
      <c r="L196" s="25" t="s">
        <v>350</v>
      </c>
      <c r="M196" s="25" t="n">
        <v>1986</v>
      </c>
      <c r="N196" s="25" t="n">
        <v>1991</v>
      </c>
      <c r="O196" s="25" t="n">
        <v>1994</v>
      </c>
      <c r="Q196" s="25" t="n">
        <v>4000</v>
      </c>
      <c r="R196" s="2"/>
      <c r="S196" s="3"/>
      <c r="T196" s="3"/>
      <c r="U196" s="3"/>
      <c r="V196" s="3"/>
      <c r="W196" s="3"/>
      <c r="X196" s="3"/>
      <c r="Y196" s="3"/>
      <c r="Z196" s="25" t="n">
        <v>76.8</v>
      </c>
      <c r="AA196" s="2"/>
      <c r="AB196" s="25" t="n">
        <v>4</v>
      </c>
      <c r="AC196" s="25" t="n">
        <v>210</v>
      </c>
      <c r="AD196" s="4" t="n">
        <f aca="false">IF(AND(Z196&gt;0,AC196&gt;0),(AC196/((Z196+AA196)*10)),"")</f>
        <v>0.2734375</v>
      </c>
      <c r="AE196" s="25" t="n">
        <v>140</v>
      </c>
      <c r="AF196" s="25" t="n">
        <f aca="false">ROUND(AE196*1.6, 0)</f>
        <v>224</v>
      </c>
      <c r="AI196" s="25" t="n">
        <v>22</v>
      </c>
      <c r="AJ196" s="25" t="n">
        <v>22</v>
      </c>
      <c r="AK196" s="25" t="n">
        <v>2.7</v>
      </c>
      <c r="AL196" s="25" t="n">
        <v>3.5</v>
      </c>
      <c r="AM196" s="5" t="n">
        <v>0</v>
      </c>
      <c r="AN196" s="1" t="str">
        <f aca="false">CONCATENATE(VLOOKUP(AO196, '[1]Voxel Sizes'!$A$2:$B$18,2,FALSE()),"x",INT(AK196*15), "x", INT(AL196*15))</f>
        <v>214x40x52</v>
      </c>
      <c r="AO196" s="25" t="n">
        <f aca="false">ROUND(15*((AJ196*10)/256),0)</f>
        <v>13</v>
      </c>
      <c r="AQ196" s="1" t="str">
        <f aca="false">CONCATENATE(VLOOKUP(AO196,Constants!$A$2:$C$16,IF(AP196&lt;&gt;"", 3, 2), FALSE()),IF(AP196&lt;&gt;"",CONCATENATE(",",VLOOKUP(AP196,$B:$AQ,42,FALSE())),""))</f>
        <v>4,5,4</v>
      </c>
      <c r="AS196" s="6"/>
      <c r="AT196" s="6"/>
      <c r="BA196" s="25" t="n">
        <v>20</v>
      </c>
      <c r="BB196" s="16" t="n">
        <f aca="false">IF(O196&lt;&gt;"",MAX(16,(O196-M196)+8),"")</f>
        <v>16</v>
      </c>
      <c r="BC196" s="25" t="n">
        <v>-35</v>
      </c>
      <c r="BD196" s="25" t="n">
        <v>-60</v>
      </c>
      <c r="BE196" s="25" t="n">
        <f aca="false">MIN(AE196/150, 1)*30</f>
        <v>28</v>
      </c>
      <c r="BF196" s="25" t="n">
        <f aca="false">MIN(Q196/4000, 1)*20</f>
        <v>20</v>
      </c>
      <c r="BG196" s="25" t="n">
        <f aca="false">MIN(AC196/400,1)*20</f>
        <v>10.5</v>
      </c>
      <c r="BH196" s="4" t="n">
        <f aca="false">1-(MAX(M196-1900, 0)/750)</f>
        <v>0.885333333333333</v>
      </c>
      <c r="BI196" s="25" t="n">
        <f aca="false">((MAX($P196,1)*MIN($AM196/300,1)))*IF(J196="Wagon",50,10)</f>
        <v>0</v>
      </c>
      <c r="BJ196" s="1" t="n">
        <f aca="false">VLOOKUP($K196,Constants!$I:$K, 2, FALSE())</f>
        <v>0.85</v>
      </c>
      <c r="BK196" s="1" t="n">
        <f aca="false">VLOOKUP($K196,Constants!$I:$K, 3, FALSE())*IF(AND(J196="multiple_unit",AE196&lt;110),0.75,1)</f>
        <v>2.3</v>
      </c>
      <c r="BL196" s="25" t="n">
        <f aca="false">INT(POWER((([1]Constants!$G$2+$BE196+$BF196+$BG196+$BI196)*$BH196)*$BK196, 1.05))+$BD196</f>
        <v>104</v>
      </c>
      <c r="BM196" s="25" t="n">
        <f aca="false">INT(POWER(((([1]Constants!$G$1+$BE196+$BF196+$BG196+$BI196)*($BH196))*$BJ196),IF($J196="wagon",1,1.2)))+$BC196</f>
        <v>88</v>
      </c>
      <c r="BN196" s="17" t="n">
        <f aca="false">BL196*IF($J196="wagon",62.5,781.25)</f>
        <v>81250</v>
      </c>
      <c r="BO196" s="17" t="n">
        <f aca="false">BM196*IF($J196="wagon",2.73,81.25)</f>
        <v>7150</v>
      </c>
      <c r="BP196" s="25" t="n">
        <v>1</v>
      </c>
      <c r="BQ196" s="25" t="n">
        <v>1</v>
      </c>
      <c r="BT196" s="25" t="n">
        <v>1</v>
      </c>
      <c r="BU196" s="25" t="s">
        <v>686</v>
      </c>
      <c r="BX196" s="25" t="s">
        <v>660</v>
      </c>
      <c r="BY196" s="25" t="n">
        <v>7</v>
      </c>
      <c r="CD196" s="25" t="str">
        <f aca="false">VLOOKUP(M196,[1]Eras!$A$2:$C$10, 2, TRUE())</f>
        <v>lbr</v>
      </c>
      <c r="CE196" s="25" t="s">
        <v>556</v>
      </c>
      <c r="CF196" s="25" t="str">
        <f aca="false">CONCATENATE(CD196,"_",CE196)</f>
        <v>lbr_Express (Electric)</v>
      </c>
      <c r="CG196" s="25" t="str">
        <f aca="false">_xlfn.CONCAT(K196, "_",L196)</f>
        <v>electric_ELRL</v>
      </c>
      <c r="CH196" s="7" t="str">
        <f aca="false">_xlfn.CONCAT("{BLACK}Length: {GOLD}", TEXT(ROUNDUP(IF(AT196&lt;&gt;"",SUM(VALUE(_xlfn.TEXTSPLIT(AT196, ","))), SUM(VALUE(_xlfn.TEXTSPLIT(AQ196, ",")))*IF(P196, P196, 1))/16, 1), "#,##0.0"), " tiles{}")</f>
        <v>{BLACK}Length: {GOLD}0.9 tiles{}</v>
      </c>
      <c r="CI196" s="1" t="n">
        <f aca="false">VLOOKUP($CG196, Constants!$M:$N, 2, FALSE())</f>
        <v>0</v>
      </c>
      <c r="CJ196" s="1" t="str">
        <f aca="false">IF(P196&gt;1,_xlfn.CONCAT("{BLACK}Cars: {GOLD}", P196),"")</f>
        <v/>
      </c>
      <c r="CK196" s="25" t="s">
        <v>687</v>
      </c>
      <c r="CM196" s="25" t="str">
        <f aca="false">IF(CA196="buffet","{YELLOW}25% long distance bonus for consist{}",IF(CD196="BRAKE","{YELLOW}Speed bonus for slow wagons{}",IF(BZ196&gt;190,CONCATENATE("{YELLOW}",INT((BZ196-185)/1.85),"% bonus for long distance travel{}"),IF(AND(BZ196&lt;180,BZ196&lt;&gt;0),CONCATENATE("{YELLOW}",INT((185-BZ196)/1.85),"% penalty for long distance travel{}"),""))))</f>
        <v/>
      </c>
      <c r="CN196" s="25" t="str">
        <f aca="false">_xlfn.CONCAT(CI196,IF(CI196 &lt;&gt; "", " ", ""),CJ196,IF(OR(CJ196&lt;&gt;"", CI196&lt;&gt;""), "{}",""), CH196, CM196,"{SILVER}", CK196)</f>
        <v>{BLACK}Length: {GOLD}0.9 tiles{}{SILVER}The APT-S was a rework of the APT concept towards more conventional rolling stock, with a driving motor car, articulated trailers and a DVT.</v>
      </c>
    </row>
    <row r="197" s="25" customFormat="true" ht="14.25" hidden="false" customHeight="false" outlineLevel="0" collapsed="false">
      <c r="A197" s="25" t="s">
        <v>688</v>
      </c>
      <c r="B197" s="26" t="s">
        <v>689</v>
      </c>
      <c r="C197" s="1" t="n">
        <v>3057</v>
      </c>
      <c r="E197" s="1" t="n">
        <v>153</v>
      </c>
      <c r="G197" s="1" t="str">
        <f aca="false">IF($F197&lt;&gt;"",_xlfn.CONCAT(VLOOKUP($CE197, Constants!$T:$U, 2, FALSE()),",",$F197),VLOOKUP($CE197, Constants!$T:$U, 2, FALSE()))</f>
        <v>role/express_passenger</v>
      </c>
      <c r="H197" s="1" t="str">
        <f aca="false">IF($G197&lt;&gt;"",_xlfn.CONCAT(VLOOKUP($CG197, Constants!$M:$P, 4, FALSE()),",",$G197),VLOOKUP($CG197, Constants!$M:$P, 4, FALSE()))</f>
        <v>flag/GB,role/express_passenger</v>
      </c>
      <c r="I197" s="25" t="s">
        <v>198</v>
      </c>
      <c r="J197" s="25" t="s">
        <v>206</v>
      </c>
      <c r="K197" s="25" t="s">
        <v>659</v>
      </c>
      <c r="L197" s="25" t="s">
        <v>149</v>
      </c>
      <c r="M197" s="25" t="n">
        <v>1986</v>
      </c>
      <c r="N197" s="25" t="n">
        <v>1991</v>
      </c>
      <c r="O197" s="25" t="n">
        <v>1994</v>
      </c>
      <c r="Q197" s="25" t="n">
        <v>100</v>
      </c>
      <c r="R197" s="2"/>
      <c r="S197" s="3"/>
      <c r="T197" s="3"/>
      <c r="U197" s="3"/>
      <c r="V197" s="3"/>
      <c r="W197" s="3"/>
      <c r="X197" s="3"/>
      <c r="Y197" s="3"/>
      <c r="Z197" s="25" t="n">
        <v>38.4</v>
      </c>
      <c r="AA197" s="2"/>
      <c r="AB197" s="25" t="n">
        <v>4</v>
      </c>
      <c r="AC197" s="25" t="n">
        <v>5</v>
      </c>
      <c r="AD197" s="4" t="n">
        <f aca="false">IF(AND(Z197&gt;0,AC197&gt;0),(AC197/((Z197+AA197)*10)),"")</f>
        <v>0.0130208333333333</v>
      </c>
      <c r="AE197" s="25" t="n">
        <v>140</v>
      </c>
      <c r="AF197" s="25" t="n">
        <f aca="false">ROUND(AE197*1.6, 0)</f>
        <v>224</v>
      </c>
      <c r="AI197" s="25" t="n">
        <v>22</v>
      </c>
      <c r="AJ197" s="25" t="n">
        <v>22</v>
      </c>
      <c r="AK197" s="25" t="n">
        <v>2.7</v>
      </c>
      <c r="AL197" s="25" t="n">
        <v>3.5</v>
      </c>
      <c r="AM197" s="5" t="n">
        <v>36</v>
      </c>
      <c r="AN197" s="1" t="str">
        <f aca="false">CONCATENATE(VLOOKUP(AO197, '[1]Voxel Sizes'!$A$2:$B$18,2,FALSE()),"x",INT(AK197*15), "x", INT(AL197*15))</f>
        <v>214x40x52</v>
      </c>
      <c r="AO197" s="25" t="n">
        <f aca="false">ROUND(15*((AJ197*10)/256),0)</f>
        <v>13</v>
      </c>
      <c r="AQ197" s="1" t="str">
        <f aca="false">CONCATENATE(VLOOKUP(AO197,Constants!$A$2:$C$16,IF(AP197&lt;&gt;"", 3, 2), FALSE()),IF(AP197&lt;&gt;"",CONCATENATE(",",VLOOKUP(AP197,$B:$AQ,42,FALSE())),""))</f>
        <v>4,5,4</v>
      </c>
      <c r="AS197" s="6"/>
      <c r="AT197" s="6"/>
      <c r="BA197" s="25" t="n">
        <v>20</v>
      </c>
      <c r="BB197" s="16" t="n">
        <f aca="false">IF(O197&lt;&gt;"",MAX(16,(O197-M197)+8),"")</f>
        <v>16</v>
      </c>
      <c r="BC197" s="25" t="n">
        <v>-35</v>
      </c>
      <c r="BD197" s="25" t="n">
        <v>-60</v>
      </c>
      <c r="BE197" s="25" t="n">
        <f aca="false">MIN(AE197/150, 1)*30</f>
        <v>28</v>
      </c>
      <c r="BF197" s="25" t="n">
        <f aca="false">MIN(Q197/4000, 1)*20</f>
        <v>0.5</v>
      </c>
      <c r="BG197" s="25" t="n">
        <f aca="false">MIN(AC197/400,1)*20</f>
        <v>0.25</v>
      </c>
      <c r="BH197" s="4" t="n">
        <f aca="false">1-(MAX(M197-1900, 0)/750)</f>
        <v>0.885333333333333</v>
      </c>
      <c r="BI197" s="25" t="n">
        <f aca="false">((MAX($P197,1)*MIN($AM197/300,1)))*IF(J197="Wagon",50,10)</f>
        <v>1.2</v>
      </c>
      <c r="BJ197" s="1" t="n">
        <f aca="false">VLOOKUP($K197,Constants!$I:$K, 2, FALSE())</f>
        <v>0.85</v>
      </c>
      <c r="BK197" s="1" t="n">
        <f aca="false">VLOOKUP($K197,Constants!$I:$K, 3, FALSE())*IF(AND(J197="multiple_unit",AE197&lt;110),0.75,1)</f>
        <v>2.3</v>
      </c>
      <c r="BL197" s="25" t="n">
        <f aca="false">INT(POWER((([1]Constants!$G$2+$BE197+$BF197+$BG197+$BI197)*$BH197)*$BK197, 1.05))+$BD197</f>
        <v>28</v>
      </c>
      <c r="BM197" s="25" t="n">
        <f aca="false">INT(POWER(((([1]Constants!$G$1+$BE197+$BF197+$BG197+$BI197)*($BH197))*$BJ197),IF($J197="wagon",1,1.2)))+$BC197</f>
        <v>33</v>
      </c>
      <c r="BN197" s="17" t="n">
        <f aca="false">BL197*IF($J197="wagon",62.5,781.25)</f>
        <v>21875</v>
      </c>
      <c r="BO197" s="17" t="n">
        <f aca="false">BM197*IF($J197="wagon",2.73,81.25)</f>
        <v>2681.25</v>
      </c>
      <c r="BP197" s="25" t="n">
        <v>1</v>
      </c>
      <c r="BQ197" s="25" t="n">
        <v>1</v>
      </c>
      <c r="BT197" s="25" t="n">
        <v>1</v>
      </c>
      <c r="BU197" s="25" t="s">
        <v>690</v>
      </c>
      <c r="BX197" s="25" t="s">
        <v>660</v>
      </c>
      <c r="BY197" s="25" t="n">
        <v>7</v>
      </c>
      <c r="BZ197" s="25" t="n">
        <v>185</v>
      </c>
      <c r="CC197" s="25" t="s">
        <v>662</v>
      </c>
      <c r="CD197" s="25" t="str">
        <f aca="false">VLOOKUP(M197,[1]Eras!$A$2:$C$10, 2, TRUE())</f>
        <v>lbr</v>
      </c>
      <c r="CE197" s="25" t="s">
        <v>556</v>
      </c>
      <c r="CF197" s="25" t="str">
        <f aca="false">CONCATENATE(CD197,"_",CE197)</f>
        <v>lbr_Express (Electric)</v>
      </c>
      <c r="CG197" s="25" t="str">
        <f aca="false">_xlfn.CONCAT(K197, "_",L197)</f>
        <v>none_RAIL</v>
      </c>
      <c r="CH197" s="7" t="str">
        <f aca="false">_xlfn.CONCAT("{BLACK}Length: {GOLD}", TEXT(ROUNDUP(IF(AT197&lt;&gt;"",SUM(VALUE(_xlfn.TEXTSPLIT(AT197, ","))), SUM(VALUE(_xlfn.TEXTSPLIT(AQ197, ",")))*IF(P197, P197, 1))/16, 1), "#,##0.0"), " tiles{}")</f>
        <v>{BLACK}Length: {GOLD}0.9 tiles{}</v>
      </c>
      <c r="CI197" s="1" t="n">
        <f aca="false">VLOOKUP($CG197, Constants!$M:$N, 2, FALSE())</f>
        <v>0</v>
      </c>
      <c r="CJ197" s="1" t="str">
        <f aca="false">IF(P197&gt;1,_xlfn.CONCAT("{BLACK}Cars: {GOLD}", P197),"")</f>
        <v/>
      </c>
      <c r="CK197" s="25" t="s">
        <v>691</v>
      </c>
      <c r="CM197" s="25" t="str">
        <f aca="false">IF(CA197="buffet","{YELLOW}25% long distance bonus for consist{}",IF(CD197="BRAKE","{YELLOW}Speed bonus for slow wagons{}",IF(BZ197&gt;190,CONCATENATE("{YELLOW}",INT((BZ197-185)/1.85),"% bonus for long distance travel{}"),IF(AND(BZ197&lt;180,BZ197&lt;&gt;0),CONCATENATE("{YELLOW}",INT((185-BZ197)/1.85),"% penalty for long distance travel{}"),""))))</f>
        <v/>
      </c>
      <c r="CN197" s="25" t="str">
        <f aca="false">_xlfn.CONCAT(CI197,IF(CI197 &lt;&gt; "", " ", ""),CJ197,IF(OR(CJ197&lt;&gt;"", CI197&lt;&gt;""), "{}",""), CH197, CM197,"{SILVER}", CK197)</f>
        <v>{BLACK}Length: {GOLD}0.9 tiles{}{SILVER}The APT-Q was proposed to rationalise existing APT-P stock into usable 6-car tains, with a single non-driving power car and a new-build DVT.</v>
      </c>
    </row>
    <row r="198" customFormat="false" ht="14.25" hidden="false" customHeight="false" outlineLevel="0" collapsed="false">
      <c r="A198" s="1" t="s">
        <v>692</v>
      </c>
      <c r="B198" s="15" t="s">
        <v>693</v>
      </c>
      <c r="C198" s="1" t="n">
        <v>207</v>
      </c>
      <c r="E198" s="1" t="n">
        <v>154</v>
      </c>
      <c r="G198" s="1" t="str">
        <f aca="false">IF($F198&lt;&gt;"",_xlfn.CONCAT(VLOOKUP($CE198, Constants!$T:$U, 2, FALSE()),",",$F198),VLOOKUP($CE198, Constants!$T:$U, 2, FALSE()))</f>
        <v>role/express_passenger</v>
      </c>
      <c r="H198" s="1" t="str">
        <f aca="false">IF($G198&lt;&gt;"",_xlfn.CONCAT(VLOOKUP($CG198, Constants!$M:$P, 4, FALSE()),",",$G198),VLOOKUP($CG198, Constants!$M:$P, 4, FALSE()))</f>
        <v>flag/GB,power/electric,role/express_passenger</v>
      </c>
      <c r="I198" s="1" t="s">
        <v>198</v>
      </c>
      <c r="J198" s="1" t="s">
        <v>206</v>
      </c>
      <c r="K198" s="1" t="s">
        <v>349</v>
      </c>
      <c r="L198" s="1" t="s">
        <v>350</v>
      </c>
      <c r="M198" s="1" t="n">
        <v>1986</v>
      </c>
      <c r="O198" s="1" t="n">
        <v>2001</v>
      </c>
      <c r="Q198" s="1" t="n">
        <v>5850</v>
      </c>
      <c r="Z198" s="1" t="n">
        <v>105</v>
      </c>
      <c r="AC198" s="1" t="n">
        <v>209</v>
      </c>
      <c r="AD198" s="4" t="n">
        <f aca="false">IF(AND(Z198&gt;0,AC198&gt;0),(AC198/((Z198+AA198)*10)),"")</f>
        <v>0.199047619047619</v>
      </c>
      <c r="AE198" s="1" t="n">
        <v>125</v>
      </c>
      <c r="AF198" s="1" t="n">
        <f aca="false">ROUND(AE198*1.6, 0)</f>
        <v>200</v>
      </c>
      <c r="AI198" s="1" t="n">
        <v>19.79</v>
      </c>
      <c r="AJ198" s="1" t="n">
        <v>19.79</v>
      </c>
      <c r="AK198" s="1" t="n">
        <v>2.73</v>
      </c>
      <c r="AL198" s="1" t="n">
        <v>3.8</v>
      </c>
      <c r="AN198" s="1" t="str">
        <f aca="false">CONCATENATE(VLOOKUP(AO198, 'Voxel Sizes'!$A$2:$B$18,2,FALSE()),"x",INT(AK198*15), "x", INT(AL198*15))</f>
        <v>198x40x57</v>
      </c>
      <c r="AO198" s="1" t="n">
        <f aca="false">ROUND(15*((AJ198*10)/256),0)</f>
        <v>12</v>
      </c>
      <c r="AQ198" s="1" t="str">
        <f aca="false">CONCATENATE(VLOOKUP(AO198,Constants!$A$2:$C$16,IF(AP198&lt;&gt;"", 3, 2), FALSE()),IF(AP198&lt;&gt;"",CONCATENATE(",",VLOOKUP(AP198,$B:$AQ,42,FALSE())),""))</f>
        <v>4,4,4</v>
      </c>
      <c r="BA198" s="1" t="n">
        <v>24</v>
      </c>
      <c r="BB198" s="16" t="n">
        <f aca="false">IF(O198&lt;&gt;"",MAX(16,(O198-M198)+8),"")</f>
        <v>23</v>
      </c>
      <c r="BC198" s="1" t="n">
        <v>15</v>
      </c>
      <c r="BD198" s="1" t="n">
        <v>-30</v>
      </c>
      <c r="BE198" s="1" t="n">
        <f aca="false">MIN(AE198/150, 1)*30</f>
        <v>25</v>
      </c>
      <c r="BF198" s="1" t="n">
        <f aca="false">MIN(Q198/4000, 1)*20</f>
        <v>20</v>
      </c>
      <c r="BG198" s="1" t="n">
        <f aca="false">MIN(AC198/400,1)*20</f>
        <v>10.45</v>
      </c>
      <c r="BH198" s="4" t="n">
        <f aca="false">1-(MAX(M198-1900, 0)/750)</f>
        <v>0.885333333333333</v>
      </c>
      <c r="BI198" s="1" t="n">
        <f aca="false">((MAX($P198,1)*MIN($AM198/300,1)))*IF(J198="Wagon",50,10)</f>
        <v>0</v>
      </c>
      <c r="BJ198" s="1" t="n">
        <f aca="false">VLOOKUP($K198,Constants!$I:$K, 2, FALSE())</f>
        <v>0.85</v>
      </c>
      <c r="BK198" s="1" t="n">
        <f aca="false">VLOOKUP($K198,Constants!$I:$K, 3, FALSE())*IF(AND(J198="multiple_unit",AE198&lt;110),0.75,1)</f>
        <v>2.3</v>
      </c>
      <c r="BL198" s="1" t="n">
        <f aca="false">INT(POWER(((Constants!$G$2+$BE198+$BF198+$BG198+$BI198)*$BH198)*$BK198, 1.05))+$BD198</f>
        <v>126</v>
      </c>
      <c r="BM198" s="1" t="n">
        <f aca="false">INT(POWER((((Constants!$G$1+$BE198+$BF198+$BG198+$BI198)*($BH198))*$BJ198),IF($J198="wagon",1,1.2)))+$BC198</f>
        <v>132</v>
      </c>
      <c r="BN198" s="17" t="n">
        <f aca="false">BL198*IF($J198="wagon",62.5,781.25)</f>
        <v>98437.5</v>
      </c>
      <c r="BO198" s="17" t="n">
        <f aca="false">BM198*IF($J198="wagon",2.73,81.25)</f>
        <v>10725</v>
      </c>
      <c r="BY198" s="1" t="n">
        <v>5</v>
      </c>
      <c r="CD198" s="1" t="str">
        <f aca="false">VLOOKUP(M198,Eras!$A$2:$C$10, 2, TRUE())</f>
        <v>lbr</v>
      </c>
      <c r="CE198" s="1" t="s">
        <v>241</v>
      </c>
      <c r="CF198" s="1" t="str">
        <f aca="false">CONCATENATE(CD198,"_",CE198)</f>
        <v>lbr_Express</v>
      </c>
      <c r="CG198" s="1" t="str">
        <f aca="false">_xlfn.CONCAT(K198, "_",L198)</f>
        <v>electric_ELRL</v>
      </c>
      <c r="CH198" s="7" t="str">
        <f aca="false">_xlfn.CONCAT("{BLACK}Length: {GOLD}", TEXT(ROUNDUP(IF(AT198&lt;&gt;"",SUM(VALUE(_xlfn.TEXTSPLIT(AT198, ","))), SUM(VALUE(_xlfn.TEXTSPLIT(AQ198, ",")))*IF(P198, P198, 1))/16, 1), "#,##0.0"), " tiles{}")</f>
        <v>{BLACK}Length: {GOLD}0.8 tiles{}</v>
      </c>
      <c r="CI198" s="1" t="n">
        <f aca="false">VLOOKUP($CG198, Constants!$M:$N, 2, FALSE())</f>
        <v>0</v>
      </c>
      <c r="CJ198" s="1" t="str">
        <f aca="false">IF(P198&gt;1,_xlfn.CONCAT("{BLACK}Cars: {GOLD}", P198),"")</f>
        <v/>
      </c>
      <c r="CK198" s="1" t="s">
        <v>694</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{GOLD}0.8 tiles{}{SILVER}The Class 89 was a prototype express locomotive; unfortunately the specification changed after the prototype was built, and only a single example was completed. It was withdrawn from service twice after major breakdowns.</v>
      </c>
    </row>
    <row r="199" customFormat="false" ht="14.25" hidden="false" customHeight="false" outlineLevel="0" collapsed="false">
      <c r="A199" s="1" t="s">
        <v>695</v>
      </c>
      <c r="B199" s="15" t="s">
        <v>696</v>
      </c>
      <c r="C199" s="1" t="n">
        <v>208</v>
      </c>
      <c r="E199" s="1" t="n">
        <v>155</v>
      </c>
      <c r="G199" s="1" t="str">
        <f aca="false">IF($F199&lt;&gt;"",_xlfn.CONCAT(VLOOKUP($CE199, Constants!$T:$U, 2, FALSE()),",",$F199),VLOOKUP($CE199, Constants!$T:$U, 2, FALSE()))</f>
        <v>role/express_passenger</v>
      </c>
      <c r="H199" s="1" t="str">
        <f aca="false">IF($G199&lt;&gt;"",_xlfn.CONCAT(VLOOKUP($CG199, Constants!$M:$P, 4, FALSE()),",",$G199),VLOOKUP($CG199, Constants!$M:$P, 4, FALSE()))</f>
        <v>flag/GB,power/electric,role/express_passenger</v>
      </c>
      <c r="I199" s="1" t="s">
        <v>198</v>
      </c>
      <c r="J199" s="1" t="s">
        <v>206</v>
      </c>
      <c r="K199" s="1" t="s">
        <v>349</v>
      </c>
      <c r="L199" s="1" t="s">
        <v>350</v>
      </c>
      <c r="M199" s="1" t="n">
        <v>1987</v>
      </c>
      <c r="N199" s="1" t="n">
        <v>1990</v>
      </c>
      <c r="Q199" s="1" t="n">
        <v>5000</v>
      </c>
      <c r="Z199" s="1" t="n">
        <v>84.5</v>
      </c>
      <c r="AC199" s="1" t="n">
        <v>258</v>
      </c>
      <c r="AD199" s="4" t="n">
        <f aca="false">IF(AND(Z199&gt;0,AC199&gt;0),(AC199/((Z199+AA199)*10)),"")</f>
        <v>0.305325443786982</v>
      </c>
      <c r="AE199" s="1" t="n">
        <v>110</v>
      </c>
      <c r="AF199" s="1" t="n">
        <f aca="false">ROUND(AE199*1.6, 0)</f>
        <v>176</v>
      </c>
      <c r="AI199" s="1" t="n">
        <v>18.75</v>
      </c>
      <c r="AJ199" s="1" t="n">
        <v>18.75</v>
      </c>
      <c r="AL199" s="1" t="n">
        <v>3.96</v>
      </c>
      <c r="AM199" s="5" t="n">
        <v>0</v>
      </c>
      <c r="AN199" s="1" t="str">
        <f aca="false">CONCATENATE(VLOOKUP(AO199, 'Voxel Sizes'!$A$2:$B$18,2,FALSE()),"x",INT(AK199*15), "x", INT(AL199*15))</f>
        <v>186x0x59</v>
      </c>
      <c r="AO199" s="1" t="n">
        <f aca="false">ROUND(15*((AJ199*10)/256),0)</f>
        <v>11</v>
      </c>
      <c r="AQ199" s="1" t="str">
        <f aca="false">CONCATENATE(VLOOKUP(AO199,Constants!$A$2:$C$16,IF(AP199&lt;&gt;"", 3, 2), FALSE()),IF(AP199&lt;&gt;"",CONCATENATE(",",VLOOKUP(AP199,$B:$AQ,42,FALSE())),""))</f>
        <v>4,3,4</v>
      </c>
      <c r="BA199" s="1" t="n">
        <v>30</v>
      </c>
      <c r="BB199" s="16" t="str">
        <f aca="false">IF(O199&lt;&gt;"",MAX(16,(O199-M199)+8),"")</f>
        <v/>
      </c>
      <c r="BE199" s="1" t="n">
        <f aca="false">MIN(AE199/150, 1)*30</f>
        <v>22</v>
      </c>
      <c r="BF199" s="1" t="n">
        <f aca="false">MIN(Q199/4000, 1)*20</f>
        <v>20</v>
      </c>
      <c r="BG199" s="1" t="n">
        <f aca="false">MIN(AC199/400,1)*20</f>
        <v>12.9</v>
      </c>
      <c r="BH199" s="4" t="n">
        <f aca="false">1-(MAX(M199-1900, 0)/750)</f>
        <v>0.884</v>
      </c>
      <c r="BI199" s="1" t="n">
        <f aca="false">((MAX($P199,1)*MIN($AM199/300,1)))*IF(J199="Wagon",50,10)</f>
        <v>0</v>
      </c>
      <c r="BJ199" s="1" t="n">
        <f aca="false">VLOOKUP($K199,Constants!$I:$K, 2, FALSE())</f>
        <v>0.85</v>
      </c>
      <c r="BK199" s="1" t="n">
        <f aca="false">VLOOKUP($K199,Constants!$I:$K, 3, FALSE())*IF(AND(J199="multiple_unit",AE199&lt;110),0.75,1)</f>
        <v>2.3</v>
      </c>
      <c r="BL199" s="1" t="n">
        <f aca="false">INT(POWER(((Constants!$G$2+$BE199+$BF199+$BG199+$BI199)*$BH199)*$BK199, 1.05))+$BD199</f>
        <v>154</v>
      </c>
      <c r="BM199" s="1" t="n">
        <f aca="false">INT(POWER((((Constants!$G$1+$BE199+$BF199+$BG199+$BI199)*($BH199))*$BJ199),IF($J199="wagon",1,1.2)))+$BC199</f>
        <v>115</v>
      </c>
      <c r="BN199" s="17" t="n">
        <f aca="false">BL199*IF($J199="wagon",62.5,781.25)</f>
        <v>120312.5</v>
      </c>
      <c r="BO199" s="17" t="n">
        <f aca="false">BM199*IF($J199="wagon",2.73,81.25)</f>
        <v>9343.75</v>
      </c>
      <c r="BY199" s="1" t="n">
        <v>6</v>
      </c>
      <c r="CD199" s="1" t="str">
        <f aca="false">VLOOKUP(M199,Eras!$A$2:$C$10, 2, TRUE())</f>
        <v>lbr</v>
      </c>
      <c r="CE199" s="1" t="s">
        <v>241</v>
      </c>
      <c r="CF199" s="1" t="str">
        <f aca="false">CONCATENATE(CD199,"_",CE199)</f>
        <v>lbr_Express</v>
      </c>
      <c r="CG199" s="1"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1" t="s">
        <v>697</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90 is a powerful electric locomotive. Initially used for Intercity express services, several were also used for freight.</v>
      </c>
    </row>
    <row r="200" customFormat="false" ht="14.25" hidden="false" customHeight="false" outlineLevel="0" collapsed="false">
      <c r="A200" s="1" t="s">
        <v>698</v>
      </c>
      <c r="B200" s="15" t="s">
        <v>699</v>
      </c>
      <c r="C200" s="1" t="n">
        <v>209</v>
      </c>
      <c r="E200" s="1" t="n">
        <v>156</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198</v>
      </c>
      <c r="J200" s="1" t="s">
        <v>206</v>
      </c>
      <c r="K200" s="1" t="s">
        <v>349</v>
      </c>
      <c r="L200" s="1" t="s">
        <v>350</v>
      </c>
      <c r="M200" s="1" t="n">
        <v>1988</v>
      </c>
      <c r="N200" s="1" t="n">
        <v>1991</v>
      </c>
      <c r="Q200" s="1" t="n">
        <v>6480</v>
      </c>
      <c r="Z200" s="1" t="n">
        <v>81.5</v>
      </c>
      <c r="AC200" s="1" t="n">
        <v>190</v>
      </c>
      <c r="AD200" s="4" t="n">
        <f aca="false">IF(AND(Z200&gt;0,AC200&gt;0),(AC200/((Z200+AA200)*10)),"")</f>
        <v>0.233128834355828</v>
      </c>
      <c r="AE200" s="1" t="n">
        <v>140</v>
      </c>
      <c r="AF200" s="1" t="n">
        <f aca="false">ROUND(AE200*1.6, 0)</f>
        <v>224</v>
      </c>
      <c r="AI200" s="1" t="n">
        <v>19.4</v>
      </c>
      <c r="AJ200" s="1" t="n">
        <v>19.4</v>
      </c>
      <c r="AM200" s="5" t="n">
        <v>0</v>
      </c>
      <c r="AN200" s="1" t="str">
        <f aca="false">CONCATENATE(VLOOKUP(AO200, 'Voxel Sizes'!$A$2:$B$18,2,FALSE()),"x",INT(AK200*15), "x", INT(AL200*15))</f>
        <v>186x0x0</v>
      </c>
      <c r="AO200" s="1" t="n">
        <f aca="false">ROUND(15*((AJ200*10)/256),0)</f>
        <v>11</v>
      </c>
      <c r="AQ200" s="1" t="str">
        <f aca="false">CONCATENATE(VLOOKUP(AO200,Constants!$A$2:$C$16,IF(AP200&lt;&gt;"", 3, 2), FALSE()),IF(AP200&lt;&gt;"",CONCATENATE(",",VLOOKUP(AP200,$B:$AQ,42,FALSE())),""))</f>
        <v>4,3,4</v>
      </c>
      <c r="BA200" s="1" t="n">
        <v>27</v>
      </c>
      <c r="BB200" s="16" t="str">
        <f aca="false">IF(O200&lt;&gt;"",MAX(16,(O200-M200)+8),"")</f>
        <v/>
      </c>
      <c r="BE200" s="1" t="n">
        <f aca="false">MIN(AE200/150, 1)*30</f>
        <v>28</v>
      </c>
      <c r="BF200" s="1" t="n">
        <f aca="false">MIN(Q200/4000, 1)*20</f>
        <v>20</v>
      </c>
      <c r="BG200" s="1" t="n">
        <f aca="false">MIN(AC200/400,1)*20</f>
        <v>9.5</v>
      </c>
      <c r="BH200" s="4" t="n">
        <f aca="false">1-(MAX(M200-1900, 0)/750)</f>
        <v>0.882666666666667</v>
      </c>
      <c r="BI200" s="1" t="n">
        <f aca="false">((MAX($P200,1)*MIN($AM200/300,1)))*IF(J200="Wagon",50,10)</f>
        <v>0</v>
      </c>
      <c r="BJ200" s="1" t="n">
        <f aca="false">VLOOKUP($K200,Constants!$I:$K, 2, FALSE())</f>
        <v>0.85</v>
      </c>
      <c r="BK200" s="1" t="n">
        <f aca="false">VLOOKUP($K200,Constants!$I:$K, 3, FALSE())*IF(AND(J200="multiple_unit",AE200&lt;110),0.75,1)</f>
        <v>2.3</v>
      </c>
      <c r="BL200" s="1" t="n">
        <f aca="false">INT(POWER(((Constants!$G$2+$BE200+$BF200+$BG200+$BI200)*$BH200)*$BK200, 1.05))+$BD200</f>
        <v>161</v>
      </c>
      <c r="BM200" s="1" t="n">
        <f aca="false">INT(POWER((((Constants!$G$1+$BE200+$BF200+$BG200+$BI200)*($BH200))*$BJ200),IF($J200="wagon",1,1.2)))+$BC200</f>
        <v>120</v>
      </c>
      <c r="BN200" s="17" t="n">
        <f aca="false">BL200*IF($J200="wagon",62.5,781.25)</f>
        <v>125781.25</v>
      </c>
      <c r="BO200" s="17" t="n">
        <f aca="false">BM200*IF($J200="wagon",2.73,81.25)</f>
        <v>9750</v>
      </c>
      <c r="BP200" s="1" t="n">
        <v>1</v>
      </c>
      <c r="BQ200" s="1" t="n">
        <v>1</v>
      </c>
      <c r="BY200" s="1" t="n">
        <v>7</v>
      </c>
      <c r="CD200" s="1" t="str">
        <f aca="false">VLOOKUP(M200,Eras!$A$2:$C$10, 2, TRUE())</f>
        <v>lbr</v>
      </c>
      <c r="CE200" s="1" t="s">
        <v>556</v>
      </c>
      <c r="CF200" s="1" t="str">
        <f aca="false">CONCATENATE(CD200,"_",CE200)</f>
        <v>lbr_Express (Electric)</v>
      </c>
      <c r="CG200" s="1" t="str">
        <f aca="false">_xlfn.CONCAT(K200, "_",L200)</f>
        <v>electric_ELRL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1" t="s">
        <v>700</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91 is a high speed electric locomotive, designed for Intercity 225 services.</v>
      </c>
    </row>
    <row r="201" customFormat="false" ht="14.25" hidden="false" customHeight="false" outlineLevel="0" collapsed="false">
      <c r="A201" s="1" t="s">
        <v>701</v>
      </c>
      <c r="B201" s="15" t="s">
        <v>702</v>
      </c>
      <c r="C201" s="1" t="n">
        <v>211</v>
      </c>
      <c r="E201" s="1" t="n">
        <v>157</v>
      </c>
      <c r="G201" s="1" t="str">
        <f aca="false">IF($F201&lt;&gt;"",_xlfn.CONCAT(VLOOKUP($CE201, Constants!$T:$U, 2, FALSE()),",",$F201),VLOOKUP($CE201, Constants!$T:$U, 2, FALSE()))</f>
        <v>role/freight</v>
      </c>
      <c r="H201" s="1" t="str">
        <f aca="false">IF($G201&lt;&gt;"",_xlfn.CONCAT(VLOOKUP($CG201, Constants!$M:$P, 4, FALSE()),",",$G201),VLOOKUP($CG201, Constants!$M:$P, 4, FALSE()))</f>
        <v>flag/GB,power/diesel,role/freight</v>
      </c>
      <c r="I201" s="1" t="s">
        <v>198</v>
      </c>
      <c r="J201" s="1" t="s">
        <v>206</v>
      </c>
      <c r="K201" s="1" t="s">
        <v>482</v>
      </c>
      <c r="L201" s="1" t="s">
        <v>149</v>
      </c>
      <c r="M201" s="1" t="n">
        <v>1989</v>
      </c>
      <c r="Q201" s="1" t="n">
        <v>3100</v>
      </c>
      <c r="Z201" s="1" t="n">
        <v>129</v>
      </c>
      <c r="AC201" s="1" t="n">
        <v>474</v>
      </c>
      <c r="AD201" s="4" t="n">
        <f aca="false">IF(AND(Z201&gt;0,AC201&gt;0),(AC201/((Z201+AA201)*10)),"")</f>
        <v>0.367441860465116</v>
      </c>
      <c r="AE201" s="1" t="n">
        <v>60</v>
      </c>
      <c r="AF201" s="1" t="n">
        <f aca="false">ROUND(AE201*1.6, 0)</f>
        <v>96</v>
      </c>
      <c r="AI201" s="1" t="n">
        <v>21.34</v>
      </c>
      <c r="AJ201" s="1" t="n">
        <v>21.34</v>
      </c>
      <c r="AK201" s="1" t="n">
        <v>2.64</v>
      </c>
      <c r="AL201" s="1" t="n">
        <v>3.95</v>
      </c>
      <c r="AM201" s="5" t="n">
        <v>0</v>
      </c>
      <c r="AN201" s="1" t="str">
        <f aca="false">CONCATENATE(VLOOKUP(AO201, 'Voxel Sizes'!$A$2:$B$18,2,FALSE()),"x",INT(AK201*15), "x", INT(AL201*15))</f>
        <v>214x39x59</v>
      </c>
      <c r="AO201" s="1" t="n">
        <f aca="false">ROUND(15*((AJ201*10)/256),0)</f>
        <v>13</v>
      </c>
      <c r="AQ201" s="1" t="str">
        <f aca="false">CONCATENATE(VLOOKUP(AO201,Constants!$A$2:$C$16,IF(AP201&lt;&gt;"", 3, 2), FALSE()),IF(AP201&lt;&gt;"",CONCATENATE(",",VLOOKUP(AP201,$B:$AQ,42,FALSE())),""))</f>
        <v>4,5,4</v>
      </c>
      <c r="BA201" s="1" t="n">
        <v>30</v>
      </c>
      <c r="BB201" s="16" t="str">
        <f aca="false">IF(O201&lt;&gt;"",MAX(16,(O201-M201)+8),"")</f>
        <v/>
      </c>
      <c r="BE201" s="1" t="n">
        <f aca="false">MIN(AE201/150, 1)*30</f>
        <v>12</v>
      </c>
      <c r="BF201" s="1" t="n">
        <f aca="false">MIN(Q201/4000, 1)*20</f>
        <v>15.5</v>
      </c>
      <c r="BG201" s="1" t="n">
        <f aca="false">MIN(AC201/400,1)*20</f>
        <v>20</v>
      </c>
      <c r="BH201" s="4" t="n">
        <f aca="false">1-(MAX(M201-1900, 0)/750)</f>
        <v>0.881333333333333</v>
      </c>
      <c r="BI201" s="1" t="n">
        <f aca="false">((MAX($P201,1)*MIN($AM201/300,1)))*IF(J201="Wagon",50,10)</f>
        <v>0</v>
      </c>
      <c r="BJ201" s="1" t="n">
        <f aca="false">VLOOKUP($K201,Constants!$I:$K, 2, FALSE())</f>
        <v>1</v>
      </c>
      <c r="BK201" s="1" t="n">
        <f aca="false">VLOOKUP($K201,Constants!$I:$K, 3, FALSE())*IF(AND(J201="multiple_unit",AE201&lt;110),0.75,1)</f>
        <v>2</v>
      </c>
      <c r="BL201" s="1" t="n">
        <f aca="false">INT(POWER(((Constants!$G$2+$BE201+$BF201+$BG201+$BI201)*$BH201)*$BK201, 1.05))+$BD201</f>
        <v>116</v>
      </c>
      <c r="BM201" s="1" t="n">
        <f aca="false">INT(POWER((((Constants!$G$1+$BE201+$BF201+$BG201+$BI201)*($BH201))*$BJ201),IF($J201="wagon",1,1.2)))+$BC201</f>
        <v>122</v>
      </c>
      <c r="BN201" s="17" t="n">
        <f aca="false">BL201*IF($J201="wagon",62.5,781.25)</f>
        <v>90625</v>
      </c>
      <c r="BO201" s="17" t="n">
        <f aca="false">BM201*IF($J201="wagon",2.73,81.25)</f>
        <v>9912.5</v>
      </c>
      <c r="BY201" s="1" t="n">
        <v>9</v>
      </c>
      <c r="CD201" s="1" t="str">
        <f aca="false">VLOOKUP(M201,Eras!$A$2:$C$10, 2, TRUE())</f>
        <v>lbr</v>
      </c>
      <c r="CE201" s="1" t="s">
        <v>132</v>
      </c>
      <c r="CF201" s="1" t="str">
        <f aca="false">CONCATENATE(CD201,"_",CE201)</f>
        <v>lbr_Freight</v>
      </c>
      <c r="CG201" s="1" t="str">
        <f aca="false">_xlfn.CONCAT(K201, "_",L201)</f>
        <v>diesel_RAIL</v>
      </c>
      <c r="CH201" s="7" t="str">
        <f aca="false">_xlfn.CONCAT("{BLACK}Length: {GOLD}", TEXT(ROUNDUP(IF(AT201&lt;&gt;"",SUM(VALUE(_xlfn.TEXTSPLIT(AT201, ","))), SUM(VALUE(_xlfn.TEXTSPLIT(AQ201, ",")))*IF(P201, P201, 1))/16, 1), "#,##0.0"), " tiles{}")</f>
        <v>{BLACK}Length: {GOLD}0.9 tiles{}</v>
      </c>
      <c r="CI201" s="1" t="n">
        <f aca="false">VLOOKUP($CG201, Constants!$M:$N, 2, FALSE())</f>
        <v>0</v>
      </c>
      <c r="CJ201" s="1" t="str">
        <f aca="false">IF(P201&gt;1,_xlfn.CONCAT("{BLACK}Cars: {GOLD}", P201),"")</f>
        <v/>
      </c>
      <c r="CK201" s="1" t="s">
        <v>703</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{GOLD}0.9 tiles{}{SILVER}The Brush Class 60 is a Type 5 diesel, designed for high power and tractive effort to haul heavy freight trains.</v>
      </c>
    </row>
    <row r="202" customFormat="false" ht="14.25" hidden="false" customHeight="false" outlineLevel="0" collapsed="false">
      <c r="A202" s="1" t="s">
        <v>704</v>
      </c>
      <c r="B202" s="15" t="s">
        <v>705</v>
      </c>
      <c r="C202" s="1" t="n">
        <v>212</v>
      </c>
      <c r="E202" s="1" t="n">
        <v>158</v>
      </c>
      <c r="G202" s="1" t="str">
        <f aca="false">IF($F202&lt;&gt;"",_xlfn.CONCAT(VLOOKUP($CE202, Constants!$T:$U, 2, FALSE()),",",$F202),VLOOKUP($CE202, Constants!$T:$U, 2, FALSE()))</f>
        <v>role/mixed</v>
      </c>
      <c r="H202" s="1" t="str">
        <f aca="false">IF($G202&lt;&gt;"",_xlfn.CONCAT(VLOOKUP($CG202, Constants!$M:$P, 4, FALSE()),",",$G202),VLOOKUP($CG202, Constants!$M:$P, 4, FALSE()))</f>
        <v>flag/GB,power/diesel,role/mixed</v>
      </c>
      <c r="I202" s="1" t="s">
        <v>198</v>
      </c>
      <c r="J202" s="1" t="s">
        <v>206</v>
      </c>
      <c r="K202" s="1" t="s">
        <v>482</v>
      </c>
      <c r="L202" s="1" t="s">
        <v>149</v>
      </c>
      <c r="M202" s="1" t="n">
        <v>1990</v>
      </c>
      <c r="Q202" s="1" t="n">
        <v>1270</v>
      </c>
      <c r="Z202" s="1" t="n">
        <v>90</v>
      </c>
      <c r="AC202" s="1" t="n">
        <v>170</v>
      </c>
      <c r="AD202" s="4" t="n">
        <f aca="false">IF(AND(Z202&gt;0,AC202&gt;0),(AC202/((Z202+AA202)*10)),"")</f>
        <v>0.188888888888889</v>
      </c>
      <c r="AE202" s="1" t="n">
        <v>62</v>
      </c>
      <c r="AF202" s="1" t="n">
        <f aca="false">ROUND(AE202*1.6, 0)</f>
        <v>99</v>
      </c>
      <c r="AI202" s="1" t="n">
        <v>14.4</v>
      </c>
      <c r="AJ202" s="1" t="n">
        <v>14.4</v>
      </c>
      <c r="AN202" s="1" t="str">
        <f aca="false">CONCATENATE(VLOOKUP(AO202, 'Voxel Sizes'!$A$2:$B$18,2,FALSE()),"x",INT(AK202*15), "x", INT(AL202*15))</f>
        <v>136x0x0</v>
      </c>
      <c r="AO202" s="1" t="n">
        <f aca="false">ROUND(15*((AJ202*10)/256),0)</f>
        <v>8</v>
      </c>
      <c r="AQ202" s="1" t="str">
        <f aca="false">CONCATENATE(VLOOKUP(AO202,Constants!$A$2:$C$16,IF(AP202&lt;&gt;"", 3, 2), FALSE()),IF(AP202&lt;&gt;"",CONCATENATE(",",VLOOKUP(AP202,$B:$AQ,42,FALSE())),""))</f>
        <v>2,4,2</v>
      </c>
      <c r="BA202" s="1" t="n">
        <v>34</v>
      </c>
      <c r="BB202" s="16" t="str">
        <f aca="false">IF(O202&lt;&gt;"",MAX(16,(O202-M202)+8),"")</f>
        <v/>
      </c>
      <c r="BD202" s="1" t="n">
        <v>-16</v>
      </c>
      <c r="BE202" s="1" t="n">
        <f aca="false">MIN(AE202/150, 1)*30</f>
        <v>12.4</v>
      </c>
      <c r="BF202" s="1" t="n">
        <f aca="false">MIN(Q202/4000, 1)*20</f>
        <v>6.35</v>
      </c>
      <c r="BG202" s="1" t="n">
        <f aca="false">MIN(AC202/400,1)*20</f>
        <v>8.5</v>
      </c>
      <c r="BH202" s="4" t="n">
        <f aca="false">1-(MAX(M202-1900, 0)/750)</f>
        <v>0.88</v>
      </c>
      <c r="BI202" s="1" t="n">
        <f aca="false">((MAX($P202,1)*MIN($AM202/300,1)))*IF(J202="Wagon",50,10)</f>
        <v>0</v>
      </c>
      <c r="BJ202" s="1" t="n">
        <f aca="false">VLOOKUP($K202,Constants!$I:$K, 2, FALSE())</f>
        <v>1</v>
      </c>
      <c r="BK202" s="1" t="n">
        <f aca="false">VLOOKUP($K202,Constants!$I:$K, 3, FALSE())*IF(AND(J202="multiple_unit",AE202&lt;110),0.75,1)</f>
        <v>2</v>
      </c>
      <c r="BL202" s="1" t="n">
        <f aca="false">INT(POWER(((Constants!$G$2+$BE202+$BF202+$BG202+$BI202)*$BH202)*$BK202, 1.05))+$BD202</f>
        <v>53</v>
      </c>
      <c r="BM202" s="1" t="n">
        <f aca="false">INT(POWER((((Constants!$G$1+$BE202+$BF202+$BG202+$BI202)*($BH202))*$BJ202),IF($J202="wagon",1,1.2)))+$BC202</f>
        <v>76</v>
      </c>
      <c r="BN202" s="17" t="n">
        <f aca="false">BL202*IF($J202="wagon",62.5,781.25)</f>
        <v>41406.25</v>
      </c>
      <c r="BO202" s="17" t="n">
        <f aca="false">BM202*IF($J202="wagon",2.73,81.25)</f>
        <v>6175</v>
      </c>
      <c r="BY202" s="1" t="n">
        <v>6</v>
      </c>
      <c r="CD202" s="1" t="str">
        <f aca="false">VLOOKUP(M202,Eras!$A$2:$C$10, 2, TRUE())</f>
        <v>lbr</v>
      </c>
      <c r="CE202" s="1" t="s">
        <v>316</v>
      </c>
      <c r="CF202" s="1" t="str">
        <f aca="false">CONCATENATE(CD202,"_",CE202)</f>
        <v>lbr_Cheap</v>
      </c>
      <c r="CG202" s="1" t="str">
        <f aca="false">_xlfn.CONCAT(K202, "_",L202)</f>
        <v>diesel_RAIL</v>
      </c>
      <c r="CH202" s="7" t="str">
        <f aca="false">_xlfn.CONCAT("{BLACK}Length: {GOLD}", TEXT(ROUNDUP(IF(AT202&lt;&gt;"",SUM(VALUE(_xlfn.TEXTSPLIT(AT202, ","))), SUM(VALUE(_xlfn.TEXTSPLIT(AQ202, ",")))*IF(P202, P202, 1))/16, 1), "#,##0.0"), " tiles{}")</f>
        <v>{BLACK}Length: {GOLD}0.5 tiles{}</v>
      </c>
      <c r="CI202" s="1" t="n">
        <f aca="false">VLOOKUP($CG202, Constants!$M:$N, 2, FALSE())</f>
        <v>0</v>
      </c>
      <c r="CJ202" s="1" t="str">
        <f aca="false">IF(P202&gt;1,_xlfn.CONCAT("{BLACK}Cars: {GOLD}", P202),"")</f>
        <v/>
      </c>
      <c r="CK202" s="1" t="s">
        <v>706</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3" customFormat="false" ht="14.25" hidden="false" customHeight="false" outlineLevel="0" collapsed="false">
      <c r="A203" s="1" t="s">
        <v>707</v>
      </c>
      <c r="B203" s="15" t="s">
        <v>708</v>
      </c>
      <c r="C203" s="1" t="n">
        <v>213</v>
      </c>
      <c r="E203" s="1" t="n">
        <v>159</v>
      </c>
      <c r="G203" s="1" t="str">
        <f aca="false">IF($F203&lt;&gt;"",_xlfn.CONCAT(VLOOKUP($CE203, Constants!$T:$U, 2, FALSE()),",",$F203),VLOOKUP($CE203, Constants!$T:$U, 2, FALSE()))</f>
        <v>role/freight</v>
      </c>
      <c r="H203" s="1" t="str">
        <f aca="false">IF($G203&lt;&gt;"",_xlfn.CONCAT(VLOOKUP($CG203, Constants!$M:$P, 4, FALSE()),",",$G203),VLOOKUP($CG203, Constants!$M:$P, 4, FALSE()))</f>
        <v>flag/GB,power/electric,role/freight</v>
      </c>
      <c r="I203" s="1" t="s">
        <v>198</v>
      </c>
      <c r="J203" s="1" t="s">
        <v>206</v>
      </c>
      <c r="K203" s="1" t="s">
        <v>666</v>
      </c>
      <c r="L203" s="1" t="s">
        <v>709</v>
      </c>
      <c r="M203" s="1" t="n">
        <v>1993</v>
      </c>
      <c r="N203" s="1" t="n">
        <v>1996</v>
      </c>
      <c r="Q203" s="1" t="n">
        <v>6760</v>
      </c>
      <c r="R203" s="2" t="n">
        <v>5360</v>
      </c>
      <c r="Z203" s="1" t="n">
        <v>126</v>
      </c>
      <c r="AC203" s="1" t="n">
        <v>360</v>
      </c>
      <c r="AD203" s="4" t="n">
        <f aca="false">IF(AND(Z203&gt;0,AC203&gt;0),(AC203/((Z203+AA203)*10)),"")</f>
        <v>0.285714285714286</v>
      </c>
      <c r="AE203" s="1" t="n">
        <v>87</v>
      </c>
      <c r="AF203" s="1" t="n">
        <f aca="false">ROUND(AE203*1.6, 0)</f>
        <v>139</v>
      </c>
      <c r="AI203" s="1" t="n">
        <v>21.36</v>
      </c>
      <c r="AJ203" s="1" t="n">
        <v>21.36</v>
      </c>
      <c r="AM203" s="5" t="n">
        <v>0</v>
      </c>
      <c r="AN203" s="1" t="str">
        <f aca="false">CONCATENATE(VLOOKUP(AO203, 'Voxel Sizes'!$A$2:$B$18,2,FALSE()),"x",INT(AK203*15), "x", INT(AL203*15))</f>
        <v>214x0x0</v>
      </c>
      <c r="AO203" s="1" t="n">
        <f aca="false">ROUND(15*((AJ203*10)/256),0)</f>
        <v>13</v>
      </c>
      <c r="AQ203" s="1" t="str">
        <f aca="false">CONCATENATE(VLOOKUP(AO203,Constants!$A$2:$C$16,IF(AP203&lt;&gt;"", 3, 2), FALSE()),IF(AP203&lt;&gt;"",CONCATENATE(",",VLOOKUP(AP203,$B:$AQ,42,FALSE())),""))</f>
        <v>4,5,4</v>
      </c>
      <c r="AV203" s="1" t="s">
        <v>708</v>
      </c>
      <c r="BA203" s="1" t="n">
        <v>24</v>
      </c>
      <c r="BB203" s="16" t="str">
        <f aca="false">IF(O203&lt;&gt;"",MAX(16,(O203-M203)+8),"")</f>
        <v/>
      </c>
      <c r="BE203" s="1" t="n">
        <f aca="false">MIN(AE203/150, 1)*30</f>
        <v>17.4</v>
      </c>
      <c r="BF203" s="1" t="n">
        <f aca="false">MIN(Q203/4000, 1)*20</f>
        <v>20</v>
      </c>
      <c r="BG203" s="1" t="n">
        <f aca="false">MIN(AC203/400,1)*20</f>
        <v>18</v>
      </c>
      <c r="BH203" s="4" t="n">
        <f aca="false">1-(MAX(M203-1900, 0)/750)</f>
        <v>0.876</v>
      </c>
      <c r="BI203" s="1" t="n">
        <f aca="false">((MAX($P203,1)*MIN($AM203/300,1)))*IF(J203="Wagon",50,10)</f>
        <v>0</v>
      </c>
      <c r="BJ203" s="1" t="n">
        <f aca="false">VLOOKUP($K203,Constants!$I:$K, 2, FALSE())</f>
        <v>0.85</v>
      </c>
      <c r="BK203" s="1" t="n">
        <f aca="false">VLOOKUP($K203,Constants!$I:$K, 3, FALSE())*IF(AND(J203="multiple_unit",AE203&lt;110),0.75,1)</f>
        <v>2.4</v>
      </c>
      <c r="BL203" s="1" t="n">
        <f aca="false">INT(POWER(((Constants!$G$2+$BE203+$BF203+$BG203+$BI203)*$BH203)*$BK203, 1.05))+$BD203</f>
        <v>161</v>
      </c>
      <c r="BM203" s="1" t="n">
        <f aca="false">INT(POWER((((Constants!$G$1+$BE203+$BF203+$BG203+$BI203)*($BH203))*$BJ203),IF($J203="wagon",1,1.2)))+$BC203</f>
        <v>115</v>
      </c>
      <c r="BN203" s="17" t="n">
        <f aca="false">BL203*IF($J203="wagon",62.5,781.25)</f>
        <v>125781.25</v>
      </c>
      <c r="BO203" s="17" t="n">
        <f aca="false">BM203*IF($J203="wagon",2.73,81.25)</f>
        <v>9343.75</v>
      </c>
      <c r="BY203" s="1" t="n">
        <v>10</v>
      </c>
      <c r="CD203" s="1" t="str">
        <f aca="false">VLOOKUP(M203,Eras!$A$2:$C$10, 2, TRUE())</f>
        <v>lbr</v>
      </c>
      <c r="CE203" s="1" t="s">
        <v>132</v>
      </c>
      <c r="CF203" s="1" t="str">
        <f aca="false">CONCATENATE(CD203,"_",CE203)</f>
        <v>lbr_Freight</v>
      </c>
      <c r="CG203" s="1" t="str">
        <f aca="false">_xlfn.CONCAT(K203, "_",L203)</f>
        <v>dual_electric_DUAL_POWER</v>
      </c>
      <c r="CH203" s="7" t="str">
        <f aca="false">_xlfn.CONCAT("{BLACK}Length: {GOLD}", TEXT(ROUNDUP(IF(AT203&lt;&gt;"",SUM(VALUE(_xlfn.TEXTSPLIT(AT203, ","))), SUM(VALUE(_xlfn.TEXTSPLIT(AQ203, ",")))*IF(P203, P203, 1))/16, 1), "#,##0.0"), " tiles{}")</f>
        <v>{BLACK}Length: {GOLD}0.9 tiles{}</v>
      </c>
      <c r="CI203" s="1" t="n">
        <f aca="false">VLOOKUP($CG203, Constants!$M:$N, 2, FALSE())</f>
        <v>0</v>
      </c>
      <c r="CJ203" s="1" t="str">
        <f aca="false">IF(P203&gt;1,_xlfn.CONCAT("{BLACK}Cars: {GOLD}", P203),"")</f>
        <v/>
      </c>
      <c r="CK203" s="1" t="s">
        <v>710</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{GOLD}0.9 tiles{}{SILVER}The Class 92 was designed to operate services through the Channel Tunnel. It can run on both the Southern Region third rail system and overhead wires.</v>
      </c>
    </row>
    <row r="204" customFormat="false" ht="14.25" hidden="false" customHeight="false" outlineLevel="0" collapsed="false">
      <c r="A204" s="1" t="s">
        <v>711</v>
      </c>
      <c r="B204" s="15" t="s">
        <v>712</v>
      </c>
      <c r="C204" s="1" t="n">
        <v>214</v>
      </c>
      <c r="E204" s="1" t="n">
        <v>160</v>
      </c>
      <c r="G204" s="1" t="str">
        <f aca="false">IF($F204&lt;&gt;"",_xlfn.CONCAT(VLOOKUP($CE204, Constants!$T:$U, 2, FALSE()),",",$F204),VLOOKUP($CE204, Constants!$T:$U, 2, FALSE()))</f>
        <v>role/freight</v>
      </c>
      <c r="H204" s="1" t="str">
        <f aca="false">IF($G204&lt;&gt;"",_xlfn.CONCAT(VLOOKUP($CG204, Constants!$M:$P, 4, FALSE()),",",$G204),VLOOKUP($CG204, Constants!$M:$P, 4, FALSE()))</f>
        <v>flag/GB,power/diesel,role/freight</v>
      </c>
      <c r="I204" s="1" t="s">
        <v>198</v>
      </c>
      <c r="J204" s="1" t="s">
        <v>206</v>
      </c>
      <c r="K204" s="1" t="s">
        <v>482</v>
      </c>
      <c r="L204" s="1" t="s">
        <v>149</v>
      </c>
      <c r="M204" s="1" t="n">
        <v>1998</v>
      </c>
      <c r="N204" s="1" t="n">
        <v>2015</v>
      </c>
      <c r="Q204" s="1" t="n">
        <v>3300</v>
      </c>
      <c r="Z204" s="1" t="n">
        <v>129.6</v>
      </c>
      <c r="AC204" s="1" t="n">
        <v>260</v>
      </c>
      <c r="AD204" s="4" t="n">
        <f aca="false">IF(AND(Z204&gt;0,AC204&gt;0),(AC204/((Z204+AA204)*10)),"")</f>
        <v>0.200617283950617</v>
      </c>
      <c r="AE204" s="1" t="n">
        <v>75</v>
      </c>
      <c r="AF204" s="1" t="n">
        <f aca="false">ROUND(AE204*1.6, 0)</f>
        <v>120</v>
      </c>
      <c r="AI204" s="1" t="n">
        <v>21.4</v>
      </c>
      <c r="AJ204" s="1" t="n">
        <v>21.4</v>
      </c>
      <c r="AL204" s="1" t="n">
        <v>3.9</v>
      </c>
      <c r="AM204" s="5" t="n">
        <v>0</v>
      </c>
      <c r="AN204" s="1" t="str">
        <f aca="false">CONCATENATE(VLOOKUP(AO204, 'Voxel Sizes'!$A$2:$B$18,2,FALSE()),"x",INT(AK204*15), "x", INT(AL204*15))</f>
        <v>214x0x58</v>
      </c>
      <c r="AO204" s="1" t="n">
        <f aca="false">ROUND(15*((AJ204*10)/256),0)</f>
        <v>13</v>
      </c>
      <c r="AQ204" s="1" t="str">
        <f aca="false">CONCATENATE(VLOOKUP(AO204,Constants!$A$2:$C$16,IF(AP204&lt;&gt;"", 3, 2), FALSE()),IF(AP204&lt;&gt;"",CONCATENATE(",",VLOOKUP(AP204,$B:$AQ,42,FALSE())),""))</f>
        <v>4,5,4</v>
      </c>
      <c r="BA204" s="1" t="n">
        <v>30</v>
      </c>
      <c r="BB204" s="16" t="str">
        <f aca="false">IF(O204&lt;&gt;"",MAX(16,(O204-M204)+8),"")</f>
        <v/>
      </c>
      <c r="BE204" s="1" t="n">
        <f aca="false">MIN(AE204/150, 1)*30</f>
        <v>15</v>
      </c>
      <c r="BF204" s="1" t="n">
        <f aca="false">MIN(Q204/4000, 1)*20</f>
        <v>16.5</v>
      </c>
      <c r="BG204" s="1" t="n">
        <f aca="false">MIN(AC204/400,1)*20</f>
        <v>13</v>
      </c>
      <c r="BH204" s="4" t="n">
        <f aca="false">1-(MAX(M204-1900, 0)/750)</f>
        <v>0.869333333333333</v>
      </c>
      <c r="BI204" s="1" t="n">
        <f aca="false">((MAX($P204,1)*MIN($AM204/300,1)))*IF(J204="Wagon",50,10)</f>
        <v>0</v>
      </c>
      <c r="BJ204" s="1" t="n">
        <f aca="false">VLOOKUP($K204,Constants!$I:$K, 2, FALSE())</f>
        <v>1</v>
      </c>
      <c r="BK204" s="1" t="n">
        <f aca="false">VLOOKUP($K204,Constants!$I:$K, 3, FALSE())*IF(AND(J204="multiple_unit",AE204&lt;110),0.75,1)</f>
        <v>2</v>
      </c>
      <c r="BL204" s="1" t="n">
        <f aca="false">INT(POWER(((Constants!$G$2+$BE204+$BF204+$BG204+$BI204)*$BH204)*$BK204, 1.05))+$BD204</f>
        <v>107</v>
      </c>
      <c r="BM204" s="1" t="n">
        <f aca="false">INT(POWER((((Constants!$G$1+$BE204+$BF204+$BG204+$BI204)*($BH204))*$BJ204),IF($J204="wagon",1,1.2)))+$BC204</f>
        <v>113</v>
      </c>
      <c r="BN204" s="17" t="n">
        <f aca="false">BL204*IF($J204="wagon",62.5,781.25)</f>
        <v>83593.75</v>
      </c>
      <c r="BO204" s="17" t="n">
        <f aca="false">BM204*IF($J204="wagon",2.73,81.25)</f>
        <v>9181.25</v>
      </c>
      <c r="BY204" s="1" t="n">
        <v>11</v>
      </c>
      <c r="CD204" s="1" t="str">
        <f aca="false">VLOOKUP(M204,Eras!$A$2:$C$10, 2, TRUE())</f>
        <v>prv</v>
      </c>
      <c r="CE204" s="1" t="s">
        <v>132</v>
      </c>
      <c r="CF204" s="1" t="str">
        <f aca="false">CONCATENATE(CD204,"_",CE204)</f>
        <v>prv_Freight</v>
      </c>
      <c r="CG204" s="1" t="str">
        <f aca="false">_xlfn.CONCAT(K204, "_",L204)</f>
        <v>diesel_RAIL</v>
      </c>
      <c r="CH204" s="7" t="str">
        <f aca="false">_xlfn.CONCAT("{BLACK}Length: {GOLD}", TEXT(ROUNDUP(IF(AT204&lt;&gt;"",SUM(VALUE(_xlfn.TEXTSPLIT(AT204, ","))), SUM(VALUE(_xlfn.TEXTSPLIT(AQ204, ",")))*IF(P204, P204, 1))/16, 1), "#,##0.0"), " tiles{}")</f>
        <v>{BLACK}Length: {GOLD}0.9 tiles{}</v>
      </c>
      <c r="CI204" s="1" t="n">
        <f aca="false">VLOOKUP($CG204, Constants!$M:$N, 2, FALSE())</f>
        <v>0</v>
      </c>
      <c r="CJ204" s="1" t="str">
        <f aca="false">IF(P204&gt;1,_xlfn.CONCAT("{BLACK}Cars: {GOLD}", P204),"")</f>
        <v/>
      </c>
      <c r="CK204" s="1" t="s">
        <v>713</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{GOLD}0.9 tiles{}{SILVER}After the successful introduction of the Class 59, EWS approached GM's Electro-Motive diesel with a huge order of 250 locomotives which would become Class 66.</v>
      </c>
    </row>
    <row r="205" customFormat="false" ht="14.25" hidden="false" customHeight="false" outlineLevel="0" collapsed="false">
      <c r="A205" s="1" t="s">
        <v>714</v>
      </c>
      <c r="B205" s="15" t="s">
        <v>715</v>
      </c>
      <c r="C205" s="1" t="n">
        <v>215</v>
      </c>
      <c r="E205" s="1" t="n">
        <v>161</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198</v>
      </c>
      <c r="J205" s="1" t="s">
        <v>206</v>
      </c>
      <c r="K205" s="1" t="s">
        <v>482</v>
      </c>
      <c r="L205" s="1" t="s">
        <v>149</v>
      </c>
      <c r="M205" s="1" t="n">
        <v>1998</v>
      </c>
      <c r="N205" s="1" t="n">
        <v>2004</v>
      </c>
      <c r="Q205" s="1" t="n">
        <v>3000</v>
      </c>
      <c r="Z205" s="1" t="n">
        <v>120.6</v>
      </c>
      <c r="AC205" s="1" t="n">
        <v>250</v>
      </c>
      <c r="AD205" s="4" t="n">
        <f aca="false">IF(AND(Z205&gt;0,AC205&gt;0),(AC205/((Z205+AA205)*10)),"")</f>
        <v>0.207296849087894</v>
      </c>
      <c r="AE205" s="1" t="n">
        <v>95</v>
      </c>
      <c r="AF205" s="1" t="n">
        <f aca="false">ROUND(AE205*1.6, 0)</f>
        <v>152</v>
      </c>
      <c r="AI205" s="1" t="n">
        <v>19.38</v>
      </c>
      <c r="AJ205" s="1" t="n">
        <v>19.38</v>
      </c>
      <c r="AL205" s="1" t="n">
        <v>3.9</v>
      </c>
      <c r="AM205" s="5" t="n">
        <v>0</v>
      </c>
      <c r="AN205" s="1" t="str">
        <f aca="false">CONCATENATE(VLOOKUP(AO205, 'Voxel Sizes'!$A$2:$B$18,2,FALSE()),"x",INT(AK205*15), "x", INT(AL205*15))</f>
        <v>186x0x58</v>
      </c>
      <c r="AO205" s="1" t="n">
        <f aca="false">ROUND(15*((AJ205*10)/256),0)</f>
        <v>11</v>
      </c>
      <c r="AQ205" s="1" t="str">
        <f aca="false">CONCATENATE(VLOOKUP(AO205,Constants!$A$2:$C$16,IF(AP205&lt;&gt;"", 3, 2), FALSE()),IF(AP205&lt;&gt;"",CONCATENATE(",",VLOOKUP(AP205,$B:$AQ,42,FALSE())),""))</f>
        <v>4,3,4</v>
      </c>
      <c r="BA205" s="1" t="n">
        <v>30</v>
      </c>
      <c r="BB205" s="16" t="str">
        <f aca="false">IF(O205&lt;&gt;"",MAX(16,(O205-M205)+8),"")</f>
        <v/>
      </c>
      <c r="BE205" s="1" t="n">
        <f aca="false">MIN(AE205/150, 1)*30</f>
        <v>19</v>
      </c>
      <c r="BF205" s="1" t="n">
        <f aca="false">MIN(Q205/4000, 1)*20</f>
        <v>15</v>
      </c>
      <c r="BG205" s="1" t="n">
        <f aca="false">MIN(AC205/400,1)*20</f>
        <v>12.5</v>
      </c>
      <c r="BH205" s="4" t="n">
        <f aca="false">1-(MAX(M205-1900, 0)/750)</f>
        <v>0.869333333333333</v>
      </c>
      <c r="BI205" s="1" t="n">
        <f aca="false">((MAX($P205,1)*MIN($AM205/300,1)))*IF(J205="Wagon",50,10)</f>
        <v>0</v>
      </c>
      <c r="BJ205" s="1" t="n">
        <f aca="false">VLOOKUP($K205,Constants!$I:$K, 2, FALSE())</f>
        <v>1</v>
      </c>
      <c r="BK205" s="1" t="n">
        <f aca="false">VLOOKUP($K205,Constants!$I:$K, 3, FALSE())*IF(AND(J205="multiple_unit",AE205&lt;110),0.75,1)</f>
        <v>2</v>
      </c>
      <c r="BL205" s="1" t="n">
        <f aca="false">INT(POWER(((Constants!$G$2+$BE205+$BF205+$BG205+$BI205)*$BH205)*$BK205, 1.05))+$BD205</f>
        <v>112</v>
      </c>
      <c r="BM205" s="1" t="n">
        <f aca="false">INT(POWER((((Constants!$G$1+$BE205+$BF205+$BG205+$BI205)*($BH205))*$BJ205),IF($J205="wagon",1,1.2)))+$BC205</f>
        <v>118</v>
      </c>
      <c r="BN205" s="17" t="n">
        <f aca="false">BL205*IF($J205="wagon",62.5,781.25)</f>
        <v>87500</v>
      </c>
      <c r="BO205" s="17" t="n">
        <f aca="false">BM205*IF($J205="wagon",2.73,81.25)</f>
        <v>9587.5</v>
      </c>
      <c r="BY205" s="1" t="n">
        <v>12</v>
      </c>
      <c r="CD205" s="1" t="str">
        <f aca="false">VLOOKUP(M205,Eras!$A$2:$C$10, 2, TRUE())</f>
        <v>prv</v>
      </c>
      <c r="CE205" s="1" t="s">
        <v>132</v>
      </c>
      <c r="CF205" s="1" t="str">
        <f aca="false">CONCATENATE(CD205,"_",CE205)</f>
        <v>prv_Freight</v>
      </c>
      <c r="CG205" s="1" t="str">
        <f aca="false">_xlfn.CONCAT(K205, "_",L205)</f>
        <v>diesel_RAIL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716</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57 is a re-engineered locomotive using Class 47 bodyshells and parts, giving rise to its "Bodysnatcher" nickname.</v>
      </c>
    </row>
    <row r="206" customFormat="false" ht="14.25" hidden="false" customHeight="false" outlineLevel="0" collapsed="false">
      <c r="A206" s="1" t="s">
        <v>717</v>
      </c>
      <c r="B206" s="15" t="s">
        <v>718</v>
      </c>
      <c r="C206" s="1" t="n">
        <v>216</v>
      </c>
      <c r="E206" s="1" t="n">
        <v>162</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198</v>
      </c>
      <c r="J206" s="1" t="s">
        <v>206</v>
      </c>
      <c r="K206" s="1" t="s">
        <v>482</v>
      </c>
      <c r="L206" s="1" t="s">
        <v>149</v>
      </c>
      <c r="M206" s="1" t="n">
        <v>1999</v>
      </c>
      <c r="N206" s="1" t="n">
        <v>2000</v>
      </c>
      <c r="Q206" s="1" t="n">
        <v>3200</v>
      </c>
      <c r="Z206" s="1" t="n">
        <v>88</v>
      </c>
      <c r="AC206" s="1" t="n">
        <v>144</v>
      </c>
      <c r="AD206" s="4" t="n">
        <f aca="false">IF(AND(Z206&gt;0,AC206&gt;0),(AC206/((Z206+AA206)*10)),"")</f>
        <v>0.163636363636364</v>
      </c>
      <c r="AE206" s="1" t="n">
        <v>125</v>
      </c>
      <c r="AF206" s="1" t="n">
        <f aca="false">ROUND(AE206*1.6, 0)</f>
        <v>200</v>
      </c>
      <c r="AI206" s="1" t="n">
        <v>19.71</v>
      </c>
      <c r="AJ206" s="1" t="n">
        <v>19.71</v>
      </c>
      <c r="AL206" s="1" t="n">
        <v>3.93</v>
      </c>
      <c r="AM206" s="5" t="n">
        <v>0</v>
      </c>
      <c r="AN206" s="1" t="str">
        <f aca="false">CONCATENATE(VLOOKUP(AO206, 'Voxel Sizes'!$A$2:$B$18,2,FALSE()),"x",INT(AK206*15), "x", INT(AL206*15))</f>
        <v>198x0x58</v>
      </c>
      <c r="AO206" s="1" t="n">
        <f aca="false">ROUND(15*((AJ206*10)/256),0)</f>
        <v>12</v>
      </c>
      <c r="AQ206" s="1" t="str">
        <f aca="false">CONCATENATE(VLOOKUP(AO206,Constants!$A$2:$C$16,IF(AP206&lt;&gt;"", 3, 2), FALSE()),IF(AP206&lt;&gt;"",CONCATENATE(",",VLOOKUP(AP206,$B:$AQ,42,FALSE())),""))</f>
        <v>4,4,4</v>
      </c>
      <c r="BA206" s="1" t="n">
        <v>30</v>
      </c>
      <c r="BB206" s="16" t="str">
        <f aca="false">IF(O206&lt;&gt;"",MAX(16,(O206-M206)+8),"")</f>
        <v/>
      </c>
      <c r="BE206" s="1" t="n">
        <f aca="false">MIN(AE206/150, 1)*30</f>
        <v>25</v>
      </c>
      <c r="BF206" s="1" t="n">
        <f aca="false">MIN(Q206/4000, 1)*20</f>
        <v>16</v>
      </c>
      <c r="BG206" s="1" t="n">
        <f aca="false">MIN(AC206/400,1)*20</f>
        <v>7.2</v>
      </c>
      <c r="BH206" s="4" t="n">
        <f aca="false">1-(MAX(M206-1900, 0)/750)</f>
        <v>0.868</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115</v>
      </c>
      <c r="BM206" s="1" t="n">
        <f aca="false">INT(POWER((((Constants!$G$1+$BE206+$BF206+$BG206+$BI206)*($BH206))*$BJ206),IF($J206="wagon",1,1.2)))+$BC206</f>
        <v>122</v>
      </c>
      <c r="BN206" s="17" t="n">
        <f aca="false">BL206*IF($J206="wagon",62.5,781.25)</f>
        <v>89843.75</v>
      </c>
      <c r="BO206" s="17" t="n">
        <f aca="false">BM206*IF($J206="wagon",2.73,81.25)</f>
        <v>9912.5</v>
      </c>
      <c r="BY206" s="1" t="n">
        <v>1</v>
      </c>
      <c r="CD206" s="1" t="str">
        <f aca="false">VLOOKUP(M206,Eras!$A$2:$C$10, 2, TRUE())</f>
        <v>prv</v>
      </c>
      <c r="CE206" s="1" t="s">
        <v>132</v>
      </c>
      <c r="CF206" s="1" t="str">
        <f aca="false">CONCATENATE(CD206,"_",CE206)</f>
        <v>prv_Freight</v>
      </c>
      <c r="CG206" s="1" t="str">
        <f aca="false">_xlfn.CONCAT(K206, "_",L206)</f>
        <v>diesel_RAIL</v>
      </c>
      <c r="CH206" s="7" t="str">
        <f aca="false">_xlfn.CONCAT("{BLACK}Length: {GOLD}", TEXT(ROUNDUP(IF(AT206&lt;&gt;"",SUM(VALUE(_xlfn.TEXTSPLIT(AT206, ","))), SUM(VALUE(_xlfn.TEXTSPLIT(AQ206, ",")))*IF(P206, P206, 1))/16, 1), "#,##0.0"), " tiles{}")</f>
        <v>{BLACK}Length: {GOLD}0.8 tiles{}</v>
      </c>
      <c r="CI206" s="1" t="n">
        <f aca="false">VLOOKUP($CG206, Constants!$M:$N, 2, FALSE())</f>
        <v>0</v>
      </c>
      <c r="CJ206" s="1" t="str">
        <f aca="false">IF(P206&gt;1,_xlfn.CONCAT("{BLACK}Cars: {GOLD}", P206),"")</f>
        <v/>
      </c>
      <c r="CK206" s="1" t="s">
        <v>719</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{GOLD}0.8 tiles{}{SILVER}The Class 67 is a high speed freight locomotive designed for mail service. It uses EMD engines, generators and traction motors.</v>
      </c>
    </row>
    <row r="207" customFormat="false" ht="14.25" hidden="false" customHeight="false" outlineLevel="0" collapsed="false">
      <c r="A207" s="1" t="s">
        <v>720</v>
      </c>
      <c r="B207" s="15" t="s">
        <v>721</v>
      </c>
      <c r="C207" s="1" t="n">
        <v>217</v>
      </c>
      <c r="E207" s="1" t="n">
        <v>163</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198</v>
      </c>
      <c r="J207" s="1" t="s">
        <v>206</v>
      </c>
      <c r="K207" s="1" t="s">
        <v>482</v>
      </c>
      <c r="L207" s="1" t="s">
        <v>149</v>
      </c>
      <c r="M207" s="1" t="n">
        <v>2008</v>
      </c>
      <c r="N207" s="1" t="n">
        <v>2017</v>
      </c>
      <c r="Q207" s="1" t="n">
        <v>3690</v>
      </c>
      <c r="Z207" s="1" t="n">
        <v>129</v>
      </c>
      <c r="AC207" s="1" t="n">
        <v>330</v>
      </c>
      <c r="AD207" s="4" t="n">
        <f aca="false">IF(AND(Z207&gt;0,AC207&gt;0),(AC207/((Z207+AA207)*10)),"")</f>
        <v>0.255813953488372</v>
      </c>
      <c r="AE207" s="1" t="n">
        <v>75</v>
      </c>
      <c r="AF207" s="1" t="n">
        <f aca="false">ROUND(AE207*1.6, 0)</f>
        <v>120</v>
      </c>
      <c r="AI207" s="1" t="n">
        <v>21.27</v>
      </c>
      <c r="AJ207" s="1" t="n">
        <v>21.27</v>
      </c>
      <c r="AL207" s="1" t="n">
        <v>3.91</v>
      </c>
      <c r="AM207" s="5" t="n">
        <v>0</v>
      </c>
      <c r="AN207" s="1" t="str">
        <f aca="false">CONCATENATE(VLOOKUP(AO207, 'Voxel Sizes'!$A$2:$B$18,2,FALSE()),"x",INT(AK207*15), "x", INT(AL207*15))</f>
        <v>198x0x58</v>
      </c>
      <c r="AO207" s="1" t="n">
        <f aca="false">ROUND(15*((AJ207*10)/256),0)</f>
        <v>12</v>
      </c>
      <c r="AQ207" s="1" t="str">
        <f aca="false">CONCATENATE(VLOOKUP(AO207,Constants!$A$2:$C$16,IF(AP207&lt;&gt;"", 3, 2), FALSE()),IF(AP207&lt;&gt;"",CONCATENATE(",",VLOOKUP(AP207,$B:$AQ,42,FALSE())),""))</f>
        <v>4,4,4</v>
      </c>
      <c r="BA207" s="1" t="n">
        <v>30</v>
      </c>
      <c r="BB207" s="16" t="str">
        <f aca="false">IF(O207&lt;&gt;"",MAX(16,(O207-M207)+8),"")</f>
        <v/>
      </c>
      <c r="BE207" s="1" t="n">
        <f aca="false">MIN(AE207/150, 1)*30</f>
        <v>15</v>
      </c>
      <c r="BF207" s="1" t="n">
        <f aca="false">MIN(Q207/4000, 1)*20</f>
        <v>18.45</v>
      </c>
      <c r="BG207" s="1" t="n">
        <f aca="false">MIN(AC207/400,1)*20</f>
        <v>16.5</v>
      </c>
      <c r="BH207" s="4" t="n">
        <f aca="false">1-(MAX(M207-1900, 0)/750)</f>
        <v>0.856</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118</v>
      </c>
      <c r="BM207" s="1" t="n">
        <f aca="false">INT(POWER((((Constants!$G$1+$BE207+$BF207+$BG207+$BI207)*($BH207))*$BJ207),IF($J207="wagon",1,1.2)))+$BC207</f>
        <v>124</v>
      </c>
      <c r="BN207" s="17" t="n">
        <f aca="false">BL207*IF($J207="wagon",62.5,781.25)</f>
        <v>92187.5</v>
      </c>
      <c r="BO207" s="17" t="n">
        <f aca="false">BM207*IF($J207="wagon",2.73,81.25)</f>
        <v>10075</v>
      </c>
      <c r="BY207" s="1" t="n">
        <v>2</v>
      </c>
      <c r="CD207" s="1" t="str">
        <f aca="false">VLOOKUP(M207,Eras!$A$2:$C$10, 2, TRUE())</f>
        <v>mod</v>
      </c>
      <c r="CE207" s="1" t="s">
        <v>132</v>
      </c>
      <c r="CF207" s="1" t="str">
        <f aca="false">CONCATENATE(CD207,"_",CE207)</f>
        <v>mod_Freight</v>
      </c>
      <c r="CG207" s="1" t="str">
        <f aca="false">_xlfn.CONCAT(K207, "_",L207)</f>
        <v>diesel_RAIL</v>
      </c>
      <c r="CH207" s="7" t="str">
        <f aca="false">_xlfn.CONCAT("{BLACK}Length: {GOLD}", TEXT(ROUNDUP(IF(AT207&lt;&gt;"",SUM(VALUE(_xlfn.TEXTSPLIT(AT207, ","))), SUM(VALUE(_xlfn.TEXTSPLIT(AQ207, ",")))*IF(P207, P207, 1))/16, 1), "#,##0.0"), " tiles{}")</f>
        <v>{BLACK}Length: {GOLD}0.8 tiles{}</v>
      </c>
      <c r="CI207" s="1" t="n">
        <f aca="false">VLOOKUP($CG207, Constants!$M:$N, 2, FALSE())</f>
        <v>0</v>
      </c>
      <c r="CJ207" s="1" t="str">
        <f aca="false">IF(P207&gt;1,_xlfn.CONCAT("{BLACK}Cars: {GOLD}", P207),"")</f>
        <v/>
      </c>
      <c r="CK207" s="1" t="s">
        <v>722</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{GOLD}0.8 tiles{}{SILVER}The General Electric Class 70 is designed with crash safety in mind, hence the bonnet-like structure at each end.</v>
      </c>
    </row>
    <row r="208" customFormat="false" ht="14.25" hidden="false" customHeight="false" outlineLevel="0" collapsed="false">
      <c r="A208" s="1" t="s">
        <v>723</v>
      </c>
      <c r="B208" s="15" t="s">
        <v>724</v>
      </c>
      <c r="C208" s="1" t="n">
        <v>218</v>
      </c>
      <c r="E208" s="1" t="n">
        <v>164</v>
      </c>
      <c r="G208" s="1" t="str">
        <f aca="false">IF($F208&lt;&gt;"",_xlfn.CONCAT(VLOOKUP($CE208, Constants!$T:$U, 2, FALSE()),",",$F208),VLOOKUP($CE208, Constants!$T:$U, 2, FALSE()))</f>
        <v>role/mixed</v>
      </c>
      <c r="H208" s="1" t="str">
        <f aca="false">IF($G208&lt;&gt;"",_xlfn.CONCAT(VLOOKUP($CG208, Constants!$M:$P, 4, FALSE()),",",$G208),VLOOKUP($CG208, Constants!$M:$P, 4, FALSE()))</f>
        <v>flag/GB,power/diesel,role/mixed</v>
      </c>
      <c r="I208" s="1" t="s">
        <v>198</v>
      </c>
      <c r="J208" s="1" t="s">
        <v>206</v>
      </c>
      <c r="K208" s="1" t="s">
        <v>482</v>
      </c>
      <c r="L208" s="1" t="s">
        <v>149</v>
      </c>
      <c r="M208" s="1" t="n">
        <v>2013</v>
      </c>
      <c r="N208" s="1" t="n">
        <v>2016</v>
      </c>
      <c r="Q208" s="1" t="n">
        <v>3800</v>
      </c>
      <c r="Z208" s="1" t="n">
        <v>85</v>
      </c>
      <c r="AC208" s="1" t="n">
        <v>317</v>
      </c>
      <c r="AD208" s="4" t="n">
        <f aca="false">IF(AND(Z208&gt;0,AC208&gt;0),(AC208/((Z208+AA208)*10)),"")</f>
        <v>0.372941176470588</v>
      </c>
      <c r="AE208" s="1" t="n">
        <v>100</v>
      </c>
      <c r="AF208" s="1" t="n">
        <f aca="false">ROUND(AE208*1.6, 0)</f>
        <v>160</v>
      </c>
      <c r="AI208" s="1" t="n">
        <v>20.5</v>
      </c>
      <c r="AJ208" s="1" t="n">
        <v>20.5</v>
      </c>
      <c r="AM208" s="5" t="n">
        <v>0</v>
      </c>
      <c r="AN208" s="1" t="str">
        <f aca="false">CONCATENATE(VLOOKUP(AO208, 'Voxel Sizes'!$A$2:$B$18,2,FALSE()),"x",INT(AK208*15), "x", INT(AL208*15))</f>
        <v>198x0x0</v>
      </c>
      <c r="AO208" s="1" t="n">
        <f aca="false">ROUND(15*((AJ208*10)/256),0)</f>
        <v>12</v>
      </c>
      <c r="AQ208" s="1" t="str">
        <f aca="false">CONCATENATE(VLOOKUP(AO208,Constants!$A$2:$C$16,IF(AP208&lt;&gt;"", 3, 2), FALSE()),IF(AP208&lt;&gt;"",CONCATENATE(",",VLOOKUP(AP208,$B:$AQ,42,FALSE())),""))</f>
        <v>4,4,4</v>
      </c>
      <c r="BA208" s="1" t="n">
        <v>30</v>
      </c>
      <c r="BB208" s="16" t="str">
        <f aca="false">IF(O208&lt;&gt;"",MAX(16,(O208-M208)+8),"")</f>
        <v/>
      </c>
      <c r="BE208" s="1" t="n">
        <f aca="false">MIN(AE208/150, 1)*30</f>
        <v>20</v>
      </c>
      <c r="BF208" s="1" t="n">
        <f aca="false">MIN(Q208/4000, 1)*20</f>
        <v>19</v>
      </c>
      <c r="BG208" s="1" t="n">
        <f aca="false">MIN(AC208/400,1)*20</f>
        <v>15.85</v>
      </c>
      <c r="BH208" s="4" t="n">
        <f aca="false">1-(MAX(M208-1900, 0)/750)</f>
        <v>0.849333333333333</v>
      </c>
      <c r="BI208" s="1" t="n">
        <f aca="false">((MAX($P208,1)*MIN($AM208/300,1)))*IF(J208="Wagon",50,10)</f>
        <v>0</v>
      </c>
      <c r="BJ208" s="1" t="n">
        <f aca="false">VLOOKUP($K208,Constants!$I:$K, 2, FALSE())</f>
        <v>1</v>
      </c>
      <c r="BK208" s="1" t="n">
        <f aca="false">VLOOKUP($K208,Constants!$I:$K, 3, FALSE())*IF(AND(J208="multiple_unit",AE208&lt;110),0.75,1)</f>
        <v>2</v>
      </c>
      <c r="BL208" s="1" t="n">
        <f aca="false">INT(POWER(((Constants!$G$2+$BE208+$BF208+$BG208+$BI208)*$BH208)*$BK208, 1.05))+$BD208</f>
        <v>128</v>
      </c>
      <c r="BM208" s="1" t="n">
        <f aca="false">INT(POWER((((Constants!$G$1+$BE208+$BF208+$BG208+$BI208)*($BH208))*$BJ208),IF($J208="wagon",1,1.2)))+$BC208</f>
        <v>134</v>
      </c>
      <c r="BN208" s="17" t="n">
        <f aca="false">BL208*IF($J208="wagon",62.5,781.25)</f>
        <v>100000</v>
      </c>
      <c r="BO208" s="17" t="n">
        <f aca="false">BM208*IF($J208="wagon",2.73,81.25)</f>
        <v>10887.5</v>
      </c>
      <c r="BY208" s="1" t="n">
        <v>3</v>
      </c>
      <c r="CD208" s="1" t="str">
        <f aca="false">VLOOKUP(M208,Eras!$A$2:$C$10, 2, TRUE())</f>
        <v>mod</v>
      </c>
      <c r="CE208" s="1" t="s">
        <v>129</v>
      </c>
      <c r="CF208" s="1" t="str">
        <f aca="false">CONCATENATE(CD208,"_",CE208)</f>
        <v>mod_Mixed Traffic</v>
      </c>
      <c r="CG208" s="1" t="str">
        <f aca="false">_xlfn.CONCAT(K208, "_",L208)</f>
        <v>diesel_RAIL</v>
      </c>
      <c r="CH208" s="7" t="str">
        <f aca="false">_xlfn.CONCAT("{BLACK}Length: {GOLD}", TEXT(ROUNDUP(IF(AT208&lt;&gt;"",SUM(VALUE(_xlfn.TEXTSPLIT(AT208, ","))), SUM(VALUE(_xlfn.TEXTSPLIT(AQ208, ",")))*IF(P208, P208, 1))/16, 1), "#,##0.0"), " tiles{}")</f>
        <v>{BLACK}Length: {GOLD}0.8 tiles{}</v>
      </c>
      <c r="CI208" s="1" t="n">
        <f aca="false">VLOOKUP($CG208, Constants!$M:$N, 2, FALSE())</f>
        <v>0</v>
      </c>
      <c r="CJ208" s="1" t="str">
        <f aca="false">IF(P208&gt;1,_xlfn.CONCAT("{BLACK}Cars: {GOLD}", P208),"")</f>
        <v/>
      </c>
      <c r="CK208" s="1" t="s">
        <v>725</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{GOLD}0.8 tiles{}{SILVER}The Class 68 is a modern mixed traffic disel locomotive with a powerful 16-cylinder Caterpillar engine.</v>
      </c>
    </row>
    <row r="209" s="25" customFormat="true" ht="14.25" hidden="false" customHeight="false" outlineLevel="0" collapsed="false">
      <c r="A209" s="25" t="s">
        <v>726</v>
      </c>
      <c r="B209" s="26" t="s">
        <v>727</v>
      </c>
      <c r="C209" s="1" t="n">
        <v>3085</v>
      </c>
      <c r="E209" s="1" t="n">
        <v>165</v>
      </c>
      <c r="G209" s="1" t="str">
        <f aca="false">IF($F209&lt;&gt;"",_xlfn.CONCAT(VLOOKUP($CE209, Constants!$T:$U, 2, FALSE()),",",$F209),VLOOKUP($CE209, Constants!$T:$U, 2, FALSE()))</f>
        <v>role/mixed</v>
      </c>
      <c r="H209" s="1" t="str">
        <f aca="false">IF($G209&lt;&gt;"",_xlfn.CONCAT(VLOOKUP($CG209, Constants!$M:$P, 4, FALSE()),",",$G209),VLOOKUP($CG209, Constants!$M:$P, 4, FALSE()))</f>
        <v>flag/GB,power/electric,power/diesel,role/mixed</v>
      </c>
      <c r="I209" s="25" t="s">
        <v>198</v>
      </c>
      <c r="J209" s="25" t="s">
        <v>206</v>
      </c>
      <c r="K209" s="25" t="s">
        <v>637</v>
      </c>
      <c r="L209" s="25" t="s">
        <v>149</v>
      </c>
      <c r="M209" s="25" t="n">
        <v>2014</v>
      </c>
      <c r="Q209" s="25" t="n">
        <v>1600</v>
      </c>
      <c r="R209" s="2"/>
      <c r="S209" s="3"/>
      <c r="T209" s="3"/>
      <c r="U209" s="3"/>
      <c r="V209" s="3"/>
      <c r="W209" s="3"/>
      <c r="X209" s="3"/>
      <c r="Y209" s="3"/>
      <c r="Z209" s="25" t="n">
        <v>78</v>
      </c>
      <c r="AA209" s="2"/>
      <c r="AC209" s="25" t="n">
        <v>186</v>
      </c>
      <c r="AD209" s="4" t="n">
        <f aca="false">IF(AND(Z209&gt;0,AC209&gt;0),(AC209/((Z209+AA209)*10)),"")</f>
        <v>0.238461538461538</v>
      </c>
      <c r="AE209" s="25" t="n">
        <v>90</v>
      </c>
      <c r="AF209" s="25" t="n">
        <f aca="false">ROUND(AE209*1.6, 0)</f>
        <v>144</v>
      </c>
      <c r="AI209" s="25" t="n">
        <v>16.36</v>
      </c>
      <c r="AJ209" s="25" t="n">
        <v>16.36</v>
      </c>
      <c r="AM209" s="5" t="n">
        <v>0</v>
      </c>
      <c r="AN209" s="1" t="str">
        <f aca="false">CONCATENATE(VLOOKUP(AO209, '[1]Voxel Sizes'!$A$2:$B$18,2,FALSE()),"x",INT(AK209*15), "x", INT(AL209*15))</f>
        <v>164x0x0</v>
      </c>
      <c r="AO209" s="25" t="n">
        <f aca="false">ROUND(15*((AJ209*10)/256),0)</f>
        <v>10</v>
      </c>
      <c r="AQ209" s="1" t="str">
        <f aca="false">CONCATENATE(VLOOKUP(AO209,Constants!$A$2:$C$16,IF(AP209&lt;&gt;"", 3, 2), FALSE()),IF(AP209&lt;&gt;"",CONCATENATE(",",VLOOKUP(AP209,$B:$AQ,42,FALSE())),""))</f>
        <v>4,2,4</v>
      </c>
      <c r="AS209" s="1"/>
      <c r="AT209" s="1"/>
      <c r="AU209" s="1"/>
      <c r="AW209" s="1"/>
      <c r="BA209" s="25" t="n">
        <v>33</v>
      </c>
      <c r="BB209" s="16" t="str">
        <f aca="false">IF(O209&lt;&gt;"",MAX(16,(O209-M209)+8),"")</f>
        <v/>
      </c>
      <c r="BD209" s="25" t="n">
        <v>-30</v>
      </c>
      <c r="BE209" s="25" t="n">
        <f aca="false">MIN(AE209/150, 1)*30</f>
        <v>18</v>
      </c>
      <c r="BF209" s="25" t="n">
        <f aca="false">MIN(Q209/4000, 1)*20</f>
        <v>8</v>
      </c>
      <c r="BG209" s="25" t="n">
        <f aca="false">MIN(AC209/400,1)*20</f>
        <v>9.3</v>
      </c>
      <c r="BH209" s="4" t="n">
        <f aca="false">1-(MAX(M209-1900, 0)/750)</f>
        <v>0.848</v>
      </c>
      <c r="BI209" s="25" t="n">
        <f aca="false">((MAX($P209,1)*MIN($AM209/300,1)))*IF(J209="Wagon",50,10)</f>
        <v>0</v>
      </c>
      <c r="BJ209" s="1" t="n">
        <f aca="false">VLOOKUP($K209,Constants!$I:$K, 2, FALSE())</f>
        <v>0.9</v>
      </c>
      <c r="BK209" s="1" t="n">
        <f aca="false">VLOOKUP($K209,Constants!$I:$K, 3, FALSE())*IF(AND(J209="multiple_unit",AE209&lt;110),0.75,1)</f>
        <v>2.5</v>
      </c>
      <c r="BL209" s="25" t="n">
        <f aca="false">INT(POWER((([1]Constants!$G$2+$BE209+$BF209+$BG209+$BI209)*$BH209)*$BK209, 1.05))+$BD209</f>
        <v>76</v>
      </c>
      <c r="BM209" s="25" t="n">
        <f aca="false">INT(POWER(((([1]Constants!$G$1+$BE209+$BF209+$BG209+$BI209)*($BH209))*$BJ209),IF($J209="wagon",1,1.2)))+$BC209</f>
        <v>79</v>
      </c>
      <c r="BN209" s="17" t="n">
        <f aca="false">BL209*IF($J209="wagon",62.5,781.25)</f>
        <v>59375</v>
      </c>
      <c r="BO209" s="17" t="n">
        <f aca="false">BM209*IF($J209="wagon",2.73,81.25)</f>
        <v>6418.75</v>
      </c>
      <c r="BY209" s="25" t="n">
        <v>10</v>
      </c>
      <c r="CD209" s="25" t="str">
        <f aca="false">VLOOKUP(M209,[1]Eras!$A$2:$C$10, 2, TRUE())</f>
        <v>mod</v>
      </c>
      <c r="CE209" s="25" t="s">
        <v>499</v>
      </c>
      <c r="CF209" s="25" t="str">
        <f aca="false">CONCATENATE(CD209,"_",CE209)</f>
        <v>mod_MT (Electric)</v>
      </c>
      <c r="CG209" s="25" t="str">
        <f aca="false">_xlfn.CONCAT(K209, "_",L209)</f>
        <v>dual_power_RAIL</v>
      </c>
      <c r="CH209" s="7" t="str">
        <f aca="false">_xlfn.CONCAT("{BLACK}Length: {GOLD}", TEXT(ROUNDUP(IF(AT209&lt;&gt;"",SUM(VALUE(_xlfn.TEXTSPLIT(AT209, ","))), SUM(VALUE(_xlfn.TEXTSPLIT(AQ209, ",")))*IF(P209, P209, 1))/16, 1), "#,##0.0"), " tiles{}")</f>
        <v>{BLACK}Length: {GOLD}0.7 tiles{}</v>
      </c>
      <c r="CI209" s="1" t="n">
        <f aca="false">VLOOKUP($CG209, Constants!$M:$N, 2, FALSE())</f>
        <v>0</v>
      </c>
      <c r="CJ209" s="1" t="str">
        <f aca="false">IF(P209&gt;1,_xlfn.CONCAT("{BLACK}Cars: {GOLD}", P209),"")</f>
        <v/>
      </c>
      <c r="CK209" s="25" t="s">
        <v>728</v>
      </c>
      <c r="CM209" s="25" t="str">
        <f aca="false">IF(CA209="buffet","{YELLOW}25% long distance bonus for consist{}",IF(CD209="BRAKE","{YELLOW}Speed bonus for slow wagons{}",IF(BZ209&gt;190,CONCATENATE("{YELLOW}",INT((BZ209-185)/1.85),"% bonus for long distance travel{}"),IF(AND(BZ209&lt;180,BZ209&lt;&gt;0),CONCATENATE("{YELLOW}",INT((185-BZ209)/1.85),"% penalty for long distance travel{}"),""))))</f>
        <v/>
      </c>
      <c r="CN209" s="25" t="str">
        <f aca="false">_xlfn.CONCAT(CI209,IF(CI209 &lt;&gt; "", " ", ""),CJ209,IF(OR(CJ209&lt;&gt;"", CI209&lt;&gt;""), "{}",""), CH209, CM209,"{SILVER}", CK209)</f>
        <v>{BLACK}Length: {GOLD}0.7 tiles{}{SILVER}These re-engined and modernized Class 73s retained their ability to run from the third rail but received diesel engines capable of operating at an equivalent power level.</v>
      </c>
    </row>
    <row r="210" customFormat="false" ht="14.25" hidden="false" customHeight="false" outlineLevel="0" collapsed="false">
      <c r="A210" s="1" t="s">
        <v>729</v>
      </c>
      <c r="B210" s="15" t="s">
        <v>730</v>
      </c>
      <c r="C210" s="1" t="n">
        <v>219</v>
      </c>
      <c r="E210" s="1" t="n">
        <v>166</v>
      </c>
      <c r="G210" s="1" t="str">
        <f aca="false">IF($F210&lt;&gt;"",_xlfn.CONCAT(VLOOKUP($CE210, Constants!$T:$U, 2, FALSE()),",",$F210),VLOOKUP($CE210, Constants!$T:$U, 2, FALSE()))</f>
        <v>role/freight</v>
      </c>
      <c r="H210" s="1" t="str">
        <f aca="false">IF($G210&lt;&gt;"",_xlfn.CONCAT(VLOOKUP($CG210, Constants!$M:$P, 4, FALSE()),",",$G210),VLOOKUP($CG210, Constants!$M:$P, 4, FALSE()))</f>
        <v>flag/GB,role/freight</v>
      </c>
      <c r="I210" s="1" t="s">
        <v>198</v>
      </c>
      <c r="J210" s="1" t="s">
        <v>206</v>
      </c>
      <c r="K210" s="1" t="s">
        <v>637</v>
      </c>
      <c r="L210" s="1" t="s">
        <v>350</v>
      </c>
      <c r="M210" s="1" t="n">
        <v>2015</v>
      </c>
      <c r="N210" s="1" t="n">
        <v>2016</v>
      </c>
      <c r="Q210" s="1" t="n">
        <v>5400</v>
      </c>
      <c r="R210" s="2" t="n">
        <v>940</v>
      </c>
      <c r="Z210" s="1" t="n">
        <v>86</v>
      </c>
      <c r="AC210" s="1" t="n">
        <v>317</v>
      </c>
      <c r="AD210" s="4" t="n">
        <f aca="false">IF(AND(Z210&gt;0,AC210&gt;0),(AC210/((Z210+AA210)*10)),"")</f>
        <v>0.368604651162791</v>
      </c>
      <c r="AE210" s="1" t="n">
        <v>100</v>
      </c>
      <c r="AF210" s="1" t="n">
        <f aca="false">ROUND(AE210*1.6, 0)</f>
        <v>160</v>
      </c>
      <c r="AI210" s="1" t="n">
        <v>20.5</v>
      </c>
      <c r="AJ210" s="1" t="n">
        <v>20.5</v>
      </c>
      <c r="AM210" s="5" t="n">
        <v>0</v>
      </c>
      <c r="AN210" s="1" t="str">
        <f aca="false">CONCATENATE(VLOOKUP(AO210, 'Voxel Sizes'!$A$2:$B$18,2,FALSE()),"x",INT(AK210*15), "x", INT(AL210*15))</f>
        <v>198x0x0</v>
      </c>
      <c r="AO210" s="1" t="n">
        <f aca="false">ROUND(15*((AJ210*10)/256),0)</f>
        <v>12</v>
      </c>
      <c r="AQ210" s="1" t="str">
        <f aca="false">CONCATENATE(VLOOKUP(AO210,Constants!$A$2:$C$16,IF(AP210&lt;&gt;"", 3, 2), FALSE()),IF(AP210&lt;&gt;"",CONCATENATE(",",VLOOKUP(AP210,$B:$AQ,42,FALSE())),""))</f>
        <v>4,4,4</v>
      </c>
      <c r="AV210" s="1" t="s">
        <v>730</v>
      </c>
      <c r="BA210" s="1" t="n">
        <v>30</v>
      </c>
      <c r="BB210" s="16" t="str">
        <f aca="false">IF(O210&lt;&gt;"",MAX(16,(O210-M210)+8),"")</f>
        <v/>
      </c>
      <c r="BE210" s="1" t="n">
        <f aca="false">MIN(AE210/150, 1)*30</f>
        <v>20</v>
      </c>
      <c r="BF210" s="1" t="n">
        <f aca="false">MIN(Q210/4000, 1)*20</f>
        <v>20</v>
      </c>
      <c r="BG210" s="1" t="n">
        <f aca="false">MIN(AC210/400,1)*20</f>
        <v>15.85</v>
      </c>
      <c r="BH210" s="4" t="n">
        <f aca="false">1-(MAX(M210-1900, 0)/750)</f>
        <v>0.846666666666667</v>
      </c>
      <c r="BI210" s="1" t="n">
        <f aca="false">((MAX($P210,1)*MIN($AM210/300,1)))*IF(J210="Wagon",50,10)</f>
        <v>0</v>
      </c>
      <c r="BJ210" s="1" t="n">
        <f aca="false">VLOOKUP($K210,Constants!$I:$K, 2, FALSE())</f>
        <v>0.9</v>
      </c>
      <c r="BK210" s="1" t="n">
        <f aca="false">VLOOKUP($K210,Constants!$I:$K, 3, FALSE())*IF(AND(J210="multiple_unit",AE210&lt;110),0.75,1)</f>
        <v>2.5</v>
      </c>
      <c r="BL210" s="1" t="n">
        <f aca="false">INT(POWER(((Constants!$G$2+$BE210+$BF210+$BG210+$BI210)*$BH210)*$BK210, 1.05))+$BD210</f>
        <v>164</v>
      </c>
      <c r="BM210" s="1" t="n">
        <f aca="false">INT(POWER((((Constants!$G$1+$BE210+$BF210+$BG210+$BI210)*($BH210))*$BJ210),IF($J210="wagon",1,1.2)))+$BC210</f>
        <v>119</v>
      </c>
      <c r="BN210" s="17" t="n">
        <f aca="false">BL210*IF($J210="wagon",62.5,781.25)</f>
        <v>128125</v>
      </c>
      <c r="BO210" s="17" t="n">
        <f aca="false">BM210*IF($J210="wagon",2.73,81.25)</f>
        <v>9668.75</v>
      </c>
      <c r="BY210" s="1" t="n">
        <v>4</v>
      </c>
      <c r="CD210" s="1" t="str">
        <f aca="false">VLOOKUP(M210,Eras!$A$2:$C$10, 2, TRUE())</f>
        <v>mod</v>
      </c>
      <c r="CE210" s="1" t="s">
        <v>351</v>
      </c>
      <c r="CF210" s="1" t="str">
        <f aca="false">CONCATENATE(CD210,"_",CE210)</f>
        <v>mod_Freight (Electric)</v>
      </c>
      <c r="CG210" s="1" t="str">
        <f aca="false">_xlfn.CONCAT(K210, "_",L210)</f>
        <v>dual_power_ELRL</v>
      </c>
      <c r="CH210" s="7" t="str">
        <f aca="false">_xlfn.CONCAT("{BLACK}Length: {GOLD}", TEXT(ROUNDUP(IF(AT210&lt;&gt;"",SUM(VALUE(_xlfn.TEXTSPLIT(AT210, ","))), SUM(VALUE(_xlfn.TEXTSPLIT(AQ210, ",")))*IF(P210, P210, 1))/16, 1), "#,##0.0"), " tiles{}")</f>
        <v>{BLACK}Length: {GOLD}0.8 tiles{}</v>
      </c>
      <c r="CI210" s="1" t="n">
        <f aca="false">VLOOKUP($CG210, Constants!$M:$N, 2, FALSE())</f>
        <v>0</v>
      </c>
      <c r="CJ210" s="1" t="str">
        <f aca="false">IF(P210&gt;1,_xlfn.CONCAT("{BLACK}Cars: {GOLD}", P210),"")</f>
        <v/>
      </c>
      <c r="CK210" s="1" t="s">
        <v>731</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{GOLD}0.8 tiles{}{SILVER}The Class 88 is a dual mode version of Stadler's Euro Dual family, sharing many components with the class 68.</v>
      </c>
    </row>
    <row r="211" customFormat="false" ht="14.25" hidden="false" customHeight="false" outlineLevel="0" collapsed="false">
      <c r="A211" s="1" t="s">
        <v>732</v>
      </c>
      <c r="B211" s="15" t="s">
        <v>733</v>
      </c>
      <c r="C211" s="1" t="n">
        <v>220</v>
      </c>
      <c r="E211" s="1" t="n">
        <v>167</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198</v>
      </c>
      <c r="J211" s="1" t="s">
        <v>206</v>
      </c>
      <c r="K211" s="1" t="s">
        <v>482</v>
      </c>
      <c r="L211" s="1" t="s">
        <v>149</v>
      </c>
      <c r="M211" s="1" t="n">
        <v>2020</v>
      </c>
      <c r="N211" s="1" t="n">
        <v>2025</v>
      </c>
      <c r="Q211" s="1" t="n">
        <v>3200</v>
      </c>
      <c r="Z211" s="1" t="n">
        <v>85</v>
      </c>
      <c r="AC211" s="1" t="n">
        <v>279</v>
      </c>
      <c r="AD211" s="4" t="n">
        <f aca="false">IF(AND(Z211&gt;0,AC211&gt;0),(AC211/((Z211+AA211)*10)),"")</f>
        <v>0.328235294117647</v>
      </c>
      <c r="AE211" s="1" t="n">
        <v>80</v>
      </c>
      <c r="AF211" s="1" t="n">
        <f aca="false">ROUND(AE211*1.6, 0)</f>
        <v>128</v>
      </c>
      <c r="AI211" s="1" t="n">
        <v>20.5</v>
      </c>
      <c r="AJ211" s="1" t="n">
        <v>20.5</v>
      </c>
      <c r="AM211" s="5" t="n">
        <v>0</v>
      </c>
      <c r="AN211" s="1" t="str">
        <f aca="false">CONCATENATE(VLOOKUP(AO211, 'Voxel Sizes'!$A$2:$B$18,2,FALSE()),"x",INT(AK211*15), "x", INT(AL211*15))</f>
        <v>186x0x0</v>
      </c>
      <c r="AO211" s="1" t="n">
        <v>11</v>
      </c>
      <c r="AQ211" s="1" t="str">
        <f aca="false">CONCATENATE(VLOOKUP(AO211,Constants!$A$2:$C$16,IF(AP211&lt;&gt;"", 3, 2), FALSE()),IF(AP211&lt;&gt;"",CONCATENATE(",",VLOOKUP(AP211,$B:$AQ,42,FALSE())),""))</f>
        <v>4,3,4</v>
      </c>
      <c r="BA211" s="1" t="n">
        <v>29</v>
      </c>
      <c r="BB211" s="16" t="str">
        <f aca="false">IF(O211&lt;&gt;"",MAX(16,(O211-M211)+8),"")</f>
        <v/>
      </c>
      <c r="BE211" s="1" t="n">
        <f aca="false">MIN(AE211/150, 1)*30</f>
        <v>16</v>
      </c>
      <c r="BF211" s="1" t="n">
        <f aca="false">MIN(Q211/4000, 1)*20</f>
        <v>16</v>
      </c>
      <c r="BG211" s="1" t="n">
        <f aca="false">MIN(AC211/400,1)*20</f>
        <v>13.95</v>
      </c>
      <c r="BH211" s="4" t="n">
        <f aca="false">1-(MAX(M211-1900, 0)/750)</f>
        <v>0.84</v>
      </c>
      <c r="BI211" s="1" t="n">
        <f aca="false">((MAX($P211,1)*MIN($AM211/300,1)))*IF(J211="Wagon",50,10)</f>
        <v>0</v>
      </c>
      <c r="BJ211" s="1" t="n">
        <f aca="false">VLOOKUP($K211,Constants!$I:$K, 2, FALSE())</f>
        <v>1</v>
      </c>
      <c r="BK211" s="1" t="n">
        <f aca="false">VLOOKUP($K211,Constants!$I:$K, 3, FALSE())*IF(AND(J211="multiple_unit",AE211&lt;110),0.75,1)</f>
        <v>2</v>
      </c>
      <c r="BL211" s="1" t="n">
        <f aca="false">INT(POWER(((Constants!$G$2+$BE211+$BF211+$BG211+$BI211)*$BH211)*$BK211, 1.05))+$BD211</f>
        <v>106</v>
      </c>
      <c r="BM211" s="1" t="n">
        <f aca="false">INT(POWER((((Constants!$G$1+$BE211+$BF211+$BG211+$BI211)*($BH211))*$BJ211),IF($J211="wagon",1,1.2)))+$BC211</f>
        <v>112</v>
      </c>
      <c r="BN211" s="17" t="n">
        <f aca="false">BL211*IF($J211="wagon",62.5,781.25)</f>
        <v>82812.5</v>
      </c>
      <c r="BO211" s="17" t="n">
        <f aca="false">BM211*IF($J211="wagon",2.73,81.25)</f>
        <v>9100</v>
      </c>
      <c r="BY211" s="1" t="n">
        <v>6</v>
      </c>
      <c r="CD211" s="1" t="str">
        <f aca="false">VLOOKUP(M211,Eras!$A$2:$C$10, 2, TRUE())</f>
        <v>mod</v>
      </c>
      <c r="CE211" s="1" t="s">
        <v>132</v>
      </c>
      <c r="CF211" s="1" t="str">
        <f aca="false">CONCATENATE(CD211,"_",CE211)</f>
        <v>mod_Freight</v>
      </c>
      <c r="CG211" s="1" t="str">
        <f aca="false">_xlfn.CONCAT(K211, "_",L211)</f>
        <v>diesel_RAIL</v>
      </c>
      <c r="CH211" s="7" t="str">
        <f aca="false">_xlfn.CONCAT("{BLACK}Length: {GOLD}", TEXT(ROUNDUP(IF(AT211&lt;&gt;"",SUM(VALUE(_xlfn.TEXTSPLIT(AT211, ","))), SUM(VALUE(_xlfn.TEXTSPLIT(AQ211, ",")))*IF(P211, P211, 1))/16, 1), "#,##0.0"), " tiles{}")</f>
        <v>{BLACK}Length: {GOLD}0.7 tiles{}</v>
      </c>
      <c r="CI211" s="1" t="n">
        <f aca="false">VLOOKUP($CG211, Constants!$M:$N, 2, FALSE())</f>
        <v>0</v>
      </c>
      <c r="CJ211" s="1" t="str">
        <f aca="false">IF(P211&gt;1,_xlfn.CONCAT("{BLACK}Cars: {GOLD}", P211),"")</f>
        <v/>
      </c>
      <c r="CK211" s="1" t="s">
        <v>734</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tiles{}{SILVER}The Class 69 is a rebuild of the Class 56 to cost-effectively provide a new locomotive with similar performance to the Class 66, which could no longer be purchased due to new rail equipment regulations.</v>
      </c>
    </row>
    <row r="212" customFormat="false" ht="14.25" hidden="false" customHeight="false" outlineLevel="0" collapsed="false">
      <c r="A212" s="24" t="s">
        <v>735</v>
      </c>
      <c r="B212" s="30" t="s">
        <v>736</v>
      </c>
      <c r="C212" s="1" t="n">
        <v>-1</v>
      </c>
      <c r="E212" s="1" t="n">
        <v>-1</v>
      </c>
      <c r="G212" s="1" t="str">
        <f aca="false">IF($F212&lt;&gt;"",_xlfn.CONCAT(VLOOKUP($CE212, Constants!$T:$U, 2, FALSE()),",",$F212),VLOOKUP($CE212, Constants!$T:$U, 2, FALSE()))</f>
        <v>role/freight</v>
      </c>
      <c r="H212" s="1" t="str">
        <f aca="false">IF($G212&lt;&gt;"",_xlfn.CONCAT(VLOOKUP($CG212, Constants!$M:$P, 4, FALSE()),",",$G212),VLOOKUP($CG212, Constants!$M:$P, 4, FALSE()))</f>
        <v>flag/GB,role/freight</v>
      </c>
      <c r="I212" s="1" t="s">
        <v>198</v>
      </c>
      <c r="J212" s="1" t="s">
        <v>309</v>
      </c>
      <c r="K212" s="1" t="s">
        <v>637</v>
      </c>
      <c r="L212" s="1" t="s">
        <v>350</v>
      </c>
      <c r="M212" s="1" t="n">
        <v>2022</v>
      </c>
      <c r="N212" s="1" t="n">
        <v>2026</v>
      </c>
      <c r="Q212" s="1" t="n">
        <v>6200</v>
      </c>
      <c r="R212" s="2" t="n">
        <v>1200</v>
      </c>
      <c r="Z212" s="1" t="n">
        <v>86</v>
      </c>
      <c r="AC212" s="1" t="n">
        <v>317</v>
      </c>
      <c r="AD212" s="4" t="n">
        <f aca="false">IF(AND(Z212&gt;0,AC212&gt;0),(AC212/((Z212+AA212)*10)),"")</f>
        <v>0.368604651162791</v>
      </c>
      <c r="AE212" s="1" t="n">
        <v>100</v>
      </c>
      <c r="AF212" s="1" t="n">
        <f aca="false">ROUND(AE212*1.6, 0)</f>
        <v>160</v>
      </c>
      <c r="AI212" s="1" t="n">
        <v>20.5</v>
      </c>
      <c r="AJ212" s="1" t="n">
        <v>20.5</v>
      </c>
      <c r="AM212" s="5" t="n">
        <v>0</v>
      </c>
      <c r="AN212" s="1" t="str">
        <f aca="false">CONCATENATE(VLOOKUP(AO212, 'Voxel Sizes'!$A$2:$B$18,2,FALSE()),"x",INT(AK212*15), "x", INT(AL212*15))</f>
        <v>198x0x0</v>
      </c>
      <c r="AO212" s="1" t="n">
        <f aca="false">ROUND(15*((AJ212*10)/256),0)</f>
        <v>12</v>
      </c>
      <c r="AQ212" s="1" t="str">
        <f aca="false">CONCATENATE(VLOOKUP(AO212,Constants!$A$2:$C$16,IF(AP212&lt;&gt;"", 3, 2), FALSE()),IF(AP212&lt;&gt;"",CONCATENATE(",",VLOOKUP(AP212,$B:$AQ,42,FALSE())),""))</f>
        <v>4,4,4</v>
      </c>
      <c r="AV212" s="1" t="s">
        <v>730</v>
      </c>
      <c r="BA212" s="1" t="n">
        <v>30</v>
      </c>
      <c r="BB212" s="16" t="str">
        <f aca="false">IF(O212&lt;&gt;"",MAX(16,(O212-M212)+8),"")</f>
        <v/>
      </c>
      <c r="BE212" s="1" t="n">
        <f aca="false">MIN(AE212/150, 1)*30</f>
        <v>20</v>
      </c>
      <c r="BF212" s="1" t="n">
        <f aca="false">MIN(Q212/4000, 1)*20</f>
        <v>20</v>
      </c>
      <c r="BG212" s="1" t="n">
        <f aca="false">MIN(AC212/400,1)*20</f>
        <v>15.85</v>
      </c>
      <c r="BH212" s="4" t="n">
        <f aca="false">1-(MAX(M212-1900, 0)/750)</f>
        <v>0.837333333333333</v>
      </c>
      <c r="BI212" s="1" t="n">
        <f aca="false">((MAX($P212,1)*MIN($AM212/300,1)))*IF(J212="Wagon",50,10)</f>
        <v>0</v>
      </c>
      <c r="BJ212" s="1" t="n">
        <f aca="false">VLOOKUP($K212,Constants!$I:$K, 2, FALSE())</f>
        <v>0.9</v>
      </c>
      <c r="BK212" s="1" t="n">
        <f aca="false">VLOOKUP($K212,Constants!$I:$K, 3, FALSE())*IF(AND(J212="multiple_unit",AE212&lt;110),0.75,1)</f>
        <v>2.5</v>
      </c>
      <c r="BL212" s="1" t="n">
        <f aca="false">INT(POWER(((Constants!$G$2+$BE212+$BF212+$BG212+$BI212)*$BH212)*$BK212, 1.05))+$BD212</f>
        <v>162</v>
      </c>
      <c r="BM212" s="1" t="n">
        <f aca="false">INT(POWER((((Constants!$G$1+$BE212+$BF212+$BG212+$BI212)*($BH212))*$BJ212),IF($J212="wagon",1,1.2)))+$BC212</f>
        <v>118</v>
      </c>
      <c r="BN212" s="17" t="n">
        <f aca="false">BL212*IF($J212="wagon",62.5,781.25)</f>
        <v>126562.5</v>
      </c>
      <c r="BO212" s="17" t="n">
        <f aca="false">BM212*IF($J212="wagon",2.73,81.25)</f>
        <v>9587.5</v>
      </c>
      <c r="BY212" s="1" t="n">
        <v>4</v>
      </c>
      <c r="CD212" s="1" t="str">
        <f aca="false">VLOOKUP(M212,Eras!$A$2:$C$10, 2, TRUE())</f>
        <v>mod</v>
      </c>
      <c r="CE212" s="1" t="s">
        <v>351</v>
      </c>
      <c r="CF212" s="1" t="str">
        <f aca="false">CONCATENATE(CD212,"_",CE212)</f>
        <v>mod_Freight (Electric)</v>
      </c>
      <c r="CG212" s="1" t="str">
        <f aca="false">_xlfn.CONCAT(K212, "_",L212)</f>
        <v>dual_power_ELRL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731</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Class 88 is a dual mode version of Stadler's Euro Dual family, sharing many components with the class 68.</v>
      </c>
    </row>
    <row r="213" customFormat="false" ht="14.25" hidden="false" customHeight="false" outlineLevel="0" collapsed="false">
      <c r="A213" s="24" t="s">
        <v>737</v>
      </c>
      <c r="B213" s="30" t="s">
        <v>738</v>
      </c>
      <c r="C213" s="1" t="n">
        <v>-1</v>
      </c>
      <c r="E213" s="1" t="n">
        <v>-1</v>
      </c>
      <c r="G213" s="1" t="str">
        <f aca="false">IF($F213&lt;&gt;"",_xlfn.CONCAT(VLOOKUP($CE213, Constants!$T:$U, 2, FALSE()),",",$F213),VLOOKUP($CE213, Constants!$T:$U, 2, FALSE()))</f>
        <v>role/freight</v>
      </c>
      <c r="H213" s="1" t="str">
        <f aca="false">IF($G213&lt;&gt;"",_xlfn.CONCAT(VLOOKUP($CG213, Constants!$M:$P, 4, FALSE()),",",$G213),VLOOKUP($CG213, Constants!$M:$P, 4, FALSE()))</f>
        <v>flag/GB,role/freight</v>
      </c>
      <c r="I213" s="1" t="s">
        <v>198</v>
      </c>
      <c r="J213" s="1" t="s">
        <v>309</v>
      </c>
      <c r="K213" s="1" t="s">
        <v>637</v>
      </c>
      <c r="L213" s="1" t="s">
        <v>350</v>
      </c>
      <c r="M213" s="1" t="n">
        <v>2024</v>
      </c>
      <c r="N213" s="1" t="n">
        <v>2029</v>
      </c>
      <c r="Q213" s="1" t="n">
        <v>8270</v>
      </c>
      <c r="R213" s="2" t="n">
        <v>2400</v>
      </c>
      <c r="Z213" s="1" t="n">
        <v>86</v>
      </c>
      <c r="AC213" s="1" t="n">
        <v>317</v>
      </c>
      <c r="AD213" s="4" t="n">
        <f aca="false">IF(AND(Z213&gt;0,AC213&gt;0),(AC213/((Z213+AA213)*10)),"")</f>
        <v>0.368604651162791</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AV213" s="1" t="s">
        <v>730</v>
      </c>
      <c r="BA213" s="1" t="n">
        <v>30</v>
      </c>
      <c r="BB213" s="16" t="str">
        <f aca="false">IF(O213&lt;&gt;"",MAX(16,(O213-M213)+8),"")</f>
        <v/>
      </c>
      <c r="BE213" s="1" t="n">
        <f aca="false">MIN(AE213/150, 1)*30</f>
        <v>20</v>
      </c>
      <c r="BF213" s="1" t="n">
        <f aca="false">MIN(Q213/4000, 1)*20</f>
        <v>20</v>
      </c>
      <c r="BG213" s="1" t="n">
        <f aca="false">MIN(AC213/400,1)*20</f>
        <v>15.85</v>
      </c>
      <c r="BH213" s="4" t="n">
        <f aca="false">1-(MAX(M213-1900, 0)/750)</f>
        <v>0.834666666666667</v>
      </c>
      <c r="BI213" s="1" t="n">
        <f aca="false">((MAX($P213,1)*MIN($AM213/300,1)))*IF(J213="Wagon",50,10)</f>
        <v>0</v>
      </c>
      <c r="BJ213" s="1" t="n">
        <f aca="false">VLOOKUP($K213,Constants!$I:$K, 2, FALSE())</f>
        <v>0.9</v>
      </c>
      <c r="BK213" s="1" t="n">
        <f aca="false">VLOOKUP($K213,Constants!$I:$K, 3, FALSE())*IF(AND(J213="multiple_unit",AE213&lt;110),0.75,1)</f>
        <v>2.5</v>
      </c>
      <c r="BL213" s="1" t="n">
        <f aca="false">INT(POWER(((Constants!$G$2+$BE213+$BF213+$BG213+$BI213)*$BH213)*$BK213, 1.05))+$BD213</f>
        <v>161</v>
      </c>
      <c r="BM213" s="1" t="n">
        <f aca="false">INT(POWER((((Constants!$G$1+$BE213+$BF213+$BG213+$BI213)*($BH213))*$BJ213),IF($J213="wagon",1,1.2)))+$BC213</f>
        <v>117</v>
      </c>
      <c r="BN213" s="17" t="n">
        <f aca="false">BL213*IF($J213="wagon",62.5,781.25)</f>
        <v>125781.25</v>
      </c>
      <c r="BO213" s="17" t="n">
        <f aca="false">BM213*IF($J213="wagon",2.73,81.25)</f>
        <v>9506.25</v>
      </c>
      <c r="BY213" s="1" t="n">
        <v>4</v>
      </c>
      <c r="CD213" s="1" t="str">
        <f aca="false">VLOOKUP(M213,Eras!$A$2:$C$10, 2, TRUE())</f>
        <v>mod</v>
      </c>
      <c r="CE213" s="1" t="s">
        <v>351</v>
      </c>
      <c r="CF213" s="1" t="str">
        <f aca="false">CONCATENATE(CD213,"_",CE213)</f>
        <v>mod_Freight (Electric)</v>
      </c>
      <c r="CG213" s="1" t="str">
        <f aca="false">_xlfn.CONCAT(K213, "_",L213)</f>
        <v>dual_power_ELRL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731</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88 is a dual mode version of Stadler's Euro Dual family, sharing many components with the class 68.</v>
      </c>
    </row>
    <row r="214" customFormat="false" ht="14.25" hidden="false" customHeight="false" outlineLevel="0" collapsed="false">
      <c r="A214" s="1" t="s">
        <v>739</v>
      </c>
      <c r="B214" s="19" t="s">
        <v>740</v>
      </c>
      <c r="C214" s="1" t="n">
        <v>1046</v>
      </c>
      <c r="E214" s="1" t="n">
        <v>200</v>
      </c>
      <c r="G214" s="1" t="str">
        <f aca="false">IF($F214&lt;&gt;"",_xlfn.CONCAT(VLOOKUP($CE214, Constants!$T:$U, 2, FALSE()),",",$F214),VLOOKUP($CE214, Constants!$T:$U, 2, FALSE()))</f>
        <v>role/express_passenger</v>
      </c>
      <c r="H214" s="1" t="str">
        <f aca="false">IF($G214&lt;&gt;"",_xlfn.CONCAT(VLOOKUP($CG214, Constants!$M:$P, 4, FALSE()),",",$G214),VLOOKUP($CG214, Constants!$M:$P, 4, FALSE()))</f>
        <v>flag/GB,role/express_passenger</v>
      </c>
      <c r="I214" s="1" t="s">
        <v>198</v>
      </c>
      <c r="J214" s="1" t="s">
        <v>206</v>
      </c>
      <c r="K214" s="1" t="s">
        <v>659</v>
      </c>
      <c r="L214" s="1" t="s">
        <v>149</v>
      </c>
      <c r="M214" s="1" t="n">
        <v>1979</v>
      </c>
      <c r="Q214" s="1" t="n">
        <v>50</v>
      </c>
      <c r="Z214" s="1" t="n">
        <v>33</v>
      </c>
      <c r="AB214" s="1" t="n">
        <v>5</v>
      </c>
      <c r="AC214" s="1" t="n">
        <v>5</v>
      </c>
      <c r="AD214" s="4" t="n">
        <f aca="false">IF(AND(Z214&gt;0,AC214&gt;0),(AC214/((Z214+AA214)*10)),"")</f>
        <v>0.0151515151515152</v>
      </c>
      <c r="AE214" s="1" t="n">
        <v>100</v>
      </c>
      <c r="AF214" s="1" t="n">
        <f aca="false">ROUND(AE214*1.6, 0)</f>
        <v>160</v>
      </c>
      <c r="AI214" s="1" t="n">
        <v>20.12</v>
      </c>
      <c r="AJ214" s="1" t="n">
        <v>20.12</v>
      </c>
      <c r="AM214" s="5" t="n">
        <v>36</v>
      </c>
      <c r="AN214" s="16" t="s">
        <v>741</v>
      </c>
      <c r="AO214" s="16" t="n">
        <f aca="false">ROUND(15*((AJ214*10)/256),0)</f>
        <v>12</v>
      </c>
      <c r="AQ214" s="1" t="str">
        <f aca="false">CONCATENATE(VLOOKUP(AO214,Constants!$A$2:$C$16,IF(AP214&lt;&gt;"", 3, 2), FALSE()),IF(AP214&lt;&gt;"",CONCATENATE(",",VLOOKUP(AP214,$B:$AQ,42,FALSE())),""))</f>
        <v>4,4,4</v>
      </c>
      <c r="BA214" s="1" t="n">
        <v>33</v>
      </c>
      <c r="BB214" s="16" t="str">
        <f aca="false">IF(O214&lt;&gt;"",MAX(16,(O214-M214)+8),"")</f>
        <v/>
      </c>
      <c r="BC214" s="1" t="n">
        <v>-35</v>
      </c>
      <c r="BD214" s="1" t="n">
        <v>-52</v>
      </c>
      <c r="BE214" s="20" t="n">
        <f aca="false">MIN(AE214/150, 1)*30</f>
        <v>20</v>
      </c>
      <c r="BF214" s="20" t="n">
        <f aca="false">MIN(Q214/4000, 1)*20</f>
        <v>0.25</v>
      </c>
      <c r="BG214" s="20" t="n">
        <f aca="false">MIN(AC214/400,1)*20</f>
        <v>0.25</v>
      </c>
      <c r="BH214" s="21" t="n">
        <f aca="false">1-(MAX(M214-1900, 0)/750)</f>
        <v>0.894666666666667</v>
      </c>
      <c r="BI214" s="20" t="n">
        <f aca="false">((MAX($P214,1)*MIN($AM214/300,1)))*IF(J214="Wagon",50,10)</f>
        <v>1.2</v>
      </c>
      <c r="BJ214" s="1" t="n">
        <f aca="false">VLOOKUP($K214,Constants!$I:$K, 2, FALSE())</f>
        <v>0.85</v>
      </c>
      <c r="BK214" s="1" t="n">
        <f aca="false">VLOOKUP($K214,Constants!$I:$K, 3, FALSE())*IF(AND(J214="multiple_unit",AE214&lt;110),0.75,1)</f>
        <v>2.3</v>
      </c>
      <c r="BL214" s="20" t="n">
        <v>15</v>
      </c>
      <c r="BM214" s="20" t="n">
        <v>19</v>
      </c>
      <c r="BN214" s="22" t="n">
        <f aca="false">BL214*IF($J214="wagon",62.5,781.25)</f>
        <v>11718.75</v>
      </c>
      <c r="BO214" s="22" t="n">
        <f aca="false">BM214*IF($J214="wagon",2.73,81.25)</f>
        <v>1543.75</v>
      </c>
      <c r="BP214" s="1" t="n">
        <v>1</v>
      </c>
      <c r="BQ214" s="1" t="n">
        <v>1</v>
      </c>
      <c r="BY214" s="1" t="n">
        <v>7</v>
      </c>
      <c r="CB214" s="1" t="s">
        <v>326</v>
      </c>
      <c r="CC214" s="1" t="s">
        <v>327</v>
      </c>
      <c r="CD214" s="23" t="s">
        <v>605</v>
      </c>
      <c r="CE214" s="1" t="s">
        <v>556</v>
      </c>
      <c r="CF214" s="23" t="str">
        <f aca="false">CONCATENATE(CD214,"_",CE214)</f>
        <v>lbr_Express (Electric)</v>
      </c>
      <c r="CG214" s="23" t="str">
        <f aca="false">_xlfn.CONCAT(K214, "_",L214)</f>
        <v>none_RAIL</v>
      </c>
      <c r="CH214" s="7" t="str">
        <f aca="false">_xlfn.CONCAT("{BLACK}Length: {GOLD}", TEXT(ROUNDUP(IF(AT214&lt;&gt;"",SUM(VALUE(_xlfn.TEXTSPLIT(AT214, ","))), SUM(VALUE(_xlfn.TEXTSPLIT(AQ214, ",")))*IF(P214, P214, 1))/16, 1), "#,##0.0"), " tiles{}")</f>
        <v>{BLACK}Length: {GOLD}0.8 tiles{}</v>
      </c>
      <c r="CI214" s="1" t="n">
        <f aca="false">VLOOKUP($CG214, Constants!$M:$N, 2, FALSE())</f>
        <v>0</v>
      </c>
      <c r="CJ214" s="1" t="str">
        <f aca="false">IF(P214&gt;1,_xlfn.CONCAT("{BLACK}Cars: {GOLD}", P214),"")</f>
        <v/>
      </c>
      <c r="CK214" s="1" t="s">
        <v>742</v>
      </c>
      <c r="CL214" s="1" t="str">
        <f aca="false">IF($BX214="!param_no_gameplay_units","{GREEN}Included for gameplay purposes","")</f>
        <v/>
      </c>
      <c r="CM214" s="1" t="str">
        <f aca="false">IF(CA214="buffet","{YELLOW}25% long distance bonus for consist{}",IF(CB214="DANDY","{YELLOW}Faster downhill speeds for horse-drawn trains (1 required per 2 horses){}",IF(CB214="BRAKE","{YELLOW}Speed bonus for slow wagons{}",IF(CB214="NGPassengers","{YELLOW}Preserved railway bonus: passengers pay more when hauled by old locomotives{}",IF(AND(BZ214&gt;190,NOT(AND(L214="NARROW_GAUGE",CB214&lt;&gt;"PASS"))),CONCATENATE("{YELLOW}",INT((BZ214-185)/1.85),"%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DBSO is a driving trailer built from a converted Mk2F carriage. They were first used with Class 47 locomotives for a push-pull service that could be driven from either end.</v>
      </c>
    </row>
    <row r="215" s="25" customFormat="true" ht="14.25" hidden="false" customHeight="false" outlineLevel="0" collapsed="false">
      <c r="A215" s="25" t="s">
        <v>743</v>
      </c>
      <c r="B215" s="26" t="s">
        <v>744</v>
      </c>
      <c r="C215" s="1" t="n">
        <v>3061</v>
      </c>
      <c r="E215" s="1" t="n">
        <v>201</v>
      </c>
      <c r="G215" s="1" t="str">
        <f aca="false">IF($F215&lt;&gt;"",_xlfn.CONCAT(VLOOKUP($CE215, Constants!$T:$U, 2, FALSE()),",",$F215),VLOOKUP($CE215, Constants!$T:$U, 2, FALSE()))</f>
        <v>role/express_passenger</v>
      </c>
      <c r="H215" s="1" t="str">
        <f aca="false">IF($G215&lt;&gt;"",_xlfn.CONCAT(VLOOKUP($CG215, Constants!$M:$P, 4, FALSE()),",",$G215),VLOOKUP($CG215, Constants!$M:$P, 4, FALSE()))</f>
        <v>flag/GB,role/express_passenger</v>
      </c>
      <c r="I215" s="25" t="s">
        <v>198</v>
      </c>
      <c r="J215" s="25" t="s">
        <v>206</v>
      </c>
      <c r="K215" s="25" t="s">
        <v>659</v>
      </c>
      <c r="L215" s="25" t="s">
        <v>149</v>
      </c>
      <c r="M215" s="25" t="n">
        <v>1986</v>
      </c>
      <c r="N215" s="25" t="n">
        <v>1991</v>
      </c>
      <c r="Q215" s="25" t="n">
        <v>100</v>
      </c>
      <c r="R215" s="2"/>
      <c r="S215" s="3"/>
      <c r="T215" s="3"/>
      <c r="U215" s="3"/>
      <c r="V215" s="3"/>
      <c r="W215" s="3"/>
      <c r="X215" s="3"/>
      <c r="Y215" s="3"/>
      <c r="Z215" s="25" t="n">
        <v>35</v>
      </c>
      <c r="AA215" s="2"/>
      <c r="AB215" s="25" t="n">
        <v>4</v>
      </c>
      <c r="AC215" s="25" t="n">
        <v>5</v>
      </c>
      <c r="AD215" s="4" t="n">
        <f aca="false">IF(AND(Z215&gt;0,AC215&gt;0),(AC215/((Z215+AA215)*10)),"")</f>
        <v>0.0142857142857143</v>
      </c>
      <c r="AE215" s="25" t="n">
        <v>125</v>
      </c>
      <c r="AF215" s="25" t="n">
        <f aca="false">ROUND(AE215*1.6, 0)</f>
        <v>200</v>
      </c>
      <c r="AI215" s="25" t="n">
        <v>23</v>
      </c>
      <c r="AJ215" s="25" t="n">
        <v>23</v>
      </c>
      <c r="AM215" s="5" t="n">
        <v>45</v>
      </c>
      <c r="AN215" s="1" t="str">
        <f aca="false">CONCATENATE(VLOOKUP(AO215, '[1]Voxel Sizes'!$A$2:$B$18,2,FALSE()),"x",INT(AK215*15), "x", INT(AL215*15))</f>
        <v>214x0x0</v>
      </c>
      <c r="AO215" s="25" t="n">
        <f aca="false">ROUND(15*((AJ215*10)/256),0)</f>
        <v>13</v>
      </c>
      <c r="AQ215" s="1" t="str">
        <f aca="false">CONCATENATE(VLOOKUP(AO215,Constants!$A$2:$C$16,IF(AP215&lt;&gt;"", 3, 2), FALSE()),IF(AP215&lt;&gt;"",CONCATENATE(",",VLOOKUP(AP215,$B:$AQ,42,FALSE())),""))</f>
        <v>4,5,4</v>
      </c>
      <c r="AS215" s="6"/>
      <c r="AT215" s="6"/>
      <c r="BA215" s="25" t="n">
        <v>27</v>
      </c>
      <c r="BB215" s="16" t="str">
        <f aca="false">IF(O215&lt;&gt;"",MAX(16,(O215-M215)+8),"")</f>
        <v/>
      </c>
      <c r="BC215" s="25" t="n">
        <v>-15</v>
      </c>
      <c r="BD215" s="25" t="n">
        <v>-60</v>
      </c>
      <c r="BE215" s="25" t="n">
        <f aca="false">MIN(AE215/150, 1)*30</f>
        <v>25</v>
      </c>
      <c r="BF215" s="25" t="n">
        <f aca="false">MIN(Q215/4000, 1)*20</f>
        <v>0.5</v>
      </c>
      <c r="BG215" s="25" t="n">
        <f aca="false">MIN(AC215/400,1)*20</f>
        <v>0.25</v>
      </c>
      <c r="BH215" s="4" t="n">
        <f aca="false">1-(MAX(M215-1900, 0)/750)</f>
        <v>0.885333333333333</v>
      </c>
      <c r="BI215" s="25" t="n">
        <f aca="false">((MAX($P215,1)*MIN($AM215/300,1)))*IF(J215="Wagon",50,10)</f>
        <v>1.5</v>
      </c>
      <c r="BJ215" s="1" t="n">
        <f aca="false">VLOOKUP($K215,Constants!$I:$K, 2, FALSE())</f>
        <v>0.85</v>
      </c>
      <c r="BK215" s="1" t="n">
        <f aca="false">VLOOKUP($K215,Constants!$I:$K, 3, FALSE())*IF(AND(J215="multiple_unit",AE215&lt;110),0.75,1)</f>
        <v>2.3</v>
      </c>
      <c r="BL215" s="25" t="n">
        <v>20</v>
      </c>
      <c r="BM215" s="25" t="n">
        <f aca="false">INT(POWER(((([1]Constants!$G$1+$BE215+$BF215+$BG215+$BI215)*($BH215))*$BJ215),IF($J215="wagon",1,1.2)))+$BC215</f>
        <v>48</v>
      </c>
      <c r="BN215" s="17" t="n">
        <f aca="false">BL215*IF($J215="wagon",62.5,781.25)</f>
        <v>15625</v>
      </c>
      <c r="BO215" s="17" t="n">
        <f aca="false">BM215*IF($J215="wagon",2.73,81.25)</f>
        <v>3900</v>
      </c>
      <c r="BP215" s="25" t="n">
        <v>1</v>
      </c>
      <c r="BQ215" s="25" t="n">
        <v>1</v>
      </c>
      <c r="BX215" s="25" t="s">
        <v>660</v>
      </c>
      <c r="BY215" s="25" t="n">
        <v>7</v>
      </c>
      <c r="BZ215" s="25" t="n">
        <v>205</v>
      </c>
      <c r="CB215" s="25" t="s">
        <v>326</v>
      </c>
      <c r="CC215" s="25" t="s">
        <v>327</v>
      </c>
      <c r="CD215" s="25" t="str">
        <f aca="false">VLOOKUP(M215,[1]Eras!$A$2:$C$10, 2, TRUE())</f>
        <v>lbr</v>
      </c>
      <c r="CE215" s="25" t="s">
        <v>241</v>
      </c>
      <c r="CF215" s="25" t="str">
        <f aca="false">CONCATENATE(CD215,"_",CE215)</f>
        <v>lbr_Express</v>
      </c>
      <c r="CG215" s="25" t="str">
        <f aca="false">_xlfn.CONCAT(K215, "_",L215)</f>
        <v>none_RAIL</v>
      </c>
      <c r="CH215" s="7" t="str">
        <f aca="false">_xlfn.CONCAT("{BLACK}Length: {GOLD}", TEXT(ROUNDUP(IF(AT215&lt;&gt;"",SUM(VALUE(_xlfn.TEXTSPLIT(AT215, ","))), SUM(VALUE(_xlfn.TEXTSPLIT(AQ215, ",")))*IF(P215, P215, 1))/16, 1), "#,##0.0"), " tiles{}")</f>
        <v>{BLACK}Length: {GOLD}0.9 tiles{}</v>
      </c>
      <c r="CI215" s="1" t="n">
        <f aca="false">VLOOKUP($CG215, Constants!$M:$N, 2, FALSE())</f>
        <v>0</v>
      </c>
      <c r="CJ215" s="1" t="str">
        <f aca="false">IF(P215&gt;1,_xlfn.CONCAT("{BLACK}Cars: {GOLD}", P215),"")</f>
        <v/>
      </c>
      <c r="CK215" s="25" t="s">
        <v>745</v>
      </c>
      <c r="CM215" s="25" t="str">
        <f aca="false">IF(CA215="buffet","{YELLOW}25% long distance bonus for consist{}",IF(CD215="BRAKE","{YELLOW}Speed bonus for slow wagons{}",IF(BZ215&gt;190,CONCATENATE("{YELLOW}",INT((BZ215-185)/1.85),"% bonus for long distance travel{}"),IF(AND(BZ215&lt;180,BZ215&lt;&gt;0),CONCATENATE("{YELLOW}",INT((185-BZ215)/1.85),"% penalty for long distance travel{}"),""))))</f>
        <v>{YELLOW}10% bonus for long distance travel{}</v>
      </c>
      <c r="CN215" s="25" t="str">
        <f aca="false">_xlfn.CONCAT(CI215,IF(CI215 &lt;&gt; "", " ", ""),CJ215,IF(OR(CJ215&lt;&gt;"", CI215&lt;&gt;""), "{}",""), CH215, CM215,"{SILVER}", CK215)</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16" customFormat="false" ht="14.25" hidden="false" customHeight="false" outlineLevel="0" collapsed="false">
      <c r="A216" s="1" t="s">
        <v>746</v>
      </c>
      <c r="B216" s="30" t="s">
        <v>747</v>
      </c>
      <c r="C216" s="1" t="n">
        <v>4210</v>
      </c>
      <c r="E216" s="1" t="n">
        <v>202</v>
      </c>
      <c r="G216" s="1" t="str">
        <f aca="false">IF($F216&lt;&gt;"",_xlfn.CONCAT(VLOOKUP($CE216, Constants!$T:$U, 2, FALSE()),",",$F216),VLOOKUP($CE216, Constants!$T:$U, 2, FALSE()))</f>
        <v>role/express_passenger</v>
      </c>
      <c r="H216" s="1" t="str">
        <f aca="false">IF($G216&lt;&gt;"",_xlfn.CONCAT(VLOOKUP($CG216, Constants!$M:$P, 4, FALSE()),",",$G216),VLOOKUP($CG216, Constants!$M:$P, 4, FALSE()))</f>
        <v>flag/GB,role/express_passenger</v>
      </c>
      <c r="I216" s="1" t="s">
        <v>198</v>
      </c>
      <c r="J216" s="1" t="s">
        <v>206</v>
      </c>
      <c r="K216" s="1" t="s">
        <v>659</v>
      </c>
      <c r="L216" s="1" t="s">
        <v>149</v>
      </c>
      <c r="M216" s="1" t="n">
        <v>1988</v>
      </c>
      <c r="N216" s="1" t="n">
        <v>1991</v>
      </c>
      <c r="Q216" s="1" t="n">
        <v>100</v>
      </c>
      <c r="Z216" s="1" t="n">
        <v>40</v>
      </c>
      <c r="AC216" s="1" t="n">
        <v>5</v>
      </c>
      <c r="AD216" s="4" t="n">
        <f aca="false">IF(AND(Z216&gt;0,AC216&gt;0),(AC216/((Z216+AA216)*10)),"")</f>
        <v>0.0125</v>
      </c>
      <c r="AE216" s="1" t="n">
        <v>125</v>
      </c>
      <c r="AF216" s="1" t="n">
        <f aca="false">ROUND(AE216*1.6, 0)</f>
        <v>200</v>
      </c>
      <c r="AI216" s="1" t="n">
        <v>18.2</v>
      </c>
      <c r="AJ216" s="1" t="n">
        <v>18.2</v>
      </c>
      <c r="AM216" s="5" t="n">
        <v>36</v>
      </c>
      <c r="AN216" s="1" t="str">
        <f aca="false">CONCATENATE(VLOOKUP(AO216, 'Voxel Sizes'!$A$2:$B$18,2,FALSE()),"x",INT(AK216*15), "x", INT(AL216*15))</f>
        <v>186x0x0</v>
      </c>
      <c r="AO216" s="1" t="n">
        <f aca="false">ROUND(15*((AJ216*10)/256),0)</f>
        <v>11</v>
      </c>
      <c r="AQ216" s="1" t="str">
        <f aca="false">CONCATENATE(VLOOKUP(AO216,Constants!$A$2:$C$16,IF(AP216&lt;&gt;"", 3, 2), FALSE()),IF(AP216&lt;&gt;"",CONCATENATE(",",VLOOKUP(AP216,$B:$AQ,42,FALSE())),""))</f>
        <v>4,3,4</v>
      </c>
      <c r="BA216" s="1" t="n">
        <v>27</v>
      </c>
      <c r="BB216" s="16" t="str">
        <f aca="false">IF(O216&lt;&gt;"",MAX(16,(O216-M216)+8),"")</f>
        <v/>
      </c>
      <c r="BC216" s="1" t="n">
        <v>-35</v>
      </c>
      <c r="BD216" s="1" t="n">
        <v>-60</v>
      </c>
      <c r="BE216" s="1" t="n">
        <f aca="false">MIN(AE216/150, 1)*30</f>
        <v>25</v>
      </c>
      <c r="BF216" s="1" t="n">
        <f aca="false">MIN(Q216/4000, 1)*20</f>
        <v>0.5</v>
      </c>
      <c r="BG216" s="1" t="n">
        <f aca="false">MIN(AC216/400,1)*20</f>
        <v>0.25</v>
      </c>
      <c r="BH216" s="4" t="n">
        <f aca="false">1-(MAX(M216-1900, 0)/750)</f>
        <v>0.882666666666667</v>
      </c>
      <c r="BI216" s="1" t="n">
        <f aca="false">((MAX($P216,1)*MIN($AM216/300,1)))*IF(J216="Wagon",50,10)</f>
        <v>1.2</v>
      </c>
      <c r="BJ216" s="1" t="n">
        <f aca="false">VLOOKUP($K216,Constants!$I:$K, 2, FALSE())</f>
        <v>0.85</v>
      </c>
      <c r="BK216" s="1" t="n">
        <f aca="false">VLOOKUP($K216,Constants!$I:$K, 3, FALSE())*IF(AND(J216="multiple_unit",AE216&lt;110),0.75,1)</f>
        <v>2.3</v>
      </c>
      <c r="BL216" s="1" t="n">
        <f aca="false">INT(POWER(((Constants!$G$2+$BE216+$BF216+$BG216+$BI216)*$BH216)*$BK216, 1.05))+$BD216</f>
        <v>19</v>
      </c>
      <c r="BM216" s="1" t="n">
        <f aca="false">INT(POWER((((Constants!$G$1+$BE216+$BF216+$BG216+$BI216)*($BH216))*$BJ216),IF($J216="wagon",1,1.2)))+$BC216</f>
        <v>27</v>
      </c>
      <c r="BN216" s="17" t="n">
        <f aca="false">BL216*IF($J216="wagon",62.5,781.25)</f>
        <v>14843.75</v>
      </c>
      <c r="BO216" s="17" t="n">
        <f aca="false">BM216*IF($J216="wagon",2.73,81.25)</f>
        <v>2193.75</v>
      </c>
      <c r="BP216" s="1" t="n">
        <v>1</v>
      </c>
      <c r="BQ216" s="1" t="n">
        <v>1</v>
      </c>
      <c r="BY216" s="1" t="n">
        <v>7</v>
      </c>
      <c r="CC216" s="1" t="s">
        <v>662</v>
      </c>
      <c r="CD216" s="1" t="str">
        <f aca="false">VLOOKUP(M216,Eras!$A$2:$C$10, 2, TRUE())</f>
        <v>lbr</v>
      </c>
      <c r="CE216" s="1" t="s">
        <v>556</v>
      </c>
      <c r="CF216" s="1" t="str">
        <f aca="false">CONCATENATE(CD216,"_",CE216)</f>
        <v>lbr_Express (Electric)</v>
      </c>
      <c r="CG216" s="1" t="str">
        <f aca="false">_xlfn.CONCAT(K216, "_",L216)</f>
        <v>none_RAIL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748</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tiles{}{SILVER}This driving van trailer can be used with diesel and electric locomotives, either as a leading or trailing vehicle. It is recommended for use with the Class 91.</v>
      </c>
    </row>
    <row r="217" customFormat="false" ht="14.25" hidden="false" customHeight="false" outlineLevel="0" collapsed="false">
      <c r="A217" s="1" t="s">
        <v>749</v>
      </c>
      <c r="B217" s="15" t="s">
        <v>750</v>
      </c>
      <c r="C217" s="1" t="n">
        <v>210</v>
      </c>
      <c r="E217" s="1" t="n">
        <v>203</v>
      </c>
      <c r="G217" s="1" t="str">
        <f aca="false">IF($F217&lt;&gt;"",_xlfn.CONCAT(VLOOKUP($CE217, Constants!$T:$U, 2, FALSE()),",",$F217),VLOOKUP($CE217, Constants!$T:$U, 2, FALSE()))</f>
        <v>role/express_passenger</v>
      </c>
      <c r="H217" s="1" t="str">
        <f aca="false">IF($G217&lt;&gt;"",_xlfn.CONCAT(VLOOKUP($CG217, Constants!$M:$P, 4, FALSE()),",",$G217),VLOOKUP($CG217, Constants!$M:$P, 4, FALSE()))</f>
        <v>flag/GB,role/express_passenger</v>
      </c>
      <c r="I217" s="1" t="s">
        <v>198</v>
      </c>
      <c r="J217" s="1" t="s">
        <v>206</v>
      </c>
      <c r="K217" s="1" t="s">
        <v>659</v>
      </c>
      <c r="L217" s="1" t="s">
        <v>149</v>
      </c>
      <c r="M217" s="1" t="n">
        <v>1988</v>
      </c>
      <c r="N217" s="1" t="n">
        <v>1991</v>
      </c>
      <c r="Q217" s="1" t="n">
        <v>100</v>
      </c>
      <c r="Z217" s="1" t="n">
        <v>40</v>
      </c>
      <c r="AC217" s="1" t="n">
        <v>5</v>
      </c>
      <c r="AD217" s="4" t="n">
        <f aca="false">IF(AND(Z217&gt;0,AC217&gt;0),(AC217/((Z217+AA217)*10)),"")</f>
        <v>0.0125</v>
      </c>
      <c r="AE217" s="1" t="n">
        <v>140</v>
      </c>
      <c r="AF217" s="1" t="n">
        <f aca="false">ROUND(AE217*1.6, 0)</f>
        <v>224</v>
      </c>
      <c r="AI217" s="1" t="n">
        <v>19.4</v>
      </c>
      <c r="AJ217" s="1" t="n">
        <v>19.4</v>
      </c>
      <c r="AM217" s="5" t="n">
        <v>36</v>
      </c>
      <c r="AN217" s="1" t="str">
        <f aca="false">CONCATENATE(VLOOKUP(AO217, 'Voxel Sizes'!$A$2:$B$18,2,FALSE()),"x",INT(AK217*15), "x", INT(AL217*15))</f>
        <v>186x0x0</v>
      </c>
      <c r="AO217" s="1" t="n">
        <f aca="false">ROUND(15*((AJ217*10)/256),0)</f>
        <v>11</v>
      </c>
      <c r="AQ217" s="1" t="str">
        <f aca="false">CONCATENATE(VLOOKUP(AO217,Constants!$A$2:$C$16,IF(AP217&lt;&gt;"", 3, 2), FALSE()),IF(AP217&lt;&gt;"",CONCATENATE(",",VLOOKUP(AP217,$B:$AQ,42,FALSE())),""))</f>
        <v>4,3,4</v>
      </c>
      <c r="BA217" s="1" t="n">
        <v>27</v>
      </c>
      <c r="BB217" s="16" t="str">
        <f aca="false">IF(O217&lt;&gt;"",MAX(16,(O217-M217)+8),"")</f>
        <v/>
      </c>
      <c r="BC217" s="1" t="n">
        <v>-35</v>
      </c>
      <c r="BD217" s="1" t="n">
        <v>-60</v>
      </c>
      <c r="BE217" s="1" t="n">
        <f aca="false">MIN(AE217/150, 1)*30</f>
        <v>28</v>
      </c>
      <c r="BF217" s="1" t="n">
        <f aca="false">MIN(Q217/4000, 1)*20</f>
        <v>0.5</v>
      </c>
      <c r="BG217" s="1" t="n">
        <f aca="false">MIN(AC217/400,1)*20</f>
        <v>0.25</v>
      </c>
      <c r="BH217" s="4" t="n">
        <f aca="false">1-(MAX(M217-1900, 0)/750)</f>
        <v>0.882666666666667</v>
      </c>
      <c r="BI217" s="1" t="n">
        <f aca="false">((MAX($P217,1)*MIN($AM217/300,1)))*IF(J217="Wagon",50,10)</f>
        <v>1.2</v>
      </c>
      <c r="BJ217" s="1" t="n">
        <f aca="false">VLOOKUP($K217,Constants!$I:$K, 2, FALSE())</f>
        <v>0.85</v>
      </c>
      <c r="BK217" s="1" t="n">
        <f aca="false">VLOOKUP($K217,Constants!$I:$K, 3, FALSE())*IF(AND(J217="multiple_unit",AE217&lt;110),0.75,1)</f>
        <v>2.3</v>
      </c>
      <c r="BL217" s="1" t="n">
        <f aca="false">INT(POWER(((Constants!$G$2+$BE217+$BF217+$BG217+$BI217)*$BH217)*$BK217, 1.05))+$BD217</f>
        <v>27</v>
      </c>
      <c r="BM217" s="1" t="n">
        <f aca="false">INT(POWER((((Constants!$G$1+$BE217+$BF217+$BG217+$BI217)*($BH217))*$BJ217),IF($J217="wagon",1,1.2)))+$BC217</f>
        <v>33</v>
      </c>
      <c r="BN217" s="17" t="n">
        <f aca="false">BL217*IF($J217="wagon",62.5,781.25)</f>
        <v>21093.75</v>
      </c>
      <c r="BO217" s="17" t="n">
        <f aca="false">BM217*IF($J217="wagon",2.73,81.25)</f>
        <v>2681.25</v>
      </c>
      <c r="BP217" s="1" t="n">
        <v>1</v>
      </c>
      <c r="BQ217" s="1" t="n">
        <v>1</v>
      </c>
      <c r="BY217" s="1" t="n">
        <v>7</v>
      </c>
      <c r="CC217" s="1" t="s">
        <v>662</v>
      </c>
      <c r="CD217" s="1" t="str">
        <f aca="false">VLOOKUP(M217,Eras!$A$2:$C$10, 2, TRUE())</f>
        <v>lbr</v>
      </c>
      <c r="CE217" s="1" t="s">
        <v>556</v>
      </c>
      <c r="CF217" s="1" t="str">
        <f aca="false">CONCATENATE(CD217,"_",CE217)</f>
        <v>lbr_Express (Electric)</v>
      </c>
      <c r="CG217" s="1" t="str">
        <f aca="false">_xlfn.CONCAT(K217, "_",L217)</f>
        <v>none_RAIL</v>
      </c>
      <c r="CH217" s="7" t="str">
        <f aca="false">_xlfn.CONCAT("{BLACK}Length: {GOLD}", TEXT(ROUNDUP(IF(AT217&lt;&gt;"",SUM(VALUE(_xlfn.TEXTSPLIT(AT217, ","))), SUM(VALUE(_xlfn.TEXTSPLIT(AQ217, ",")))*IF(P217, P217, 1))/16, 1), "#,##0.0"), " tiles{}")</f>
        <v>{BLACK}Length: {GOLD}0.7 tiles{}</v>
      </c>
      <c r="CI217" s="1" t="n">
        <f aca="false">VLOOKUP($CG217, Constants!$M:$N, 2, FALSE())</f>
        <v>0</v>
      </c>
      <c r="CJ217" s="1" t="str">
        <f aca="false">IF(P217&gt;1,_xlfn.CONCAT("{BLACK}Cars: {GOLD}", P217),"")</f>
        <v/>
      </c>
      <c r="CK217" s="1" t="s">
        <v>748</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{GOLD}0.7 tiles{}{SILVER}This driving van trailer can be used with diesel and electric locomotives, either as a leading or trailing vehicle. It is recommended for use with the Class 91.</v>
      </c>
    </row>
    <row r="218" customFormat="false" ht="14.25" hidden="false" customHeight="false" outlineLevel="0" collapsed="false">
      <c r="A218" s="1" t="s">
        <v>751</v>
      </c>
      <c r="B218" s="19" t="s">
        <v>752</v>
      </c>
      <c r="C218" s="1" t="n">
        <v>1047</v>
      </c>
      <c r="E218" s="1" t="n">
        <v>204</v>
      </c>
      <c r="G218" s="1" t="str">
        <f aca="false">IF($F218&lt;&gt;"",_xlfn.CONCAT(VLOOKUP($CE218, Constants!$T:$U, 2, FALSE()),",",$F218),VLOOKUP($CE218, Constants!$T:$U, 2, FALSE()))</f>
        <v>role/express_passenger</v>
      </c>
      <c r="H218" s="1" t="str">
        <f aca="false">IF($G218&lt;&gt;"",_xlfn.CONCAT(VLOOKUP($CG218, Constants!$M:$P, 4, FALSE()),",",$G218),VLOOKUP($CG218, Constants!$M:$P, 4, FALSE()))</f>
        <v>flag/GB,role/express_passenger</v>
      </c>
      <c r="I218" s="1" t="s">
        <v>198</v>
      </c>
      <c r="J218" s="1" t="s">
        <v>206</v>
      </c>
      <c r="K218" s="1" t="s">
        <v>659</v>
      </c>
      <c r="L218" s="1" t="s">
        <v>149</v>
      </c>
      <c r="M218" s="1" t="n">
        <v>2017</v>
      </c>
      <c r="Q218" s="1" t="n">
        <v>50</v>
      </c>
      <c r="Z218" s="1" t="n">
        <v>40</v>
      </c>
      <c r="AB218" s="1" t="n">
        <v>5</v>
      </c>
      <c r="AC218" s="1" t="n">
        <v>5</v>
      </c>
      <c r="AD218" s="4" t="n">
        <f aca="false">IF(AND(Z218&gt;0,AC218&gt;0),(AC218/((Z218+AA218)*10)),"")</f>
        <v>0.0125</v>
      </c>
      <c r="AE218" s="1" t="n">
        <v>125</v>
      </c>
      <c r="AF218" s="1" t="n">
        <f aca="false">ROUND(AE218*1.6, 0)</f>
        <v>200</v>
      </c>
      <c r="AI218" s="1" t="n">
        <v>23</v>
      </c>
      <c r="AJ218" s="1" t="n">
        <v>23</v>
      </c>
      <c r="AM218" s="5" t="n">
        <v>57</v>
      </c>
      <c r="AN218" s="16" t="s">
        <v>753</v>
      </c>
      <c r="AO218" s="16" t="n">
        <f aca="false">ROUND(15*((AJ218*10)/256),0)</f>
        <v>13</v>
      </c>
      <c r="AQ218" s="1" t="str">
        <f aca="false">CONCATENATE(VLOOKUP(AO218,Constants!$A$2:$C$16,IF(AP218&lt;&gt;"", 3, 2), FALSE()),IF(AP218&lt;&gt;"",CONCATENATE(",",VLOOKUP(AP218,$B:$AQ,42,FALSE())),""))</f>
        <v>4,5,4</v>
      </c>
      <c r="BA218" s="1" t="n">
        <v>30</v>
      </c>
      <c r="BB218" s="16" t="str">
        <f aca="false">IF(O218&lt;&gt;"",MAX(16,(O218-M218)+8),"")</f>
        <v/>
      </c>
      <c r="BC218" s="1" t="n">
        <v>-35</v>
      </c>
      <c r="BD218" s="1" t="n">
        <v>-57</v>
      </c>
      <c r="BE218" s="20" t="n">
        <f aca="false">MIN(AE218/150, 1)*30</f>
        <v>25</v>
      </c>
      <c r="BF218" s="20" t="n">
        <f aca="false">MIN(Q218/4000, 1)*20</f>
        <v>0.25</v>
      </c>
      <c r="BG218" s="20" t="n">
        <f aca="false">MIN(AC218/400,1)*20</f>
        <v>0.25</v>
      </c>
      <c r="BH218" s="21" t="n">
        <f aca="false">1-(MAX(M218-1900, 0)/750)</f>
        <v>0.844</v>
      </c>
      <c r="BI218" s="20" t="n">
        <f aca="false">((MAX($P218,1)*MIN($AM218/300,1)))*IF(J218="Wagon",50,10)</f>
        <v>1.9</v>
      </c>
      <c r="BJ218" s="1" t="n">
        <f aca="false">VLOOKUP($K218,Constants!$I:$K, 2, FALSE())</f>
        <v>0.85</v>
      </c>
      <c r="BK218" s="1" t="n">
        <f aca="false">VLOOKUP($K218,Constants!$I:$K, 3, FALSE())*IF(AND(J218="multiple_unit",AE218&lt;110),0.75,1)</f>
        <v>2.3</v>
      </c>
      <c r="BL218" s="20" t="n">
        <v>20</v>
      </c>
      <c r="BM218" s="20" t="n">
        <v>25</v>
      </c>
      <c r="BN218" s="22" t="n">
        <f aca="false">BL218*IF($J218="wagon",62.5,781.25)</f>
        <v>15625</v>
      </c>
      <c r="BO218" s="22" t="n">
        <f aca="false">BM218*IF($J218="wagon",2.73,81.25)</f>
        <v>2031.25</v>
      </c>
      <c r="BP218" s="1" t="n">
        <v>1</v>
      </c>
      <c r="BQ218" s="1" t="n">
        <v>1</v>
      </c>
      <c r="BY218" s="1" t="n">
        <v>1</v>
      </c>
      <c r="BZ218" s="1" t="n">
        <v>222</v>
      </c>
      <c r="CB218" s="1" t="s">
        <v>326</v>
      </c>
      <c r="CC218" s="1" t="s">
        <v>327</v>
      </c>
      <c r="CD218" s="23" t="s">
        <v>754</v>
      </c>
      <c r="CE218" s="25" t="s">
        <v>556</v>
      </c>
      <c r="CF218" s="23" t="str">
        <f aca="false">CONCATENATE(CD218,"_",CE218)</f>
        <v>mod_Express (Electric)</v>
      </c>
      <c r="CG218" s="23" t="str">
        <f aca="false">_xlfn.CONCAT(K218, "_",L218)</f>
        <v>none_RAIL</v>
      </c>
      <c r="CH218" s="7" t="str">
        <f aca="false">_xlfn.CONCAT("{BLACK}Length: {GOLD}", TEXT(ROUNDUP(IF(AT218&lt;&gt;"",SUM(VALUE(_xlfn.TEXTSPLIT(AT218, ","))), SUM(VALUE(_xlfn.TEXTSPLIT(AQ218, ",")))*IF(P218, P218, 1))/16, 1), "#,##0.0"), " tiles{}")</f>
        <v>{BLACK}Length: {GOLD}0.9 tiles{}</v>
      </c>
      <c r="CI218" s="1" t="n">
        <f aca="false">VLOOKUP($CG218, Constants!$M:$N, 2, FALSE())</f>
        <v>0</v>
      </c>
      <c r="CJ218" s="1" t="str">
        <f aca="false">IF(P218&gt;1,_xlfn.CONCAT("{BLACK}Cars: {GOLD}", P218),"")</f>
        <v/>
      </c>
      <c r="CK218" s="1" t="s">
        <v>755</v>
      </c>
      <c r="CL218" s="1" t="str">
        <f aca="false">IF($BX218="!param_no_gameplay_units","{GREEN}Included for gameplay purposes","")</f>
        <v/>
      </c>
      <c r="CM218" s="1" t="str">
        <f aca="false">IF(CA218="buffet","{YELLOW}25% long distance bonus for consist{}",IF(CB218="DANDY","{YELLOW}Faster downhill speeds for horse-drawn trains (1 required per 2 horses){}",IF(CB218="BRAKE","{YELLOW}Speed bonus for slow wagons{}",IF(CB218="NGPassengers","{YELLOW}Preserved railway bonus: passengers pay more when hauled by old locomotives{}",IF(AND(BZ218&gt;190,NOT(AND(L218="NARROW_GAUGE",CB218&lt;&gt;"PASS"))),CONCATENATE("{YELLOW}",INT((BZ218-185)/1.85),"% bonus for long distance travel{}"),IF(AND(BZ218&lt;180,BZ218&lt;&gt;0),CONCATENATE("{YELLOW}",INT((185-BZ218)/1.85),"% penalty for long distance travel{}"),""))))))</f>
        <v>{YELLOW}20% bonus for long distance travel{}</v>
      </c>
      <c r="CN218" s="1" t="str">
        <f aca="false">_xlfn.CONCAT(CI218,IF(CI218&lt;&gt;""," ",""),CJ218,IF(OR(CJ218&lt;&gt;"",CI218&lt;&gt;""),"{}",""),CH218,CM218,"{SILVER}",CK218,IF(CL218&lt;&gt;"","{}{}",""),CL218)</f>
        <v>{BLACK}Length: {GOLD}0.9 tiles{}{YELLOW}20% bonus for long distance travel{}{SILVER}Mark 5A carriage sets include a driving van trailer, enabling loco-hauled trains to be driven from both ends.</v>
      </c>
    </row>
    <row r="219" customFormat="false" ht="14.25" hidden="false" customHeight="false" outlineLevel="0" collapsed="false">
      <c r="A219" s="1" t="s">
        <v>756</v>
      </c>
      <c r="B219" s="15" t="s">
        <v>757</v>
      </c>
      <c r="C219" s="1" t="n">
        <v>223</v>
      </c>
      <c r="E219" s="1" t="n">
        <v>300</v>
      </c>
      <c r="G219" s="1" t="str">
        <f aca="false">IF($F219&lt;&gt;"",_xlfn.CONCAT(VLOOKUP($CE219, Constants!$T:$U, 2, FALSE()),",",$F219),VLOOKUP($CE219, Constants!$T:$U, 2, FALSE()))</f>
        <v>role/passenger</v>
      </c>
      <c r="H219" s="1" t="str">
        <f aca="false">IF($G219&lt;&gt;"",_xlfn.CONCAT(VLOOKUP($CG219, Constants!$M:$P, 4, FALSE()),",",$G219),VLOOKUP($CG219, Constants!$M:$P, 4, FALSE()))</f>
        <v>flag/GB,power/petrol,role/passenger</v>
      </c>
      <c r="I219" s="1" t="s">
        <v>198</v>
      </c>
      <c r="J219" s="1" t="s">
        <v>423</v>
      </c>
      <c r="K219" s="1" t="s">
        <v>758</v>
      </c>
      <c r="L219" s="1" t="s">
        <v>149</v>
      </c>
      <c r="M219" s="1" t="n">
        <v>1903</v>
      </c>
      <c r="O219" s="1" t="n">
        <v>1940</v>
      </c>
      <c r="P219" s="1" t="n">
        <v>1</v>
      </c>
      <c r="Q219" s="1" t="n">
        <v>85</v>
      </c>
      <c r="Z219" s="1" t="n">
        <v>35</v>
      </c>
      <c r="AB219" s="1" t="n">
        <v>5</v>
      </c>
      <c r="AC219" s="1" t="n">
        <v>45</v>
      </c>
      <c r="AD219" s="4" t="n">
        <f aca="false">IF(AND(Z219&gt;0,AC219&gt;0),(AC219/((Z219+AA219)*10)),"")</f>
        <v>0.128571428571429</v>
      </c>
      <c r="AE219" s="1" t="n">
        <v>40</v>
      </c>
      <c r="AF219" s="1" t="n">
        <f aca="false">ROUND(AE219*1.6, 0)</f>
        <v>64</v>
      </c>
      <c r="AI219" s="1" t="n">
        <v>16.7</v>
      </c>
      <c r="AJ219" s="1" t="n">
        <v>16.7</v>
      </c>
      <c r="AK219" s="1" t="n">
        <v>2.59</v>
      </c>
      <c r="AL219" s="1" t="n">
        <v>3.98</v>
      </c>
      <c r="AM219" s="5" t="n">
        <v>48</v>
      </c>
      <c r="AN219" s="1" t="str">
        <f aca="false">CONCATENATE(VLOOKUP(AO219, 'Voxel Sizes'!$A$2:$B$18,2,FALSE()),"x",INT(AK219*15), "x", INT(AL219*15))</f>
        <v>164x38x59</v>
      </c>
      <c r="AO219" s="1" t="n">
        <f aca="false">ROUND(15*((AJ219*10)/256),0)</f>
        <v>10</v>
      </c>
      <c r="AQ219" s="1" t="str">
        <f aca="false">CONCATENATE(VLOOKUP(AO219,Constants!$A$2:$C$16,IF(AP219&lt;&gt;"", 3, 2), FALSE()),IF(AP219&lt;&gt;"",CONCATENATE(",",VLOOKUP(AP219,$B:$AQ,42,FALSE())),""))</f>
        <v>4,2,4</v>
      </c>
      <c r="AU219" s="1" t="s">
        <v>757</v>
      </c>
      <c r="AW219" s="1" t="n">
        <v>1</v>
      </c>
      <c r="BA219" s="1" t="n">
        <v>17</v>
      </c>
      <c r="BB219" s="16" t="n">
        <f aca="false">IF(O219&lt;&gt;"",MAX(16,(O219-M219)+8),"")</f>
        <v>45</v>
      </c>
      <c r="BC219" s="1" t="n">
        <v>-15</v>
      </c>
      <c r="BD219" s="1" t="n">
        <v>-10</v>
      </c>
      <c r="BE219" s="1" t="n">
        <f aca="false">MIN(AE219/150, 1)*30</f>
        <v>8</v>
      </c>
      <c r="BF219" s="1" t="n">
        <f aca="false">MIN(Q219/4000, 1)*20</f>
        <v>0.425</v>
      </c>
      <c r="BG219" s="1" t="n">
        <f aca="false">MIN(AC219/400,1)*20</f>
        <v>2.25</v>
      </c>
      <c r="BH219" s="4" t="n">
        <f aca="false">1-(MAX(M219-1900, 0)/750)</f>
        <v>0.996</v>
      </c>
      <c r="BI219" s="1" t="n">
        <f aca="false">((MAX($P219,1)*MIN($AM219/300,1)))*IF(J219="Wagon",50,10)</f>
        <v>1.6</v>
      </c>
      <c r="BJ219" s="1" t="n">
        <f aca="false">VLOOKUP($K219,Constants!$I:$K, 2, FALSE())</f>
        <v>1.05</v>
      </c>
      <c r="BK219" s="1" t="n">
        <f aca="false">VLOOKUP($K219,Constants!$I:$K, 3, FALSE())*IF(AND(J219="multiple_unit",AE219&lt;110),0.75,1)</f>
        <v>1.425</v>
      </c>
      <c r="BL219" s="1" t="n">
        <f aca="false">INT(POWER(((Constants!$G$2+$BE219+$BF219+$BG219+$BI219)*$BH219)*$BK219, 1.05))+$BD219</f>
        <v>18</v>
      </c>
      <c r="BM219" s="1" t="n">
        <f aca="false">INT(POWER((((Constants!$G$1+$BE219+$BF219+$BG219+$BI219)*($BH219))*$BJ219),IF($J219="wagon",1,1.2)))+$BC219</f>
        <v>40</v>
      </c>
      <c r="BN219" s="17" t="n">
        <f aca="false">BL219*IF($J219="wagon",62.5,781.25)</f>
        <v>14062.5</v>
      </c>
      <c r="BO219" s="17" t="n">
        <f aca="false">BM219*IF($J219="wagon",2.73,81.25)</f>
        <v>3250</v>
      </c>
      <c r="BU219" s="1" t="s">
        <v>759</v>
      </c>
      <c r="BY219" s="1" t="n">
        <v>5</v>
      </c>
      <c r="BZ219" s="1" t="n">
        <v>185</v>
      </c>
      <c r="CC219" s="1" t="s">
        <v>327</v>
      </c>
      <c r="CD219" s="1" t="str">
        <f aca="false">VLOOKUP(M219,Eras!$A$2:$C$10, 2, TRUE())</f>
        <v>edw</v>
      </c>
      <c r="CE219" s="1" t="s">
        <v>760</v>
      </c>
      <c r="CF219" s="1" t="str">
        <f aca="false">CONCATENATE(CD219,"_",CE219)</f>
        <v>edw_DMU (Cheap)</v>
      </c>
      <c r="CG219" s="1" t="str">
        <f aca="false">_xlfn.CONCAT(K219, "_",L219)</f>
        <v>petrol_RAIL</v>
      </c>
      <c r="CH219" s="7" t="str">
        <f aca="false">_xlfn.CONCAT("{BLACK}Length: {GOLD}", TEXT(ROUNDUP(IF(AT219&lt;&gt;"",SUM(VALUE(_xlfn.TEXTSPLIT(AT219, ","))), SUM(VALUE(_xlfn.TEXTSPLIT(AQ219, ",")))*IF(P219, P219, 1))/16, 1), "#,##0.0"), " tiles{}")</f>
        <v>{BLACK}Length: {GOLD}0.7 tiles{}</v>
      </c>
      <c r="CI219" s="1" t="n">
        <f aca="false">VLOOKUP($CG219, Constants!$M:$N, 2, FALSE())</f>
        <v>0</v>
      </c>
      <c r="CJ219" s="1" t="str">
        <f aca="false">IF(P219&gt;1,_xlfn.CONCAT("{BLACK}Cars: {GOLD}", P219),"")</f>
        <v/>
      </c>
      <c r="CK219" s="1" t="s">
        <v>761</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{GOLD}0.7 tiles{}{SILVER}The NER Autocar is a petrol-electric railcar with a petrol engine driving two electric motors. It was the first use of an internal combustion engine in a railway vehicle.</v>
      </c>
    </row>
    <row r="220" customFormat="false" ht="14.25" hidden="false" customHeight="false" outlineLevel="0" collapsed="false">
      <c r="A220" s="1" t="s">
        <v>762</v>
      </c>
      <c r="B220" s="15" t="s">
        <v>763</v>
      </c>
      <c r="C220" s="1" t="n">
        <v>221</v>
      </c>
      <c r="E220" s="1" t="n">
        <v>301</v>
      </c>
      <c r="G220" s="1" t="str">
        <f aca="false">IF($F220&lt;&gt;"",_xlfn.CONCAT(VLOOKUP($CE220, Constants!$T:$U, 2, FALSE()),",",$F220),VLOOKUP($CE220, Constants!$T:$U, 2, FALSE()))</f>
        <v>role/passenger</v>
      </c>
      <c r="H220" s="1" t="str">
        <f aca="false">IF($G220&lt;&gt;"",_xlfn.CONCAT(VLOOKUP($CG220, Constants!$M:$P, 4, FALSE()),",",$G220),VLOOKUP($CG220, Constants!$M:$P, 4, FALSE()))</f>
        <v>flag/GB,power/diesel,role/passenger</v>
      </c>
      <c r="I220" s="1" t="s">
        <v>198</v>
      </c>
      <c r="J220" s="1" t="s">
        <v>423</v>
      </c>
      <c r="K220" s="1" t="s">
        <v>482</v>
      </c>
      <c r="L220" s="1" t="s">
        <v>149</v>
      </c>
      <c r="M220" s="1" t="n">
        <v>1933</v>
      </c>
      <c r="N220" s="1" t="n">
        <v>1942</v>
      </c>
      <c r="O220" s="1" t="n">
        <v>1962</v>
      </c>
      <c r="P220" s="1" t="n">
        <v>1</v>
      </c>
      <c r="Q220" s="1" t="n">
        <v>260</v>
      </c>
      <c r="Z220" s="1" t="n">
        <v>35</v>
      </c>
      <c r="AB220" s="1" t="n">
        <v>5</v>
      </c>
      <c r="AC220" s="1" t="n">
        <v>55</v>
      </c>
      <c r="AD220" s="4" t="n">
        <f aca="false">IF(AND(Z220&gt;0,AC220&gt;0),(AC220/((Z220+AA220)*10)),"")</f>
        <v>0.157142857142857</v>
      </c>
      <c r="AE220" s="1" t="n">
        <v>70</v>
      </c>
      <c r="AF220" s="1" t="n">
        <f aca="false">ROUND(AE220*1.6, 0)</f>
        <v>112</v>
      </c>
      <c r="AI220" s="1" t="n">
        <v>18.4</v>
      </c>
      <c r="AJ220" s="1" t="n">
        <v>17</v>
      </c>
      <c r="AM220" s="5" t="n">
        <v>69</v>
      </c>
      <c r="AN220" s="1" t="str">
        <f aca="false">CONCATENATE(VLOOKUP(AO220, 'Voxel Sizes'!$A$2:$B$18,2,FALSE()),"x",INT(AK220*15), "x", INT(AL220*15))</f>
        <v>164x0x0</v>
      </c>
      <c r="AO220" s="1" t="n">
        <f aca="false">ROUND(15*((AJ220*10)/256),0)</f>
        <v>10</v>
      </c>
      <c r="AQ220" s="1" t="str">
        <f aca="false">CONCATENATE(VLOOKUP(AO220,Constants!$A$2:$C$16,IF(AP220&lt;&gt;"", 3, 2), FALSE()),IF(AP220&lt;&gt;"",CONCATENATE(",",VLOOKUP(AP220,$B:$AQ,42,FALSE())),""))</f>
        <v>4,2,4</v>
      </c>
      <c r="AU220" s="1" t="s">
        <v>763</v>
      </c>
      <c r="AW220" s="1" t="n">
        <v>1</v>
      </c>
      <c r="BA220" s="1" t="n">
        <v>16</v>
      </c>
      <c r="BB220" s="16" t="n">
        <f aca="false">IF(O220&lt;&gt;"",MAX(16,(O220-M220)+8),"")</f>
        <v>37</v>
      </c>
      <c r="BE220" s="1" t="n">
        <f aca="false">MIN(AE220/150, 1)*30</f>
        <v>14</v>
      </c>
      <c r="BF220" s="1" t="n">
        <f aca="false">MIN(Q220/4000, 1)*20</f>
        <v>1.3</v>
      </c>
      <c r="BG220" s="1" t="n">
        <f aca="false">MIN(AC220/400,1)*20</f>
        <v>2.75</v>
      </c>
      <c r="BH220" s="4" t="n">
        <f aca="false">1-(MAX(M220-1900, 0)/750)</f>
        <v>0.956</v>
      </c>
      <c r="BI220" s="1" t="n">
        <f aca="false">((MAX($P220,1)*MIN($AM220/300,1)))*IF(J220="Wagon",50,10)</f>
        <v>2.3</v>
      </c>
      <c r="BJ220" s="1" t="n">
        <f aca="false">VLOOKUP($K220,Constants!$I:$K, 2, FALSE())</f>
        <v>1</v>
      </c>
      <c r="BK220" s="1" t="n">
        <f aca="false">VLOOKUP($K220,Constants!$I:$K, 3, FALSE())*IF(AND(J220="multiple_unit",AE220&lt;110),0.75,1)</f>
        <v>1.5</v>
      </c>
      <c r="BL220" s="1" t="n">
        <f aca="false">INT(POWER(((Constants!$G$2+$BE220+$BF220+$BG220+$BI220)*$BH220)*$BK220, 1.05))+$BD220</f>
        <v>43</v>
      </c>
      <c r="BM220" s="1" t="n">
        <f aca="false">INT(POWER((((Constants!$G$1+$BE220+$BF220+$BG220+$BI220)*($BH220))*$BJ220),IF($J220="wagon",1,1.2)))+$BC220</f>
        <v>68</v>
      </c>
      <c r="BN220" s="17" t="n">
        <f aca="false">BL220*IF($J220="wagon",62.5,781.25)</f>
        <v>33593.75</v>
      </c>
      <c r="BO220" s="17" t="n">
        <f aca="false">BM220*IF($J220="wagon",2.73,81.25)</f>
        <v>5525</v>
      </c>
      <c r="BR220" s="1" t="n">
        <v>1</v>
      </c>
      <c r="BY220" s="1" t="n">
        <v>9</v>
      </c>
      <c r="BZ220" s="1" t="n">
        <v>185</v>
      </c>
      <c r="CC220" s="1" t="s">
        <v>327</v>
      </c>
      <c r="CD220" s="1" t="str">
        <f aca="false">VLOOKUP(M220,Eras!$A$2:$C$10, 2, TRUE())</f>
        <v>big4</v>
      </c>
      <c r="CE220" s="1" t="s">
        <v>760</v>
      </c>
      <c r="CF220" s="1" t="str">
        <f aca="false">CONCATENATE(CD220,"_",CE220)</f>
        <v>big4_DMU (Cheap)</v>
      </c>
      <c r="CG220" s="1" t="str">
        <f aca="false">_xlfn.CONCAT(K220, "_",L220)</f>
        <v>diesel_RAIL</v>
      </c>
      <c r="CH220" s="7" t="str">
        <f aca="false">_xlfn.CONCAT("{BLACK}Length: {GOLD}", TEXT(ROUNDUP(IF(AT220&lt;&gt;"",SUM(VALUE(_xlfn.TEXTSPLIT(AT220, ","))), SUM(VALUE(_xlfn.TEXTSPLIT(AQ220, ",")))*IF(P220, P220, 1))/16, 1), "#,##0.0"), " tiles{}")</f>
        <v>{BLACK}Length: {GOLD}0.7 tiles{}</v>
      </c>
      <c r="CI220" s="1" t="n">
        <f aca="false">VLOOKUP($CG220, Constants!$M:$N, 2, FALSE())</f>
        <v>0</v>
      </c>
      <c r="CJ220" s="1" t="str">
        <f aca="false">IF(P220&gt;1,_xlfn.CONCAT("{BLACK}Cars: {GOLD}", P220),"")</f>
        <v/>
      </c>
      <c r="CK220" s="1" t="s">
        <v>764</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{GOLD}0.7 tiles{}{SILVER}The GWR Railcars used AEC bus hardware in a lightweight streamlined body.</v>
      </c>
    </row>
    <row r="221" customFormat="false" ht="14.25" hidden="false" customHeight="false" outlineLevel="0" collapsed="false">
      <c r="A221" s="1" t="s">
        <v>765</v>
      </c>
      <c r="B221" s="30" t="s">
        <v>766</v>
      </c>
      <c r="C221" s="1" t="n">
        <v>4221</v>
      </c>
      <c r="D221" s="1" t="n">
        <v>221</v>
      </c>
      <c r="E221" s="1" t="n">
        <v>302</v>
      </c>
      <c r="G221" s="1" t="str">
        <f aca="false">IF($F221&lt;&gt;"",_xlfn.CONCAT(VLOOKUP($CE221, Constants!$T:$U, 2, FALSE()),",",$F221),VLOOKUP($CE221, Constants!$T:$U, 2, FALSE()))</f>
        <v>role/passenger</v>
      </c>
      <c r="H221" s="1" t="str">
        <f aca="false">IF($G221&lt;&gt;"",_xlfn.CONCAT(VLOOKUP($CG221, Constants!$M:$P, 4, FALSE()),",",$G221),VLOOKUP($CG221, Constants!$M:$P, 4, FALSE()))</f>
        <v>flag/GB,power/diesel,role/passenger</v>
      </c>
      <c r="I221" s="1" t="s">
        <v>198</v>
      </c>
      <c r="J221" s="1" t="s">
        <v>423</v>
      </c>
      <c r="K221" s="1" t="s">
        <v>482</v>
      </c>
      <c r="L221" s="1" t="s">
        <v>149</v>
      </c>
      <c r="M221" s="1" t="n">
        <v>1933</v>
      </c>
      <c r="N221" s="1" t="n">
        <v>1942</v>
      </c>
      <c r="O221" s="1" t="n">
        <v>1962</v>
      </c>
      <c r="P221" s="1" t="n">
        <v>1</v>
      </c>
      <c r="Q221" s="1" t="n">
        <v>260</v>
      </c>
      <c r="Z221" s="1" t="n">
        <v>35</v>
      </c>
      <c r="AB221" s="1" t="n">
        <v>5</v>
      </c>
      <c r="AC221" s="1" t="n">
        <v>55</v>
      </c>
      <c r="AD221" s="4" t="n">
        <f aca="false">IF(AND(Z221&gt;0,AC221&gt;0),(AC221/((Z221+AA221)*10)),"")</f>
        <v>0.157142857142857</v>
      </c>
      <c r="AE221" s="1" t="n">
        <v>70</v>
      </c>
      <c r="AF221" s="1" t="n">
        <f aca="false">ROUND(AE221*1.6, 0)</f>
        <v>112</v>
      </c>
      <c r="AI221" s="1" t="n">
        <v>18.4</v>
      </c>
      <c r="AJ221" s="1" t="n">
        <v>17</v>
      </c>
      <c r="AM221" s="5" t="n">
        <v>60</v>
      </c>
      <c r="AN221" s="1" t="str">
        <f aca="false">CONCATENATE(VLOOKUP(AO221, 'Voxel Sizes'!$A$2:$B$18,2,FALSE()),"x",INT(AK221*15), "x", INT(AL221*15))</f>
        <v>164x0x0</v>
      </c>
      <c r="AO221" s="1" t="n">
        <f aca="false">ROUND(15*((AJ221*10)/256),0)</f>
        <v>10</v>
      </c>
      <c r="AQ221" s="1" t="str">
        <f aca="false">CONCATENATE(VLOOKUP(AO221,Constants!$A$2:$C$16,IF(AP221&lt;&gt;"", 3, 2), FALSE()),IF(AP221&lt;&gt;"",CONCATENATE(",",VLOOKUP(AP221,$B:$AQ,42,FALSE())),""))</f>
        <v>4,2,4</v>
      </c>
      <c r="AU221" s="1" t="s">
        <v>766</v>
      </c>
      <c r="AW221" s="1" t="n">
        <v>1</v>
      </c>
      <c r="BA221" s="1" t="n">
        <v>16</v>
      </c>
      <c r="BB221" s="16" t="n">
        <f aca="false">IF(O221&lt;&gt;"",MAX(16,(O221-M221)+8),"")</f>
        <v>37</v>
      </c>
      <c r="BE221" s="1" t="n">
        <f aca="false">MIN(AE221/150, 1)*30</f>
        <v>14</v>
      </c>
      <c r="BF221" s="1" t="n">
        <f aca="false">MIN(Q221/4000, 1)*20</f>
        <v>1.3</v>
      </c>
      <c r="BG221" s="1" t="n">
        <f aca="false">MIN(AC221/400,1)*20</f>
        <v>2.75</v>
      </c>
      <c r="BH221" s="4" t="n">
        <f aca="false">1-(MAX(M221-1900, 0)/750)</f>
        <v>0.956</v>
      </c>
      <c r="BI221" s="1" t="n">
        <f aca="false">((MAX($P221,1)*MIN($AM221/300,1)))*IF(J221="Wagon",50,10)</f>
        <v>2</v>
      </c>
      <c r="BJ221" s="1" t="n">
        <f aca="false">VLOOKUP($K221,Constants!$I:$K, 2, FALSE())</f>
        <v>1</v>
      </c>
      <c r="BK221" s="1" t="n">
        <f aca="false">VLOOKUP($K221,Constants!$I:$K, 3, FALSE())*IF(AND(J221="multiple_unit",AE221&lt;110),0.75,1)</f>
        <v>1.5</v>
      </c>
      <c r="BL221" s="1" t="n">
        <f aca="false">INT(POWER(((Constants!$G$2+$BE221+$BF221+$BG221+$BI221)*$BH221)*$BK221, 1.05))+$BD221</f>
        <v>42</v>
      </c>
      <c r="BM221" s="1" t="n">
        <f aca="false">INT(POWER((((Constants!$G$1+$BE221+$BF221+$BG221+$BI221)*($BH221))*$BJ221),IF($J221="wagon",1,1.2)))+$BC221</f>
        <v>67</v>
      </c>
      <c r="BN221" s="17" t="n">
        <f aca="false">BL221*IF($J221="wagon",62.5,781.25)</f>
        <v>32812.5</v>
      </c>
      <c r="BO221" s="17" t="n">
        <f aca="false">BM221*IF($J221="wagon",2.73,81.25)</f>
        <v>5443.75</v>
      </c>
      <c r="BR221" s="1" t="n">
        <v>1</v>
      </c>
      <c r="BY221" s="1" t="n">
        <v>9</v>
      </c>
      <c r="CC221" s="1" t="s">
        <v>662</v>
      </c>
      <c r="CD221" s="1" t="str">
        <f aca="false">VLOOKUP(M221,Eras!$A$2:$C$10, 2, TRUE())</f>
        <v>big4</v>
      </c>
      <c r="CE221" s="1" t="s">
        <v>760</v>
      </c>
      <c r="CF221" s="1" t="str">
        <f aca="false">CONCATENATE(CD221,"_",CE221)</f>
        <v>big4_DMU (Cheap)</v>
      </c>
      <c r="CG221" s="1" t="str">
        <f aca="false">_xlfn.CONCAT(K221, "_",L221)</f>
        <v>diesel_RAIL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767</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tiles{}{SILVER}The GWR Railcars used AEC bus hardware in a lightweight streamlined body. Units 17 and 34 were built for express parcels service.</v>
      </c>
    </row>
    <row r="222" customFormat="false" ht="14.25" hidden="false" customHeight="false" outlineLevel="0" collapsed="false">
      <c r="A222" s="1" t="s">
        <v>762</v>
      </c>
      <c r="B222" s="30" t="s">
        <v>768</v>
      </c>
      <c r="C222" s="1" t="n">
        <v>4222</v>
      </c>
      <c r="D222" s="1" t="n">
        <v>221</v>
      </c>
      <c r="E222" s="1" t="n">
        <v>301</v>
      </c>
      <c r="G222" s="1" t="str">
        <f aca="false">IF($F222&lt;&gt;"",_xlfn.CONCAT(VLOOKUP($CE222, Constants!$T:$U, 2, FALSE()),",",$F222),VLOOKUP($CE222, Constants!$T:$U, 2, FALSE()))</f>
        <v>role/passenger</v>
      </c>
      <c r="H222" s="1" t="str">
        <f aca="false">IF($G222&lt;&gt;"",_xlfn.CONCAT(VLOOKUP($CG222, Constants!$M:$P, 4, FALSE()),",",$G222),VLOOKUP($CG222, Constants!$M:$P, 4, FALSE()))</f>
        <v>flag/GB,power/diesel,role/passenger</v>
      </c>
      <c r="I222" s="1" t="s">
        <v>198</v>
      </c>
      <c r="J222" s="1" t="s">
        <v>423</v>
      </c>
      <c r="K222" s="1" t="s">
        <v>482</v>
      </c>
      <c r="L222" s="1" t="s">
        <v>149</v>
      </c>
      <c r="M222" s="1" t="n">
        <v>1933</v>
      </c>
      <c r="N222" s="1" t="n">
        <v>1942</v>
      </c>
      <c r="O222" s="1" t="n">
        <v>1962</v>
      </c>
      <c r="P222" s="1" t="n">
        <v>2</v>
      </c>
      <c r="Q222" s="1" t="n">
        <v>520</v>
      </c>
      <c r="Z222" s="1" t="n">
        <v>75</v>
      </c>
      <c r="AB222" s="1" t="n">
        <v>5</v>
      </c>
      <c r="AC222" s="1" t="n">
        <v>55</v>
      </c>
      <c r="AD222" s="4" t="n">
        <f aca="false">IF(AND(Z222&gt;0,AC222&gt;0),(AC222/((Z222+AA222)*10)),"")</f>
        <v>0.0733333333333333</v>
      </c>
      <c r="AE222" s="1" t="n">
        <v>70</v>
      </c>
      <c r="AF222" s="1" t="n">
        <f aca="false">ROUND(AE222*1.6, 0)</f>
        <v>112</v>
      </c>
      <c r="AI222" s="1" t="n">
        <v>18.4</v>
      </c>
      <c r="AJ222" s="1" t="n">
        <v>17</v>
      </c>
      <c r="AM222" s="5" t="n">
        <v>69</v>
      </c>
      <c r="AN222" s="1" t="str">
        <f aca="false">CONCATENATE(VLOOKUP(AO222, 'Voxel Sizes'!$A$2:$B$18,2,FALSE()),"x",INT(AK222*15), "x", INT(AL222*15))</f>
        <v>164x0x0</v>
      </c>
      <c r="AO222" s="1" t="n">
        <f aca="false">ROUND(15*((AJ222*10)/256),0)</f>
        <v>10</v>
      </c>
      <c r="AQ222" s="1" t="str">
        <f aca="false">CONCATENATE(VLOOKUP(AO222,Constants!$A$2:$C$16,IF(AP222&lt;&gt;"", 3, 2), FALSE()),IF(AP222&lt;&gt;"",CONCATENATE(",",VLOOKUP(AP222,$B:$AQ,42,FALSE())),""))</f>
        <v>4,2,4</v>
      </c>
      <c r="AU222" s="1" t="s">
        <v>769</v>
      </c>
      <c r="AW222" s="1" t="s">
        <v>770</v>
      </c>
      <c r="BA222" s="1" t="n">
        <v>16</v>
      </c>
      <c r="BB222" s="16" t="n">
        <f aca="false">IF(O222&lt;&gt;"",MAX(16,(O222-M222)+8),"")</f>
        <v>37</v>
      </c>
      <c r="BE222" s="1" t="n">
        <f aca="false">MIN(AE222/150, 1)*30</f>
        <v>14</v>
      </c>
      <c r="BF222" s="1" t="n">
        <f aca="false">MIN(Q222/4000, 1)*20</f>
        <v>2.6</v>
      </c>
      <c r="BG222" s="1" t="n">
        <f aca="false">MIN(AC222/400,1)*20</f>
        <v>2.75</v>
      </c>
      <c r="BH222" s="4" t="n">
        <f aca="false">1-(MAX(M222-1900, 0)/750)</f>
        <v>0.956</v>
      </c>
      <c r="BI222" s="1" t="n">
        <f aca="false">((MAX($P222,1)*MIN($AM222/300,1)))*IF(J222="Wagon",50,10)</f>
        <v>4.6</v>
      </c>
      <c r="BJ222" s="1" t="n">
        <f aca="false">VLOOKUP($K222,Constants!$I:$K, 2, FALSE())</f>
        <v>1</v>
      </c>
      <c r="BK222" s="1" t="n">
        <f aca="false">VLOOKUP($K222,Constants!$I:$K, 3, FALSE())*IF(AND(J222="multiple_unit",AE222&lt;110),0.75,1)</f>
        <v>1.5</v>
      </c>
      <c r="BL222" s="1" t="n">
        <f aca="false">INT(POWER(((Constants!$G$2+$BE222+$BF222+$BG222+$BI222)*$BH222)*$BK222, 1.05))+$BD222</f>
        <v>50</v>
      </c>
      <c r="BM222" s="1" t="n">
        <f aca="false">INT(POWER((((Constants!$G$1+$BE222+$BF222+$BG222+$BI222)*($BH222))*$BJ222),IF($J222="wagon",1,1.2)))+$BC222</f>
        <v>76</v>
      </c>
      <c r="BN222" s="17" t="n">
        <f aca="false">BL222*IF($J222="wagon",62.5,781.25)</f>
        <v>39062.5</v>
      </c>
      <c r="BO222" s="17" t="n">
        <f aca="false">BM222*IF($J222="wagon",2.73,81.25)</f>
        <v>6175</v>
      </c>
      <c r="BR222" s="1" t="n">
        <v>1</v>
      </c>
      <c r="BY222" s="1" t="n">
        <v>9</v>
      </c>
      <c r="BZ222" s="1" t="n">
        <v>185</v>
      </c>
      <c r="CC222" s="1" t="s">
        <v>327</v>
      </c>
      <c r="CD222" s="1" t="str">
        <f aca="false">VLOOKUP(M222,Eras!$A$2:$C$10, 2, TRUE())</f>
        <v>big4</v>
      </c>
      <c r="CE222" s="1" t="s">
        <v>760</v>
      </c>
      <c r="CF222" s="1" t="str">
        <f aca="false">CONCATENATE(CD222,"_",CE222)</f>
        <v>big4_DMU (Cheap)</v>
      </c>
      <c r="CG222" s="1" t="str">
        <f aca="false">_xlfn.CONCAT(K222, "_",L222)</f>
        <v>diesel_RAIL</v>
      </c>
      <c r="CH222" s="7" t="str">
        <f aca="false">_xlfn.CONCAT("{BLACK}Length: {GOLD}", TEXT(ROUNDUP(IF(AT222&lt;&gt;"",SUM(VALUE(_xlfn.TEXTSPLIT(AT222, ","))), SUM(VALUE(_xlfn.TEXTSPLIT(AQ222, ",")))*IF(P222, P222, 1))/16, 1), "#,##0.0"), " tiles{}")</f>
        <v>{BLACK}Length: {GOLD}1.3 tiles{}</v>
      </c>
      <c r="CI222" s="1" t="n">
        <f aca="false">VLOOKUP($CG222, Constants!$M:$N, 2, FALSE())</f>
        <v>0</v>
      </c>
      <c r="CJ222" s="1" t="str">
        <f aca="false">IF(P222&gt;1,_xlfn.CONCAT("{BLACK}Cars: {GOLD}", P222),"")</f>
        <v>{BLACK}Cars: {GOLD}2</v>
      </c>
      <c r="CK222" s="1" t="s">
        <v>771</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{BLACK}Cars: {GOLD}2{}{BLACK}Length: {GOLD}1.3 tiles{}{SILVER}The GWR Railcars used AEC bus hardware in a lightweight streamlined body. Railcars 35 to 38 were built as power twin pairs.</v>
      </c>
    </row>
    <row r="223" customFormat="false" ht="14.25" hidden="false" customHeight="false" outlineLevel="0" collapsed="false">
      <c r="A223" s="1" t="s">
        <v>762</v>
      </c>
      <c r="B223" s="30" t="s">
        <v>772</v>
      </c>
      <c r="C223" s="1" t="n">
        <v>4223</v>
      </c>
      <c r="D223" s="1" t="n">
        <v>221</v>
      </c>
      <c r="E223" s="1" t="n">
        <v>301</v>
      </c>
      <c r="G223" s="1" t="str">
        <f aca="false">IF($F223&lt;&gt;"",_xlfn.CONCAT(VLOOKUP($CE223, Constants!$T:$U, 2, FALSE()),",",$F223),VLOOKUP($CE223, Constants!$T:$U, 2, FALSE()))</f>
        <v>role/passenger</v>
      </c>
      <c r="H223" s="1" t="str">
        <f aca="false">IF($G223&lt;&gt;"",_xlfn.CONCAT(VLOOKUP($CG223, Constants!$M:$P, 4, FALSE()),",",$G223),VLOOKUP($CG223, Constants!$M:$P, 4, FALSE()))</f>
        <v>flag/GB,power/diesel,role/passenger</v>
      </c>
      <c r="I223" s="1" t="s">
        <v>198</v>
      </c>
      <c r="J223" s="1" t="s">
        <v>423</v>
      </c>
      <c r="K223" s="1" t="s">
        <v>482</v>
      </c>
      <c r="L223" s="1" t="s">
        <v>149</v>
      </c>
      <c r="M223" s="1" t="n">
        <v>1933</v>
      </c>
      <c r="N223" s="1" t="n">
        <v>1942</v>
      </c>
      <c r="O223" s="1" t="n">
        <v>1962</v>
      </c>
      <c r="P223" s="1" t="n">
        <v>3</v>
      </c>
      <c r="Q223" s="1" t="n">
        <v>520</v>
      </c>
      <c r="Z223" s="1" t="n">
        <v>100</v>
      </c>
      <c r="AB223" s="1" t="n">
        <v>5</v>
      </c>
      <c r="AC223" s="1" t="n">
        <v>55</v>
      </c>
      <c r="AD223" s="4" t="n">
        <f aca="false">IF(AND(Z223&gt;0,AC223&gt;0),(AC223/((Z223+AA223)*10)),"")</f>
        <v>0.055</v>
      </c>
      <c r="AE223" s="1" t="n">
        <v>70</v>
      </c>
      <c r="AF223" s="1" t="n">
        <f aca="false">ROUND(AE223*1.6, 0)</f>
        <v>112</v>
      </c>
      <c r="AI223" s="1" t="n">
        <v>18.4</v>
      </c>
      <c r="AJ223" s="1" t="n">
        <v>17</v>
      </c>
      <c r="AM223" s="5" t="n">
        <v>69</v>
      </c>
      <c r="AN223" s="1" t="str">
        <f aca="false">CONCATENATE(VLOOKUP(AO223, 'Voxel Sizes'!$A$2:$B$18,2,FALSE()),"x",INT(AK223*15), "x", INT(AL223*15))</f>
        <v>164x0x0</v>
      </c>
      <c r="AO223" s="1" t="n">
        <f aca="false">ROUND(15*((AJ223*10)/256),0)</f>
        <v>10</v>
      </c>
      <c r="AQ223" s="1" t="str">
        <f aca="false">CONCATENATE(VLOOKUP(AO223,Constants!$A$2:$C$16,IF(AP223&lt;&gt;"", 3, 2), FALSE()),IF(AP223&lt;&gt;"",CONCATENATE(",",VLOOKUP(AP223,$B:$AQ,42,FALSE())),""))</f>
        <v>4,2,4</v>
      </c>
      <c r="AU223" s="1" t="s">
        <v>773</v>
      </c>
      <c r="AW223" s="1" t="s">
        <v>774</v>
      </c>
      <c r="AX223" s="25" t="s">
        <v>768</v>
      </c>
      <c r="BA223" s="1" t="n">
        <v>16</v>
      </c>
      <c r="BB223" s="16" t="n">
        <f aca="false">IF(O223&lt;&gt;"",MAX(16,(O223-M223)+8),"")</f>
        <v>37</v>
      </c>
      <c r="BE223" s="1" t="n">
        <f aca="false">MIN(AE223/150, 1)*30</f>
        <v>14</v>
      </c>
      <c r="BF223" s="1" t="n">
        <f aca="false">MIN(Q223/4000, 1)*20</f>
        <v>2.6</v>
      </c>
      <c r="BG223" s="1" t="n">
        <f aca="false">MIN(AC223/400,1)*20</f>
        <v>2.75</v>
      </c>
      <c r="BH223" s="4" t="n">
        <f aca="false">1-(MAX(M223-1900, 0)/750)</f>
        <v>0.956</v>
      </c>
      <c r="BI223" s="1" t="n">
        <f aca="false">((MAX($P223,1)*MIN($AM223/300,1)))*IF(J223="Wagon",50,10)</f>
        <v>6.9</v>
      </c>
      <c r="BJ223" s="1" t="n">
        <f aca="false">VLOOKUP($K223,Constants!$I:$K, 2, FALSE())</f>
        <v>1</v>
      </c>
      <c r="BK223" s="1" t="n">
        <f aca="false">VLOOKUP($K223,Constants!$I:$K, 3, FALSE())*IF(AND(J223="multiple_unit",AE223&lt;110),0.75,1)</f>
        <v>1.5</v>
      </c>
      <c r="BL223" s="1" t="n">
        <f aca="false">INT(POWER(((Constants!$G$2+$BE223+$BF223+$BG223+$BI223)*$BH223)*$BK223, 1.05))+$BD223</f>
        <v>54</v>
      </c>
      <c r="BM223" s="1" t="n">
        <f aca="false">INT(POWER((((Constants!$G$1+$BE223+$BF223+$BG223+$BI223)*($BH223))*$BJ223),IF($J223="wagon",1,1.2)))+$BC223</f>
        <v>82</v>
      </c>
      <c r="BN223" s="17" t="n">
        <f aca="false">BL223*IF($J223="wagon",62.5,781.25)</f>
        <v>42187.5</v>
      </c>
      <c r="BO223" s="17" t="n">
        <f aca="false">BM223*IF($J223="wagon",2.73,81.25)</f>
        <v>6662.5</v>
      </c>
      <c r="BR223" s="1" t="n">
        <v>1</v>
      </c>
      <c r="BY223" s="1" t="n">
        <v>9</v>
      </c>
      <c r="BZ223" s="1" t="n">
        <v>185</v>
      </c>
      <c r="CC223" s="1" t="s">
        <v>327</v>
      </c>
      <c r="CD223" s="1" t="str">
        <f aca="false">VLOOKUP(M223,Eras!$A$2:$C$10, 2, TRUE())</f>
        <v>big4</v>
      </c>
      <c r="CE223" s="1" t="s">
        <v>760</v>
      </c>
      <c r="CF223" s="1" t="str">
        <f aca="false">CONCATENATE(CD223,"_",CE223)</f>
        <v>big4_DMU (Cheap)</v>
      </c>
      <c r="CG223" s="1" t="str">
        <f aca="false">_xlfn.CONCAT(K223, "_",L223)</f>
        <v>diesel_RAIL</v>
      </c>
      <c r="CH223" s="7" t="str">
        <f aca="false">_xlfn.CONCAT("{BLACK}Length: {GOLD}", TEXT(ROUNDUP(IF(AT223&lt;&gt;"",SUM(VALUE(_xlfn.TEXTSPLIT(AT223, ","))), SUM(VALUE(_xlfn.TEXTSPLIT(AQ223, ",")))*IF(P223, P223, 1))/16, 1), "#,##0.0"), " tiles{}")</f>
        <v>{BLACK}Length: {GOLD}1.9 tiles{}</v>
      </c>
      <c r="CI223" s="1" t="n">
        <f aca="false">VLOOKUP($CG223, Constants!$M:$N, 2, FALSE())</f>
        <v>0</v>
      </c>
      <c r="CJ223" s="1" t="str">
        <f aca="false">IF(P223&gt;1,_xlfn.CONCAT("{BLACK}Cars: {GOLD}", P223),"")</f>
        <v>{BLACK}Cars: {GOLD}3</v>
      </c>
      <c r="CK223" s="1" t="s">
        <v>775</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{BLACK}Cars: {GOLD}3{}{BLACK}Length: {GOLD}1.9 tiles{}{SILVER}The GWR Railcars used AEC bus hardware in a lightweight streamlined body. Railcars 35 to 38 were built as power twin pairs and were capable of being strengthened with additional carriages.</v>
      </c>
    </row>
    <row r="224" customFormat="false" ht="14.25" hidden="false" customHeight="false" outlineLevel="0" collapsed="false">
      <c r="A224" s="1" t="s">
        <v>776</v>
      </c>
      <c r="B224" s="15" t="s">
        <v>777</v>
      </c>
      <c r="C224" s="1" t="n">
        <v>222</v>
      </c>
      <c r="E224" s="1" t="n">
        <v>303</v>
      </c>
      <c r="G224" s="1" t="str">
        <f aca="false">IF($F224&lt;&gt;"",_xlfn.CONCAT(VLOOKUP($CE224, Constants!$T:$U, 2, FALSE()),",",$F224),VLOOKUP($CE224, Constants!$T:$U, 2, FALSE()))</f>
        <v>role/passenger</v>
      </c>
      <c r="H224" s="1" t="str">
        <f aca="false">IF($G224&lt;&gt;"",_xlfn.CONCAT(VLOOKUP($CG224, Constants!$M:$P, 4, FALSE()),",",$G224),VLOOKUP($CG224, Constants!$M:$P, 4, FALSE()))</f>
        <v>flag/GB,power/diesel,role/passenger</v>
      </c>
      <c r="I224" s="1" t="s">
        <v>198</v>
      </c>
      <c r="J224" s="1" t="s">
        <v>423</v>
      </c>
      <c r="K224" s="1" t="s">
        <v>482</v>
      </c>
      <c r="L224" s="1" t="s">
        <v>149</v>
      </c>
      <c r="M224" s="1" t="n">
        <v>1956</v>
      </c>
      <c r="N224" s="1" t="n">
        <v>1960</v>
      </c>
      <c r="O224" s="1" t="n">
        <v>2003</v>
      </c>
      <c r="P224" s="1" t="n">
        <v>2</v>
      </c>
      <c r="Q224" s="1" t="n">
        <v>600</v>
      </c>
      <c r="Z224" s="1" t="n">
        <f aca="false">32.5+25</f>
        <v>57.5</v>
      </c>
      <c r="AB224" s="1" t="n">
        <v>5</v>
      </c>
      <c r="AC224" s="1" t="n">
        <v>85</v>
      </c>
      <c r="AD224" s="4" t="n">
        <f aca="false">IF(AND(Z224&gt;0,AC224&gt;0),(AC224/((Z224+AA224)*10)),"")</f>
        <v>0.147826086956522</v>
      </c>
      <c r="AE224" s="1" t="n">
        <v>70</v>
      </c>
      <c r="AF224" s="1" t="n">
        <f aca="false">ROUND(AE224*1.6, 0)</f>
        <v>112</v>
      </c>
      <c r="AI224" s="1" t="n">
        <v>17.37</v>
      </c>
      <c r="AJ224" s="1" t="n">
        <v>17.37</v>
      </c>
      <c r="AL224" s="1" t="n">
        <v>3.77</v>
      </c>
      <c r="AM224" s="5" t="n">
        <v>51</v>
      </c>
      <c r="AN224" s="1" t="str">
        <f aca="false">CONCATENATE(VLOOKUP(AO224, 'Voxel Sizes'!$A$2:$B$18,2,FALSE()),"x",INT(AK224*15), "x", INT(AL224*15))</f>
        <v>164x0x56</v>
      </c>
      <c r="AO224" s="1" t="n">
        <f aca="false">ROUND(15*((AJ224*10)/256),0)</f>
        <v>10</v>
      </c>
      <c r="AQ224" s="1" t="str">
        <f aca="false">CONCATENATE(VLOOKUP(AO224,Constants!$A$2:$C$16,IF(AP224&lt;&gt;"", 3, 2), FALSE()),IF(AP224&lt;&gt;"",CONCATENATE(",",VLOOKUP(AP224,$B:$AQ,42,FALSE())),""))</f>
        <v>4,2,4</v>
      </c>
      <c r="AU224" s="1" t="s">
        <v>778</v>
      </c>
      <c r="AW224" s="1" t="s">
        <v>770</v>
      </c>
      <c r="BA224" s="1" t="n">
        <v>45</v>
      </c>
      <c r="BB224" s="16" t="n">
        <f aca="false">IF(O224&lt;&gt;"",MAX(16,(O224-M224)+8),"")</f>
        <v>55</v>
      </c>
      <c r="BC224" s="1" t="n">
        <v>-10</v>
      </c>
      <c r="BD224" s="1" t="n">
        <v>-15</v>
      </c>
      <c r="BE224" s="1" t="n">
        <f aca="false">MIN(AE224/150, 1)*30</f>
        <v>14</v>
      </c>
      <c r="BF224" s="1" t="n">
        <f aca="false">MIN(Q224/4000, 1)*20</f>
        <v>3</v>
      </c>
      <c r="BG224" s="1" t="n">
        <f aca="false">MIN(AC224/400,1)*20</f>
        <v>4.25</v>
      </c>
      <c r="BH224" s="4" t="n">
        <f aca="false">1-(MAX(M224-1900, 0)/750)</f>
        <v>0.925333333333333</v>
      </c>
      <c r="BI224" s="1" t="n">
        <f aca="false">((MAX($P224,1)*MIN($AM224/300,1)))*IF(J224="Wagon",50,10)</f>
        <v>3.4</v>
      </c>
      <c r="BJ224" s="1" t="n">
        <f aca="false">VLOOKUP($K224,Constants!$I:$K, 2, FALSE())</f>
        <v>1</v>
      </c>
      <c r="BK224" s="1" t="n">
        <f aca="false">VLOOKUP($K224,Constants!$I:$K, 3, FALSE())*IF(AND(J224="multiple_unit",AE224&lt;110),0.75,1)</f>
        <v>1.5</v>
      </c>
      <c r="BL224" s="1" t="n">
        <f aca="false">INT(POWER(((Constants!$G$2+$BE224+$BF224+$BG224+$BI224)*$BH224)*$BK224, 1.05))+$BD224</f>
        <v>34</v>
      </c>
      <c r="BM224" s="1" t="n">
        <f aca="false">INT(POWER((((Constants!$G$1+$BE224+$BF224+$BG224+$BI224)*($BH224))*$BJ224),IF($J224="wagon",1,1.2)))+$BC224</f>
        <v>65</v>
      </c>
      <c r="BN224" s="17" t="n">
        <f aca="false">BL224*IF($J224="wagon",62.5,781.25)</f>
        <v>26562.5</v>
      </c>
      <c r="BO224" s="17" t="n">
        <f aca="false">BM224*IF($J224="wagon",2.73,81.25)</f>
        <v>5281.25</v>
      </c>
      <c r="BY224" s="1" t="n">
        <v>2</v>
      </c>
      <c r="CC224" s="1" t="s">
        <v>327</v>
      </c>
      <c r="CD224" s="1" t="str">
        <f aca="false">VLOOKUP(M224,Eras!$A$2:$C$10, 2, TRUE())</f>
        <v>dsl</v>
      </c>
      <c r="CE224" s="1" t="s">
        <v>779</v>
      </c>
      <c r="CF224" s="1" t="str">
        <f aca="false">CONCATENATE(CD224,"_",CE224)</f>
        <v>dsl_DMU</v>
      </c>
      <c r="CG224" s="1" t="str">
        <f aca="false">_xlfn.CONCAT(K224, "_",L224)</f>
        <v>diesel_RAIL</v>
      </c>
      <c r="CH224" s="7" t="str">
        <f aca="false">_xlfn.CONCAT("{BLACK}Length: {GOLD}", TEXT(ROUNDUP(IF(AT224&lt;&gt;"",SUM(VALUE(_xlfn.TEXTSPLIT(AT224, ","))), SUM(VALUE(_xlfn.TEXTSPLIT(AQ224, ",")))*IF(P224, P224, 1))/16, 1), "#,##0.0"), " tiles{}")</f>
        <v>{BLACK}Length: {GOLD}1.3 tiles{}</v>
      </c>
      <c r="CI224" s="1" t="n">
        <f aca="false">VLOOKUP($CG224, Constants!$M:$N, 2, FALSE())</f>
        <v>0</v>
      </c>
      <c r="CJ224" s="1" t="str">
        <f aca="false">IF(P224&gt;1,_xlfn.CONCAT("{BLACK}Cars: {GOLD}", P224),"")</f>
        <v>{BLACK}Cars: {GOLD}2</v>
      </c>
      <c r="CK224" s="1" t="s">
        <v>780</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{BLACK}Cars: {GOLD}2{}{BLACK}Length: {GOLD}1.3 tiles{}{SILVER}The Class 101 has a four speed gearbox with a manual shift. It was exceptionally long-lived, the final examples being retired in December 2003.</v>
      </c>
    </row>
    <row r="225" s="25" customFormat="true" ht="14.25" hidden="false" customHeight="false" outlineLevel="0" collapsed="false">
      <c r="A225" s="25" t="s">
        <v>781</v>
      </c>
      <c r="B225" s="26" t="s">
        <v>782</v>
      </c>
      <c r="C225" s="1" t="n">
        <v>3010</v>
      </c>
      <c r="E225" s="1" t="n">
        <v>304</v>
      </c>
      <c r="G225" s="1" t="str">
        <f aca="false">IF($F225&lt;&gt;"",_xlfn.CONCAT(VLOOKUP($CE225, Constants!$T:$U, 2, FALSE()),",",$F225),VLOOKUP($CE225, Constants!$T:$U, 2, FALSE()))</f>
        <v>role/passenger</v>
      </c>
      <c r="H225" s="1" t="str">
        <f aca="false">IF($G225&lt;&gt;"",_xlfn.CONCAT(VLOOKUP($CG225, Constants!$M:$P, 4, FALSE()),",",$G225),VLOOKUP($CG225, Constants!$M:$P, 4, FALSE()))</f>
        <v>flag/GB,power/electric,role/passenger</v>
      </c>
      <c r="I225" s="25" t="s">
        <v>198</v>
      </c>
      <c r="J225" s="25" t="s">
        <v>423</v>
      </c>
      <c r="K225" s="25" t="s">
        <v>349</v>
      </c>
      <c r="L225" s="25" t="s">
        <v>350</v>
      </c>
      <c r="M225" s="25" t="n">
        <v>1907</v>
      </c>
      <c r="O225" s="25" t="n">
        <v>1955</v>
      </c>
      <c r="P225" s="25" t="n">
        <v>1</v>
      </c>
      <c r="Q225" s="25" t="n">
        <v>360</v>
      </c>
      <c r="R225" s="2"/>
      <c r="S225" s="3"/>
      <c r="T225" s="3"/>
      <c r="U225" s="3"/>
      <c r="V225" s="3"/>
      <c r="W225" s="3"/>
      <c r="X225" s="3"/>
      <c r="Y225" s="3"/>
      <c r="Z225" s="25" t="n">
        <v>37.5</v>
      </c>
      <c r="AA225" s="2"/>
      <c r="AB225" s="25" t="n">
        <v>5</v>
      </c>
      <c r="AC225" s="25" t="n">
        <v>48</v>
      </c>
      <c r="AD225" s="4" t="n">
        <f aca="false">IF(AND(Z225&gt;0,AC225&gt;0),(AC225/((Z225+AA225)*10)),"")</f>
        <v>0.128</v>
      </c>
      <c r="AE225" s="25" t="n">
        <v>60</v>
      </c>
      <c r="AF225" s="25" t="n">
        <f aca="false">ROUND(AE225*1.6, 0)</f>
        <v>96</v>
      </c>
      <c r="AJ225" s="25" t="n">
        <v>17</v>
      </c>
      <c r="AM225" s="5" t="n">
        <v>42</v>
      </c>
      <c r="AN225" s="1" t="str">
        <f aca="false">CONCATENATE(VLOOKUP(AO225, '[1]Voxel Sizes'!$A$2:$B$18,2,FALSE()),"x",INT(AK225*15), "x", INT(AL225*15))</f>
        <v>164x0x0</v>
      </c>
      <c r="AO225" s="25" t="n">
        <f aca="false">ROUND(15*((AJ225*10)/256),0)</f>
        <v>10</v>
      </c>
      <c r="AQ225" s="1" t="str">
        <f aca="false">CONCATENATE(VLOOKUP(AO225,Constants!$A$2:$C$16,IF(AP225&lt;&gt;"", 3, 2), FALSE()),IF(AP225&lt;&gt;"",CONCATENATE(",",VLOOKUP(AP225,$B:$AQ,42,FALSE())),""))</f>
        <v>4,2,4</v>
      </c>
      <c r="AS225" s="6"/>
      <c r="AT225" s="6"/>
      <c r="AU225" s="25" t="s">
        <v>783</v>
      </c>
      <c r="AW225" s="25" t="n">
        <v>1</v>
      </c>
      <c r="AX225" s="25" t="s">
        <v>783</v>
      </c>
      <c r="BA225" s="25" t="n">
        <v>25</v>
      </c>
      <c r="BB225" s="16" t="n">
        <f aca="false">IF(O225&lt;&gt;"",MAX(16,(O225-M225)+8),"")</f>
        <v>56</v>
      </c>
      <c r="BC225" s="25" t="n">
        <v>-10</v>
      </c>
      <c r="BD225" s="25" t="n">
        <v>-25</v>
      </c>
      <c r="BE225" s="25" t="n">
        <f aca="false">MIN(AE225/150, 1)*30</f>
        <v>12</v>
      </c>
      <c r="BF225" s="25" t="n">
        <f aca="false">MIN(Q225/4000, 1)*20</f>
        <v>1.8</v>
      </c>
      <c r="BG225" s="25" t="n">
        <f aca="false">MIN(AC225/400,1)*20</f>
        <v>2.4</v>
      </c>
      <c r="BH225" s="4" t="n">
        <f aca="false">1-(MAX(M225-1900, 0)/750)</f>
        <v>0.990666666666667</v>
      </c>
      <c r="BI225" s="25" t="n">
        <f aca="false">((MAX($P225,1)*MIN($AM225/300,1)))*IF(J225="Wagon",50,10)</f>
        <v>1.4</v>
      </c>
      <c r="BJ225" s="1" t="n">
        <f aca="false">VLOOKUP($K225,Constants!$I:$K, 2, FALSE())</f>
        <v>0.85</v>
      </c>
      <c r="BK225" s="1" t="n">
        <f aca="false">VLOOKUP($K225,Constants!$I:$K, 3, FALSE())*IF(AND(J225="multiple_unit",AE225&lt;110),0.75,1)</f>
        <v>1.725</v>
      </c>
      <c r="BL225" s="25" t="n">
        <v>21</v>
      </c>
      <c r="BM225" s="25" t="n">
        <v>43</v>
      </c>
      <c r="BN225" s="17" t="n">
        <f aca="false">BL225*IF($J225="wagon",62.5,781.25)</f>
        <v>16406.25</v>
      </c>
      <c r="BO225" s="17" t="n">
        <f aca="false">BM225*IF($J225="wagon",2.73,81.25)</f>
        <v>3493.75</v>
      </c>
      <c r="BU225" s="25" t="s">
        <v>784</v>
      </c>
      <c r="BY225" s="25" t="n">
        <v>6</v>
      </c>
      <c r="BZ225" s="25" t="n">
        <v>185</v>
      </c>
      <c r="CC225" s="25" t="s">
        <v>327</v>
      </c>
      <c r="CD225" s="25" t="s">
        <v>343</v>
      </c>
      <c r="CE225" s="25" t="s">
        <v>785</v>
      </c>
      <c r="CF225" s="25" t="str">
        <f aca="false">CONCATENATE(CD225,"_",CE225)</f>
        <v>edw_EMU</v>
      </c>
      <c r="CG225" s="25" t="str">
        <f aca="false">_xlfn.CONCAT(K225, "_",L225)</f>
        <v>electric_ELRL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25" t="s">
        <v>786</v>
      </c>
      <c r="CM225" s="25" t="str">
        <f aca="false">IF($BY225="!param_no_gameplay_units","{GREEN}Included for gameplay purposes","")</f>
        <v/>
      </c>
      <c r="CN225" s="25" t="str">
        <f aca="false">_xlfn.CONCAT(CI225,IF(CI225 &lt;&gt; "", " ", ""),CJ225,IF(OR(CJ225&lt;&gt;"", CI225&lt;&gt;""), "{}",""), CH225, CM225,"{SILVER}", CK225)</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26" s="25" customFormat="true" ht="14.25" hidden="false" customHeight="false" outlineLevel="0" collapsed="false">
      <c r="A226" s="25" t="s">
        <v>787</v>
      </c>
      <c r="B226" s="26" t="s">
        <v>788</v>
      </c>
      <c r="C226" s="1" t="n">
        <v>3011</v>
      </c>
      <c r="D226" s="25" t="n">
        <v>3010</v>
      </c>
      <c r="E226" s="1" t="n">
        <v>305</v>
      </c>
      <c r="G226" s="1" t="str">
        <f aca="false">IF($F226&lt;&gt;"",_xlfn.CONCAT(VLOOKUP($CE226, Constants!$T:$U, 2, FALSE()),",",$F226),VLOOKUP($CE226, Constants!$T:$U, 2, FALSE()))</f>
        <v>role/passenger</v>
      </c>
      <c r="H226" s="1" t="str">
        <f aca="false">IF($G226&lt;&gt;"",_xlfn.CONCAT(VLOOKUP($CG226, Constants!$M:$P, 4, FALSE()),",",$G226),VLOOKUP($CG226, Constants!$M:$P, 4, FALSE()))</f>
        <v>flag/GB,power/electric,role/passenger</v>
      </c>
      <c r="I226" s="25" t="s">
        <v>198</v>
      </c>
      <c r="J226" s="25" t="s">
        <v>423</v>
      </c>
      <c r="K226" s="25" t="s">
        <v>349</v>
      </c>
      <c r="L226" s="25" t="s">
        <v>350</v>
      </c>
      <c r="M226" s="25" t="n">
        <v>1907</v>
      </c>
      <c r="O226" s="25" t="n">
        <v>1955</v>
      </c>
      <c r="P226" s="25" t="n">
        <v>2</v>
      </c>
      <c r="Q226" s="25" t="n">
        <v>360</v>
      </c>
      <c r="R226" s="2"/>
      <c r="S226" s="3"/>
      <c r="T226" s="3"/>
      <c r="U226" s="3"/>
      <c r="V226" s="3"/>
      <c r="W226" s="3"/>
      <c r="X226" s="3"/>
      <c r="Y226" s="3"/>
      <c r="Z226" s="25" t="n">
        <f aca="false">37.5+31</f>
        <v>68.5</v>
      </c>
      <c r="AA226" s="2"/>
      <c r="AB226" s="25" t="n">
        <v>5</v>
      </c>
      <c r="AC226" s="25" t="n">
        <v>48</v>
      </c>
      <c r="AD226" s="4" t="n">
        <f aca="false">IF(AND(Z226&gt;0,AC226&gt;0),(AC226/((Z226+AA226)*10)),"")</f>
        <v>0.0700729927007299</v>
      </c>
      <c r="AE226" s="25" t="n">
        <v>60</v>
      </c>
      <c r="AF226" s="25" t="n">
        <f aca="false">ROUND(AE226*1.6, 0)</f>
        <v>96</v>
      </c>
      <c r="AJ226" s="25" t="n">
        <v>17</v>
      </c>
      <c r="AM226" s="5" t="n">
        <v>47</v>
      </c>
      <c r="AN226" s="1" t="str">
        <f aca="false">CONCATENATE(VLOOKUP(AO226, '[1]Voxel Sizes'!$A$2:$B$18,2,FALSE()),"x",INT(AK226*15), "x", INT(AL226*15))</f>
        <v>164x0x0</v>
      </c>
      <c r="AO226" s="25" t="n">
        <f aca="false">ROUND(15*((AJ226*10)/256),0)</f>
        <v>10</v>
      </c>
      <c r="AQ226" s="1" t="str">
        <f aca="false">CONCATENATE(VLOOKUP(AO226,Constants!$A$2:$C$16,IF(AP226&lt;&gt;"", 3, 2), FALSE()),IF(AP226&lt;&gt;"",CONCATENATE(",",VLOOKUP(AP226,$B:$AQ,42,FALSE())),""))</f>
        <v>4,2,4</v>
      </c>
      <c r="AS226" s="6"/>
      <c r="AT226" s="6"/>
      <c r="AU226" s="25" t="s">
        <v>789</v>
      </c>
      <c r="AW226" s="25" t="s">
        <v>790</v>
      </c>
      <c r="AX226" s="25" t="s">
        <v>791</v>
      </c>
      <c r="BA226" s="25" t="n">
        <v>25</v>
      </c>
      <c r="BB226" s="16" t="n">
        <f aca="false">IF(O226&lt;&gt;"",MAX(16,(O226-M226)+8),"")</f>
        <v>56</v>
      </c>
      <c r="BC226" s="25" t="n">
        <v>-10</v>
      </c>
      <c r="BD226" s="25" t="n">
        <v>-25</v>
      </c>
      <c r="BE226" s="25" t="n">
        <f aca="false">MIN(AE226/150, 1)*30</f>
        <v>12</v>
      </c>
      <c r="BF226" s="25" t="n">
        <f aca="false">MIN(Q226/4000, 1)*20</f>
        <v>1.8</v>
      </c>
      <c r="BG226" s="25" t="n">
        <f aca="false">MIN(AC226/400,1)*20</f>
        <v>2.4</v>
      </c>
      <c r="BH226" s="4" t="n">
        <f aca="false">1-(MAX(M226-1900, 0)/750)</f>
        <v>0.990666666666667</v>
      </c>
      <c r="BI226" s="25" t="n">
        <f aca="false">((MAX($P226,1)*MIN($AM226/300,1)))*IF(J226="Wagon",50,10)</f>
        <v>3.13333333333333</v>
      </c>
      <c r="BJ226" s="1" t="n">
        <f aca="false">VLOOKUP($K226,Constants!$I:$K, 2, FALSE())</f>
        <v>0.85</v>
      </c>
      <c r="BK226" s="1" t="n">
        <f aca="false">VLOOKUP($K226,Constants!$I:$K, 3, FALSE())*IF(AND(J226="multiple_unit",AE226&lt;110),0.75,1)</f>
        <v>1.725</v>
      </c>
      <c r="BL226" s="25" t="n">
        <v>25</v>
      </c>
      <c r="BM226" s="25" t="n">
        <v>46</v>
      </c>
      <c r="BN226" s="17" t="n">
        <f aca="false">BL226*IF($J226="wagon",62.5,781.25)</f>
        <v>19531.25</v>
      </c>
      <c r="BO226" s="17" t="n">
        <f aca="false">BM226*IF($J226="wagon",2.73,81.25)</f>
        <v>3737.5</v>
      </c>
      <c r="BU226" s="25" t="s">
        <v>792</v>
      </c>
      <c r="BY226" s="25" t="n">
        <v>6</v>
      </c>
      <c r="BZ226" s="25" t="n">
        <v>185</v>
      </c>
      <c r="CC226" s="25" t="s">
        <v>327</v>
      </c>
      <c r="CD226" s="25" t="s">
        <v>343</v>
      </c>
      <c r="CE226" s="25" t="s">
        <v>785</v>
      </c>
      <c r="CF226" s="25" t="str">
        <f aca="false">CONCATENATE(CD226,"_",CE226)</f>
        <v>edw_EMU</v>
      </c>
      <c r="CG226" s="25" t="str">
        <f aca="false">_xlfn.CONCAT(K226, "_",L226)</f>
        <v>electric_ELRL</v>
      </c>
      <c r="CH226" s="7" t="str">
        <f aca="false">_xlfn.CONCAT("{BLACK}Length: {GOLD}", TEXT(ROUNDUP(IF(AT226&lt;&gt;"",SUM(VALUE(_xlfn.TEXTSPLIT(AT226, ","))), SUM(VALUE(_xlfn.TEXTSPLIT(AQ226, ",")))*IF(P226, P226, 1))/16, 1), "#,##0.0"), " tiles{}")</f>
        <v>{BLACK}Length: {GOLD}1.3 tiles{}</v>
      </c>
      <c r="CI226" s="1" t="n">
        <f aca="false">VLOOKUP($CG226, Constants!$M:$N, 2, FALSE())</f>
        <v>0</v>
      </c>
      <c r="CJ226" s="1" t="str">
        <f aca="false">IF(P226&gt;1,_xlfn.CONCAT("{BLACK}Cars: {GOLD}", P226),"")</f>
        <v>{BLACK}Cars: {GOLD}2</v>
      </c>
      <c r="CK226" s="25" t="s">
        <v>786</v>
      </c>
      <c r="CM226" s="25" t="str">
        <f aca="false">IF($BY226="!param_no_gameplay_units","{GREEN}Included for gameplay purposes","")</f>
        <v/>
      </c>
      <c r="CN226" s="25" t="str">
        <f aca="false">_xlfn.CONCAT(CI226,IF(CI226 &lt;&gt; "", " ", ""),CJ226,IF(OR(CJ226&lt;&gt;"", CI226&lt;&gt;""), "{}",""), CH226, CM226,"{SILVER}", CK226)</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27" s="25" customFormat="true" ht="14.25" hidden="false" customHeight="false" outlineLevel="0" collapsed="false">
      <c r="A227" s="25" t="s">
        <v>793</v>
      </c>
      <c r="B227" s="26" t="s">
        <v>794</v>
      </c>
      <c r="C227" s="1" t="n">
        <v>3012</v>
      </c>
      <c r="D227" s="25" t="n">
        <v>3010</v>
      </c>
      <c r="E227" s="1" t="n">
        <v>306</v>
      </c>
      <c r="G227" s="1" t="str">
        <f aca="false">IF($F227&lt;&gt;"",_xlfn.CONCAT(VLOOKUP($CE227, Constants!$T:$U, 2, FALSE()),",",$F227),VLOOKUP($CE227, Constants!$T:$U, 2, FALSE()))</f>
        <v>role/passenger</v>
      </c>
      <c r="H227" s="1" t="str">
        <f aca="false">IF($G227&lt;&gt;"",_xlfn.CONCAT(VLOOKUP($CG227, Constants!$M:$P, 4, FALSE()),",",$G227),VLOOKUP($CG227, Constants!$M:$P, 4, FALSE()))</f>
        <v>flag/GB,power/electric,role/passenger</v>
      </c>
      <c r="I227" s="25" t="s">
        <v>198</v>
      </c>
      <c r="J227" s="25" t="s">
        <v>423</v>
      </c>
      <c r="K227" s="25" t="s">
        <v>349</v>
      </c>
      <c r="L227" s="25" t="s">
        <v>350</v>
      </c>
      <c r="M227" s="25" t="n">
        <v>1907</v>
      </c>
      <c r="O227" s="25" t="n">
        <v>1955</v>
      </c>
      <c r="P227" s="25" t="n">
        <v>3</v>
      </c>
      <c r="Q227" s="25" t="n">
        <v>360</v>
      </c>
      <c r="R227" s="2"/>
      <c r="S227" s="3"/>
      <c r="T227" s="3"/>
      <c r="U227" s="3"/>
      <c r="V227" s="3"/>
      <c r="W227" s="3"/>
      <c r="X227" s="3"/>
      <c r="Y227" s="3"/>
      <c r="Z227" s="25" t="n">
        <f aca="false">37.5+31+31</f>
        <v>99.5</v>
      </c>
      <c r="AA227" s="2"/>
      <c r="AB227" s="25" t="n">
        <v>5</v>
      </c>
      <c r="AC227" s="25" t="n">
        <v>48</v>
      </c>
      <c r="AD227" s="4" t="n">
        <f aca="false">IF(AND(Z227&gt;0,AC227&gt;0),(AC227/((Z227+AA227)*10)),"")</f>
        <v>0.0482412060301508</v>
      </c>
      <c r="AE227" s="25" t="n">
        <v>60</v>
      </c>
      <c r="AF227" s="25" t="n">
        <f aca="false">ROUND(AE227*1.6, 0)</f>
        <v>96</v>
      </c>
      <c r="AJ227" s="25" t="n">
        <v>17</v>
      </c>
      <c r="AM227" s="5" t="n">
        <v>48</v>
      </c>
      <c r="AN227" s="1" t="str">
        <f aca="false">CONCATENATE(VLOOKUP(AO227, '[1]Voxel Sizes'!$A$2:$B$18,2,FALSE()),"x",INT(AK227*15), "x", INT(AL227*15))</f>
        <v>164x0x0</v>
      </c>
      <c r="AO227" s="25" t="n">
        <f aca="false">ROUND(15*((AJ227*10)/256),0)</f>
        <v>10</v>
      </c>
      <c r="AQ227" s="1" t="str">
        <f aca="false">CONCATENATE(VLOOKUP(AO227,Constants!$A$2:$C$16,IF(AP227&lt;&gt;"", 3, 2), FALSE()),IF(AP227&lt;&gt;"",CONCATENATE(",",VLOOKUP(AP227,$B:$AQ,42,FALSE())),""))</f>
        <v>4,2,4</v>
      </c>
      <c r="AS227" s="6"/>
      <c r="AT227" s="6"/>
      <c r="AU227" s="25" t="s">
        <v>795</v>
      </c>
      <c r="AW227" s="25" t="s">
        <v>796</v>
      </c>
      <c r="AX227" s="25" t="s">
        <v>791</v>
      </c>
      <c r="BA227" s="25" t="n">
        <v>25</v>
      </c>
      <c r="BB227" s="16" t="n">
        <f aca="false">IF(O227&lt;&gt;"",MAX(16,(O227-M227)+8),"")</f>
        <v>56</v>
      </c>
      <c r="BC227" s="25" t="n">
        <v>-10</v>
      </c>
      <c r="BD227" s="25" t="n">
        <v>-25</v>
      </c>
      <c r="BE227" s="25" t="n">
        <f aca="false">MIN(AE227/150, 1)*30</f>
        <v>12</v>
      </c>
      <c r="BF227" s="25" t="n">
        <f aca="false">MIN(Q227/4000, 1)*20</f>
        <v>1.8</v>
      </c>
      <c r="BG227" s="25" t="n">
        <f aca="false">MIN(AC227/400,1)*20</f>
        <v>2.4</v>
      </c>
      <c r="BH227" s="4" t="n">
        <f aca="false">1-(MAX(M227-1900, 0)/750)</f>
        <v>0.990666666666667</v>
      </c>
      <c r="BI227" s="25" t="n">
        <f aca="false">((MAX($P227,1)*MIN($AM227/300,1)))*IF(J227="Wagon",50,10)</f>
        <v>4.8</v>
      </c>
      <c r="BJ227" s="1" t="n">
        <f aca="false">VLOOKUP($K227,Constants!$I:$K, 2, FALSE())</f>
        <v>0.85</v>
      </c>
      <c r="BK227" s="1" t="n">
        <f aca="false">VLOOKUP($K227,Constants!$I:$K, 3, FALSE())*IF(AND(J227="multiple_unit",AE227&lt;110),0.75,1)</f>
        <v>1.725</v>
      </c>
      <c r="BL227" s="25" t="n">
        <v>28</v>
      </c>
      <c r="BM227" s="25" t="n">
        <v>49</v>
      </c>
      <c r="BN227" s="17" t="n">
        <f aca="false">BL227*IF($J227="wagon",62.5,781.25)</f>
        <v>21875</v>
      </c>
      <c r="BO227" s="17" t="n">
        <f aca="false">BM227*IF($J227="wagon",2.73,81.25)</f>
        <v>3981.25</v>
      </c>
      <c r="BU227" s="25" t="s">
        <v>797</v>
      </c>
      <c r="BY227" s="25" t="n">
        <v>6</v>
      </c>
      <c r="BZ227" s="25" t="n">
        <v>185</v>
      </c>
      <c r="CC227" s="25" t="s">
        <v>327</v>
      </c>
      <c r="CD227" s="25" t="s">
        <v>343</v>
      </c>
      <c r="CE227" s="25" t="s">
        <v>785</v>
      </c>
      <c r="CF227" s="25" t="str">
        <f aca="false">CONCATENATE(CD227,"_",CE227)</f>
        <v>edw_EMU</v>
      </c>
      <c r="CG227" s="25" t="str">
        <f aca="false">_xlfn.CONCAT(K227, "_",L227)</f>
        <v>electric_ELRL</v>
      </c>
      <c r="CH227" s="7" t="str">
        <f aca="false">_xlfn.CONCAT("{BLACK}Length: {GOLD}", TEXT(ROUNDUP(IF(AT227&lt;&gt;"",SUM(VALUE(_xlfn.TEXTSPLIT(AT227, ","))), SUM(VALUE(_xlfn.TEXTSPLIT(AQ227, ",")))*IF(P227, P227, 1))/16, 1), "#,##0.0"), " tiles{}")</f>
        <v>{BLACK}Length: {GOLD}1.9 tiles{}</v>
      </c>
      <c r="CI227" s="1" t="n">
        <f aca="false">VLOOKUP($CG227, Constants!$M:$N, 2, FALSE())</f>
        <v>0</v>
      </c>
      <c r="CJ227" s="1" t="str">
        <f aca="false">IF(P227&gt;1,_xlfn.CONCAT("{BLACK}Cars: {GOLD}", P227),"")</f>
        <v>{BLACK}Cars: {GOLD}3</v>
      </c>
      <c r="CK227" s="25" t="s">
        <v>786</v>
      </c>
      <c r="CM227" s="25" t="str">
        <f aca="false">IF($BY227="!param_no_gameplay_units","{GREEN}Included for gameplay purposes","")</f>
        <v/>
      </c>
      <c r="CN227" s="25" t="str">
        <f aca="false">_xlfn.CONCAT(CI227,IF(CI227 &lt;&gt; "", " ", ""),CJ227,IF(OR(CJ227&lt;&gt;"", CI227&lt;&gt;""), "{}",""), CH227, CM227,"{SILVER}", CK227)</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28" s="25" customFormat="true" ht="14.25" hidden="false" customHeight="false" outlineLevel="0" collapsed="false">
      <c r="A228" s="25" t="s">
        <v>798</v>
      </c>
      <c r="B228" s="26" t="s">
        <v>799</v>
      </c>
      <c r="C228" s="1" t="n">
        <v>3013</v>
      </c>
      <c r="E228" s="1" t="n">
        <v>307</v>
      </c>
      <c r="G228" s="1" t="str">
        <f aca="false">IF($F228&lt;&gt;"",_xlfn.CONCAT(VLOOKUP($CE228, Constants!$T:$U, 2, FALSE()),",",$F228),VLOOKUP($CE228, Constants!$T:$U, 2, FALSE()))</f>
        <v>role/passenger</v>
      </c>
      <c r="H228" s="1" t="str">
        <f aca="false">IF($G228&lt;&gt;"",_xlfn.CONCAT(VLOOKUP($CG228, Constants!$M:$P, 4, FALSE()),",",$G228),VLOOKUP($CG228, Constants!$M:$P, 4, FALSE()))</f>
        <v>flag/GB,power/electric,role/passenger</v>
      </c>
      <c r="I228" s="25" t="s">
        <v>198</v>
      </c>
      <c r="J228" s="25" t="s">
        <v>423</v>
      </c>
      <c r="K228" s="25" t="s">
        <v>349</v>
      </c>
      <c r="L228" s="25" t="s">
        <v>350</v>
      </c>
      <c r="M228" s="25" t="n">
        <v>1911</v>
      </c>
      <c r="O228" s="25" t="n">
        <v>1955</v>
      </c>
      <c r="P228" s="25" t="n">
        <v>2</v>
      </c>
      <c r="Q228" s="25" t="n">
        <v>600</v>
      </c>
      <c r="R228" s="2"/>
      <c r="S228" s="3"/>
      <c r="T228" s="3"/>
      <c r="U228" s="3"/>
      <c r="V228" s="3"/>
      <c r="W228" s="3"/>
      <c r="X228" s="3"/>
      <c r="Y228" s="3"/>
      <c r="Z228" s="25" t="n">
        <f aca="false">52+25</f>
        <v>77</v>
      </c>
      <c r="AA228" s="2"/>
      <c r="AB228" s="25" t="n">
        <v>5</v>
      </c>
      <c r="AC228" s="25" t="n">
        <v>48</v>
      </c>
      <c r="AD228" s="4" t="n">
        <f aca="false">IF(AND(Z228&gt;0,AC228&gt;0),(AC228/((Z228+AA228)*10)),"")</f>
        <v>0.0623376623376623</v>
      </c>
      <c r="AE228" s="25" t="n">
        <v>60</v>
      </c>
      <c r="AF228" s="25" t="n">
        <f aca="false">ROUND(AE228*1.6, 0)</f>
        <v>96</v>
      </c>
      <c r="AJ228" s="25" t="n">
        <v>17.5</v>
      </c>
      <c r="AM228" s="5" t="n">
        <v>48</v>
      </c>
      <c r="AN228" s="1" t="str">
        <f aca="false">CONCATENATE(VLOOKUP(AO228, '[1]Voxel Sizes'!$A$2:$B$18,2,FALSE()),"x",INT(AK228*15), "x", INT(AL228*15))</f>
        <v>164x0x0</v>
      </c>
      <c r="AO228" s="25" t="n">
        <f aca="false">ROUND(15*((AJ228*10)/256),0)</f>
        <v>10</v>
      </c>
      <c r="AQ228" s="1" t="str">
        <f aca="false">CONCATENATE(VLOOKUP(AO228,Constants!$A$2:$C$16,IF(AP228&lt;&gt;"", 3, 2), FALSE()),IF(AP228&lt;&gt;"",CONCATENATE(",",VLOOKUP(AP228,$B:$AQ,42,FALSE())),""))</f>
        <v>4,2,4</v>
      </c>
      <c r="AS228" s="6"/>
      <c r="AT228" s="6"/>
      <c r="AU228" s="25" t="s">
        <v>800</v>
      </c>
      <c r="AW228" s="25" t="s">
        <v>770</v>
      </c>
      <c r="AX228" s="25" t="s">
        <v>801</v>
      </c>
      <c r="BA228" s="25" t="n">
        <v>25</v>
      </c>
      <c r="BB228" s="16" t="n">
        <f aca="false">IF(O228&lt;&gt;"",MAX(16,(O228-M228)+8),"")</f>
        <v>52</v>
      </c>
      <c r="BC228" s="25" t="n">
        <v>-10</v>
      </c>
      <c r="BD228" s="25" t="n">
        <v>-25</v>
      </c>
      <c r="BE228" s="25" t="n">
        <f aca="false">MIN(AE228/150, 1)*30</f>
        <v>12</v>
      </c>
      <c r="BF228" s="25" t="n">
        <f aca="false">MIN(Q228/4000, 1)*20</f>
        <v>3</v>
      </c>
      <c r="BG228" s="25" t="n">
        <f aca="false">MIN(AC228/400,1)*20</f>
        <v>2.4</v>
      </c>
      <c r="BH228" s="4" t="n">
        <f aca="false">1-(MAX(M228-1900, 0)/750)</f>
        <v>0.985333333333333</v>
      </c>
      <c r="BI228" s="25" t="n">
        <f aca="false">((MAX($P228,1)*MIN($AM228/300,1)))*IF(J228="Wagon",50,10)</f>
        <v>3.2</v>
      </c>
      <c r="BJ228" s="1" t="n">
        <f aca="false">VLOOKUP($K228,Constants!$I:$K, 2, FALSE())</f>
        <v>0.85</v>
      </c>
      <c r="BK228" s="1" t="n">
        <f aca="false">VLOOKUP($K228,Constants!$I:$K, 3, FALSE())*IF(AND(J228="multiple_unit",AE228&lt;110),0.75,1)</f>
        <v>1.725</v>
      </c>
      <c r="BL228" s="25" t="n">
        <v>27</v>
      </c>
      <c r="BM228" s="25" t="n">
        <v>48</v>
      </c>
      <c r="BN228" s="17" t="n">
        <f aca="false">BL228*IF($J228="wagon",62.5,781.25)</f>
        <v>21093.75</v>
      </c>
      <c r="BO228" s="17" t="n">
        <f aca="false">BM228*IF($J228="wagon",2.73,81.25)</f>
        <v>3900</v>
      </c>
      <c r="BU228" s="25" t="s">
        <v>802</v>
      </c>
      <c r="BY228" s="25" t="n">
        <v>6</v>
      </c>
      <c r="BZ228" s="25" t="n">
        <v>185</v>
      </c>
      <c r="CC228" s="25" t="s">
        <v>327</v>
      </c>
      <c r="CD228" s="25" t="s">
        <v>343</v>
      </c>
      <c r="CE228" s="25" t="s">
        <v>785</v>
      </c>
      <c r="CF228" s="25" t="str">
        <f aca="false">CONCATENATE(CD228,"_",CE228)</f>
        <v>edw_EMU</v>
      </c>
      <c r="CG228" s="25" t="str">
        <f aca="false">_xlfn.CONCAT(K228, "_",L228)</f>
        <v>electric_ELRL</v>
      </c>
      <c r="CH228" s="7" t="str">
        <f aca="false">_xlfn.CONCAT("{BLACK}Length: {GOLD}", TEXT(ROUNDUP(IF(AT228&lt;&gt;"",SUM(VALUE(_xlfn.TEXTSPLIT(AT228, ","))), SUM(VALUE(_xlfn.TEXTSPLIT(AQ228, ",")))*IF(P228, P228, 1))/16, 1), "#,##0.0"), " tiles{}")</f>
        <v>{BLACK}Length: {GOLD}1.3 tiles{}</v>
      </c>
      <c r="CI228" s="1" t="n">
        <f aca="false">VLOOKUP($CG228, Constants!$M:$N, 2, FALSE())</f>
        <v>0</v>
      </c>
      <c r="CJ228" s="1" t="str">
        <f aca="false">IF(P228&gt;1,_xlfn.CONCAT("{BLACK}Cars: {GOLD}", P228),"")</f>
        <v>{BLACK}Cars: {GOLD}2</v>
      </c>
      <c r="CK228" s="25" t="s">
        <v>803</v>
      </c>
      <c r="CM228" s="25" t="str">
        <f aca="false">IF(CA228="buffet","{YELLOW}25% long distance bonus for consist{}",IF(CD228="BRAKE","{YELLOW}Speed bonus for slow wagons{}",IF(BZ228&gt;190,CONCATENATE("{YELLOW}",INT((BZ228-185)/1.85),"% bonus for long distance travel{}"),IF(AND(BZ228&lt;180,BZ228&lt;&gt;0),CONCATENATE("{YELLOW}",INT((185-BZ228)/1.85),"% penalty for long distance travel{}"),""))))</f>
        <v/>
      </c>
      <c r="CN228" s="25" t="str">
        <f aca="false">_xlfn.CONCAT(CI228,IF(CI228 &lt;&gt; "", " ", ""),CJ228,IF(OR(CJ228&lt;&gt;"", CI228&lt;&gt;""), "{}",""), CH228, CM228,"{SILVER}", CK228)</f>
        <v>{BLACK}Cars: {GOLD}2{}{BLACK}Length: {GOLD}1.3 tiles{}{SILVER}The LB&amp;SCR (Later SR) “CP” EMUs were a nightmare of different build dates and vehicle sizes, designed for use on the “Elevated Electric” line into London.</v>
      </c>
    </row>
    <row r="229" s="25" customFormat="true" ht="14.25" hidden="false" customHeight="false" outlineLevel="0" collapsed="false">
      <c r="A229" s="25" t="s">
        <v>804</v>
      </c>
      <c r="B229" s="26" t="s">
        <v>805</v>
      </c>
      <c r="C229" s="1" t="n">
        <v>3014</v>
      </c>
      <c r="D229" s="25" t="n">
        <v>3013</v>
      </c>
      <c r="E229" s="1" t="n">
        <v>308</v>
      </c>
      <c r="G229" s="1" t="str">
        <f aca="false">IF($F229&lt;&gt;"",_xlfn.CONCAT(VLOOKUP($CE229, Constants!$T:$U, 2, FALSE()),",",$F229),VLOOKUP($CE229, Constants!$T:$U, 2, FALSE()))</f>
        <v>role/passenger</v>
      </c>
      <c r="H229" s="1" t="str">
        <f aca="false">IF($G229&lt;&gt;"",_xlfn.CONCAT(VLOOKUP($CG229, Constants!$M:$P, 4, FALSE()),",",$G229),VLOOKUP($CG229, Constants!$M:$P, 4, FALSE()))</f>
        <v>flag/GB,power/electric,role/passenger</v>
      </c>
      <c r="I229" s="25" t="s">
        <v>198</v>
      </c>
      <c r="J229" s="25" t="s">
        <v>423</v>
      </c>
      <c r="K229" s="25" t="s">
        <v>349</v>
      </c>
      <c r="L229" s="25" t="s">
        <v>350</v>
      </c>
      <c r="M229" s="25" t="n">
        <v>1911</v>
      </c>
      <c r="O229" s="25" t="n">
        <v>1955</v>
      </c>
      <c r="P229" s="25" t="n">
        <v>3</v>
      </c>
      <c r="Q229" s="25" t="n">
        <v>600</v>
      </c>
      <c r="R229" s="2"/>
      <c r="S229" s="3"/>
      <c r="T229" s="3"/>
      <c r="U229" s="3"/>
      <c r="V229" s="3"/>
      <c r="W229" s="3"/>
      <c r="X229" s="3"/>
      <c r="Y229" s="3"/>
      <c r="Z229" s="25" t="n">
        <f aca="false">52+25*2</f>
        <v>102</v>
      </c>
      <c r="AA229" s="2"/>
      <c r="AB229" s="25" t="n">
        <v>5</v>
      </c>
      <c r="AC229" s="25" t="n">
        <v>48</v>
      </c>
      <c r="AD229" s="4" t="n">
        <f aca="false">IF(AND(Z229&gt;0,AC229&gt;0),(AC229/((Z229+AA229)*10)),"")</f>
        <v>0.0470588235294118</v>
      </c>
      <c r="AE229" s="25" t="n">
        <v>60</v>
      </c>
      <c r="AF229" s="25" t="n">
        <f aca="false">ROUND(AE229*1.6, 0)</f>
        <v>96</v>
      </c>
      <c r="AJ229" s="25" t="n">
        <v>17.5</v>
      </c>
      <c r="AM229" s="5" t="n">
        <v>48</v>
      </c>
      <c r="AN229" s="1" t="str">
        <f aca="false">CONCATENATE(VLOOKUP(AO229, '[1]Voxel Sizes'!$A$2:$B$18,2,FALSE()),"x",INT(AK229*15), "x", INT(AL229*15))</f>
        <v>164x0x0</v>
      </c>
      <c r="AO229" s="25" t="n">
        <f aca="false">ROUND(15*((AJ229*10)/256),0)</f>
        <v>10</v>
      </c>
      <c r="AQ229" s="1" t="str">
        <f aca="false">CONCATENATE(VLOOKUP(AO229,Constants!$A$2:$C$16,IF(AP229&lt;&gt;"", 3, 2), FALSE()),IF(AP229&lt;&gt;"",CONCATENATE(",",VLOOKUP(AP229,$B:$AQ,42,FALSE())),""))</f>
        <v>4,2,4</v>
      </c>
      <c r="AS229" s="6"/>
      <c r="AT229" s="6"/>
      <c r="AU229" s="25" t="s">
        <v>806</v>
      </c>
      <c r="AW229" s="25" t="s">
        <v>807</v>
      </c>
      <c r="AX229" s="25" t="s">
        <v>801</v>
      </c>
      <c r="BA229" s="25" t="n">
        <v>25</v>
      </c>
      <c r="BB229" s="16" t="n">
        <f aca="false">IF(O229&lt;&gt;"",MAX(16,(O229-M229)+8),"")</f>
        <v>52</v>
      </c>
      <c r="BC229" s="25" t="n">
        <v>-10</v>
      </c>
      <c r="BD229" s="25" t="n">
        <v>-25</v>
      </c>
      <c r="BE229" s="25" t="n">
        <f aca="false">MIN(AE229/150, 1)*30</f>
        <v>12</v>
      </c>
      <c r="BF229" s="25" t="n">
        <f aca="false">MIN(Q229/4000, 1)*20</f>
        <v>3</v>
      </c>
      <c r="BG229" s="25" t="n">
        <f aca="false">MIN(AC229/400,1)*20</f>
        <v>2.4</v>
      </c>
      <c r="BH229" s="4" t="n">
        <f aca="false">1-(MAX(M229-1900, 0)/750)</f>
        <v>0.985333333333333</v>
      </c>
      <c r="BI229" s="25" t="n">
        <f aca="false">((MAX($P229,1)*MIN($AM229/300,1)))*IF(J229="Wagon",50,10)</f>
        <v>4.8</v>
      </c>
      <c r="BJ229" s="1" t="n">
        <f aca="false">VLOOKUP($K229,Constants!$I:$K, 2, FALSE())</f>
        <v>0.85</v>
      </c>
      <c r="BK229" s="1" t="n">
        <f aca="false">VLOOKUP($K229,Constants!$I:$K, 3, FALSE())*IF(AND(J229="multiple_unit",AE229&lt;110),0.75,1)</f>
        <v>1.725</v>
      </c>
      <c r="BL229" s="25" t="n">
        <v>31</v>
      </c>
      <c r="BM229" s="25" t="n">
        <v>51</v>
      </c>
      <c r="BN229" s="17" t="n">
        <f aca="false">BL229*IF($J229="wagon",62.5,781.25)</f>
        <v>24218.75</v>
      </c>
      <c r="BO229" s="17" t="n">
        <f aca="false">BM229*IF($J229="wagon",2.73,81.25)</f>
        <v>4143.75</v>
      </c>
      <c r="BU229" s="25" t="s">
        <v>808</v>
      </c>
      <c r="BY229" s="25" t="n">
        <v>6</v>
      </c>
      <c r="BZ229" s="25" t="n">
        <v>185</v>
      </c>
      <c r="CC229" s="25" t="s">
        <v>327</v>
      </c>
      <c r="CD229" s="25" t="s">
        <v>343</v>
      </c>
      <c r="CE229" s="25" t="s">
        <v>785</v>
      </c>
      <c r="CF229" s="25" t="str">
        <f aca="false">CONCATENATE(CD229,"_",CE229)</f>
        <v>edw_EMU</v>
      </c>
      <c r="CG229" s="25" t="str">
        <f aca="false">_xlfn.CONCAT(K229, "_",L229)</f>
        <v>electric_ELRL</v>
      </c>
      <c r="CH229" s="7" t="str">
        <f aca="false">_xlfn.CONCAT("{BLACK}Length: {GOLD}", TEXT(ROUNDUP(IF(AT229&lt;&gt;"",SUM(VALUE(_xlfn.TEXTSPLIT(AT229, ","))), SUM(VALUE(_xlfn.TEXTSPLIT(AQ229, ",")))*IF(P229, P229, 1))/16, 1), "#,##0.0"), " tiles{}")</f>
        <v>{BLACK}Length: {GOLD}1.9 tiles{}</v>
      </c>
      <c r="CI229" s="1" t="n">
        <f aca="false">VLOOKUP($CG229, Constants!$M:$N, 2, FALSE())</f>
        <v>0</v>
      </c>
      <c r="CJ229" s="1" t="str">
        <f aca="false">IF(P229&gt;1,_xlfn.CONCAT("{BLACK}Cars: {GOLD}", P229),"")</f>
        <v>{BLACK}Cars: {GOLD}3</v>
      </c>
      <c r="CK229" s="25" t="s">
        <v>803</v>
      </c>
      <c r="CM229" s="25" t="str">
        <f aca="false">IF(CA229="buffet","{YELLOW}25% long distance bonus for consist{}",IF(CD229="BRAKE","{YELLOW}Speed bonus for slow wagons{}",IF(BZ229&gt;190,CONCATENATE("{YELLOW}",INT((BZ229-185)/1.85),"% bonus for long distance travel{}"),IF(AND(BZ229&lt;180,BZ229&lt;&gt;0),CONCATENATE("{YELLOW}",INT((185-BZ229)/1.85),"% penalty for long distance travel{}"),""))))</f>
        <v/>
      </c>
      <c r="CN229" s="25" t="str">
        <f aca="false">_xlfn.CONCAT(CI229,IF(CI229 &lt;&gt; "", " ", ""),CJ229,IF(OR(CJ229&lt;&gt;"", CI229&lt;&gt;""), "{}",""), CH229, CM229,"{SILVER}", CK229)</f>
        <v>{BLACK}Cars: {GOLD}3{}{BLACK}Length: {GOLD}1.9 tiles{}{SILVER}The LB&amp;SCR (Later SR) “CP” EMUs were a nightmare of different build dates and vehicle sizes, designed for use on the “Elevated Electric” line into London.</v>
      </c>
    </row>
    <row r="230" s="25" customFormat="true" ht="14.25" hidden="false" customHeight="false" outlineLevel="0" collapsed="false">
      <c r="A230" s="25" t="s">
        <v>809</v>
      </c>
      <c r="B230" s="26" t="s">
        <v>810</v>
      </c>
      <c r="C230" s="1" t="n">
        <v>3015</v>
      </c>
      <c r="D230" s="25" t="n">
        <v>3013</v>
      </c>
      <c r="E230" s="1" t="n">
        <v>309</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5" t="s">
        <v>198</v>
      </c>
      <c r="J230" s="25" t="s">
        <v>423</v>
      </c>
      <c r="K230" s="25" t="s">
        <v>349</v>
      </c>
      <c r="L230" s="25" t="s">
        <v>350</v>
      </c>
      <c r="M230" s="25" t="n">
        <v>1911</v>
      </c>
      <c r="O230" s="25" t="n">
        <v>1955</v>
      </c>
      <c r="P230" s="25" t="n">
        <v>4</v>
      </c>
      <c r="Q230" s="25" t="n">
        <v>600</v>
      </c>
      <c r="R230" s="2"/>
      <c r="S230" s="3"/>
      <c r="T230" s="3"/>
      <c r="U230" s="3"/>
      <c r="V230" s="3"/>
      <c r="W230" s="3"/>
      <c r="X230" s="3"/>
      <c r="Y230" s="3"/>
      <c r="Z230" s="25" t="n">
        <f aca="false">52+25*3</f>
        <v>127</v>
      </c>
      <c r="AA230" s="2"/>
      <c r="AB230" s="25" t="n">
        <v>5</v>
      </c>
      <c r="AC230" s="25" t="n">
        <v>48</v>
      </c>
      <c r="AD230" s="4" t="n">
        <f aca="false">IF(AND(Z230&gt;0,AC230&gt;0),(AC230/((Z230+AA230)*10)),"")</f>
        <v>0.0377952755905512</v>
      </c>
      <c r="AE230" s="25" t="n">
        <v>60</v>
      </c>
      <c r="AF230" s="25" t="n">
        <f aca="false">ROUND(AE230*1.6, 0)</f>
        <v>96</v>
      </c>
      <c r="AJ230" s="25" t="n">
        <v>17.5</v>
      </c>
      <c r="AM230" s="5" t="n">
        <v>48</v>
      </c>
      <c r="AN230" s="1" t="str">
        <f aca="false">CONCATENATE(VLOOKUP(AO230, '[1]Voxel Sizes'!$A$2:$B$18,2,FALSE()),"x",INT(AK230*15), "x", INT(AL230*15))</f>
        <v>164x0x0</v>
      </c>
      <c r="AO230" s="25" t="n">
        <f aca="false">ROUND(15*((AJ230*10)/256),0)</f>
        <v>10</v>
      </c>
      <c r="AQ230" s="1" t="str">
        <f aca="false">CONCATENATE(VLOOKUP(AO230,Constants!$A$2:$C$16,IF(AP230&lt;&gt;"", 3, 2), FALSE()),IF(AP230&lt;&gt;"",CONCATENATE(",",VLOOKUP(AP230,$B:$AQ,42,FALSE())),""))</f>
        <v>4,2,4</v>
      </c>
      <c r="AS230" s="6"/>
      <c r="AT230" s="6"/>
      <c r="AU230" s="25" t="s">
        <v>811</v>
      </c>
      <c r="AW230" s="25" t="s">
        <v>812</v>
      </c>
      <c r="AX230" s="25" t="s">
        <v>801</v>
      </c>
      <c r="BA230" s="25" t="n">
        <v>25</v>
      </c>
      <c r="BB230" s="16" t="n">
        <f aca="false">IF(O230&lt;&gt;"",MAX(16,(O230-M230)+8),"")</f>
        <v>52</v>
      </c>
      <c r="BC230" s="25" t="n">
        <v>-10</v>
      </c>
      <c r="BD230" s="25" t="n">
        <v>-25</v>
      </c>
      <c r="BE230" s="25" t="n">
        <f aca="false">MIN(AE230/150, 1)*30</f>
        <v>12</v>
      </c>
      <c r="BF230" s="25" t="n">
        <f aca="false">MIN(Q230/4000, 1)*20</f>
        <v>3</v>
      </c>
      <c r="BG230" s="25" t="n">
        <f aca="false">MIN(AC230/400,1)*20</f>
        <v>2.4</v>
      </c>
      <c r="BH230" s="4" t="n">
        <f aca="false">1-(MAX(M230-1900, 0)/750)</f>
        <v>0.985333333333333</v>
      </c>
      <c r="BI230" s="25" t="n">
        <f aca="false">((MAX($P230,1)*MIN($AM230/300,1)))*IF(J230="Wagon",50,10)</f>
        <v>6.4</v>
      </c>
      <c r="BJ230" s="1" t="n">
        <f aca="false">VLOOKUP($K230,Constants!$I:$K, 2, FALSE())</f>
        <v>0.85</v>
      </c>
      <c r="BK230" s="1" t="n">
        <f aca="false">VLOOKUP($K230,Constants!$I:$K, 3, FALSE())*IF(AND(J230="multiple_unit",AE230&lt;110),0.75,1)</f>
        <v>1.725</v>
      </c>
      <c r="BL230" s="25" t="n">
        <v>34</v>
      </c>
      <c r="BM230" s="25" t="n">
        <v>55</v>
      </c>
      <c r="BN230" s="17" t="n">
        <f aca="false">BL230*IF($J230="wagon",62.5,781.25)</f>
        <v>26562.5</v>
      </c>
      <c r="BO230" s="17" t="n">
        <f aca="false">BM230*IF($J230="wagon",2.73,81.25)</f>
        <v>4468.75</v>
      </c>
      <c r="BU230" s="25" t="s">
        <v>813</v>
      </c>
      <c r="BY230" s="25" t="n">
        <v>6</v>
      </c>
      <c r="BZ230" s="25" t="n">
        <v>185</v>
      </c>
      <c r="CC230" s="25" t="s">
        <v>327</v>
      </c>
      <c r="CD230" s="25" t="s">
        <v>343</v>
      </c>
      <c r="CE230" s="25" t="s">
        <v>785</v>
      </c>
      <c r="CF230" s="25" t="str">
        <f aca="false">CONCATENATE(CD230,"_",CE230)</f>
        <v>edw_EMU</v>
      </c>
      <c r="CG230" s="25" t="str">
        <f aca="false">_xlfn.CONCAT(K230, "_",L230)</f>
        <v>electric_ELRL</v>
      </c>
      <c r="CH230" s="7" t="str">
        <f aca="false">_xlfn.CONCAT("{BLACK}Length: {GOLD}", TEXT(ROUNDUP(IF(AT230&lt;&gt;"",SUM(VALUE(_xlfn.TEXTSPLIT(AT230, ","))), SUM(VALUE(_xlfn.TEXTSPLIT(AQ230, ",")))*IF(P230, P230, 1))/16, 1), "#,##0.0"), " tiles{}")</f>
        <v>{BLACK}Length: {GOLD}2.5 tiles{}</v>
      </c>
      <c r="CI230" s="1" t="n">
        <f aca="false">VLOOKUP($CG230, Constants!$M:$N, 2, FALSE())</f>
        <v>0</v>
      </c>
      <c r="CJ230" s="1" t="str">
        <f aca="false">IF(P230&gt;1,_xlfn.CONCAT("{BLACK}Cars: {GOLD}", P230),"")</f>
        <v>{BLACK}Cars: {GOLD}4</v>
      </c>
      <c r="CK230" s="25" t="s">
        <v>803</v>
      </c>
      <c r="CM230" s="25"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
      </c>
      <c r="CN230" s="25" t="str">
        <f aca="false">_xlfn.CONCAT(CI230,IF(CI230 &lt;&gt; "", " ", ""),CJ230,IF(OR(CJ230&lt;&gt;"", CI230&lt;&gt;""), "{}",""), CH230, CM230,"{SILVER}", CK230)</f>
        <v>{BLACK}Cars: {GOLD}4{}{BLACK}Length: {GOLD}2.5 tiles{}{SILVER}The LB&amp;SCR (Later SR) “CP” EMUs were a nightmare of different build dates and vehicle sizes, designed for use on the “Elevated Electric” line into London.</v>
      </c>
    </row>
    <row r="231" s="25" customFormat="true" ht="14.25" hidden="false" customHeight="false" outlineLevel="0" collapsed="false">
      <c r="A231" s="25" t="s">
        <v>814</v>
      </c>
      <c r="B231" s="26" t="s">
        <v>815</v>
      </c>
      <c r="C231" s="1" t="n">
        <v>3016</v>
      </c>
      <c r="D231" s="25" t="n">
        <v>3013</v>
      </c>
      <c r="E231" s="1" t="n">
        <v>310</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5" t="s">
        <v>198</v>
      </c>
      <c r="J231" s="25" t="s">
        <v>423</v>
      </c>
      <c r="K231" s="25" t="s">
        <v>349</v>
      </c>
      <c r="L231" s="25" t="s">
        <v>350</v>
      </c>
      <c r="M231" s="25" t="n">
        <v>1911</v>
      </c>
      <c r="O231" s="25" t="n">
        <v>1955</v>
      </c>
      <c r="P231" s="25" t="n">
        <v>5</v>
      </c>
      <c r="Q231" s="25" t="n">
        <v>600</v>
      </c>
      <c r="R231" s="2"/>
      <c r="S231" s="3"/>
      <c r="T231" s="3"/>
      <c r="U231" s="3"/>
      <c r="V231" s="3"/>
      <c r="W231" s="3"/>
      <c r="X231" s="3"/>
      <c r="Y231" s="3"/>
      <c r="Z231" s="25" t="n">
        <f aca="false">52+25*4</f>
        <v>152</v>
      </c>
      <c r="AA231" s="2"/>
      <c r="AB231" s="25" t="n">
        <v>5</v>
      </c>
      <c r="AC231" s="25" t="n">
        <v>48</v>
      </c>
      <c r="AD231" s="4" t="n">
        <f aca="false">IF(AND(Z231&gt;0,AC231&gt;0),(AC231/((Z231+AA231)*10)),"")</f>
        <v>0.0315789473684211</v>
      </c>
      <c r="AE231" s="25" t="n">
        <v>60</v>
      </c>
      <c r="AF231" s="25" t="n">
        <f aca="false">ROUND(AE231*1.6, 0)</f>
        <v>96</v>
      </c>
      <c r="AJ231" s="25" t="n">
        <v>17.5</v>
      </c>
      <c r="AM231" s="5" t="n">
        <v>48</v>
      </c>
      <c r="AN231" s="1" t="str">
        <f aca="false">CONCATENATE(VLOOKUP(AO231, '[1]Voxel Sizes'!$A$2:$B$18,2,FALSE()),"x",INT(AK231*15), "x", INT(AL231*15))</f>
        <v>164x0x0</v>
      </c>
      <c r="AO231" s="25" t="n">
        <f aca="false">ROUND(15*((AJ231*10)/256),0)</f>
        <v>10</v>
      </c>
      <c r="AQ231" s="1" t="str">
        <f aca="false">CONCATENATE(VLOOKUP(AO231,Constants!$A$2:$C$16,IF(AP231&lt;&gt;"", 3, 2), FALSE()),IF(AP231&lt;&gt;"",CONCATENATE(",",VLOOKUP(AP231,$B:$AQ,42,FALSE())),""))</f>
        <v>4,2,4</v>
      </c>
      <c r="AS231" s="6"/>
      <c r="AT231" s="6"/>
      <c r="AU231" s="25" t="s">
        <v>816</v>
      </c>
      <c r="AW231" s="25" t="s">
        <v>817</v>
      </c>
      <c r="AX231" s="25" t="s">
        <v>801</v>
      </c>
      <c r="BA231" s="25" t="n">
        <v>25</v>
      </c>
      <c r="BB231" s="16" t="n">
        <f aca="false">IF(O231&lt;&gt;"",MAX(16,(O231-M231)+8),"")</f>
        <v>52</v>
      </c>
      <c r="BC231" s="25" t="n">
        <v>-10</v>
      </c>
      <c r="BD231" s="25" t="n">
        <v>-25</v>
      </c>
      <c r="BE231" s="25" t="n">
        <f aca="false">MIN(AE231/150, 1)*30</f>
        <v>12</v>
      </c>
      <c r="BF231" s="25" t="n">
        <f aca="false">MIN(Q231/4000, 1)*20</f>
        <v>3</v>
      </c>
      <c r="BG231" s="25" t="n">
        <f aca="false">MIN(AC231/400,1)*20</f>
        <v>2.4</v>
      </c>
      <c r="BH231" s="4" t="n">
        <f aca="false">1-(MAX(M231-1900, 0)/750)</f>
        <v>0.985333333333333</v>
      </c>
      <c r="BI231" s="25" t="n">
        <f aca="false">((MAX($P231,1)*MIN($AM231/300,1)))*IF(J231="Wagon",50,10)</f>
        <v>8</v>
      </c>
      <c r="BJ231" s="1" t="n">
        <f aca="false">VLOOKUP($K231,Constants!$I:$K, 2, FALSE())</f>
        <v>0.85</v>
      </c>
      <c r="BK231" s="1" t="n">
        <f aca="false">VLOOKUP($K231,Constants!$I:$K, 3, FALSE())*IF(AND(J231="multiple_unit",AE231&lt;110),0.75,1)</f>
        <v>1.725</v>
      </c>
      <c r="BL231" s="25" t="n">
        <v>37</v>
      </c>
      <c r="BM231" s="25" t="n">
        <v>58</v>
      </c>
      <c r="BN231" s="17" t="n">
        <f aca="false">BL231*IF($J231="wagon",62.5,781.25)</f>
        <v>28906.25</v>
      </c>
      <c r="BO231" s="17" t="n">
        <f aca="false">BM231*IF($J231="wagon",2.73,81.25)</f>
        <v>4712.5</v>
      </c>
      <c r="BU231" s="25" t="s">
        <v>818</v>
      </c>
      <c r="BY231" s="25" t="n">
        <v>6</v>
      </c>
      <c r="BZ231" s="25" t="n">
        <v>185</v>
      </c>
      <c r="CC231" s="25" t="s">
        <v>327</v>
      </c>
      <c r="CD231" s="25" t="s">
        <v>343</v>
      </c>
      <c r="CE231" s="25" t="s">
        <v>785</v>
      </c>
      <c r="CF231" s="25" t="str">
        <f aca="false">CONCATENATE(CD231,"_",CE231)</f>
        <v>edw_EMU</v>
      </c>
      <c r="CG231" s="25" t="str">
        <f aca="false">_xlfn.CONCAT(K231, "_",L231)</f>
        <v>electric_ELRL</v>
      </c>
      <c r="CH231" s="7" t="str">
        <f aca="false">_xlfn.CONCAT("{BLACK}Length: {GOLD}", TEXT(ROUNDUP(IF(AT231&lt;&gt;"",SUM(VALUE(_xlfn.TEXTSPLIT(AT231, ","))), SUM(VALUE(_xlfn.TEXTSPLIT(AQ231, ",")))*IF(P231, P231, 1))/16, 1), "#,##0.0"), " tiles{}")</f>
        <v>{BLACK}Length: {GOLD}3.2 tiles{}</v>
      </c>
      <c r="CI231" s="1" t="n">
        <f aca="false">VLOOKUP($CG231, Constants!$M:$N, 2, FALSE())</f>
        <v>0</v>
      </c>
      <c r="CJ231" s="1" t="str">
        <f aca="false">IF(P231&gt;1,_xlfn.CONCAT("{BLACK}Cars: {GOLD}", P231),"")</f>
        <v>{BLACK}Cars: {GOLD}5</v>
      </c>
      <c r="CK231" s="25" t="s">
        <v>803</v>
      </c>
      <c r="CM231" s="25" t="str">
        <f aca="false">IF(CA231="buffet","{YELLOW}25% long distance bonus for consist{}",IF(CD231="BRAKE","{YELLOW}Speed bonus for slow wagons{}",IF(BZ231&gt;190,CONCATENATE("{YELLOW}",INT((BZ231-185)/1.85),"% bonus for long distance travel{}"),IF(AND(BZ231&lt;180,BZ231&lt;&gt;0),CONCATENATE("{YELLOW}",INT((185-BZ231)/1.85),"% penalty for long distance travel{}"),""))))</f>
        <v/>
      </c>
      <c r="CN231" s="25" t="str">
        <f aca="false">_xlfn.CONCAT(CI231,IF(CI231 &lt;&gt; "", " ", ""),CJ231,IF(OR(CJ231&lt;&gt;"", CI231&lt;&gt;""), "{}",""), CH231, CM231,"{SILVER}", CK231)</f>
        <v>{BLACK}Cars: {GOLD}5{}{BLACK}Length: {GOLD}3.2 tiles{}{SILVER}The LB&amp;SCR (Later SR) “CP” EMUs were a nightmare of different build dates and vehicle sizes, designed for use on the “Elevated Electric” line into London.</v>
      </c>
    </row>
    <row r="232" s="25" customFormat="true" ht="14.25" hidden="false" customHeight="false" outlineLevel="0" collapsed="false">
      <c r="A232" s="25" t="s">
        <v>819</v>
      </c>
      <c r="B232" s="26" t="s">
        <v>820</v>
      </c>
      <c r="C232" s="1" t="n">
        <v>3017</v>
      </c>
      <c r="D232" s="25" t="n">
        <v>3013</v>
      </c>
      <c r="E232" s="1" t="n">
        <v>311</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5" t="s">
        <v>198</v>
      </c>
      <c r="J232" s="25" t="s">
        <v>423</v>
      </c>
      <c r="K232" s="25" t="s">
        <v>349</v>
      </c>
      <c r="L232" s="25" t="s">
        <v>350</v>
      </c>
      <c r="M232" s="25" t="n">
        <v>1911</v>
      </c>
      <c r="O232" s="25" t="n">
        <v>1955</v>
      </c>
      <c r="P232" s="25" t="n">
        <v>6</v>
      </c>
      <c r="Q232" s="25" t="n">
        <v>600</v>
      </c>
      <c r="R232" s="2"/>
      <c r="S232" s="3"/>
      <c r="T232" s="3"/>
      <c r="U232" s="3"/>
      <c r="V232" s="3"/>
      <c r="W232" s="3"/>
      <c r="X232" s="3"/>
      <c r="Y232" s="3"/>
      <c r="Z232" s="25" t="n">
        <f aca="false">52+25*5</f>
        <v>177</v>
      </c>
      <c r="AA232" s="2"/>
      <c r="AB232" s="25" t="n">
        <v>5</v>
      </c>
      <c r="AC232" s="25" t="n">
        <v>48</v>
      </c>
      <c r="AD232" s="4" t="n">
        <f aca="false">IF(AND(Z232&gt;0,AC232&gt;0),(AC232/((Z232+AA232)*10)),"")</f>
        <v>0.0271186440677966</v>
      </c>
      <c r="AE232" s="25" t="n">
        <v>60</v>
      </c>
      <c r="AF232" s="25" t="n">
        <f aca="false">ROUND(AE232*1.6, 0)</f>
        <v>96</v>
      </c>
      <c r="AJ232" s="25" t="n">
        <v>17.5</v>
      </c>
      <c r="AM232" s="5" t="n">
        <v>48</v>
      </c>
      <c r="AN232" s="1" t="str">
        <f aca="false">CONCATENATE(VLOOKUP(AO232, '[1]Voxel Sizes'!$A$2:$B$18,2,FALSE()),"x",INT(AK232*15), "x", INT(AL232*15))</f>
        <v>164x0x0</v>
      </c>
      <c r="AO232" s="25" t="n">
        <f aca="false">ROUND(15*((AJ232*10)/256),0)</f>
        <v>10</v>
      </c>
      <c r="AQ232" s="1" t="str">
        <f aca="false">CONCATENATE(VLOOKUP(AO232,Constants!$A$2:$C$16,IF(AP232&lt;&gt;"", 3, 2), FALSE()),IF(AP232&lt;&gt;"",CONCATENATE(",",VLOOKUP(AP232,$B:$AQ,42,FALSE())),""))</f>
        <v>4,2,4</v>
      </c>
      <c r="AS232" s="6"/>
      <c r="AT232" s="6"/>
      <c r="AU232" s="25" t="s">
        <v>821</v>
      </c>
      <c r="AW232" s="25" t="s">
        <v>822</v>
      </c>
      <c r="AX232" s="25" t="s">
        <v>801</v>
      </c>
      <c r="BA232" s="25" t="n">
        <v>25</v>
      </c>
      <c r="BB232" s="16" t="n">
        <f aca="false">IF(O232&lt;&gt;"",MAX(16,(O232-M232)+8),"")</f>
        <v>52</v>
      </c>
      <c r="BC232" s="25" t="n">
        <v>-10</v>
      </c>
      <c r="BD232" s="25" t="n">
        <v>-25</v>
      </c>
      <c r="BE232" s="25" t="n">
        <f aca="false">MIN(AE232/150, 1)*30</f>
        <v>12</v>
      </c>
      <c r="BF232" s="25" t="n">
        <f aca="false">MIN(Q232/4000, 1)*20</f>
        <v>3</v>
      </c>
      <c r="BG232" s="25" t="n">
        <f aca="false">MIN(AC232/400,1)*20</f>
        <v>2.4</v>
      </c>
      <c r="BH232" s="4" t="n">
        <f aca="false">1-(MAX(M232-1900, 0)/750)</f>
        <v>0.985333333333333</v>
      </c>
      <c r="BI232" s="25" t="n">
        <f aca="false">((MAX($P232,1)*MIN($AM232/300,1)))*IF(J232="Wagon",50,10)</f>
        <v>9.6</v>
      </c>
      <c r="BJ232" s="1" t="n">
        <f aca="false">VLOOKUP($K232,Constants!$I:$K, 2, FALSE())</f>
        <v>0.85</v>
      </c>
      <c r="BK232" s="1" t="n">
        <f aca="false">VLOOKUP($K232,Constants!$I:$K, 3, FALSE())*IF(AND(J232="multiple_unit",AE232&lt;110),0.75,1)</f>
        <v>1.725</v>
      </c>
      <c r="BL232" s="25" t="n">
        <v>41</v>
      </c>
      <c r="BM232" s="25" t="n">
        <v>61</v>
      </c>
      <c r="BN232" s="17" t="n">
        <f aca="false">BL232*IF($J232="wagon",62.5,781.25)</f>
        <v>32031.25</v>
      </c>
      <c r="BO232" s="17" t="n">
        <f aca="false">BM232*IF($J232="wagon",2.73,81.25)</f>
        <v>4956.25</v>
      </c>
      <c r="BU232" s="25" t="s">
        <v>823</v>
      </c>
      <c r="BY232" s="25" t="n">
        <v>6</v>
      </c>
      <c r="BZ232" s="25" t="n">
        <v>185</v>
      </c>
      <c r="CC232" s="25" t="s">
        <v>327</v>
      </c>
      <c r="CD232" s="25" t="s">
        <v>343</v>
      </c>
      <c r="CE232" s="25" t="s">
        <v>785</v>
      </c>
      <c r="CF232" s="25" t="str">
        <f aca="false">CONCATENATE(CD232,"_",CE232)</f>
        <v>edw_EMU</v>
      </c>
      <c r="CG232" s="25" t="str">
        <f aca="false">_xlfn.CONCAT(K232, "_",L232)</f>
        <v>electric_ELRL</v>
      </c>
      <c r="CH232" s="7" t="str">
        <f aca="false">_xlfn.CONCAT("{BLACK}Length: {GOLD}", TEXT(ROUNDUP(IF(AT232&lt;&gt;"",SUM(VALUE(_xlfn.TEXTSPLIT(AT232, ","))), SUM(VALUE(_xlfn.TEXTSPLIT(AQ232, ",")))*IF(P232, P232, 1))/16, 1), "#,##0.0"), " tiles{}")</f>
        <v>{BLACK}Length: {GOLD}3.8 tiles{}</v>
      </c>
      <c r="CI232" s="1" t="n">
        <f aca="false">VLOOKUP($CG232, Constants!$M:$N, 2, FALSE())</f>
        <v>0</v>
      </c>
      <c r="CJ232" s="1" t="str">
        <f aca="false">IF(P232&gt;1,_xlfn.CONCAT("{BLACK}Cars: {GOLD}", P232),"")</f>
        <v>{BLACK}Cars: {GOLD}6</v>
      </c>
      <c r="CK232" s="25" t="s">
        <v>803</v>
      </c>
      <c r="CM232" s="25"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
      </c>
      <c r="CN232" s="25" t="str">
        <f aca="false">_xlfn.CONCAT(CI232,IF(CI232 &lt;&gt; "", " ", ""),CJ232,IF(OR(CJ232&lt;&gt;"", CI232&lt;&gt;""), "{}",""), CH232, CM232,"{SILVER}", CK232)</f>
        <v>{BLACK}Cars: {GOLD}6{}{BLACK}Length: {GOLD}3.8 tiles{}{SILVER}The LB&amp;SCR (Later SR) “CP” EMUs were a nightmare of different build dates and vehicle sizes, designed for use on the “Elevated Electric” line into London.</v>
      </c>
    </row>
    <row r="233" s="25" customFormat="true" ht="14.25" hidden="false" customHeight="false" outlineLevel="0" collapsed="false">
      <c r="A233" s="25" t="s">
        <v>824</v>
      </c>
      <c r="B233" s="26" t="s">
        <v>825</v>
      </c>
      <c r="C233" s="1" t="n">
        <v>3018</v>
      </c>
      <c r="E233" s="1" t="n">
        <v>312</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5" t="s">
        <v>198</v>
      </c>
      <c r="J233" s="25" t="s">
        <v>423</v>
      </c>
      <c r="K233" s="25" t="s">
        <v>349</v>
      </c>
      <c r="L233" s="25" t="s">
        <v>350</v>
      </c>
      <c r="M233" s="25" t="n">
        <v>1925</v>
      </c>
      <c r="O233" s="25" t="n">
        <v>1955</v>
      </c>
      <c r="P233" s="25" t="n">
        <v>5</v>
      </c>
      <c r="Q233" s="25" t="n">
        <v>1000</v>
      </c>
      <c r="R233" s="2"/>
      <c r="S233" s="3"/>
      <c r="T233" s="3"/>
      <c r="U233" s="3"/>
      <c r="V233" s="3"/>
      <c r="W233" s="3"/>
      <c r="X233" s="3"/>
      <c r="Y233" s="3"/>
      <c r="Z233" s="25" t="n">
        <v>160</v>
      </c>
      <c r="AA233" s="2"/>
      <c r="AB233" s="25" t="n">
        <v>5</v>
      </c>
      <c r="AC233" s="25" t="n">
        <v>48</v>
      </c>
      <c r="AD233" s="4" t="n">
        <f aca="false">IF(AND(Z233&gt;0,AC233&gt;0),(AC233/((Z233+AA233)*10)),"")</f>
        <v>0.03</v>
      </c>
      <c r="AE233" s="25" t="n">
        <v>60</v>
      </c>
      <c r="AF233" s="25" t="n">
        <f aca="false">ROUND(AE233*1.6, 0)</f>
        <v>96</v>
      </c>
      <c r="AJ233" s="25" t="n">
        <v>12.8</v>
      </c>
      <c r="AM233" s="5" t="n">
        <v>60</v>
      </c>
      <c r="AN233" s="1" t="str">
        <f aca="false">CONCATENATE(VLOOKUP(AO233, '[1]Voxel Sizes'!$A$2:$B$18,2,FALSE()),"x",INT(AK233*15), "x", INT(AL233*15))</f>
        <v>136x0x0</v>
      </c>
      <c r="AO233" s="25" t="n">
        <f aca="false">ROUND(15*((AJ233*10)/256),0)</f>
        <v>8</v>
      </c>
      <c r="AQ233" s="1" t="str">
        <f aca="false">CONCATENATE(VLOOKUP(AO233,Constants!$A$2:$C$16,IF(AP233&lt;&gt;"", 3, 2), FALSE()),IF(AP233&lt;&gt;"",CONCATENATE(",",VLOOKUP(AP233,$B:$AQ,42,FALSE())),""))</f>
        <v>2,4,2</v>
      </c>
      <c r="AS233" s="6" t="s">
        <v>826</v>
      </c>
      <c r="AT233" s="6" t="s">
        <v>827</v>
      </c>
      <c r="AU233" s="25" t="s">
        <v>828</v>
      </c>
      <c r="AW233" s="25" t="s">
        <v>829</v>
      </c>
      <c r="AX233" s="25" t="s">
        <v>801</v>
      </c>
      <c r="BA233" s="25" t="n">
        <v>25</v>
      </c>
      <c r="BB233" s="16" t="n">
        <f aca="false">IF(O233&lt;&gt;"",MAX(16,(O233-M233)+8),"")</f>
        <v>38</v>
      </c>
      <c r="BC233" s="25" t="n">
        <v>-10</v>
      </c>
      <c r="BD233" s="25" t="n">
        <v>-25</v>
      </c>
      <c r="BE233" s="25" t="n">
        <f aca="false">MIN(AE233/150, 1)*30</f>
        <v>12</v>
      </c>
      <c r="BF233" s="25" t="n">
        <f aca="false">MIN(Q233/4000, 1)*20</f>
        <v>5</v>
      </c>
      <c r="BG233" s="25" t="n">
        <f aca="false">MIN(AC233/400,1)*20</f>
        <v>2.4</v>
      </c>
      <c r="BH233" s="4" t="n">
        <f aca="false">1-(MAX(M233-1900, 0)/750)</f>
        <v>0.966666666666667</v>
      </c>
      <c r="BI233" s="25" t="n">
        <f aca="false">((MAX($P233,1)*MIN($AM233/300,1)))*IF(J233="Wagon",50,10)</f>
        <v>10</v>
      </c>
      <c r="BJ233" s="1" t="n">
        <f aca="false">VLOOKUP($K233,Constants!$I:$K, 2, FALSE())</f>
        <v>0.85</v>
      </c>
      <c r="BK233" s="1" t="n">
        <f aca="false">VLOOKUP($K233,Constants!$I:$K, 3, FALSE())*IF(AND(J233="multiple_unit",AE233&lt;110),0.75,1)</f>
        <v>1.725</v>
      </c>
      <c r="BL233" s="25" t="n">
        <v>45</v>
      </c>
      <c r="BM233" s="25" t="n">
        <v>64</v>
      </c>
      <c r="BN233" s="17" t="n">
        <f aca="false">BL233*IF($J233="wagon",62.5,781.25)</f>
        <v>35156.25</v>
      </c>
      <c r="BO233" s="17" t="n">
        <f aca="false">BM233*IF($J233="wagon",2.73,81.25)</f>
        <v>5200</v>
      </c>
      <c r="BY233" s="25" t="n">
        <v>6</v>
      </c>
      <c r="BZ233" s="25" t="n">
        <v>185</v>
      </c>
      <c r="CC233" s="25" t="s">
        <v>327</v>
      </c>
      <c r="CD233" s="25" t="s">
        <v>428</v>
      </c>
      <c r="CE233" s="25" t="s">
        <v>785</v>
      </c>
      <c r="CF233" s="25" t="str">
        <f aca="false">CONCATENATE(CD233,"_",CE233)</f>
        <v>big4_EMU</v>
      </c>
      <c r="CG233" s="25" t="str">
        <f aca="false">_xlfn.CONCAT(K233, "_",L233)</f>
        <v>electric_ELRL</v>
      </c>
      <c r="CH233" s="7" t="str">
        <f aca="false">_xlfn.CONCAT("{BLACK}Length: {GOLD}", TEXT(ROUNDUP(IF(AT233&lt;&gt;"",SUM(VALUE(_xlfn.TEXTSPLIT(AT233, ","))), SUM(VALUE(_xlfn.TEXTSPLIT(AQ233, ",")))*IF(P233, P233, 1))/16, 1), "#,##0.0"), " tiles{}")</f>
        <v>{BLACK}Length: {GOLD}3.0 tiles{}</v>
      </c>
      <c r="CI233" s="1" t="n">
        <f aca="false">VLOOKUP($CG233, Constants!$M:$N, 2, FALSE())</f>
        <v>0</v>
      </c>
      <c r="CJ233" s="1" t="str">
        <f aca="false">IF(P233&gt;1,_xlfn.CONCAT("{BLACK}Cars: {GOLD}", P233),"")</f>
        <v>{BLACK}Cars: {GOLD}5</v>
      </c>
      <c r="CK233" s="25" t="s">
        <v>830</v>
      </c>
      <c r="CM233" s="25"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25" t="str">
        <f aca="false">_xlfn.CONCAT(CI233,IF(CI233 &lt;&gt; "", " ", ""),CJ233,IF(OR(CJ233&lt;&gt;"", CI233&lt;&gt;""), "{}",""), CH233, CM233,"{SILVER}", CK233)</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4" s="25" customFormat="true" ht="14.25" hidden="false" customHeight="false" outlineLevel="0" collapsed="false">
      <c r="A234" s="25" t="s">
        <v>831</v>
      </c>
      <c r="B234" s="26" t="s">
        <v>832</v>
      </c>
      <c r="C234" s="1" t="n">
        <v>3019</v>
      </c>
      <c r="E234" s="1" t="n">
        <v>313</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5" t="s">
        <v>198</v>
      </c>
      <c r="J234" s="25" t="s">
        <v>206</v>
      </c>
      <c r="K234" s="25" t="s">
        <v>349</v>
      </c>
      <c r="L234" s="25" t="s">
        <v>350</v>
      </c>
      <c r="M234" s="25" t="n">
        <v>1925</v>
      </c>
      <c r="O234" s="25" t="n">
        <v>1955</v>
      </c>
      <c r="Q234" s="25" t="n">
        <v>1000</v>
      </c>
      <c r="R234" s="2"/>
      <c r="S234" s="3"/>
      <c r="T234" s="3"/>
      <c r="U234" s="3"/>
      <c r="V234" s="3"/>
      <c r="W234" s="3"/>
      <c r="X234" s="3"/>
      <c r="Y234" s="3"/>
      <c r="Z234" s="25" t="n">
        <v>62</v>
      </c>
      <c r="AA234" s="2"/>
      <c r="AB234" s="25" t="n">
        <v>5</v>
      </c>
      <c r="AC234" s="25" t="n">
        <v>48</v>
      </c>
      <c r="AD234" s="4" t="n">
        <f aca="false">IF(AND(Z234&gt;0,AC234&gt;0),(AC234/((Z234+AA234)*10)),"")</f>
        <v>0.0774193548387097</v>
      </c>
      <c r="AE234" s="25" t="n">
        <v>60</v>
      </c>
      <c r="AF234" s="25" t="n">
        <f aca="false">ROUND(AE234*1.6, 0)</f>
        <v>96</v>
      </c>
      <c r="AJ234" s="25" t="n">
        <v>12.8</v>
      </c>
      <c r="AM234" s="5" t="n">
        <v>60</v>
      </c>
      <c r="AN234" s="1" t="str">
        <f aca="false">CONCATENATE(VLOOKUP(AO234, '[1]Voxel Sizes'!$A$2:$B$18,2,FALSE()),"x",INT(AK234*15), "x", INT(AL234*15))</f>
        <v>136x0x0</v>
      </c>
      <c r="AO234" s="25" t="n">
        <f aca="false">ROUND(15*((AJ234*10)/256),0)</f>
        <v>8</v>
      </c>
      <c r="AQ234" s="1" t="str">
        <f aca="false">CONCATENATE(VLOOKUP(AO234,Constants!$A$2:$C$16,IF(AP234&lt;&gt;"", 3, 2), FALSE()),IF(AP234&lt;&gt;"",CONCATENATE(",",VLOOKUP(AP234,$B:$AQ,42,FALSE())),""))</f>
        <v>2,4,2</v>
      </c>
      <c r="AS234" s="6"/>
      <c r="AT234" s="6"/>
      <c r="AX234" s="25" t="s">
        <v>832</v>
      </c>
      <c r="BA234" s="25" t="n">
        <v>25</v>
      </c>
      <c r="BB234" s="16" t="n">
        <f aca="false">IF(O234&lt;&gt;"",MAX(16,(O234-M234)+8),"")</f>
        <v>38</v>
      </c>
      <c r="BC234" s="25" t="n">
        <v>-10</v>
      </c>
      <c r="BD234" s="25" t="n">
        <v>-25</v>
      </c>
      <c r="BE234" s="25" t="n">
        <f aca="false">MIN(AE234/150, 1)*30</f>
        <v>12</v>
      </c>
      <c r="BF234" s="25" t="n">
        <f aca="false">MIN(Q234/4000, 1)*20</f>
        <v>5</v>
      </c>
      <c r="BG234" s="25" t="n">
        <f aca="false">MIN(AC234/400,1)*20</f>
        <v>2.4</v>
      </c>
      <c r="BH234" s="4" t="n">
        <f aca="false">1-(MAX(M234-1900, 0)/750)</f>
        <v>0.966666666666667</v>
      </c>
      <c r="BI234" s="25" t="n">
        <f aca="false">((MAX($P234,1)*MIN($AM234/300,1)))*IF(J234="Wagon",50,10)</f>
        <v>2</v>
      </c>
      <c r="BJ234" s="1" t="n">
        <f aca="false">VLOOKUP($K234,Constants!$I:$K, 2, FALSE())</f>
        <v>0.85</v>
      </c>
      <c r="BK234" s="1" t="n">
        <f aca="false">VLOOKUP($K234,Constants!$I:$K, 3, FALSE())*IF(AND(J234="multiple_unit",AE234&lt;110),0.75,1)</f>
        <v>2.3</v>
      </c>
      <c r="BL234" s="25" t="n">
        <v>46</v>
      </c>
      <c r="BM234" s="25" t="n">
        <v>49</v>
      </c>
      <c r="BN234" s="17" t="n">
        <f aca="false">BL234*IF($J234="wagon",62.5,781.25)</f>
        <v>35937.5</v>
      </c>
      <c r="BO234" s="17" t="n">
        <f aca="false">BM234*IF($J234="wagon",2.73,81.25)</f>
        <v>3981.25</v>
      </c>
      <c r="BY234" s="25" t="n">
        <v>6</v>
      </c>
      <c r="BZ234" s="25" t="n">
        <v>185</v>
      </c>
      <c r="CC234" s="25" t="s">
        <v>662</v>
      </c>
      <c r="CD234" s="25" t="s">
        <v>428</v>
      </c>
      <c r="CE234" s="25" t="s">
        <v>785</v>
      </c>
      <c r="CF234" s="25" t="str">
        <f aca="false">CONCATENATE(CD234,"_",CE234)</f>
        <v>big4_EMU</v>
      </c>
      <c r="CG234" s="25" t="str">
        <f aca="false">_xlfn.CONCAT(K234, "_",L234)</f>
        <v>electric_ELRL</v>
      </c>
      <c r="CH234" s="7" t="str">
        <f aca="false">_xlfn.CONCAT("{BLACK}Length: {GOLD}", TEXT(ROUNDUP(IF(AT234&lt;&gt;"",SUM(VALUE(_xlfn.TEXTSPLIT(AT234, ","))), SUM(VALUE(_xlfn.TEXTSPLIT(AQ234, ",")))*IF(P234, P234, 1))/16, 1), "#,##0.0"), " tiles{}")</f>
        <v>{BLACK}Length: {GOLD}0.5 tiles{}</v>
      </c>
      <c r="CI234" s="1" t="n">
        <f aca="false">VLOOKUP($CG234, Constants!$M:$N, 2, FALSE())</f>
        <v>0</v>
      </c>
      <c r="CJ234" s="1" t="str">
        <f aca="false">IF(P234&gt;1,_xlfn.CONCAT("{BLACK}Cars: {GOLD}", P234),"")</f>
        <v/>
      </c>
      <c r="CK234" s="25" t="s">
        <v>833</v>
      </c>
      <c r="CM234" s="25"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25" t="str">
        <f aca="false">_xlfn.CONCAT(CI234,IF(CI234 &lt;&gt; "", " ", ""),CJ234,IF(OR(CJ234&lt;&gt;"", CI234&lt;&gt;""), "{}",""), CH234, CM234,"{SILVER}", CK234)</f>
        <v>{BLACK}Length: {GOLD}0.5 tiles{}{SILVER}The motor luggage vans powering the CW EMUs were usable locomotives in their own right, and could operate independantly if needed.</v>
      </c>
    </row>
    <row r="235" customFormat="false" ht="14.25" hidden="false" customHeight="false" outlineLevel="0" collapsed="false">
      <c r="A235" s="1" t="s">
        <v>834</v>
      </c>
      <c r="B235" s="15" t="s">
        <v>835</v>
      </c>
      <c r="C235" s="1" t="n">
        <v>224</v>
      </c>
      <c r="E235" s="1" t="n">
        <v>314</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1" t="s">
        <v>198</v>
      </c>
      <c r="J235" s="1" t="s">
        <v>423</v>
      </c>
      <c r="K235" s="1" t="s">
        <v>349</v>
      </c>
      <c r="L235" s="1" t="s">
        <v>498</v>
      </c>
      <c r="M235" s="1" t="n">
        <v>1914</v>
      </c>
      <c r="O235" s="1" t="n">
        <v>1960</v>
      </c>
      <c r="P235" s="1" t="n">
        <v>3</v>
      </c>
      <c r="Q235" s="1" t="n">
        <v>1000</v>
      </c>
      <c r="Z235" s="1" t="n">
        <v>117</v>
      </c>
      <c r="AB235" s="1" t="n">
        <v>5</v>
      </c>
      <c r="AC235" s="1" t="n">
        <v>112</v>
      </c>
      <c r="AD235" s="4" t="n">
        <f aca="false">IF(AND(Z235&gt;0,AC235&gt;0),(AC235/((Z235+AA235)*10)),"")</f>
        <v>0.0957264957264957</v>
      </c>
      <c r="AE235" s="1" t="n">
        <v>60</v>
      </c>
      <c r="AF235" s="1" t="n">
        <f aca="false">ROUND(AE235*1.6, 0)</f>
        <v>96</v>
      </c>
      <c r="AJ235" s="1" t="n">
        <v>17.7</v>
      </c>
      <c r="AM235" s="5" t="n">
        <v>45</v>
      </c>
      <c r="AN235" s="1" t="str">
        <f aca="false">CONCATENATE(VLOOKUP(AO235, 'Voxel Sizes'!$A$2:$B$18,2,FALSE()),"x",INT(AK235*15), "x", INT(AL235*15))</f>
        <v>164x0x0</v>
      </c>
      <c r="AO235" s="1" t="n">
        <f aca="false">ROUND(15*((AJ235*10)/256),0)</f>
        <v>10</v>
      </c>
      <c r="AQ235" s="1" t="str">
        <f aca="false">CONCATENATE(VLOOKUP(AO235,Constants!$A$2:$C$16,IF(AP235&lt;&gt;"", 3, 2), FALSE()),IF(AP235&lt;&gt;"",CONCATENATE(",",VLOOKUP(AP235,$B:$AQ,42,FALSE())),""))</f>
        <v>4,2,4</v>
      </c>
      <c r="AU235" s="1" t="s">
        <v>836</v>
      </c>
      <c r="AW235" s="1" t="s">
        <v>425</v>
      </c>
      <c r="BA235" s="1" t="n">
        <v>25</v>
      </c>
      <c r="BB235" s="16" t="n">
        <f aca="false">IF(O235&lt;&gt;"",MAX(16,(O235-M235)+8),"")</f>
        <v>54</v>
      </c>
      <c r="BC235" s="1" t="n">
        <v>-10</v>
      </c>
      <c r="BD235" s="1" t="n">
        <v>-15</v>
      </c>
      <c r="BE235" s="1" t="n">
        <f aca="false">MIN(AE235/150, 1)*30</f>
        <v>12</v>
      </c>
      <c r="BF235" s="1" t="n">
        <f aca="false">MIN(Q235/4000, 1)*20</f>
        <v>5</v>
      </c>
      <c r="BG235" s="1" t="n">
        <f aca="false">MIN(AC235/400,1)*20</f>
        <v>5.6</v>
      </c>
      <c r="BH235" s="4" t="n">
        <f aca="false">1-(MAX(M235-1900, 0)/750)</f>
        <v>0.981333333333333</v>
      </c>
      <c r="BI235" s="1" t="n">
        <f aca="false">((MAX($P235,1)*MIN($AM235/300,1)))*IF(J235="Wagon",50,10)</f>
        <v>4.5</v>
      </c>
      <c r="BJ235" s="1" t="n">
        <f aca="false">VLOOKUP($K235,Constants!$I:$K, 2, FALSE())</f>
        <v>0.85</v>
      </c>
      <c r="BK235" s="1" t="n">
        <f aca="false">VLOOKUP($K235,Constants!$I:$K, 3, FALSE())*IF(AND(J235="multiple_unit",AE235&lt;110),0.75,1)</f>
        <v>1.725</v>
      </c>
      <c r="BL235" s="1" t="n">
        <f aca="false">INT(POWER(((Constants!$G$2+$BE235+$BF235+$BG235+$BI235)*$BH235)*$BK235, 1.05))+$BD235</f>
        <v>51</v>
      </c>
      <c r="BM235" s="1" t="n">
        <f aca="false">INT(POWER((((Constants!$G$1+$BE235+$BF235+$BG235+$BI235)*($BH235))*$BJ235),IF($J235="wagon",1,1.2)))+$BC235</f>
        <v>61</v>
      </c>
      <c r="BN235" s="17" t="n">
        <f aca="false">BL235*IF($J235="wagon",62.5,781.25)</f>
        <v>39843.75</v>
      </c>
      <c r="BO235" s="17" t="n">
        <f aca="false">BM235*IF($J235="wagon",2.73,81.25)</f>
        <v>4956.25</v>
      </c>
      <c r="BY235" s="1" t="n">
        <v>6</v>
      </c>
      <c r="BZ235" s="1" t="n">
        <v>185</v>
      </c>
      <c r="CC235" s="1" t="s">
        <v>327</v>
      </c>
      <c r="CD235" s="1" t="str">
        <f aca="false">VLOOKUP(M235,Eras!$A$2:$C$10, 2, TRUE())</f>
        <v>edw</v>
      </c>
      <c r="CE235" s="1" t="s">
        <v>785</v>
      </c>
      <c r="CF235" s="1" t="str">
        <f aca="false">CONCATENATE(CD235,"_",CE235)</f>
        <v>edw_EMU</v>
      </c>
      <c r="CG235" s="1" t="str">
        <f aca="false">_xlfn.CONCAT(K235, "_",L235)</f>
        <v>electric_THIRD_RAIL</v>
      </c>
      <c r="CH235" s="7" t="str">
        <f aca="false">_xlfn.CONCAT("{BLACK}Length: {GOLD}", TEXT(ROUNDUP(IF(AT235&lt;&gt;"",SUM(VALUE(_xlfn.TEXTSPLIT(AT235, ","))), SUM(VALUE(_xlfn.TEXTSPLIT(AQ235, ",")))*IF(P235, P235, 1))/16, 1), "#,##0.0"), " tiles{}")</f>
        <v>{BLACK}Length: {GOLD}1.9 tiles{}</v>
      </c>
      <c r="CI235" s="1" t="n">
        <f aca="false">VLOOKUP($CG235, Constants!$M:$N, 2, FALSE())</f>
        <v>0</v>
      </c>
      <c r="CJ235" s="1" t="str">
        <f aca="false">IF(P235&gt;1,_xlfn.CONCAT("{BLACK}Cars: {GOLD}", P235),"")</f>
        <v>{BLACK}Cars: {GOLD}3</v>
      </c>
      <c r="CK235" s="1" t="s">
        <v>837</v>
      </c>
      <c r="CL235" s="1" t="str">
        <f aca="fals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{GOLD}3{}{BLACK}Length: {GOLD}1.9 tiles{}{SILVER}The LNWR built electric multiple units for its inner suburban London routes, sharing track with the Bakerloo and District lines.</v>
      </c>
    </row>
    <row r="236" customFormat="false" ht="14.25" hidden="false" customHeight="false" outlineLevel="0" collapsed="false">
      <c r="A236" s="1" t="s">
        <v>838</v>
      </c>
      <c r="B236" s="15" t="s">
        <v>839</v>
      </c>
      <c r="C236" s="1" t="n">
        <v>225</v>
      </c>
      <c r="E236" s="1" t="n">
        <v>315</v>
      </c>
      <c r="G236" s="1" t="str">
        <f aca="false">IF($F236&lt;&gt;"",_xlfn.CONCAT(VLOOKUP($CE236, Constants!$T:$U, 2, FALSE()),",",$F236),VLOOKUP($CE236, Constants!$T:$U, 2, FALSE()))</f>
        <v>role/express_passenger</v>
      </c>
      <c r="H236" s="1" t="str">
        <f aca="false">IF($G236&lt;&gt;"",_xlfn.CONCAT(VLOOKUP($CG236, Constants!$M:$P, 4, FALSE()),",",$G236),VLOOKUP($CG236, Constants!$M:$P, 4, FALSE()))</f>
        <v>flag/GB,power/electric,role/express_passenger</v>
      </c>
      <c r="I236" s="1" t="s">
        <v>198</v>
      </c>
      <c r="J236" s="1" t="s">
        <v>423</v>
      </c>
      <c r="K236" s="1" t="s">
        <v>349</v>
      </c>
      <c r="L236" s="1" t="s">
        <v>498</v>
      </c>
      <c r="M236" s="1" t="n">
        <v>1932</v>
      </c>
      <c r="O236" s="1" t="n">
        <v>1972</v>
      </c>
      <c r="P236" s="1" t="n">
        <v>5</v>
      </c>
      <c r="Q236" s="1" t="n">
        <v>1800</v>
      </c>
      <c r="Z236" s="1" t="n">
        <v>253</v>
      </c>
      <c r="AB236" s="1" t="n">
        <v>5</v>
      </c>
      <c r="AC236" s="1" t="n">
        <v>145</v>
      </c>
      <c r="AD236" s="4" t="n">
        <f aca="false">IF(AND(Z236&gt;0,AC236&gt;0),(AC236/((Z236+AA236)*10)),"")</f>
        <v>0.0573122529644269</v>
      </c>
      <c r="AE236" s="1" t="n">
        <v>75</v>
      </c>
      <c r="AF236" s="1" t="n">
        <f aca="false">ROUND(AE236*1.6, 0)</f>
        <v>120</v>
      </c>
      <c r="AI236" s="1" t="n">
        <v>20.11</v>
      </c>
      <c r="AJ236" s="1" t="n">
        <v>20.11</v>
      </c>
      <c r="AM236" s="5" t="n">
        <v>33</v>
      </c>
      <c r="AN236" s="1" t="str">
        <f aca="false">CONCATENATE(VLOOKUP(AO236, 'Voxel Sizes'!$A$2:$B$18,2,FALSE()),"x",INT(AK236*15), "x", INT(AL236*15))</f>
        <v>198x0x0</v>
      </c>
      <c r="AO236" s="1" t="n">
        <f aca="false">ROUND(15*((AJ236*10)/256),0)</f>
        <v>12</v>
      </c>
      <c r="AQ236" s="1" t="str">
        <f aca="false">CONCATENATE(VLOOKUP(AO236,Constants!$A$2:$C$16,IF(AP236&lt;&gt;"", 3, 2), FALSE()),IF(AP236&lt;&gt;"",CONCATENATE(",",VLOOKUP(AP236,$B:$AQ,42,FALSE())),""))</f>
        <v>4,4,4</v>
      </c>
      <c r="AU236" s="1" t="s">
        <v>840</v>
      </c>
      <c r="AW236" s="1" t="s">
        <v>841</v>
      </c>
      <c r="BA236" s="1" t="n">
        <v>28</v>
      </c>
      <c r="BB236" s="16" t="n">
        <f aca="false">IF(O236&lt;&gt;"",MAX(16,(O236-M236)+8),"")</f>
        <v>48</v>
      </c>
      <c r="BC236" s="1" t="n">
        <v>-10</v>
      </c>
      <c r="BD236" s="1" t="n">
        <v>-10</v>
      </c>
      <c r="BE236" s="1" t="n">
        <f aca="false">MIN(AE236/150, 1)*30</f>
        <v>15</v>
      </c>
      <c r="BF236" s="1" t="n">
        <f aca="false">MIN(Q236/4000, 1)*20</f>
        <v>9</v>
      </c>
      <c r="BG236" s="1" t="n">
        <f aca="false">MIN(AC236/400,1)*20</f>
        <v>7.25</v>
      </c>
      <c r="BH236" s="4" t="n">
        <f aca="false">1-(MAX(M236-1900, 0)/750)</f>
        <v>0.957333333333333</v>
      </c>
      <c r="BI236" s="1" t="n">
        <f aca="false">((MAX($P236,1)*MIN($AM236/300,1)))*IF(J236="Wagon",50,10)</f>
        <v>5.5</v>
      </c>
      <c r="BJ236" s="1" t="n">
        <f aca="false">VLOOKUP($K236,Constants!$I:$K, 2, FALSE())</f>
        <v>0.85</v>
      </c>
      <c r="BK236" s="1" t="n">
        <f aca="false">VLOOKUP($K236,Constants!$I:$K, 3, FALSE())*IF(AND(J236="multiple_unit",AE236&lt;110),0.75,1)</f>
        <v>1.725</v>
      </c>
      <c r="BL236" s="1" t="n">
        <f aca="false">INT(POWER(((Constants!$G$2+$BE236+$BF236+$BG236+$BI236)*$BH236)*$BK236, 1.05))+$BD236</f>
        <v>75</v>
      </c>
      <c r="BM236" s="1" t="n">
        <f aca="false">INT(POWER((((Constants!$G$1+$BE236+$BF236+$BG236+$BI236)*($BH236))*$BJ236),IF($J236="wagon",1,1.2)))+$BC236</f>
        <v>78</v>
      </c>
      <c r="BN236" s="17" t="n">
        <f aca="false">BL236*IF($J236="wagon",62.5,781.25)</f>
        <v>58593.75</v>
      </c>
      <c r="BO236" s="17" t="n">
        <f aca="false">BM236*IF($J236="wagon",2.73,81.25)</f>
        <v>6337.5</v>
      </c>
      <c r="BY236" s="1" t="n">
        <v>7</v>
      </c>
      <c r="BZ236" s="1" t="n">
        <v>260</v>
      </c>
      <c r="CC236" s="1" t="s">
        <v>327</v>
      </c>
      <c r="CD236" s="1" t="str">
        <f aca="false">VLOOKUP(M236,Eras!$A$2:$C$10, 2, TRUE())</f>
        <v>big4</v>
      </c>
      <c r="CE236" s="1" t="s">
        <v>842</v>
      </c>
      <c r="CF236" s="1" t="str">
        <f aca="false">CONCATENATE(CD236,"_",CE236)</f>
        <v>big4_EMU (Express)</v>
      </c>
      <c r="CG236" s="1" t="str">
        <f aca="false">_xlfn.CONCAT(K236, "_",L236)</f>
        <v>electric_THIRD_RAIL</v>
      </c>
      <c r="CH236" s="7" t="str">
        <f aca="false">_xlfn.CONCAT("{BLACK}Length: {GOLD}", TEXT(ROUNDUP(IF(AT236&lt;&gt;"",SUM(VALUE(_xlfn.TEXTSPLIT(AT236, ","))), SUM(VALUE(_xlfn.TEXTSPLIT(AQ236, ",")))*IF(P236, P236, 1))/16, 1), "#,##0.0"), " tiles{}")</f>
        <v>{BLACK}Length: {GOLD}3.8 tiles{}</v>
      </c>
      <c r="CI236" s="1" t="n">
        <f aca="false">VLOOKUP($CG236, Constants!$M:$N, 2, FALSE())</f>
        <v>0</v>
      </c>
      <c r="CJ236" s="1" t="str">
        <f aca="false">IF(P236&gt;1,_xlfn.CONCAT("{BLACK}Cars: {GOLD}", P236),"")</f>
        <v>{BLACK}Cars: {GOLD}5</v>
      </c>
      <c r="CK236" s="1" t="s">
        <v>843</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{YELLOW}40% bonus for long distance travel{}</v>
      </c>
      <c r="CN236" s="1" t="str">
        <f aca="false">_xlfn.CONCAT(CI236,IF(CI236&lt;&gt;""," ",""),CJ236,IF(OR(CJ236&lt;&gt;"",CI236&lt;&gt;""),"{}",""),CH236,CM236,"{SILVER}",CK236,IF(CL236&lt;&gt;"","{}{}",""),CL236)</f>
        <v>{BLACK}Cars: {GOLD}5{}{BLACK}Length: {GOLD}3.8 tiles{}{YELLOW}40% bonus for long distance travel{}{SILVER}The Southern Railway's "Brighton Belle" used Pullman coaches and remained in use well into the BR era.</v>
      </c>
    </row>
    <row r="237" customFormat="false" ht="14.25" hidden="false" customHeight="false" outlineLevel="0" collapsed="false">
      <c r="A237" s="1" t="s">
        <v>844</v>
      </c>
      <c r="B237" s="15" t="s">
        <v>845</v>
      </c>
      <c r="C237" s="1" t="n">
        <v>226</v>
      </c>
      <c r="E237" s="1" t="n">
        <v>316</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1" t="s">
        <v>198</v>
      </c>
      <c r="J237" s="1" t="s">
        <v>423</v>
      </c>
      <c r="K237" s="1" t="s">
        <v>349</v>
      </c>
      <c r="L237" s="1" t="s">
        <v>498</v>
      </c>
      <c r="M237" s="1" t="n">
        <v>1937</v>
      </c>
      <c r="N237" s="1" t="n">
        <v>1938</v>
      </c>
      <c r="O237" s="1" t="n">
        <v>1972</v>
      </c>
      <c r="P237" s="1" t="n">
        <v>4</v>
      </c>
      <c r="Q237" s="1" t="n">
        <v>900</v>
      </c>
      <c r="Z237" s="1" t="n">
        <v>160.8</v>
      </c>
      <c r="AB237" s="1" t="n">
        <v>5</v>
      </c>
      <c r="AC237" s="1" t="n">
        <v>120</v>
      </c>
      <c r="AD237" s="4" t="n">
        <f aca="false">IF(AND(Z237&gt;0,AC237&gt;0),(AC237/((Z237+AA237)*10)),"")</f>
        <v>0.0746268656716418</v>
      </c>
      <c r="AE237" s="1" t="n">
        <v>75</v>
      </c>
      <c r="AF237" s="1" t="n">
        <f aca="false">ROUND(AE237*1.6, 0)</f>
        <v>120</v>
      </c>
      <c r="AI237" s="1" t="n">
        <v>20</v>
      </c>
      <c r="AJ237" s="1" t="n">
        <v>20</v>
      </c>
      <c r="AM237" s="5" t="n">
        <v>57</v>
      </c>
      <c r="AN237" s="1" t="str">
        <f aca="false">CONCATENATE(VLOOKUP(AO237, 'Voxel Sizes'!$A$2:$B$18,2,FALSE()),"x",INT(AK237*15), "x", INT(AL237*15))</f>
        <v>198x0x0</v>
      </c>
      <c r="AO237" s="1" t="n">
        <f aca="false">ROUND(15*((AJ237*10)/256),0)</f>
        <v>12</v>
      </c>
      <c r="AQ237" s="1" t="str">
        <f aca="false">CONCATENATE(VLOOKUP(AO237,Constants!$A$2:$C$16,IF(AP237&lt;&gt;"", 3, 2), FALSE()),IF(AP237&lt;&gt;"",CONCATENATE(",",VLOOKUP(AP237,$B:$AQ,42,FALSE())),""))</f>
        <v>4,4,4</v>
      </c>
      <c r="AU237" s="1" t="s">
        <v>846</v>
      </c>
      <c r="AW237" s="1" t="s">
        <v>847</v>
      </c>
      <c r="BA237" s="1" t="n">
        <v>36</v>
      </c>
      <c r="BB237" s="16" t="n">
        <f aca="false">IF(O237&lt;&gt;"",MAX(16,(O237-M237)+8),"")</f>
        <v>43</v>
      </c>
      <c r="BC237" s="1" t="n">
        <v>-10</v>
      </c>
      <c r="BD237" s="1" t="n">
        <v>-15</v>
      </c>
      <c r="BE237" s="1" t="n">
        <f aca="false">MIN(AE237/150, 1)*30</f>
        <v>15</v>
      </c>
      <c r="BF237" s="1" t="n">
        <f aca="false">MIN(Q237/4000, 1)*20</f>
        <v>4.5</v>
      </c>
      <c r="BG237" s="1" t="n">
        <f aca="false">MIN(AC237/400,1)*20</f>
        <v>6</v>
      </c>
      <c r="BH237" s="4" t="n">
        <f aca="false">1-(MAX(M237-1900, 0)/750)</f>
        <v>0.950666666666667</v>
      </c>
      <c r="BI237" s="1" t="n">
        <f aca="false">((MAX($P237,1)*MIN($AM237/300,1)))*IF(J237="Wagon",50,10)</f>
        <v>7.6</v>
      </c>
      <c r="BJ237" s="1" t="n">
        <f aca="false">VLOOKUP($K237,Constants!$I:$K, 2, FALSE())</f>
        <v>0.85</v>
      </c>
      <c r="BK237" s="1" t="n">
        <f aca="false">VLOOKUP($K237,Constants!$I:$K, 3, FALSE())*IF(AND(J237="multiple_unit",AE237&lt;110),0.75,1)</f>
        <v>1.725</v>
      </c>
      <c r="BL237" s="1" t="n">
        <f aca="false">INT(POWER(((Constants!$G$2+$BE237+$BF237+$BG237+$BI237)*$BH237)*$BK237, 1.05))+$BD237</f>
        <v>61</v>
      </c>
      <c r="BM237" s="1" t="n">
        <f aca="false">INT(POWER((((Constants!$G$1+$BE237+$BF237+$BG237+$BI237)*($BH237))*$BJ237),IF($J237="wagon",1,1.2)))+$BC237</f>
        <v>70</v>
      </c>
      <c r="BN237" s="17" t="n">
        <f aca="false">BL237*IF($J237="wagon",62.5,781.25)</f>
        <v>47656.25</v>
      </c>
      <c r="BO237" s="17" t="n">
        <f aca="false">BM237*IF($J237="wagon",2.73,81.25)</f>
        <v>5687.5</v>
      </c>
      <c r="BY237" s="1" t="n">
        <v>8</v>
      </c>
      <c r="BZ237" s="1" t="n">
        <v>185</v>
      </c>
      <c r="CC237" s="1" t="s">
        <v>327</v>
      </c>
      <c r="CD237" s="1" t="str">
        <f aca="false">VLOOKUP(M237,Eras!$A$2:$C$10, 2, TRUE())</f>
        <v>big4</v>
      </c>
      <c r="CE237" s="1" t="s">
        <v>785</v>
      </c>
      <c r="CF237" s="1" t="str">
        <f aca="false">CONCATENATE(CD237,"_",CE237)</f>
        <v>big4_EMU</v>
      </c>
      <c r="CG237" s="1" t="str">
        <f aca="false">_xlfn.CONCAT(K237, "_",L237)</f>
        <v>electric_THIRD_RAIL</v>
      </c>
      <c r="CH237" s="7" t="str">
        <f aca="false">_xlfn.CONCAT("{BLACK}Length: {GOLD}", TEXT(ROUNDUP(IF(AT237&lt;&gt;"",SUM(VALUE(_xlfn.TEXTSPLIT(AT237, ","))), SUM(VALUE(_xlfn.TEXTSPLIT(AQ237, ",")))*IF(P237, P237, 1))/16, 1), "#,##0.0"), " tiles{}")</f>
        <v>{BLACK}Length: {GOLD}3.0 tiles{}</v>
      </c>
      <c r="CI237" s="1" t="n">
        <f aca="false">VLOOKUP($CG237, Constants!$M:$N, 2, FALSE())</f>
        <v>0</v>
      </c>
      <c r="CJ237" s="1" t="str">
        <f aca="false">IF(P237&gt;1,_xlfn.CONCAT("{BLACK}Cars: {GOLD}", P237),"")</f>
        <v>{BLACK}Cars: {GOLD}4</v>
      </c>
      <c r="CK237" s="1" t="s">
        <v>848</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{GOLD}4{}{BLACK}Length: {GOLD}3.0 tiles{}{SILVER}The Southern Railway was an early pioneer of electrification, with 4-COR units used between London Waterloo and Portsmouth.</v>
      </c>
    </row>
    <row r="238" customFormat="false" ht="14.25" hidden="false" customHeight="false" outlineLevel="0" collapsed="false">
      <c r="A238" s="1" t="s">
        <v>849</v>
      </c>
      <c r="B238" s="15" t="s">
        <v>850</v>
      </c>
      <c r="C238" s="1" t="n">
        <v>227</v>
      </c>
      <c r="E238" s="1" t="n">
        <v>317</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1" t="s">
        <v>198</v>
      </c>
      <c r="J238" s="1" t="s">
        <v>423</v>
      </c>
      <c r="K238" s="1" t="s">
        <v>349</v>
      </c>
      <c r="L238" s="1" t="s">
        <v>498</v>
      </c>
      <c r="M238" s="1" t="n">
        <v>1938</v>
      </c>
      <c r="N238" s="1" t="n">
        <v>1939</v>
      </c>
      <c r="O238" s="1" t="n">
        <v>1971</v>
      </c>
      <c r="P238" s="1" t="n">
        <v>2</v>
      </c>
      <c r="Q238" s="1" t="n">
        <v>550</v>
      </c>
      <c r="Z238" s="1" t="n">
        <v>77</v>
      </c>
      <c r="AB238" s="1" t="n">
        <v>5</v>
      </c>
      <c r="AC238" s="1" t="n">
        <v>120</v>
      </c>
      <c r="AD238" s="4" t="n">
        <f aca="false">IF(AND(Z238&gt;0,AC238&gt;0),(AC238/((Z238+AA238)*10)),"")</f>
        <v>0.155844155844156</v>
      </c>
      <c r="AE238" s="1" t="n">
        <v>75</v>
      </c>
      <c r="AF238" s="1" t="n">
        <f aca="false">ROUND(AE238*1.6, 0)</f>
        <v>120</v>
      </c>
      <c r="AI238" s="1" t="n">
        <v>20</v>
      </c>
      <c r="AJ238" s="1" t="n">
        <v>20</v>
      </c>
      <c r="AM238" s="5" t="n">
        <f aca="false">(24+102)/2</f>
        <v>63</v>
      </c>
      <c r="AN238" s="1" t="str">
        <f aca="false">CONCATENATE(VLOOKUP(AO238, 'Voxel Sizes'!$A$2:$B$18,2,FALSE()),"x",INT(AK238*15), "x", INT(AL238*15))</f>
        <v>198x0x0</v>
      </c>
      <c r="AO238" s="1" t="n">
        <f aca="false">ROUND(15*((AJ238*10)/256),0)</f>
        <v>12</v>
      </c>
      <c r="AQ238" s="1" t="str">
        <f aca="false">CONCATENATE(VLOOKUP(AO238,Constants!$A$2:$C$16,IF(AP238&lt;&gt;"", 3, 2), FALSE()),IF(AP238&lt;&gt;"",CONCATENATE(",",VLOOKUP(AP238,$B:$AQ,42,FALSE())),""))</f>
        <v>4,4,4</v>
      </c>
      <c r="AU238" s="1" t="s">
        <v>851</v>
      </c>
      <c r="AW238" s="1" t="s">
        <v>770</v>
      </c>
      <c r="BA238" s="1" t="n">
        <v>36</v>
      </c>
      <c r="BB238" s="16" t="n">
        <f aca="false">IF(O238&lt;&gt;"",MAX(16,(O238-M238)+8),"")</f>
        <v>41</v>
      </c>
      <c r="BC238" s="1" t="n">
        <v>-10</v>
      </c>
      <c r="BD238" s="1" t="n">
        <v>-15</v>
      </c>
      <c r="BE238" s="1" t="n">
        <f aca="false">MIN(AE238/150, 1)*30</f>
        <v>15</v>
      </c>
      <c r="BF238" s="1" t="n">
        <f aca="false">MIN(Q238/4000, 1)*20</f>
        <v>2.75</v>
      </c>
      <c r="BG238" s="1" t="n">
        <f aca="false">MIN(AC238/400,1)*20</f>
        <v>6</v>
      </c>
      <c r="BH238" s="4" t="n">
        <f aca="false">1-(MAX(M238-1900, 0)/750)</f>
        <v>0.949333333333333</v>
      </c>
      <c r="BI238" s="1" t="n">
        <f aca="false">((MAX($P238,1)*MIN($AM238/300,1)))*IF(J238="Wagon",50,10)</f>
        <v>4.2</v>
      </c>
      <c r="BJ238" s="1" t="n">
        <f aca="false">VLOOKUP($K238,Constants!$I:$K, 2, FALSE())</f>
        <v>0.85</v>
      </c>
      <c r="BK238" s="1" t="n">
        <f aca="false">VLOOKUP($K238,Constants!$I:$K, 3, FALSE())*IF(AND(J238="multiple_unit",AE238&lt;110),0.75,1)</f>
        <v>1.725</v>
      </c>
      <c r="BL238" s="1" t="n">
        <f aca="false">INT(POWER(((Constants!$G$2+$BE238+$BF238+$BG238+$BI238)*$BH238)*$BK238, 1.05))+$BD238</f>
        <v>50</v>
      </c>
      <c r="BM238" s="1" t="n">
        <f aca="false">INT(POWER((((Constants!$G$1+$BE238+$BF238+$BG238+$BI238)*($BH238))*$BJ238),IF($J238="wagon",1,1.2)))+$BC238</f>
        <v>60</v>
      </c>
      <c r="BN238" s="17" t="n">
        <f aca="false">BL238*IF($J238="wagon",62.5,781.25)</f>
        <v>39062.5</v>
      </c>
      <c r="BO238" s="17" t="n">
        <f aca="false">BM238*IF($J238="wagon",2.73,81.25)</f>
        <v>4875</v>
      </c>
      <c r="BY238" s="1" t="n">
        <v>9</v>
      </c>
      <c r="BZ238" s="1" t="n">
        <v>185</v>
      </c>
      <c r="CC238" s="1" t="s">
        <v>327</v>
      </c>
      <c r="CD238" s="1" t="str">
        <f aca="false">VLOOKUP(M238,Eras!$A$2:$C$10, 2, TRUE())</f>
        <v>big4</v>
      </c>
      <c r="CE238" s="1" t="s">
        <v>785</v>
      </c>
      <c r="CF238" s="1" t="str">
        <f aca="false">CONCATENATE(CD238,"_",CE238)</f>
        <v>big4_EMU</v>
      </c>
      <c r="CG238" s="1" t="str">
        <f aca="false">_xlfn.CONCAT(K238, "_",L238)</f>
        <v>electric_THIRD_RAIL</v>
      </c>
      <c r="CH238" s="7" t="str">
        <f aca="false">_xlfn.CONCAT("{BLACK}Length: {GOLD}", TEXT(ROUNDUP(IF(AT238&lt;&gt;"",SUM(VALUE(_xlfn.TEXTSPLIT(AT238, ","))), SUM(VALUE(_xlfn.TEXTSPLIT(AQ238, ",")))*IF(P238, P238, 1))/16, 1), "#,##0.0"), " tiles{}")</f>
        <v>{BLACK}Length: {GOLD}1.5 tiles{}</v>
      </c>
      <c r="CI238" s="1" t="n">
        <f aca="false">VLOOKUP($CG238, Constants!$M:$N, 2, FALSE())</f>
        <v>0</v>
      </c>
      <c r="CJ238" s="1" t="str">
        <f aca="false">IF(P238&gt;1,_xlfn.CONCAT("{BLACK}Cars: {GOLD}", P238),"")</f>
        <v>{BLACK}Cars: {GOLD}2</v>
      </c>
      <c r="CK238" s="1" t="s">
        <v>852</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{BLACK}Cars: {GOLD}2{}{BLACK}Length: {GOLD}1.5 tiles{}{SILVER}The 2-HAL (named for 2 units, Half Lavatory) is designed for suburban commuter services.</v>
      </c>
    </row>
    <row r="239" customFormat="false" ht="14.25" hidden="false" customHeight="false" outlineLevel="0" collapsed="false">
      <c r="A239" s="1" t="s">
        <v>853</v>
      </c>
      <c r="B239" s="19" t="s">
        <v>854</v>
      </c>
      <c r="C239" s="1" t="n">
        <v>1051</v>
      </c>
      <c r="E239" s="1" t="n">
        <v>318</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1" t="s">
        <v>198</v>
      </c>
      <c r="J239" s="1" t="s">
        <v>423</v>
      </c>
      <c r="K239" s="1" t="s">
        <v>349</v>
      </c>
      <c r="L239" s="1" t="s">
        <v>498</v>
      </c>
      <c r="M239" s="1" t="n">
        <v>1949</v>
      </c>
      <c r="O239" s="1" t="n">
        <v>1971</v>
      </c>
      <c r="P239" s="1" t="n">
        <v>4</v>
      </c>
      <c r="Q239" s="1" t="n">
        <v>900</v>
      </c>
      <c r="Z239" s="1" t="n">
        <v>135</v>
      </c>
      <c r="AB239" s="1" t="n">
        <v>3</v>
      </c>
      <c r="AC239" s="1" t="n">
        <v>120</v>
      </c>
      <c r="AD239" s="4" t="n">
        <f aca="false">IF(AND(Z239&gt;0,AC239&gt;0),(AC239/((Z239+AA239)*10)),"")</f>
        <v>0.0888888888888889</v>
      </c>
      <c r="AE239" s="1" t="n">
        <v>75</v>
      </c>
      <c r="AF239" s="1" t="n">
        <f aca="false">ROUND(AE239*1.6, 0)</f>
        <v>120</v>
      </c>
      <c r="AI239" s="1" t="n">
        <v>19.6</v>
      </c>
      <c r="AJ239" s="1" t="n">
        <v>19.6</v>
      </c>
      <c r="AK239" s="1" t="n">
        <v>2.82</v>
      </c>
      <c r="AM239" s="5" t="n">
        <v>69</v>
      </c>
      <c r="AN239" s="16" t="s">
        <v>855</v>
      </c>
      <c r="AO239" s="16" t="n">
        <f aca="false">ROUND(15*((AJ239*10)/256),0)</f>
        <v>11</v>
      </c>
      <c r="AQ239" s="1" t="str">
        <f aca="false">CONCATENATE(VLOOKUP(AO239,Constants!$A$2:$C$16,IF(AP239&lt;&gt;"", 3, 2), FALSE()),IF(AP239&lt;&gt;"",CONCATENATE(",",VLOOKUP(AP239,$B:$AQ,42,FALSE())),""))</f>
        <v>4,3,4</v>
      </c>
      <c r="AU239" s="1" t="s">
        <v>856</v>
      </c>
      <c r="AW239" s="1" t="s">
        <v>847</v>
      </c>
      <c r="BA239" s="1" t="n">
        <v>23</v>
      </c>
      <c r="BB239" s="16" t="n">
        <f aca="false">IF(O239&lt;&gt;"",MAX(16,(O239-M239)+8),"")</f>
        <v>30</v>
      </c>
      <c r="BC239" s="1" t="n">
        <v>-10</v>
      </c>
      <c r="BD239" s="1" t="n">
        <v>-15</v>
      </c>
      <c r="BE239" s="20" t="n">
        <f aca="false">MIN(AE239/150, 1)*30</f>
        <v>15</v>
      </c>
      <c r="BF239" s="20" t="n">
        <f aca="false">MIN(Q239/4000, 1)*20</f>
        <v>4.5</v>
      </c>
      <c r="BG239" s="20" t="n">
        <f aca="false">MIN(AC239/400,1)*20</f>
        <v>6</v>
      </c>
      <c r="BH239" s="21" t="n">
        <f aca="false">1-(MAX(M239-1900, 0)/750)</f>
        <v>0.934666666666667</v>
      </c>
      <c r="BI239" s="20" t="n">
        <f aca="false">((MAX($P239,1)*MIN($AM239/300,1)))*IF(J239="Wagon",50,10)</f>
        <v>9.2</v>
      </c>
      <c r="BJ239" s="1" t="n">
        <f aca="false">VLOOKUP($K239,Constants!$I:$K, 2, FALSE())</f>
        <v>0.85</v>
      </c>
      <c r="BK239" s="1" t="n">
        <f aca="false">VLOOKUP($K239,Constants!$I:$K, 3, FALSE())*IF(AND(J239="multiple_unit",AE239&lt;110),0.75,1)</f>
        <v>1.725</v>
      </c>
      <c r="BL239" s="20" t="n">
        <v>63</v>
      </c>
      <c r="BM239" s="20" t="n">
        <v>72</v>
      </c>
      <c r="BN239" s="22" t="n">
        <f aca="false">BL239*IF($J239="wagon",62.5,781.25)</f>
        <v>49218.75</v>
      </c>
      <c r="BO239" s="22" t="n">
        <f aca="false">BM239*IF($J239="wagon",2.73,81.25)</f>
        <v>5850</v>
      </c>
      <c r="BY239" s="1" t="n">
        <v>8</v>
      </c>
      <c r="BZ239" s="1" t="n">
        <v>165</v>
      </c>
      <c r="CB239" s="1" t="s">
        <v>326</v>
      </c>
      <c r="CC239" s="1" t="s">
        <v>327</v>
      </c>
      <c r="CD239" s="23" t="s">
        <v>538</v>
      </c>
      <c r="CE239" s="1" t="s">
        <v>779</v>
      </c>
      <c r="CF239" s="23" t="str">
        <f aca="false">CONCATENATE(CD239,"_",CE239)</f>
        <v>ebr_DMU</v>
      </c>
      <c r="CG239" s="23" t="str">
        <f aca="false">_xlfn.CONCAT(K239, "_",L239)</f>
        <v>electric_THIRD_RAIL</v>
      </c>
      <c r="CH239" s="7" t="str">
        <f aca="false">_xlfn.CONCAT("{BLACK}Length: {GOLD}", TEXT(ROUNDUP(IF(AT239&lt;&gt;"",SUM(VALUE(_xlfn.TEXTSPLIT(AT239, ","))), SUM(VALUE(_xlfn.TEXTSPLIT(AQ239, ",")))*IF(P239, P239, 1))/16, 1), "#,##0.0"), " tiles{}")</f>
        <v>{BLACK}Length: {GOLD}2.8 tiles{}</v>
      </c>
      <c r="CI239" s="1" t="n">
        <f aca="false">VLOOKUP($CG239, Constants!$M:$N, 2, FALSE())</f>
        <v>0</v>
      </c>
      <c r="CJ239" s="1" t="str">
        <f aca="false">IF(P239&gt;1,_xlfn.CONCAT("{BLACK}Cars: {GOLD}", P239),"")</f>
        <v>{BLACK}Cars: {GOLD}4</v>
      </c>
      <c r="CK239" s="1" t="s">
        <v>857</v>
      </c>
      <c r="CL239" s="1" t="str">
        <f aca="false">IF($BX239="!param_no_gameplay_units","{GREEN}Included for gameplay purposes","")</f>
        <v/>
      </c>
      <c r="CM239" s="1" t="str">
        <f aca="false">IF(CA239="buffet","{YELLOW}25% long distance bonus for consist{}",IF(CB239="DANDY","{YELLOW}Faster downhill speeds for horse-drawn trains (1 required per 2 horses){}",IF(CB239="BRAKE","{YELLOW}Speed bonus for slow wagons{}",IF(CB239="NGPassengers","{YELLOW}Preserved railway bonus: passengers pay more when hauled by old locomotives{}",IF(AND(BZ239&gt;190,NOT(AND(L239="NARROW_GAUGE",CB239&lt;&gt;"PASS"))),CONCATENATE("{YELLOW}",INT((BZ239-185)/1.85),"% bonus for long distance travel{}"),IF(AND(BZ239&lt;180,BZ239&lt;&gt;0),CONCATENATE("{YELLOW}",INT((185-BZ239)/1.85),"% penalty for long distance travel{}"),""))))))</f>
        <v>{YELLOW}10% penalty for long distance travel{}</v>
      </c>
      <c r="CN239" s="1" t="str">
        <f aca="false">_xlfn.CONCAT(CI239,IF(CI239&lt;&gt;""," ",""),CJ239,IF(OR(CJ239&lt;&gt;"",CI239&lt;&gt;""),"{}",""),CH239,CM239,"{SILVER}",CK239,IF(CL239&lt;&gt;"","{}{}",""),CL239)</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0" customFormat="false" ht="14.25" hidden="false" customHeight="false" outlineLevel="0" collapsed="false">
      <c r="A240" s="1" t="s">
        <v>858</v>
      </c>
      <c r="B240" s="15" t="s">
        <v>859</v>
      </c>
      <c r="C240" s="1" t="n">
        <v>228</v>
      </c>
      <c r="E240" s="1" t="n">
        <v>319</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198</v>
      </c>
      <c r="J240" s="1" t="s">
        <v>423</v>
      </c>
      <c r="K240" s="1" t="s">
        <v>349</v>
      </c>
      <c r="L240" s="1" t="s">
        <v>350</v>
      </c>
      <c r="M240" s="1" t="n">
        <v>1954</v>
      </c>
      <c r="O240" s="1" t="n">
        <v>1984</v>
      </c>
      <c r="P240" s="1" t="n">
        <v>3</v>
      </c>
      <c r="Q240" s="1" t="n">
        <v>740</v>
      </c>
      <c r="Z240" s="1" t="n">
        <f aca="false">51.4+26.8+27.9</f>
        <v>106.1</v>
      </c>
      <c r="AB240" s="1" t="n">
        <v>5</v>
      </c>
      <c r="AC240" s="1" t="n">
        <v>110</v>
      </c>
      <c r="AD240" s="4" t="n">
        <f aca="false">IF(AND(Z240&gt;0,AC240&gt;0),(AC240/((Z240+AA240)*10)),"")</f>
        <v>0.103675777568332</v>
      </c>
      <c r="AE240" s="1" t="n">
        <v>75</v>
      </c>
      <c r="AF240" s="1" t="n">
        <f aca="false">ROUND(AE240*1.6, 0)</f>
        <v>120</v>
      </c>
      <c r="AI240" s="1" t="n">
        <v>18.1</v>
      </c>
      <c r="AJ240" s="1" t="n">
        <v>18.1</v>
      </c>
      <c r="AK240" s="1" t="n">
        <v>2.82</v>
      </c>
      <c r="AL240" s="1" t="n">
        <v>3.87</v>
      </c>
      <c r="AM240" s="5" t="n">
        <v>57</v>
      </c>
      <c r="AN240" s="1" t="str">
        <f aca="false">CONCATENATE(VLOOKUP(AO240, 'Voxel Sizes'!$A$2:$B$18,2,FALSE()),"x",INT(AK240*15), "x", INT(AL240*15))</f>
        <v>186x42x58</v>
      </c>
      <c r="AO240" s="1" t="n">
        <f aca="false">ROUND(15*((AJ240*10)/256),0)</f>
        <v>11</v>
      </c>
      <c r="AQ240" s="1" t="str">
        <f aca="false">CONCATENATE(VLOOKUP(AO240,Constants!$A$2:$C$16,IF(AP240&lt;&gt;"", 3, 2), FALSE()),IF(AP240&lt;&gt;"",CONCATENATE(",",VLOOKUP(AP240,$B:$AQ,42,FALSE())),""))</f>
        <v>4,3,4</v>
      </c>
      <c r="AU240" s="1" t="s">
        <v>860</v>
      </c>
      <c r="AW240" s="1" t="s">
        <v>425</v>
      </c>
      <c r="BA240" s="1" t="n">
        <v>35</v>
      </c>
      <c r="BB240" s="16" t="n">
        <f aca="false">IF(O240&lt;&gt;"",MAX(16,(O240-M240)+8),"")</f>
        <v>38</v>
      </c>
      <c r="BC240" s="1" t="n">
        <v>-10</v>
      </c>
      <c r="BD240" s="1" t="n">
        <v>-15</v>
      </c>
      <c r="BE240" s="1" t="n">
        <f aca="false">MIN(AE240/150, 1)*30</f>
        <v>15</v>
      </c>
      <c r="BF240" s="1" t="n">
        <f aca="false">MIN(Q240/4000, 1)*20</f>
        <v>3.7</v>
      </c>
      <c r="BG240" s="1" t="n">
        <f aca="false">MIN(AC240/400,1)*20</f>
        <v>5.5</v>
      </c>
      <c r="BH240" s="4" t="n">
        <f aca="false">1-(MAX(M240-1900, 0)/750)</f>
        <v>0.928</v>
      </c>
      <c r="BI240" s="1" t="n">
        <f aca="false">((MAX($P240,1)*MIN($AM240/300,1)))*IF(J240="Wagon",50,10)</f>
        <v>5.7</v>
      </c>
      <c r="BJ240" s="1" t="n">
        <f aca="false">VLOOKUP($K240,Constants!$I:$K, 2, FALSE())</f>
        <v>0.85</v>
      </c>
      <c r="BK240" s="1" t="n">
        <f aca="false">VLOOKUP($K240,Constants!$I:$K, 3, FALSE())*IF(AND(J240="multiple_unit",AE240&lt;110),0.75,1)</f>
        <v>1.725</v>
      </c>
      <c r="BL240" s="1" t="n">
        <f aca="false">INT(POWER(((Constants!$G$2+$BE240+$BF240+$BG240+$BI240)*$BH240)*$BK240, 1.05))+$BD240</f>
        <v>53</v>
      </c>
      <c r="BM240" s="1" t="n">
        <f aca="false">INT(POWER((((Constants!$G$1+$BE240+$BF240+$BG240+$BI240)*($BH240))*$BJ240),IF($J240="wagon",1,1.2)))+$BC240</f>
        <v>62</v>
      </c>
      <c r="BN240" s="17" t="n">
        <f aca="false">BL240*IF($J240="wagon",62.5,781.25)</f>
        <v>41406.25</v>
      </c>
      <c r="BO240" s="17" t="n">
        <f aca="false">BM240*IF($J240="wagon",2.73,81.25)</f>
        <v>5037.5</v>
      </c>
      <c r="BY240" s="1" t="n">
        <v>10</v>
      </c>
      <c r="BZ240" s="1" t="n">
        <v>185</v>
      </c>
      <c r="CC240" s="1" t="s">
        <v>327</v>
      </c>
      <c r="CD240" s="1" t="str">
        <f aca="false">VLOOKUP(M240,Eras!$A$2:$C$10, 2, TRUE())</f>
        <v>ebr</v>
      </c>
      <c r="CE240" s="1" t="s">
        <v>785</v>
      </c>
      <c r="CF240" s="1" t="str">
        <f aca="false">CONCATENATE(CD240,"_",CE240)</f>
        <v>ebr_EMU</v>
      </c>
      <c r="CG240" s="1" t="str">
        <f aca="false">_xlfn.CONCAT(K240, "_",L240)</f>
        <v>electric_ELRL</v>
      </c>
      <c r="CH240" s="7" t="str">
        <f aca="false">_xlfn.CONCAT("{BLACK}Length: {GOLD}", TEXT(ROUNDUP(IF(AT240&lt;&gt;"",SUM(VALUE(_xlfn.TEXTSPLIT(AT240, ","))), SUM(VALUE(_xlfn.TEXTSPLIT(AQ240, ",")))*IF(P240, P240, 1))/16, 1), "#,##0.0"), " tiles{}")</f>
        <v>{BLACK}Length: {GOLD}2.1 tiles{}</v>
      </c>
      <c r="CI240" s="1" t="n">
        <f aca="false">VLOOKUP($CG240, Constants!$M:$N, 2, FALSE())</f>
        <v>0</v>
      </c>
      <c r="CJ240" s="1" t="str">
        <f aca="false">IF(P240&gt;1,_xlfn.CONCAT("{BLACK}Cars: {GOLD}", P240),"")</f>
        <v>{BLACK}Cars: {GOLD}3</v>
      </c>
      <c r="CK240" s="1" t="s">
        <v>861</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{GOLD}2.1 tiles{}{SILVER}The Class 506 was built by Metro Cammell and BRCW for the Woodhead Line.</v>
      </c>
    </row>
    <row r="241" customFormat="false" ht="14.25" hidden="false" customHeight="false" outlineLevel="0" collapsed="false">
      <c r="A241" s="1" t="s">
        <v>862</v>
      </c>
      <c r="B241" s="19" t="s">
        <v>863</v>
      </c>
      <c r="C241" s="1" t="n">
        <v>1049</v>
      </c>
      <c r="E241" s="1" t="n">
        <v>320</v>
      </c>
      <c r="G241" s="1" t="str">
        <f aca="false">IF($F241&lt;&gt;"",_xlfn.CONCAT(VLOOKUP($CE241, Constants!$T:$U, 2, FALSE()),",",$F241),VLOOKUP($CE241, Constants!$T:$U, 2, FALSE()))</f>
        <v>role/passenger</v>
      </c>
      <c r="H241" s="1" t="str">
        <f aca="false">IF($G241&lt;&gt;"",_xlfn.CONCAT(VLOOKUP($CG241, Constants!$M:$P, 4, FALSE()),",",$G241),VLOOKUP($CG241, Constants!$M:$P, 4, FALSE()))</f>
        <v>flag/GB,power/diesel,role/passenger</v>
      </c>
      <c r="I241" s="1" t="s">
        <v>198</v>
      </c>
      <c r="J241" s="1" t="s">
        <v>423</v>
      </c>
      <c r="K241" s="1" t="s">
        <v>482</v>
      </c>
      <c r="L241" s="1" t="s">
        <v>149</v>
      </c>
      <c r="M241" s="1" t="n">
        <v>1956</v>
      </c>
      <c r="N241" s="1" t="n">
        <v>1959</v>
      </c>
      <c r="O241" s="1" t="n">
        <v>1988</v>
      </c>
      <c r="P241" s="1" t="n">
        <v>2</v>
      </c>
      <c r="Q241" s="1" t="n">
        <v>300</v>
      </c>
      <c r="Z241" s="1" t="n">
        <f aca="false">30.5*2</f>
        <v>61</v>
      </c>
      <c r="AB241" s="1" t="n">
        <v>5</v>
      </c>
      <c r="AC241" s="1" t="n">
        <v>65</v>
      </c>
      <c r="AD241" s="4" t="n">
        <f aca="false">IF(AND(Z241&gt;0,AC241&gt;0),(AC241/((Z241+AA241)*10)),"")</f>
        <v>0.10655737704918</v>
      </c>
      <c r="AE241" s="1" t="n">
        <v>70</v>
      </c>
      <c r="AF241" s="1" t="n">
        <f aca="false">ROUND(AE241*1.6, 0)</f>
        <v>112</v>
      </c>
      <c r="AI241" s="1" t="n">
        <v>17.53</v>
      </c>
      <c r="AJ241" s="1" t="n">
        <v>17.53</v>
      </c>
      <c r="AL241" s="1" t="n">
        <v>3.84</v>
      </c>
      <c r="AM241" s="5" t="n">
        <v>54</v>
      </c>
      <c r="AN241" s="16" t="s">
        <v>864</v>
      </c>
      <c r="AO241" s="16" t="n">
        <f aca="false">ROUND(15*((AJ241*10)/256),0)</f>
        <v>10</v>
      </c>
      <c r="AQ241" s="1" t="str">
        <f aca="false">CONCATENATE(VLOOKUP(AO241,Constants!$A$2:$C$16,IF(AP241&lt;&gt;"", 3, 2), FALSE()),IF(AP241&lt;&gt;"",CONCATENATE(",",VLOOKUP(AP241,$B:$AQ,42,FALSE())),""))</f>
        <v>4,2,4</v>
      </c>
      <c r="AU241" s="1" t="s">
        <v>865</v>
      </c>
      <c r="AW241" s="1" t="s">
        <v>770</v>
      </c>
      <c r="BA241" s="1" t="n">
        <v>45</v>
      </c>
      <c r="BB241" s="16" t="n">
        <v>45</v>
      </c>
      <c r="BC241" s="1" t="n">
        <v>-13</v>
      </c>
      <c r="BD241" s="1" t="n">
        <v>-22</v>
      </c>
      <c r="BE241" s="20" t="n">
        <f aca="false">MIN(AE241/150, 1)*30</f>
        <v>14</v>
      </c>
      <c r="BF241" s="20" t="n">
        <f aca="false">MIN(Q241/4000, 1)*20</f>
        <v>1.5</v>
      </c>
      <c r="BG241" s="20" t="n">
        <f aca="false">MIN(AC241/400,1)*20</f>
        <v>3.25</v>
      </c>
      <c r="BH241" s="21" t="n">
        <f aca="false">1-(MAX(M241-1900, 0)/750)</f>
        <v>0.925333333333333</v>
      </c>
      <c r="BI241" s="20" t="n">
        <f aca="false">((MAX($P241,1)*MIN($AM241/300,1)))*IF(J241="Wagon",50,10)</f>
        <v>3.6</v>
      </c>
      <c r="BJ241" s="1" t="n">
        <f aca="false">VLOOKUP($K241,Constants!$I:$K, 2, FALSE())</f>
        <v>1</v>
      </c>
      <c r="BK241" s="1" t="n">
        <f aca="false">VLOOKUP($K241,Constants!$I:$K, 3, FALSE())*IF(AND(J241="multiple_unit",AE241&lt;110),0.75,1)</f>
        <v>1.5</v>
      </c>
      <c r="BL241" s="20" t="n">
        <v>23</v>
      </c>
      <c r="BM241" s="20" t="n">
        <v>57</v>
      </c>
      <c r="BN241" s="22" t="n">
        <f aca="false">BL241*IF($J241="wagon",62.5,781.25)</f>
        <v>17968.75</v>
      </c>
      <c r="BO241" s="22" t="n">
        <f aca="false">BM241*IF($J241="wagon",2.73,81.25)</f>
        <v>4631.25</v>
      </c>
      <c r="BY241" s="1" t="n">
        <v>11</v>
      </c>
      <c r="BZ241" s="1" t="n">
        <v>185</v>
      </c>
      <c r="CB241" s="1" t="s">
        <v>326</v>
      </c>
      <c r="CC241" s="1" t="s">
        <v>327</v>
      </c>
      <c r="CD241" s="23" t="s">
        <v>569</v>
      </c>
      <c r="CE241" s="1" t="s">
        <v>779</v>
      </c>
      <c r="CF241" s="23" t="str">
        <f aca="false">CONCATENATE(CD241,"_",CE241)</f>
        <v>dsl_DMU</v>
      </c>
      <c r="CG241" s="23" t="str">
        <f aca="false">_xlfn.CONCAT(K241, "_",L241)</f>
        <v>diesel_RAIL</v>
      </c>
      <c r="CH241" s="7" t="str">
        <f aca="false">_xlfn.CONCAT("{BLACK}Length: {GOLD}", TEXT(ROUNDUP(IF(AT241&lt;&gt;"",SUM(VALUE(_xlfn.TEXTSPLIT(AT241, ","))), SUM(VALUE(_xlfn.TEXTSPLIT(AQ241, ",")))*IF(P241, P241, 1))/16, 1), "#,##0.0"), " tiles{}")</f>
        <v>{BLACK}Length: {GOLD}1.3 tiles{}</v>
      </c>
      <c r="CI241" s="1" t="n">
        <f aca="false">VLOOKUP($CG241, Constants!$M:$N, 2, FALSE())</f>
        <v>0</v>
      </c>
      <c r="CJ241" s="1" t="str">
        <f aca="false">IF(P241&gt;1,_xlfn.CONCAT("{BLACK}Cars: {GOLD}", P241),"")</f>
        <v>{BLACK}Cars: {GOLD}2</v>
      </c>
      <c r="CK241" s="1" t="s">
        <v>866</v>
      </c>
      <c r="CL241" s="1" t="str">
        <f aca="false">IF($BX241="!param_no_gameplay_units","{GREEN}Included for gameplay purposes","")</f>
        <v/>
      </c>
      <c r="CM241" s="1" t="str">
        <f aca="false">IF(CA241="buffet","{YELLOW}25% long distance bonus for consist{}",IF(CB241="DANDY","{YELLOW}Faster downhill speeds for horse-drawn trains (1 required per 2 horses){}",IF(CB241="BRAKE","{YELLOW}Speed bonus for slow wagons{}",IF(CB241="NGPassengers","{YELLOW}Preserved railway bonus: passengers pay more when hauled by old locomotives{}",IF(AND(BZ241&gt;190,NOT(AND(L241="NARROW_GAUGE",CB241&lt;&gt;"PASS"))),CONCATENATE("{YELLOW}",INT((BZ241-185)/1.85),"%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{BLACK}Cars: {GOLD}2{}{BLACK}Length: {GOLD}1.3 tiles{}{SILVER}The Class 105 had a long and hard life on British Railways, mostly around the Eastern Region. Sadly this meant few survived in a viable condition for preservation.</v>
      </c>
    </row>
    <row r="242" s="25" customFormat="true" ht="14.25" hidden="false" customHeight="false" outlineLevel="0" collapsed="false">
      <c r="A242" s="25" t="s">
        <v>867</v>
      </c>
      <c r="B242" s="26" t="s">
        <v>868</v>
      </c>
      <c r="C242" s="1" t="n">
        <v>3022</v>
      </c>
      <c r="E242" s="1" t="n">
        <v>321</v>
      </c>
      <c r="G242" s="1" t="str">
        <f aca="false">IF($F242&lt;&gt;"",_xlfn.CONCAT(VLOOKUP($CE242, Constants!$T:$U, 2, FALSE()),",",$F242),VLOOKUP($CE242, Constants!$T:$U, 2, FALSE()))</f>
        <v>role/passenger</v>
      </c>
      <c r="H242" s="1" t="str">
        <f aca="false">IF($G242&lt;&gt;"",_xlfn.CONCAT(VLOOKUP($CG242, Constants!$M:$P, 4, FALSE()),",",$G242),VLOOKUP($CG242, Constants!$M:$P, 4, FALSE()))</f>
        <v>flag/GB,power/diesel,role/passenger</v>
      </c>
      <c r="I242" s="25" t="s">
        <v>198</v>
      </c>
      <c r="J242" s="25" t="s">
        <v>423</v>
      </c>
      <c r="K242" s="25" t="s">
        <v>482</v>
      </c>
      <c r="L242" s="25" t="s">
        <v>149</v>
      </c>
      <c r="M242" s="25" t="n">
        <v>1956</v>
      </c>
      <c r="N242" s="25" t="n">
        <v>1989</v>
      </c>
      <c r="O242" s="25" t="n">
        <v>2004</v>
      </c>
      <c r="P242" s="25" t="n">
        <v>4</v>
      </c>
      <c r="Q242" s="25" t="n">
        <v>1000</v>
      </c>
      <c r="R242" s="2"/>
      <c r="S242" s="3"/>
      <c r="T242" s="3"/>
      <c r="U242" s="3"/>
      <c r="V242" s="3"/>
      <c r="W242" s="3"/>
      <c r="X242" s="3"/>
      <c r="Y242" s="3"/>
      <c r="Z242" s="25" t="n">
        <v>180</v>
      </c>
      <c r="AA242" s="2"/>
      <c r="AB242" s="25" t="n">
        <v>5</v>
      </c>
      <c r="AC242" s="25" t="n">
        <v>85</v>
      </c>
      <c r="AD242" s="4" t="n">
        <f aca="false">IF(AND(Z242&gt;0,AC242&gt;0),(AC242/((Z242+AA242)*10)),"")</f>
        <v>0.0472222222222222</v>
      </c>
      <c r="AE242" s="25" t="n">
        <v>75</v>
      </c>
      <c r="AF242" s="25" t="n">
        <f aca="false">ROUND(AE242*1.6, 0)</f>
        <v>120</v>
      </c>
      <c r="AI242" s="25" t="n">
        <v>17.37</v>
      </c>
      <c r="AJ242" s="25" t="n">
        <v>18</v>
      </c>
      <c r="AK242" s="25" t="n">
        <v>2.5</v>
      </c>
      <c r="AL242" s="25" t="n">
        <v>3.77</v>
      </c>
      <c r="AM242" s="5" t="n">
        <v>37</v>
      </c>
      <c r="AN242" s="1" t="str">
        <f aca="false">CONCATENATE(VLOOKUP(AO242, '[1]Voxel Sizes'!$A$2:$B$18,2,FALSE()),"x",INT(AK242*15), "x", INT(AL242*15))</f>
        <v>186x37x56</v>
      </c>
      <c r="AO242" s="25" t="n">
        <f aca="false">ROUND(15*((AJ242*10)/256),0)</f>
        <v>11</v>
      </c>
      <c r="AQ242" s="1" t="str">
        <f aca="false">CONCATENATE(VLOOKUP(AO242,Constants!$A$2:$C$16,IF(AP242&lt;&gt;"", 3, 2), FALSE()),IF(AP242&lt;&gt;"",CONCATENATE(",",VLOOKUP(AP242,$B:$AQ,42,FALSE())),""))</f>
        <v>4,3,4</v>
      </c>
      <c r="AR242" s="25" t="s">
        <v>869</v>
      </c>
      <c r="AS242" s="6"/>
      <c r="AT242" s="6"/>
      <c r="AU242" s="25" t="s">
        <v>870</v>
      </c>
      <c r="AW242" s="25" t="s">
        <v>847</v>
      </c>
      <c r="AX242" s="25" t="s">
        <v>871</v>
      </c>
      <c r="BA242" s="25" t="n">
        <v>45</v>
      </c>
      <c r="BB242" s="16" t="n">
        <f aca="false">IF(O242&lt;&gt;"",MAX(16,(O242-M242)+8),"")</f>
        <v>56</v>
      </c>
      <c r="BC242" s="25" t="n">
        <v>-10</v>
      </c>
      <c r="BD242" s="25" t="n">
        <v>-15</v>
      </c>
      <c r="BE242" s="25" t="n">
        <f aca="false">MIN(AE242/150, 1)*30</f>
        <v>15</v>
      </c>
      <c r="BF242" s="25" t="n">
        <f aca="false">MIN(Q242/4000, 1)*20</f>
        <v>5</v>
      </c>
      <c r="BG242" s="25" t="n">
        <f aca="false">MIN(AC242/400,1)*20</f>
        <v>4.25</v>
      </c>
      <c r="BH242" s="4" t="n">
        <f aca="false">1-(MAX(M242-1900, 0)/750)</f>
        <v>0.925333333333333</v>
      </c>
      <c r="BI242" s="25" t="n">
        <f aca="false">((MAX($P242,1)*MIN($AM242/300,1)))*IF(J242="Wagon",50,10)</f>
        <v>4.93333333333333</v>
      </c>
      <c r="BJ242" s="1" t="n">
        <f aca="false">VLOOKUP($K242,Constants!$I:$K, 2, FALSE())</f>
        <v>1</v>
      </c>
      <c r="BK242" s="1" t="n">
        <f aca="false">VLOOKUP($K242,Constants!$I:$K, 3, FALSE())*IF(AND(J242="multiple_unit",AE242&lt;110),0.75,1)</f>
        <v>1.5</v>
      </c>
      <c r="BL242" s="25" t="n">
        <f aca="false">INT(POWER((([1]Constants!$G$2+$BE242+$BF242+$BG242+$BI242)*$BH242)*$BK242, 1.05))+$BD242</f>
        <v>42</v>
      </c>
      <c r="BM242" s="25" t="n">
        <f aca="false">INT(POWER(((([1]Constants!$G$1+$BE242+$BF242+$BG242+$BI242)*($BH242))*$BJ242),IF($J242="wagon",1,1.2)))+$BC242</f>
        <v>75</v>
      </c>
      <c r="BN242" s="17" t="n">
        <f aca="false">BL242*IF($J242="wagon",62.5,781.25)</f>
        <v>32812.5</v>
      </c>
      <c r="BO242" s="17" t="n">
        <f aca="false">BM242*IF($J242="wagon",2.73,81.25)</f>
        <v>6093.75</v>
      </c>
      <c r="BU242" s="25" t="s">
        <v>872</v>
      </c>
      <c r="BY242" s="25" t="n">
        <v>2</v>
      </c>
      <c r="CC242" s="25" t="s">
        <v>327</v>
      </c>
      <c r="CD242" s="25" t="str">
        <f aca="false">VLOOKUP(M242,[1]Eras!$A$2:$C$10, 2, TRUE())</f>
        <v>dsl</v>
      </c>
      <c r="CE242" s="25" t="s">
        <v>779</v>
      </c>
      <c r="CF242" s="25" t="str">
        <f aca="false">CONCATENATE(CD242,"_",CE242)</f>
        <v>dsl_DMU</v>
      </c>
      <c r="CG242" s="25" t="str">
        <f aca="false">_xlfn.CONCAT(K242, "_",L242)</f>
        <v>diesel_RAIL</v>
      </c>
      <c r="CH242" s="7" t="str">
        <f aca="false">_xlfn.CONCAT("{BLACK}Length: {GOLD}", TEXT(ROUNDUP(IF(AT242&lt;&gt;"",SUM(VALUE(_xlfn.TEXTSPLIT(AT242, ","))), SUM(VALUE(_xlfn.TEXTSPLIT(AQ242, ",")))*IF(P242, P242, 1))/16, 1), "#,##0.0"), " tiles{}")</f>
        <v>{BLACK}Length: {GOLD}2.8 tiles{}</v>
      </c>
      <c r="CI242" s="1" t="n">
        <f aca="false">VLOOKUP($CG242, Constants!$M:$N, 2, FALSE())</f>
        <v>0</v>
      </c>
      <c r="CJ242" s="1" t="str">
        <f aca="false">IF(P242&gt;1,_xlfn.CONCAT("{BLACK}Cars: {GOLD}", P242),"")</f>
        <v>{BLACK}Cars: {GOLD}4</v>
      </c>
      <c r="CK242" s="25" t="s">
        <v>873</v>
      </c>
      <c r="CM242" s="25" t="str">
        <f aca="false">IF(CA242="buffet","{YELLOW}25% long distance bonus for consist{}",IF(CD242="BRAKE","{YELLOW}Speed bonus for slow wagons{}",IF(BZ242&gt;190,CONCATENATE("{YELLOW}",INT((BZ242-185)/1.85),"% bonus for long distance travel{}"),IF(AND(BZ242&lt;180,BZ242&lt;&gt;0),CONCATENATE("{YELLOW}",INT((185-BZ242)/1.85),"% penalty for long distance travel{}"),""))))</f>
        <v/>
      </c>
      <c r="CN242" s="25" t="str">
        <f aca="false">_xlfn.CONCAT(CI242,IF(CI242 &lt;&gt; "", " ", ""),CJ242,IF(OR(CJ242&lt;&gt;"", CI242&lt;&gt;""), "{}",""), CH242, CM242,"{SILVER}", CK242)</f>
        <v>{BLACK}Cars: {GOLD}4{}{BLACK}Length: {GOLD}2.8 tiles{}{SILVER}Class 201 ‘Hastings’ Units were constructed to a narrow loading gauge to work through a number of limited clearance tunnels in the southern region. Southern DEMUs of the time had their engines mounted above the frames.</v>
      </c>
    </row>
    <row r="243" s="25" customFormat="true" ht="14.25" hidden="false" customHeight="false" outlineLevel="0" collapsed="false">
      <c r="A243" s="25" t="s">
        <v>874</v>
      </c>
      <c r="B243" s="26" t="s">
        <v>875</v>
      </c>
      <c r="C243" s="1" t="n">
        <v>3023</v>
      </c>
      <c r="D243" s="25" t="n">
        <v>3022</v>
      </c>
      <c r="E243" s="1" t="n">
        <v>322</v>
      </c>
      <c r="G243" s="1" t="str">
        <f aca="false">IF($F243&lt;&gt;"",_xlfn.CONCAT(VLOOKUP($CE243, Constants!$T:$U, 2, FALSE()),",",$F243),VLOOKUP($CE243, Constants!$T:$U, 2, FALSE()))</f>
        <v>role/passenger</v>
      </c>
      <c r="H243" s="1" t="str">
        <f aca="false">IF($G243&lt;&gt;"",_xlfn.CONCAT(VLOOKUP($CG243, Constants!$M:$P, 4, FALSE()),",",$G243),VLOOKUP($CG243, Constants!$M:$P, 4, FALSE()))</f>
        <v>flag/GB,power/diesel,role/passenger</v>
      </c>
      <c r="I243" s="25" t="s">
        <v>198</v>
      </c>
      <c r="J243" s="25" t="s">
        <v>423</v>
      </c>
      <c r="K243" s="25" t="s">
        <v>482</v>
      </c>
      <c r="L243" s="25" t="s">
        <v>149</v>
      </c>
      <c r="M243" s="25" t="n">
        <v>1956</v>
      </c>
      <c r="N243" s="25" t="n">
        <v>1989</v>
      </c>
      <c r="O243" s="25" t="n">
        <v>2004</v>
      </c>
      <c r="P243" s="25" t="n">
        <v>6</v>
      </c>
      <c r="Q243" s="25" t="n">
        <v>1000</v>
      </c>
      <c r="R243" s="2"/>
      <c r="S243" s="3"/>
      <c r="T243" s="3"/>
      <c r="U243" s="3"/>
      <c r="V243" s="3"/>
      <c r="W243" s="3"/>
      <c r="X243" s="3"/>
      <c r="Y243" s="3"/>
      <c r="Z243" s="25" t="n">
        <v>238</v>
      </c>
      <c r="AA243" s="2"/>
      <c r="AB243" s="25" t="n">
        <v>5</v>
      </c>
      <c r="AC243" s="25" t="n">
        <v>85</v>
      </c>
      <c r="AD243" s="4" t="n">
        <f aca="false">IF(AND(Z243&gt;0,AC243&gt;0),(AC243/((Z243+AA243)*10)),"")</f>
        <v>0.0357142857142857</v>
      </c>
      <c r="AE243" s="25" t="n">
        <v>75</v>
      </c>
      <c r="AF243" s="25" t="n">
        <f aca="false">ROUND(AE243*1.6, 0)</f>
        <v>120</v>
      </c>
      <c r="AI243" s="25" t="n">
        <v>17.37</v>
      </c>
      <c r="AJ243" s="25" t="n">
        <v>18</v>
      </c>
      <c r="AK243" s="25" t="n">
        <v>2.5</v>
      </c>
      <c r="AL243" s="25" t="n">
        <v>3.77</v>
      </c>
      <c r="AM243" s="5" t="n">
        <v>42</v>
      </c>
      <c r="AN243" s="1" t="str">
        <f aca="false">CONCATENATE(VLOOKUP(AO243, '[1]Voxel Sizes'!$A$2:$B$18,2,FALSE()),"x",INT(AK243*15), "x", INT(AL243*15))</f>
        <v>186x37x56</v>
      </c>
      <c r="AO243" s="25" t="n">
        <f aca="false">ROUND(15*((AJ243*10)/256),0)</f>
        <v>11</v>
      </c>
      <c r="AQ243" s="1" t="str">
        <f aca="false">CONCATENATE(VLOOKUP(AO243,Constants!$A$2:$C$16,IF(AP243&lt;&gt;"", 3, 2), FALSE()),IF(AP243&lt;&gt;"",CONCATENATE(",",VLOOKUP(AP243,$B:$AQ,42,FALSE())),""))</f>
        <v>4,3,4</v>
      </c>
      <c r="AR243" s="25" t="s">
        <v>876</v>
      </c>
      <c r="AS243" s="6"/>
      <c r="AT243" s="6"/>
      <c r="AU243" s="25" t="s">
        <v>877</v>
      </c>
      <c r="AW243" s="25" t="s">
        <v>822</v>
      </c>
      <c r="AX243" s="25" t="s">
        <v>871</v>
      </c>
      <c r="BA243" s="25" t="n">
        <v>45</v>
      </c>
      <c r="BB243" s="16" t="n">
        <f aca="false">IF(O243&lt;&gt;"",MAX(16,(O243-M243)+8),"")</f>
        <v>56</v>
      </c>
      <c r="BC243" s="25" t="n">
        <v>-10</v>
      </c>
      <c r="BD243" s="25" t="n">
        <v>-15</v>
      </c>
      <c r="BE243" s="25" t="n">
        <f aca="false">MIN(AE243/150, 1)*30</f>
        <v>15</v>
      </c>
      <c r="BF243" s="25" t="n">
        <f aca="false">MIN(Q243/4000, 1)*20</f>
        <v>5</v>
      </c>
      <c r="BG243" s="25" t="n">
        <f aca="false">MIN(AC243/400,1)*20</f>
        <v>4.25</v>
      </c>
      <c r="BH243" s="4" t="n">
        <f aca="false">1-(MAX(M243-1900, 0)/750)</f>
        <v>0.925333333333333</v>
      </c>
      <c r="BI243" s="25" t="n">
        <f aca="false">((MAX($P243,1)*MIN($AM243/300,1)))*IF(J243="Wagon",50,10)</f>
        <v>8.4</v>
      </c>
      <c r="BJ243" s="1" t="n">
        <f aca="false">VLOOKUP($K243,Constants!$I:$K, 2, FALSE())</f>
        <v>1</v>
      </c>
      <c r="BK243" s="1" t="n">
        <f aca="false">VLOOKUP($K243,Constants!$I:$K, 3, FALSE())*IF(AND(J243="multiple_unit",AE243&lt;110),0.75,1)</f>
        <v>1.5</v>
      </c>
      <c r="BL243" s="25" t="n">
        <f aca="false">INT(POWER((([1]Constants!$G$2+$BE243+$BF243+$BG243+$BI243)*$BH243)*$BK243, 1.05))+$BD243</f>
        <v>48</v>
      </c>
      <c r="BM243" s="25" t="n">
        <f aca="false">INT(POWER(((([1]Constants!$G$1+$BE243+$BF243+$BG243+$BI243)*($BH243))*$BJ243),IF($J243="wagon",1,1.2)))+$BC243</f>
        <v>84</v>
      </c>
      <c r="BN243" s="17" t="n">
        <f aca="false">BL243*IF($J243="wagon",62.5,781.25)</f>
        <v>37500</v>
      </c>
      <c r="BO243" s="17" t="n">
        <f aca="false">BM243*IF($J243="wagon",2.73,81.25)</f>
        <v>6825</v>
      </c>
      <c r="BU243" s="25" t="s">
        <v>878</v>
      </c>
      <c r="BY243" s="25" t="n">
        <v>2</v>
      </c>
      <c r="CC243" s="25" t="s">
        <v>327</v>
      </c>
      <c r="CD243" s="25" t="str">
        <f aca="false">VLOOKUP(M243,[1]Eras!$A$2:$C$10, 2, TRUE())</f>
        <v>dsl</v>
      </c>
      <c r="CE243" s="25" t="s">
        <v>779</v>
      </c>
      <c r="CF243" s="25" t="str">
        <f aca="false">CONCATENATE(CD243,"_",CE243)</f>
        <v>dsl_DMU</v>
      </c>
      <c r="CG243" s="25" t="str">
        <f aca="false">_xlfn.CONCAT(K243, "_",L243)</f>
        <v>diesel_RAIL</v>
      </c>
      <c r="CH243" s="7" t="str">
        <f aca="false">_xlfn.CONCAT("{BLACK}Length: {GOLD}", TEXT(ROUNDUP(IF(AT243&lt;&gt;"",SUM(VALUE(_xlfn.TEXTSPLIT(AT243, ","))), SUM(VALUE(_xlfn.TEXTSPLIT(AQ243, ",")))*IF(P243, P243, 1))/16, 1), "#,##0.0"), " tiles{}")</f>
        <v>{BLACK}Length: {GOLD}4.2 tiles{}</v>
      </c>
      <c r="CI243" s="1" t="n">
        <f aca="false">VLOOKUP($CG243, Constants!$M:$N, 2, FALSE())</f>
        <v>0</v>
      </c>
      <c r="CJ243" s="1" t="str">
        <f aca="false">IF(P243&gt;1,_xlfn.CONCAT("{BLACK}Cars: {GOLD}", P243),"")</f>
        <v>{BLACK}Cars: {GOLD}6</v>
      </c>
      <c r="CK243" s="25" t="s">
        <v>873</v>
      </c>
      <c r="CM243" s="25"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25" t="str">
        <f aca="false">_xlfn.CONCAT(CI243,IF(CI243 &lt;&gt; "", " ", ""),CJ243,IF(OR(CJ243&lt;&gt;"", CI243&lt;&gt;""), "{}",""), CH243, CM243,"{SILVER}", CK243)</f>
        <v>{BLACK}Cars: {GOLD}6{}{BLACK}Length: {GOLD}4.2 tiles{}{SILVER}Class 201 ‘Hastings’ Units were constructed to a narrow loading gauge to work through a number of limited clearance tunnels in the southern region. Southern DEMUs of the time had their engines mounted above the frames.</v>
      </c>
    </row>
    <row r="244" s="25" customFormat="true" ht="14.25" hidden="false" customHeight="false" outlineLevel="0" collapsed="false">
      <c r="A244" s="25" t="s">
        <v>879</v>
      </c>
      <c r="B244" s="26" t="s">
        <v>880</v>
      </c>
      <c r="C244" s="1" t="n">
        <v>3024</v>
      </c>
      <c r="E244" s="1" t="n">
        <v>323</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25" t="s">
        <v>198</v>
      </c>
      <c r="J244" s="25" t="s">
        <v>423</v>
      </c>
      <c r="K244" s="25" t="s">
        <v>482</v>
      </c>
      <c r="L244" s="25" t="s">
        <v>149</v>
      </c>
      <c r="M244" s="25" t="n">
        <v>1957</v>
      </c>
      <c r="N244" s="25" t="n">
        <v>1989</v>
      </c>
      <c r="O244" s="25" t="n">
        <v>2004</v>
      </c>
      <c r="P244" s="25" t="n">
        <v>3</v>
      </c>
      <c r="Q244" s="25" t="n">
        <v>600</v>
      </c>
      <c r="R244" s="2"/>
      <c r="S244" s="3"/>
      <c r="T244" s="3"/>
      <c r="U244" s="3"/>
      <c r="V244" s="3"/>
      <c r="W244" s="3"/>
      <c r="X244" s="3"/>
      <c r="Y244" s="3"/>
      <c r="Z244" s="25" t="n">
        <f aca="false">32.5+25</f>
        <v>57.5</v>
      </c>
      <c r="AA244" s="2"/>
      <c r="AB244" s="25" t="n">
        <v>5</v>
      </c>
      <c r="AC244" s="25" t="n">
        <v>85</v>
      </c>
      <c r="AD244" s="4" t="n">
        <f aca="false">IF(AND(Z244&gt;0,AC244&gt;0),(AC244/((Z244+AA244)*10)),"")</f>
        <v>0.147826086956522</v>
      </c>
      <c r="AE244" s="25" t="n">
        <v>75</v>
      </c>
      <c r="AF244" s="25" t="n">
        <f aca="false">ROUND(AE244*1.6, 0)</f>
        <v>120</v>
      </c>
      <c r="AI244" s="25" t="n">
        <v>19.5</v>
      </c>
      <c r="AJ244" s="25" t="n">
        <v>20</v>
      </c>
      <c r="AK244" s="25" t="n">
        <v>2.7</v>
      </c>
      <c r="AL244" s="25" t="n">
        <v>3.77</v>
      </c>
      <c r="AM244" s="5" t="n">
        <v>51</v>
      </c>
      <c r="AN244" s="1" t="str">
        <f aca="false">CONCATENATE(VLOOKUP(AO244, '[1]Voxel Sizes'!$A$2:$B$18,2,FALSE()),"x",INT(AK244*15), "x", INT(AL244*15))</f>
        <v>198x40x56</v>
      </c>
      <c r="AO244" s="25" t="n">
        <f aca="false">ROUND(15*((AJ244*10)/256),0)</f>
        <v>12</v>
      </c>
      <c r="AQ244" s="1" t="str">
        <f aca="false">CONCATENATE(VLOOKUP(AO244,Constants!$A$2:$C$16,IF(AP244&lt;&gt;"", 3, 2), FALSE()),IF(AP244&lt;&gt;"",CONCATENATE(",",VLOOKUP(AP244,$B:$AQ,42,FALSE())),""))</f>
        <v>4,4,4</v>
      </c>
      <c r="AS244" s="6"/>
      <c r="AT244" s="6"/>
      <c r="AU244" s="25" t="s">
        <v>881</v>
      </c>
      <c r="AW244" s="25" t="s">
        <v>425</v>
      </c>
      <c r="AX244" s="25" t="s">
        <v>882</v>
      </c>
      <c r="BA244" s="25" t="n">
        <v>45</v>
      </c>
      <c r="BB244" s="16" t="n">
        <f aca="false">IF(O244&lt;&gt;"",MAX(16,(O244-M244)+8),"")</f>
        <v>55</v>
      </c>
      <c r="BC244" s="25" t="n">
        <v>-10</v>
      </c>
      <c r="BD244" s="25" t="n">
        <v>-15</v>
      </c>
      <c r="BE244" s="25" t="n">
        <f aca="false">MIN(AE244/150, 1)*30</f>
        <v>15</v>
      </c>
      <c r="BF244" s="25" t="n">
        <f aca="false">MIN(Q244/4000, 1)*20</f>
        <v>3</v>
      </c>
      <c r="BG244" s="25" t="n">
        <f aca="false">MIN(AC244/400,1)*20</f>
        <v>4.25</v>
      </c>
      <c r="BH244" s="4" t="n">
        <f aca="false">1-(MAX(M244-1900, 0)/750)</f>
        <v>0.924</v>
      </c>
      <c r="BI244" s="25" t="n">
        <f aca="false">((MAX($P244,1)*MIN($AM244/300,1)))*IF(J244="Wagon",50,10)</f>
        <v>5.1</v>
      </c>
      <c r="BJ244" s="1" t="n">
        <f aca="false">VLOOKUP($K244,Constants!$I:$K, 2, FALSE())</f>
        <v>1</v>
      </c>
      <c r="BK244" s="1" t="n">
        <f aca="false">VLOOKUP($K244,Constants!$I:$K, 3, FALSE())*IF(AND(J244="multiple_unit",AE244&lt;110),0.75,1)</f>
        <v>1.5</v>
      </c>
      <c r="BL244" s="25" t="n">
        <f aca="false">INT(POWER((([1]Constants!$G$2+$BE244+$BF244+$BG244+$BI244)*$BH244)*$BK244, 1.05))+$BD244</f>
        <v>39</v>
      </c>
      <c r="BM244" s="25" t="n">
        <f aca="false">INT(POWER(((([1]Constants!$G$1+$BE244+$BF244+$BG244+$BI244)*($BH244))*$BJ244),IF($J244="wagon",1,1.2)))+$BC244</f>
        <v>71</v>
      </c>
      <c r="BN244" s="17" t="n">
        <f aca="false">BL244*IF($J244="wagon",62.5,781.25)</f>
        <v>30468.75</v>
      </c>
      <c r="BO244" s="17" t="n">
        <f aca="false">BM244*IF($J244="wagon",2.73,81.25)</f>
        <v>5768.75</v>
      </c>
      <c r="BU244" s="25" t="s">
        <v>883</v>
      </c>
      <c r="BY244" s="25" t="n">
        <v>2</v>
      </c>
      <c r="CC244" s="25" t="s">
        <v>327</v>
      </c>
      <c r="CD244" s="25" t="str">
        <f aca="false">VLOOKUP(M244,[1]Eras!$A$2:$C$10, 2, TRUE())</f>
        <v>dsl</v>
      </c>
      <c r="CE244" s="25" t="s">
        <v>779</v>
      </c>
      <c r="CF244" s="25" t="str">
        <f aca="false">CONCATENATE(CD244,"_",CE244)</f>
        <v>dsl_DMU</v>
      </c>
      <c r="CG244" s="25" t="str">
        <f aca="false">_xlfn.CONCAT(K244, "_",L244)</f>
        <v>diesel_RAIL</v>
      </c>
      <c r="CH244" s="7" t="str">
        <f aca="false">_xlfn.CONCAT("{BLACK}Length: {GOLD}", TEXT(ROUNDUP(IF(AT244&lt;&gt;"",SUM(VALUE(_xlfn.TEXTSPLIT(AT244, ","))), SUM(VALUE(_xlfn.TEXTSPLIT(AQ244, ",")))*IF(P244, P244, 1))/16, 1), "#,##0.0"), " tiles{}")</f>
        <v>{BLACK}Length: {GOLD}2.3 tiles{}</v>
      </c>
      <c r="CI244" s="1" t="n">
        <f aca="false">VLOOKUP($CG244, Constants!$M:$N, 2, FALSE())</f>
        <v>0</v>
      </c>
      <c r="CJ244" s="1" t="str">
        <f aca="false">IF(P244&gt;1,_xlfn.CONCAT("{BLACK}Cars: {GOLD}", P244),"")</f>
        <v>{BLACK}Cars: {GOLD}3</v>
      </c>
      <c r="CK244" s="25" t="s">
        <v>884</v>
      </c>
      <c r="CM244" s="25"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25" t="str">
        <f aca="false">_xlfn.CONCAT(CI244,IF(CI244 &lt;&gt; "", " ", ""),CJ244,IF(OR(CJ244&lt;&gt;"", CI244&lt;&gt;""), "{}",""), CH244, CM244,"{SILVER}", CK244)</f>
        <v>{BLACK}Cars: {GOLD}3{}{BLACK}Length: {GOLD}2.3 tiles{}{SILVER}Class 205 units were a relatively numerous class of high-density non-corridor multiple units that worked services across Hampshire. In many ways they were the classic ‘Thumper’ unit.</v>
      </c>
    </row>
    <row r="245" s="25" customFormat="true" ht="14.25" hidden="false" customHeight="false" outlineLevel="0" collapsed="false">
      <c r="A245" s="25" t="s">
        <v>885</v>
      </c>
      <c r="B245" s="26" t="s">
        <v>886</v>
      </c>
      <c r="C245" s="1" t="n">
        <v>3025</v>
      </c>
      <c r="D245" s="25" t="n">
        <v>3024</v>
      </c>
      <c r="E245" s="1" t="n">
        <v>324</v>
      </c>
      <c r="G245" s="1" t="str">
        <f aca="false">IF($F245&lt;&gt;"",_xlfn.CONCAT(VLOOKUP($CE245, Constants!$T:$U, 2, FALSE()),",",$F245),VLOOKUP($CE245, Constants!$T:$U, 2, FALSE()))</f>
        <v>role/passenger</v>
      </c>
      <c r="H245" s="1" t="str">
        <f aca="false">IF($G245&lt;&gt;"",_xlfn.CONCAT(VLOOKUP($CG245, Constants!$M:$P, 4, FALSE()),",",$G245),VLOOKUP($CG245, Constants!$M:$P, 4, FALSE()))</f>
        <v>flag/GB,power/diesel,role/passenger</v>
      </c>
      <c r="I245" s="25" t="s">
        <v>198</v>
      </c>
      <c r="J245" s="25" t="s">
        <v>423</v>
      </c>
      <c r="K245" s="25" t="s">
        <v>482</v>
      </c>
      <c r="L245" s="25" t="s">
        <v>149</v>
      </c>
      <c r="M245" s="25" t="n">
        <v>1957</v>
      </c>
      <c r="N245" s="25" t="n">
        <v>1989</v>
      </c>
      <c r="O245" s="25" t="n">
        <v>2004</v>
      </c>
      <c r="P245" s="25" t="n">
        <v>2</v>
      </c>
      <c r="Q245" s="25" t="n">
        <v>600</v>
      </c>
      <c r="R245" s="2"/>
      <c r="S245" s="3"/>
      <c r="T245" s="3"/>
      <c r="U245" s="3"/>
      <c r="V245" s="3"/>
      <c r="W245" s="3"/>
      <c r="X245" s="3"/>
      <c r="Y245" s="3"/>
      <c r="Z245" s="25" t="n">
        <f aca="false">32.5+25</f>
        <v>57.5</v>
      </c>
      <c r="AA245" s="2"/>
      <c r="AB245" s="25" t="n">
        <v>5</v>
      </c>
      <c r="AC245" s="25" t="n">
        <v>85</v>
      </c>
      <c r="AD245" s="4" t="n">
        <f aca="false">IF(AND(Z245&gt;0,AC245&gt;0),(AC245/((Z245+AA245)*10)),"")</f>
        <v>0.147826086956522</v>
      </c>
      <c r="AE245" s="25" t="n">
        <v>75</v>
      </c>
      <c r="AF245" s="25" t="n">
        <f aca="false">ROUND(AE245*1.6, 0)</f>
        <v>120</v>
      </c>
      <c r="AI245" s="25" t="n">
        <v>19.5</v>
      </c>
      <c r="AJ245" s="25" t="n">
        <v>20</v>
      </c>
      <c r="AK245" s="25" t="n">
        <v>2.7</v>
      </c>
      <c r="AL245" s="25" t="n">
        <v>3.77</v>
      </c>
      <c r="AM245" s="5" t="n">
        <v>51</v>
      </c>
      <c r="AN245" s="1" t="str">
        <f aca="false">CONCATENATE(VLOOKUP(AO245, '[1]Voxel Sizes'!$A$2:$B$18,2,FALSE()),"x",INT(AK245*15), "x", INT(AL245*15))</f>
        <v>198x40x56</v>
      </c>
      <c r="AO245" s="25" t="n">
        <f aca="false">ROUND(15*((AJ245*10)/256),0)</f>
        <v>12</v>
      </c>
      <c r="AQ245" s="1" t="str">
        <f aca="false">CONCATENATE(VLOOKUP(AO245,Constants!$A$2:$C$16,IF(AP245&lt;&gt;"", 3, 2), FALSE()),IF(AP245&lt;&gt;"",CONCATENATE(",",VLOOKUP(AP245,$B:$AQ,42,FALSE())),""))</f>
        <v>4,4,4</v>
      </c>
      <c r="AS245" s="6"/>
      <c r="AT245" s="6"/>
      <c r="AU245" s="25" t="s">
        <v>887</v>
      </c>
      <c r="AW245" s="25" t="s">
        <v>888</v>
      </c>
      <c r="AX245" s="25" t="s">
        <v>882</v>
      </c>
      <c r="BA245" s="25" t="n">
        <v>45</v>
      </c>
      <c r="BB245" s="16" t="n">
        <f aca="false">IF(O245&lt;&gt;"",MAX(16,(O245-M245)+8),"")</f>
        <v>55</v>
      </c>
      <c r="BC245" s="25" t="n">
        <v>-10</v>
      </c>
      <c r="BD245" s="25" t="n">
        <v>-15</v>
      </c>
      <c r="BE245" s="25" t="n">
        <f aca="false">MIN(AE245/150, 1)*30</f>
        <v>15</v>
      </c>
      <c r="BF245" s="25" t="n">
        <f aca="false">MIN(Q245/4000, 1)*20</f>
        <v>3</v>
      </c>
      <c r="BG245" s="25" t="n">
        <f aca="false">MIN(AC245/400,1)*20</f>
        <v>4.25</v>
      </c>
      <c r="BH245" s="4" t="n">
        <f aca="false">1-(MAX(M245-1900, 0)/750)</f>
        <v>0.924</v>
      </c>
      <c r="BI245" s="25" t="n">
        <f aca="false">((MAX($P245,1)*MIN($AM245/300,1)))*IF(J245="Wagon",50,10)</f>
        <v>3.4</v>
      </c>
      <c r="BJ245" s="1" t="n">
        <f aca="false">VLOOKUP($K245,Constants!$I:$K, 2, FALSE())</f>
        <v>1</v>
      </c>
      <c r="BK245" s="1" t="n">
        <f aca="false">VLOOKUP($K245,Constants!$I:$K, 3, FALSE())*IF(AND(J245="multiple_unit",AE245&lt;110),0.75,1)</f>
        <v>1.5</v>
      </c>
      <c r="BL245" s="25" t="n">
        <f aca="false">INT(POWER((([1]Constants!$G$2+$BE245+$BF245+$BG245+$BI245)*$BH245)*$BK245, 1.05))+$BD245</f>
        <v>36</v>
      </c>
      <c r="BM245" s="25" t="n">
        <f aca="false">INT(POWER(((([1]Constants!$G$1+$BE245+$BF245+$BG245+$BI245)*($BH245))*$BJ245),IF($J245="wagon",1,1.2)))+$BC245</f>
        <v>67</v>
      </c>
      <c r="BN245" s="17" t="n">
        <f aca="false">BL245*IF($J245="wagon",62.5,781.25)</f>
        <v>28125</v>
      </c>
      <c r="BO245" s="17" t="n">
        <f aca="false">BM245*IF($J245="wagon",2.73,81.25)</f>
        <v>5443.75</v>
      </c>
      <c r="BU245" s="25" t="s">
        <v>889</v>
      </c>
      <c r="BY245" s="25" t="n">
        <v>2</v>
      </c>
      <c r="CC245" s="25" t="s">
        <v>327</v>
      </c>
      <c r="CD245" s="25" t="str">
        <f aca="false">VLOOKUP(M245,[1]Eras!$A$2:$C$10, 2, TRUE())</f>
        <v>dsl</v>
      </c>
      <c r="CE245" s="25" t="s">
        <v>779</v>
      </c>
      <c r="CF245" s="25" t="str">
        <f aca="false">CONCATENATE(CD245,"_",CE245)</f>
        <v>dsl_DMU</v>
      </c>
      <c r="CG245" s="25" t="str">
        <f aca="false">_xlfn.CONCAT(K245, "_",L245)</f>
        <v>diesel_RAIL</v>
      </c>
      <c r="CH245" s="7" t="str">
        <f aca="false">_xlfn.CONCAT("{BLACK}Length: {GOLD}", TEXT(ROUNDUP(IF(AT245&lt;&gt;"",SUM(VALUE(_xlfn.TEXTSPLIT(AT245, ","))), SUM(VALUE(_xlfn.TEXTSPLIT(AQ245, ",")))*IF(P245, P245, 1))/16, 1), "#,##0.0"), " tiles{}")</f>
        <v>{BLACK}Length: {GOLD}1.5 tiles{}</v>
      </c>
      <c r="CI245" s="1" t="n">
        <f aca="false">VLOOKUP($CG245, Constants!$M:$N, 2, FALSE())</f>
        <v>0</v>
      </c>
      <c r="CJ245" s="1" t="str">
        <f aca="false">IF(P245&gt;1,_xlfn.CONCAT("{BLACK}Cars: {GOLD}", P245),"")</f>
        <v>{BLACK}Cars: {GOLD}2</v>
      </c>
      <c r="CK245" s="25" t="s">
        <v>884</v>
      </c>
      <c r="CM245" s="25"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25" t="str">
        <f aca="false">_xlfn.CONCAT(CI245,IF(CI245 &lt;&gt; "", " ", ""),CJ245,IF(OR(CJ245&lt;&gt;"", CI245&lt;&gt;""), "{}",""), CH245, CM245,"{SILVER}", CK245)</f>
        <v>{BLACK}Cars: {GOLD}2{}{BLACK}Length: {GOLD}1.5 tiles{}{SILVER}Class 205 units were a relatively numerous class of high-density non-corridor multiple units that worked services across Hampshire. In many ways they were the classic ‘Thumper’ unit.</v>
      </c>
    </row>
    <row r="246" customFormat="false" ht="14.25" hidden="false" customHeight="false" outlineLevel="0" collapsed="false">
      <c r="A246" s="1" t="s">
        <v>890</v>
      </c>
      <c r="B246" s="15" t="s">
        <v>891</v>
      </c>
      <c r="C246" s="1" t="n">
        <v>229</v>
      </c>
      <c r="E246" s="1" t="n">
        <v>325</v>
      </c>
      <c r="G246" s="1" t="str">
        <f aca="false">IF($F246&lt;&gt;"",_xlfn.CONCAT(VLOOKUP($CE246, Constants!$T:$U, 2, FALSE()),",",$F246),VLOOKUP($CE246, Constants!$T:$U, 2, FALSE()))</f>
        <v>role/express_passenger</v>
      </c>
      <c r="H246" s="1" t="str">
        <f aca="false">IF($G246&lt;&gt;"",_xlfn.CONCAT(VLOOKUP($CG246, Constants!$M:$P, 4, FALSE()),",",$G246),VLOOKUP($CG246, Constants!$M:$P, 4, FALSE()))</f>
        <v>flag/GB,power/electric,role/express_passenger</v>
      </c>
      <c r="I246" s="1" t="s">
        <v>198</v>
      </c>
      <c r="J246" s="1" t="s">
        <v>423</v>
      </c>
      <c r="K246" s="1" t="s">
        <v>349</v>
      </c>
      <c r="L246" s="1" t="s">
        <v>498</v>
      </c>
      <c r="M246" s="1" t="n">
        <v>1956</v>
      </c>
      <c r="O246" s="1" t="n">
        <v>1995</v>
      </c>
      <c r="P246" s="1" t="n">
        <v>2</v>
      </c>
      <c r="Q246" s="1" t="n">
        <v>500</v>
      </c>
      <c r="Z246" s="1" t="n">
        <f aca="false">40+32</f>
        <v>72</v>
      </c>
      <c r="AB246" s="1" t="n">
        <v>5</v>
      </c>
      <c r="AC246" s="1" t="n">
        <v>95</v>
      </c>
      <c r="AD246" s="4" t="n">
        <f aca="false">IF(AND(Z246&gt;0,AC246&gt;0),(AC246/((Z246+AA246)*10)),"")</f>
        <v>0.131944444444444</v>
      </c>
      <c r="AE246" s="1" t="n">
        <v>90</v>
      </c>
      <c r="AF246" s="1" t="n">
        <f aca="false">ROUND(AE246*1.6, 0)</f>
        <v>144</v>
      </c>
      <c r="AI246" s="1" t="n">
        <v>19.05</v>
      </c>
      <c r="AJ246" s="1" t="n">
        <v>19.05</v>
      </c>
      <c r="AK246" s="1" t="n">
        <v>2.82</v>
      </c>
      <c r="AL246" s="1" t="n">
        <v>3.89</v>
      </c>
      <c r="AM246" s="5" t="n">
        <v>54</v>
      </c>
      <c r="AN246" s="1" t="str">
        <f aca="false">CONCATENATE(VLOOKUP(AO246, 'Voxel Sizes'!$A$2:$B$18,2,FALSE()),"x",INT(AK246*15), "x", INT(AL246*15))</f>
        <v>186x42x58</v>
      </c>
      <c r="AO246" s="1" t="n">
        <f aca="false">ROUND(15*((AJ246*10)/256),0)</f>
        <v>11</v>
      </c>
      <c r="AQ246" s="1" t="str">
        <f aca="false">CONCATENATE(VLOOKUP(AO246,Constants!$A$2:$C$16,IF(AP246&lt;&gt;"", 3, 2), FALSE()),IF(AP246&lt;&gt;"",CONCATENATE(",",VLOOKUP(AP246,$B:$AQ,42,FALSE())),""))</f>
        <v>4,3,4</v>
      </c>
      <c r="AU246" s="1" t="s">
        <v>892</v>
      </c>
      <c r="AW246" s="1" t="s">
        <v>770</v>
      </c>
      <c r="BA246" s="1" t="n">
        <v>33</v>
      </c>
      <c r="BB246" s="16" t="n">
        <f aca="false">IF(O246&lt;&gt;"",MAX(16,(O246-M246)+8),"")</f>
        <v>47</v>
      </c>
      <c r="BC246" s="1" t="n">
        <v>-10</v>
      </c>
      <c r="BD246" s="1" t="n">
        <v>-15</v>
      </c>
      <c r="BE246" s="1" t="n">
        <f aca="false">MIN(AE246/150, 1)*30</f>
        <v>18</v>
      </c>
      <c r="BF246" s="1" t="n">
        <f aca="false">MIN(Q246/4000, 1)*20</f>
        <v>2.5</v>
      </c>
      <c r="BG246" s="1" t="n">
        <f aca="false">MIN(AC246/400,1)*20</f>
        <v>4.75</v>
      </c>
      <c r="BH246" s="4" t="n">
        <f aca="false">1-(MAX(M246-1900, 0)/750)</f>
        <v>0.925333333333333</v>
      </c>
      <c r="BI246" s="1" t="n">
        <f aca="false">((MAX($P246,1)*MIN($AM246/300,1)))*IF(J246="Wagon",50,10)</f>
        <v>3.6</v>
      </c>
      <c r="BJ246" s="1" t="n">
        <f aca="false">VLOOKUP($K246,Constants!$I:$K, 2, FALSE())</f>
        <v>0.85</v>
      </c>
      <c r="BK246" s="1" t="n">
        <f aca="false">VLOOKUP($K246,Constants!$I:$K, 3, FALSE())*IF(AND(J246="multiple_unit",AE246&lt;110),0.75,1)</f>
        <v>1.725</v>
      </c>
      <c r="BL246" s="1" t="n">
        <f aca="false">INT(POWER(((Constants!$G$2+$BE246+$BF246+$BG246+$BI246)*$BH246)*$BK246, 1.05))+$BD246</f>
        <v>50</v>
      </c>
      <c r="BM246" s="1" t="n">
        <f aca="false">INT(POWER((((Constants!$G$1+$BE246+$BF246+$BG246+$BI246)*($BH246))*$BJ246),IF($J246="wagon",1,1.2)))+$BC246</f>
        <v>60</v>
      </c>
      <c r="BN246" s="17" t="n">
        <f aca="false">BL246*IF($J246="wagon",62.5,781.25)</f>
        <v>39062.5</v>
      </c>
      <c r="BO246" s="17" t="n">
        <f aca="false">BM246*IF($J246="wagon",2.73,81.25)</f>
        <v>4875</v>
      </c>
      <c r="BU246" s="1" t="s">
        <v>893</v>
      </c>
      <c r="BY246" s="1" t="n">
        <v>12</v>
      </c>
      <c r="BZ246" s="1" t="n">
        <v>185</v>
      </c>
      <c r="CC246" s="1" t="s">
        <v>327</v>
      </c>
      <c r="CD246" s="1" t="str">
        <f aca="false">VLOOKUP(M246,Eras!$A$2:$C$10, 2, TRUE())</f>
        <v>dsl</v>
      </c>
      <c r="CE246" s="1" t="s">
        <v>842</v>
      </c>
      <c r="CF246" s="1" t="str">
        <f aca="false">CONCATENATE(CD246,"_",CE246)</f>
        <v>dsl_EMU (Express)</v>
      </c>
      <c r="CG246" s="1" t="str">
        <f aca="false">_xlfn.CONCAT(K246, "_",L246)</f>
        <v>electric_THIRD_RAIL</v>
      </c>
      <c r="CH246" s="7" t="str">
        <f aca="false">_xlfn.CONCAT("{BLACK}Length: {GOLD}", TEXT(ROUNDUP(IF(AT246&lt;&gt;"",SUM(VALUE(_xlfn.TEXTSPLIT(AT246, ","))), SUM(VALUE(_xlfn.TEXTSPLIT(AQ246, ",")))*IF(P246, P246, 1))/16, 1), "#,##0.0"), " tiles{}")</f>
        <v>{BLACK}Length: {GOLD}1.4 tiles{}</v>
      </c>
      <c r="CI246" s="1" t="n">
        <f aca="false">VLOOKUP($CG246, Constants!$M:$N, 2, FALSE())</f>
        <v>0</v>
      </c>
      <c r="CJ246" s="1" t="str">
        <f aca="false">IF(P246&gt;1,_xlfn.CONCAT("{BLACK}Cars: {GOLD}", P246),"")</f>
        <v>{BLACK}Cars: {GOLD}2</v>
      </c>
      <c r="CK246" s="1" t="s">
        <v>894</v>
      </c>
      <c r="CL246" s="1" t="str">
        <f aca="fals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{GOLD}1.4 tiles{}{SILVER}The Class 414 2 HAP (Half Lavatory, electro-Pneumatic brake) is a Southern Region electric multiple unit, geared for express duties.</v>
      </c>
    </row>
    <row r="247" s="25" customFormat="true" ht="14.25" hidden="false" customHeight="false" outlineLevel="0" collapsed="false">
      <c r="A247" s="25" t="s">
        <v>895</v>
      </c>
      <c r="B247" s="26" t="s">
        <v>896</v>
      </c>
      <c r="C247" s="1" t="n">
        <v>3036</v>
      </c>
      <c r="E247" s="1" t="n">
        <v>326</v>
      </c>
      <c r="G247" s="1" t="str">
        <f aca="false">IF($F247&lt;&gt;"",_xlfn.CONCAT(VLOOKUP($CE247, Constants!$T:$U, 2, FALSE()),",",$F247),VLOOKUP($CE247, Constants!$T:$U, 2, FALSE()))</f>
        <v>role/passenger</v>
      </c>
      <c r="H247" s="1" t="str">
        <f aca="false">IF($G247&lt;&gt;"",_xlfn.CONCAT(VLOOKUP($CG247, Constants!$M:$P, 4, FALSE()),",",$G247),VLOOKUP($CG247, Constants!$M:$P, 4, FALSE()))</f>
        <v>flag/GB,power/electric,role/passenger</v>
      </c>
      <c r="I247" s="25" t="s">
        <v>198</v>
      </c>
      <c r="J247" s="25" t="s">
        <v>423</v>
      </c>
      <c r="K247" s="25" t="s">
        <v>349</v>
      </c>
      <c r="L247" s="25" t="s">
        <v>498</v>
      </c>
      <c r="M247" s="25" t="n">
        <v>1956</v>
      </c>
      <c r="N247" s="25" t="n">
        <v>1989</v>
      </c>
      <c r="O247" s="25" t="n">
        <v>2004</v>
      </c>
      <c r="P247" s="25" t="n">
        <v>4</v>
      </c>
      <c r="Q247" s="25" t="n">
        <v>500</v>
      </c>
      <c r="R247" s="2"/>
      <c r="S247" s="3"/>
      <c r="T247" s="3"/>
      <c r="U247" s="3"/>
      <c r="V247" s="3"/>
      <c r="W247" s="3"/>
      <c r="X247" s="3"/>
      <c r="Y247" s="3"/>
      <c r="Z247" s="25" t="n">
        <v>46.2</v>
      </c>
      <c r="AA247" s="2"/>
      <c r="AB247" s="25" t="n">
        <v>5</v>
      </c>
      <c r="AC247" s="25" t="n">
        <v>95</v>
      </c>
      <c r="AD247" s="4" t="n">
        <f aca="false">IF(AND(Z247&gt;0,AC247&gt;0),(AC247/((Z247+AA247)*10)),"")</f>
        <v>0.205627705627706</v>
      </c>
      <c r="AE247" s="25" t="n">
        <v>90</v>
      </c>
      <c r="AF247" s="25" t="n">
        <f aca="false">ROUND(AE247*1.6, 0)</f>
        <v>144</v>
      </c>
      <c r="AI247" s="25" t="n">
        <v>19.64</v>
      </c>
      <c r="AJ247" s="25" t="n">
        <v>20</v>
      </c>
      <c r="AK247" s="25" t="n">
        <v>2.7</v>
      </c>
      <c r="AL247" s="25" t="n">
        <v>3.77</v>
      </c>
      <c r="AM247" s="5" t="n">
        <v>56</v>
      </c>
      <c r="AN247" s="1" t="str">
        <f aca="false">CONCATENATE(VLOOKUP(AO247, '[1]Voxel Sizes'!$A$2:$B$18,2,FALSE()),"x",INT(AK247*15), "x", INT(AL247*15))</f>
        <v>198x40x56</v>
      </c>
      <c r="AO247" s="25" t="n">
        <f aca="false">ROUND(15*((AJ247*10)/256),0)</f>
        <v>12</v>
      </c>
      <c r="AQ247" s="1" t="str">
        <f aca="false">CONCATENATE(VLOOKUP(AO247,Constants!$A$2:$C$16,IF(AP247&lt;&gt;"", 3, 2), FALSE()),IF(AP247&lt;&gt;"",CONCATENATE(",",VLOOKUP(AP247,$B:$AQ,42,FALSE())),""))</f>
        <v>4,4,4</v>
      </c>
      <c r="AS247" s="6"/>
      <c r="AT247" s="6"/>
      <c r="AU247" s="25" t="s">
        <v>897</v>
      </c>
      <c r="AW247" s="25" t="s">
        <v>898</v>
      </c>
      <c r="AX247" s="25" t="s">
        <v>899</v>
      </c>
      <c r="BA247" s="25" t="n">
        <v>45</v>
      </c>
      <c r="BB247" s="16" t="n">
        <f aca="false">IF(O247&lt;&gt;"",MAX(16,(O247-M247)+8),"")</f>
        <v>56</v>
      </c>
      <c r="BC247" s="25" t="n">
        <v>-10</v>
      </c>
      <c r="BE247" s="25" t="n">
        <f aca="false">MIN(AE247/150, 1)*30</f>
        <v>18</v>
      </c>
      <c r="BF247" s="25" t="n">
        <f aca="false">MIN(Q247/4000, 1)*20</f>
        <v>2.5</v>
      </c>
      <c r="BG247" s="25" t="n">
        <f aca="false">MIN(AC247/400,1)*20</f>
        <v>4.75</v>
      </c>
      <c r="BH247" s="4" t="n">
        <f aca="false">1-(MAX(M247-1900, 0)/750)</f>
        <v>0.925333333333333</v>
      </c>
      <c r="BI247" s="25" t="n">
        <f aca="false">((MAX($P247,1)*MIN($AM247/300,1)))*IF(J247="Wagon",50,10)</f>
        <v>7.46666666666667</v>
      </c>
      <c r="BJ247" s="1" t="n">
        <f aca="false">VLOOKUP($K247,Constants!$I:$K, 2, FALSE())</f>
        <v>0.85</v>
      </c>
      <c r="BK247" s="1" t="n">
        <f aca="false">VLOOKUP($K247,Constants!$I:$K, 3, FALSE())*IF(AND(J247="multiple_unit",AE247&lt;110),0.75,1)</f>
        <v>1.725</v>
      </c>
      <c r="BL247" s="25" t="n">
        <f aca="false">INT(POWER((([1]Constants!$G$2+$BE247+$BF247+$BG247+$BI247)*$BH247)*$BK247, 1.05))+$BD247</f>
        <v>73</v>
      </c>
      <c r="BM247" s="25" t="n">
        <f aca="false">INT(POWER(((([1]Constants!$G$1+$BE247+$BF247+$BG247+$BI247)*($BH247))*$BJ247),IF($J247="wagon",1,1.2)))+$BC247</f>
        <v>67</v>
      </c>
      <c r="BN247" s="17" t="n">
        <f aca="false">BL247*IF($J247="wagon",62.5,781.25)</f>
        <v>57031.25</v>
      </c>
      <c r="BO247" s="17" t="n">
        <f aca="false">BM247*IF($J247="wagon",2.73,81.25)</f>
        <v>5443.75</v>
      </c>
      <c r="BU247" s="25" t="s">
        <v>900</v>
      </c>
      <c r="BY247" s="25" t="n">
        <v>2</v>
      </c>
      <c r="CC247" s="25" t="s">
        <v>327</v>
      </c>
      <c r="CD247" s="25" t="str">
        <f aca="false">VLOOKUP(M247,[1]Eras!$A$2:$C$10, 2, TRUE())</f>
        <v>dsl</v>
      </c>
      <c r="CE247" s="25" t="s">
        <v>785</v>
      </c>
      <c r="CF247" s="25" t="str">
        <f aca="false">CONCATENATE(CD247,"_",CE247)</f>
        <v>dsl_EMU</v>
      </c>
      <c r="CG247" s="25" t="str">
        <f aca="false">_xlfn.CONCAT(K247, "_",L247)</f>
        <v>electric_THIRD_RAIL</v>
      </c>
      <c r="CH247" s="7" t="str">
        <f aca="false">_xlfn.CONCAT("{BLACK}Length: {GOLD}", TEXT(ROUNDUP(IF(AT247&lt;&gt;"",SUM(VALUE(_xlfn.TEXTSPLIT(AT247, ","))), SUM(VALUE(_xlfn.TEXTSPLIT(AQ247, ",")))*IF(P247, P247, 1))/16, 1), "#,##0.0"), " tiles{}")</f>
        <v>{BLACK}Length: {GOLD}3.0 tiles{}</v>
      </c>
      <c r="CI247" s="1" t="n">
        <f aca="false">VLOOKUP($CG247, Constants!$M:$N, 2, FALSE())</f>
        <v>0</v>
      </c>
      <c r="CJ247" s="1" t="str">
        <f aca="false">IF(P247&gt;1,_xlfn.CONCAT("{BLACK}Cars: {GOLD}", P247),"")</f>
        <v>{BLACK}Cars: {GOLD}4</v>
      </c>
      <c r="CK247" s="25" t="s">
        <v>901</v>
      </c>
      <c r="CM247" s="25"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25" t="str">
        <f aca="false">_xlfn.CONCAT(CI247,IF(CI247 &lt;&gt; "", " ", ""),CJ247,IF(OR(CJ247&lt;&gt;"", CI247&lt;&gt;""), "{}",""), CH247, CM247,"{SILVER}", CK247)</f>
        <v>{BLACK}Cars: {GOLD}4{}{BLACK}Length: {GOLD}3.0 tiles{}{SILVER}The archetypal Mk1 Express EMU – 4CEP units were an evolution of the earlier southern 4COR units. 133 were built and they enjoyed a long career into the early 2000s.</v>
      </c>
    </row>
    <row r="248" customFormat="false" ht="14.25" hidden="false" customHeight="false" outlineLevel="0" collapsed="false">
      <c r="A248" s="1" t="s">
        <v>902</v>
      </c>
      <c r="B248" s="19" t="s">
        <v>903</v>
      </c>
      <c r="C248" s="1" t="n">
        <v>1052</v>
      </c>
      <c r="E248" s="1" t="n">
        <v>327</v>
      </c>
      <c r="G248" s="1" t="str">
        <f aca="false">IF($F248&lt;&gt;"",_xlfn.CONCAT(VLOOKUP($CE248, Constants!$T:$U, 2, FALSE()),",",$F248),VLOOKUP($CE248, Constants!$T:$U, 2, FALSE()))</f>
        <v>role/mail</v>
      </c>
      <c r="H248" s="1" t="str">
        <f aca="false">IF($G248&lt;&gt;"",_xlfn.CONCAT(VLOOKUP($CG248, Constants!$M:$P, 4, FALSE()),",",$G248),VLOOKUP($CG248, Constants!$M:$P, 4, FALSE()))</f>
        <v>flag/GB,power/diesel,role/mail</v>
      </c>
      <c r="I248" s="1" t="s">
        <v>198</v>
      </c>
      <c r="J248" s="1" t="s">
        <v>423</v>
      </c>
      <c r="K248" s="1" t="s">
        <v>482</v>
      </c>
      <c r="L248" s="1" t="s">
        <v>149</v>
      </c>
      <c r="M248" s="1" t="n">
        <v>1959</v>
      </c>
      <c r="O248" s="1" t="n">
        <v>1991</v>
      </c>
      <c r="P248" s="1" t="n">
        <v>1</v>
      </c>
      <c r="Q248" s="1" t="n">
        <v>460</v>
      </c>
      <c r="Z248" s="1" t="n">
        <v>41</v>
      </c>
      <c r="AB248" s="1" t="n">
        <v>6</v>
      </c>
      <c r="AC248" s="1" t="n">
        <v>65</v>
      </c>
      <c r="AD248" s="4" t="n">
        <f aca="false">IF(AND(Z248&gt;0,AC248&gt;0),(AC248/((Z248+AA248)*10)),"")</f>
        <v>0.158536585365854</v>
      </c>
      <c r="AE248" s="1" t="n">
        <v>70</v>
      </c>
      <c r="AF248" s="1" t="n">
        <f aca="false">ROUND(AE248*1.6, 0)</f>
        <v>112</v>
      </c>
      <c r="AH248" s="1" t="n">
        <v>1</v>
      </c>
      <c r="AI248" s="1" t="n">
        <v>19.66</v>
      </c>
      <c r="AJ248" s="1" t="n">
        <v>19.66</v>
      </c>
      <c r="AL248" s="1" t="n">
        <v>3.77</v>
      </c>
      <c r="AM248" s="5" t="n">
        <v>72</v>
      </c>
      <c r="AN248" s="16" t="s">
        <v>904</v>
      </c>
      <c r="AO248" s="16" t="n">
        <f aca="false">ROUND(15*((AJ248*10)/256),0)</f>
        <v>12</v>
      </c>
      <c r="AQ248" s="1" t="str">
        <f aca="false">CONCATENATE(VLOOKUP(AO248,Constants!$A$2:$C$16,IF(AP248&lt;&gt;"", 3, 2), FALSE()),IF(AP248&lt;&gt;"",CONCATENATE(",",VLOOKUP(AP248,$B:$AQ,42,FALSE())),""))</f>
        <v>4,4,4</v>
      </c>
      <c r="AU248" s="1" t="s">
        <v>903</v>
      </c>
      <c r="AW248" s="1" t="n">
        <v>1</v>
      </c>
      <c r="BA248" s="1" t="n">
        <v>45</v>
      </c>
      <c r="BB248" s="16" t="n">
        <f aca="false">IF(O248&lt;&gt;"",MAX(16,(O248-M248)+8),"")</f>
        <v>40</v>
      </c>
      <c r="BC248" s="1" t="n">
        <v>-10</v>
      </c>
      <c r="BD248" s="1" t="n">
        <v>-15</v>
      </c>
      <c r="BE248" s="20" t="n">
        <f aca="false">MIN(AE248/150, 1)*30</f>
        <v>14</v>
      </c>
      <c r="BF248" s="20" t="n">
        <f aca="false">MIN(Q248/4000, 1)*20</f>
        <v>2.3</v>
      </c>
      <c r="BG248" s="20" t="n">
        <f aca="false">MIN(AC248/400,1)*20</f>
        <v>3.25</v>
      </c>
      <c r="BH248" s="21" t="n">
        <f aca="false">1-(MAX(M248-1900, 0)/750)</f>
        <v>0.921333333333333</v>
      </c>
      <c r="BI248" s="20" t="n">
        <f aca="false">((MAX($P248,1)*MIN($AM248/300,1)))*IF(J248="Wagon",50,10)</f>
        <v>2.4</v>
      </c>
      <c r="BJ248" s="1" t="n">
        <f aca="false">VLOOKUP($K248,Constants!$I:$K, 2, FALSE())</f>
        <v>1</v>
      </c>
      <c r="BK248" s="1" t="n">
        <f aca="false">VLOOKUP($K248,Constants!$I:$K, 3, FALSE())*IF(AND(J248="multiple_unit",AE248&lt;110),0.75,1)</f>
        <v>1.5</v>
      </c>
      <c r="BL248" s="20" t="n">
        <v>29</v>
      </c>
      <c r="BM248" s="20" t="n">
        <v>58</v>
      </c>
      <c r="BN248" s="22" t="n">
        <f aca="false">BL248*IF($J248="wagon",62.5,781.25)</f>
        <v>22656.25</v>
      </c>
      <c r="BO248" s="22" t="n">
        <f aca="false">BM248*IF($J248="wagon",2.73,81.25)</f>
        <v>4712.5</v>
      </c>
      <c r="BR248" s="1" t="n">
        <v>1</v>
      </c>
      <c r="BY248" s="1" t="n">
        <v>4</v>
      </c>
      <c r="BZ248" s="1" t="n">
        <v>185</v>
      </c>
      <c r="CC248" s="1" t="s">
        <v>662</v>
      </c>
      <c r="CD248" s="23" t="s">
        <v>569</v>
      </c>
      <c r="CE248" s="1" t="s">
        <v>144</v>
      </c>
      <c r="CF248" s="23" t="str">
        <f aca="false">CONCATENATE(CD248,"_",CE248)</f>
        <v>dsl_Mail</v>
      </c>
      <c r="CG248" s="23" t="str">
        <f aca="false">_xlfn.CONCAT(K248, "_",L248)</f>
        <v>diesel_RAIL</v>
      </c>
      <c r="CH248" s="7" t="str">
        <f aca="false">_xlfn.CONCAT("{BLACK}Length: {GOLD}", TEXT(ROUNDUP(IF(AT248&lt;&gt;"",SUM(VALUE(_xlfn.TEXTSPLIT(AT248, ","))), SUM(VALUE(_xlfn.TEXTSPLIT(AQ248, ",")))*IF(P248, P248, 1))/16, 1), "#,##0.0"), " tiles{}")</f>
        <v>{BLACK}Length: {GOLD}0.8 tiles{}</v>
      </c>
      <c r="CI248" s="1" t="n">
        <f aca="false">VLOOKUP($CG248, Constants!$M:$N, 2, FALSE())</f>
        <v>0</v>
      </c>
      <c r="CJ248" s="1" t="str">
        <f aca="false">IF(P248&gt;1,_xlfn.CONCAT("{BLACK}Cars: {GOLD}", P248),"")</f>
        <v/>
      </c>
      <c r="CK248" s="1" t="s">
        <v>905</v>
      </c>
      <c r="CL248" s="1" t="str">
        <f aca="false">IF($BX248="!param_no_gameplay_units","{GREEN}Included for gameplay purposes","")</f>
        <v/>
      </c>
      <c r="CM248" s="1" t="str">
        <f aca="false">IF(CA248="buffet","{YELLOW}25% long distance bonus for consist{}",IF(CB248="DANDY","{YELLOW}Faster downhill speeds for horse-drawn trains (1 required per 2 horses){}",IF(CB248="BRAKE","{YELLOW}Speed bonus for slow wagons{}",IF(CB248="NGPassengers","{YELLOW}Preserved railway bonus: passengers pay more when hauled by old locomotives{}",IF(AND(BZ248&gt;190,NOT(AND(L248="NARROW_GAUGE",CB248&lt;&gt;"PASS"))),CONCATENATE("{YELLOW}",INT((BZ248-185)/1.85),"%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{BLACK}Length: {GOLD}0.8 tiles{}{SILVER}The Class 128 was built specifically for carrying parcels by the Gloucester Railway Carriage and Wagon Company.</v>
      </c>
    </row>
    <row r="249" customFormat="false" ht="14.25" hidden="false" customHeight="false" outlineLevel="0" collapsed="false">
      <c r="A249" s="1" t="s">
        <v>906</v>
      </c>
      <c r="B249" s="19" t="s">
        <v>907</v>
      </c>
      <c r="C249" s="1" t="n">
        <v>1050</v>
      </c>
      <c r="E249" s="1" t="n">
        <v>328</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1" t="s">
        <v>198</v>
      </c>
      <c r="J249" s="1" t="s">
        <v>423</v>
      </c>
      <c r="K249" s="1" t="s">
        <v>482</v>
      </c>
      <c r="L249" s="1" t="s">
        <v>149</v>
      </c>
      <c r="M249" s="1" t="n">
        <v>1959</v>
      </c>
      <c r="N249" s="1" t="n">
        <v>1961</v>
      </c>
      <c r="O249" s="1" t="n">
        <v>1999</v>
      </c>
      <c r="P249" s="1" t="n">
        <v>3</v>
      </c>
      <c r="Q249" s="1" t="n">
        <v>600</v>
      </c>
      <c r="Z249" s="1" t="n">
        <f aca="false">36.6+36.6+30.5</f>
        <v>103.7</v>
      </c>
      <c r="AB249" s="1" t="n">
        <v>6</v>
      </c>
      <c r="AC249" s="1" t="n">
        <v>83</v>
      </c>
      <c r="AD249" s="4" t="n">
        <f aca="false">IF(AND(Z249&gt;0,AC249&gt;0),(AC249/((Z249+AA249)*10)),"")</f>
        <v>0.0800385728061717</v>
      </c>
      <c r="AE249" s="1" t="n">
        <v>70</v>
      </c>
      <c r="AF249" s="1" t="n">
        <f aca="false">ROUND(AE249*1.6, 0)</f>
        <v>112</v>
      </c>
      <c r="AI249" s="1" t="n">
        <v>19.5</v>
      </c>
      <c r="AJ249" s="1" t="n">
        <v>19.5</v>
      </c>
      <c r="AL249" s="1" t="n">
        <v>3.77</v>
      </c>
      <c r="AM249" s="5" t="n">
        <v>60</v>
      </c>
      <c r="AN249" s="16" t="s">
        <v>908</v>
      </c>
      <c r="AO249" s="16" t="n">
        <f aca="false">ROUND(15*((AJ249*10)/256),0)</f>
        <v>11</v>
      </c>
      <c r="AQ249" s="1" t="str">
        <f aca="false">CONCATENATE(VLOOKUP(AO249,Constants!$A$2:$C$16,IF(AP249&lt;&gt;"", 3, 2), FALSE()),IF(AP249&lt;&gt;"",CONCATENATE(",",VLOOKUP(AP249,$B:$AQ,42,FALSE())),""))</f>
        <v>4,3,4</v>
      </c>
      <c r="AU249" s="1" t="s">
        <v>909</v>
      </c>
      <c r="AW249" s="1" t="s">
        <v>425</v>
      </c>
      <c r="BA249" s="1" t="n">
        <v>42</v>
      </c>
      <c r="BB249" s="16" t="n">
        <f aca="false">IF(O249&lt;&gt;"",MAX(16,(O249-M249)+8),"")</f>
        <v>48</v>
      </c>
      <c r="BC249" s="1" t="n">
        <v>-10</v>
      </c>
      <c r="BD249" s="1" t="n">
        <v>-15</v>
      </c>
      <c r="BE249" s="20" t="n">
        <f aca="false">MIN(AE249/150, 1)*30</f>
        <v>14</v>
      </c>
      <c r="BF249" s="20" t="n">
        <f aca="false">MIN(Q249/4000, 1)*20</f>
        <v>3</v>
      </c>
      <c r="BG249" s="20" t="n">
        <f aca="false">MIN(AC249/400,1)*20</f>
        <v>4.15</v>
      </c>
      <c r="BH249" s="21" t="n">
        <f aca="false">1-(MAX(M249-1900, 0)/750)</f>
        <v>0.921333333333333</v>
      </c>
      <c r="BI249" s="20" t="n">
        <f aca="false">((MAX($P249,1)*MIN($AM249/300,1)))*IF(J249="Wagon",50,10)</f>
        <v>6</v>
      </c>
      <c r="BJ249" s="1" t="n">
        <f aca="false">VLOOKUP($K249,Constants!$I:$K, 2, FALSE())</f>
        <v>1</v>
      </c>
      <c r="BK249" s="1" t="n">
        <f aca="false">VLOOKUP($K249,Constants!$I:$K, 3, FALSE())*IF(AND(J249="multiple_unit",AE249&lt;110),0.75,1)</f>
        <v>1.5</v>
      </c>
      <c r="BL249" s="20" t="n">
        <v>38</v>
      </c>
      <c r="BM249" s="20" t="n">
        <v>70</v>
      </c>
      <c r="BN249" s="22" t="n">
        <f aca="false">BL249*IF($J249="wagon",62.5,781.25)</f>
        <v>29687.5</v>
      </c>
      <c r="BO249" s="22" t="n">
        <f aca="false">BM249*IF($J249="wagon",2.73,81.25)</f>
        <v>5687.5</v>
      </c>
      <c r="BY249" s="1" t="n">
        <v>5</v>
      </c>
      <c r="CB249" s="1" t="s">
        <v>326</v>
      </c>
      <c r="CC249" s="1" t="s">
        <v>327</v>
      </c>
      <c r="CD249" s="23" t="s">
        <v>569</v>
      </c>
      <c r="CE249" s="1" t="s">
        <v>779</v>
      </c>
      <c r="CF249" s="23" t="str">
        <f aca="false">CONCATENATE(CD249,"_",CE249)</f>
        <v>dsl_DMU</v>
      </c>
      <c r="CG249" s="23" t="str">
        <f aca="false">_xlfn.CONCAT(K249, "_",L249)</f>
        <v>diesel_RAIL</v>
      </c>
      <c r="CH249" s="7" t="str">
        <f aca="false">_xlfn.CONCAT("{BLACK}Length: {GOLD}", TEXT(ROUNDUP(IF(AT249&lt;&gt;"",SUM(VALUE(_xlfn.TEXTSPLIT(AT249, ","))), SUM(VALUE(_xlfn.TEXTSPLIT(AQ249, ",")))*IF(P249, P249, 1))/16, 1), "#,##0.0"), " tiles{}")</f>
        <v>{BLACK}Length: {GOLD}2.1 tiles{}</v>
      </c>
      <c r="CI249" s="1" t="n">
        <f aca="false">VLOOKUP($CG249, Constants!$M:$N, 2, FALSE())</f>
        <v>0</v>
      </c>
      <c r="CJ249" s="1" t="str">
        <f aca="false">IF(P249&gt;1,_xlfn.CONCAT("{BLACK}Cars: {GOLD}", P249),"")</f>
        <v>{BLACK}Cars: {GOLD}3</v>
      </c>
      <c r="CK249" s="1" t="s">
        <v>910</v>
      </c>
      <c r="CL249" s="1" t="str">
        <f aca="false">IF($BX249="!param_no_gameplay_units","{GREEN}Included for gameplay purposes","")</f>
        <v/>
      </c>
      <c r="CM249" s="1" t="str">
        <f aca="false">IF(CA249="buffet","{YELLOW}25% long distance bonus for consist{}",IF(CB249="DANDY","{YELLOW}Faster downhill speeds for horse-drawn trains (1 required per 2 horses){}",IF(CB249="BRAKE","{YELLOW}Speed bonus for slow wagons{}",IF(CB249="NGPassengers","{YELLOW}Preserved railway bonus: passengers pay more when hauled by old locomotives{}",IF(AND(BZ249&gt;190,NOT(AND(L249="NARROW_GAUGE",CB249&lt;&gt;"PASS"))),CONCATENATE("{YELLOW}",INT((BZ249-185)/1.85),"%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{GOLD}2.1 tiles{}{SILVER}The Class 117 was built under licence by Pressed Steel, being a variant of the Class 116 built by BRCW Derby.</v>
      </c>
    </row>
    <row r="250" s="25" customFormat="true" ht="14.25" hidden="false" customHeight="false" outlineLevel="0" collapsed="false">
      <c r="A250" s="25" t="s">
        <v>911</v>
      </c>
      <c r="B250" s="26" t="s">
        <v>912</v>
      </c>
      <c r="C250" s="1" t="n">
        <v>3037</v>
      </c>
      <c r="E250" s="1" t="n">
        <v>329</v>
      </c>
      <c r="G250" s="1" t="str">
        <f aca="false">IF($F250&lt;&gt;"",_xlfn.CONCAT(VLOOKUP($CE250, Constants!$T:$U, 2, FALSE()),",",$F250),VLOOKUP($CE250, Constants!$T:$U, 2, FALSE()))</f>
        <v>role/passenger</v>
      </c>
      <c r="H250" s="1" t="str">
        <f aca="false">IF($G250&lt;&gt;"",_xlfn.CONCAT(VLOOKUP($CG250, Constants!$M:$P, 4, FALSE()),",",$G250),VLOOKUP($CG250, Constants!$M:$P, 4, FALSE()))</f>
        <v>flag/GB,power/electric,power/battery,role/passenger</v>
      </c>
      <c r="I250" s="25" t="s">
        <v>198</v>
      </c>
      <c r="J250" s="25" t="s">
        <v>206</v>
      </c>
      <c r="K250" s="25" t="s">
        <v>637</v>
      </c>
      <c r="L250" s="25" t="s">
        <v>913</v>
      </c>
      <c r="M250" s="25" t="n">
        <v>1959</v>
      </c>
      <c r="N250" s="25" t="n">
        <v>1989</v>
      </c>
      <c r="O250" s="25" t="n">
        <v>2004</v>
      </c>
      <c r="P250" s="25" t="n">
        <v>1</v>
      </c>
      <c r="Q250" s="25" t="n">
        <v>500</v>
      </c>
      <c r="R250" s="2"/>
      <c r="S250" s="3"/>
      <c r="T250" s="3"/>
      <c r="U250" s="3"/>
      <c r="V250" s="3"/>
      <c r="W250" s="3"/>
      <c r="X250" s="3"/>
      <c r="Y250" s="3"/>
      <c r="Z250" s="25" t="n">
        <v>46.2</v>
      </c>
      <c r="AA250" s="2"/>
      <c r="AB250" s="25" t="n">
        <v>5</v>
      </c>
      <c r="AC250" s="25" t="n">
        <v>95</v>
      </c>
      <c r="AD250" s="4" t="n">
        <f aca="false">IF(AND(Z250&gt;0,AC250&gt;0),(AC250/((Z250+AA250)*10)),"")</f>
        <v>0.205627705627706</v>
      </c>
      <c r="AE250" s="25" t="n">
        <v>90</v>
      </c>
      <c r="AF250" s="25" t="n">
        <f aca="false">ROUND(AE250*1.6, 0)</f>
        <v>144</v>
      </c>
      <c r="AI250" s="25" t="n">
        <v>19.64</v>
      </c>
      <c r="AJ250" s="25" t="n">
        <v>20</v>
      </c>
      <c r="AK250" s="25" t="n">
        <v>2.7</v>
      </c>
      <c r="AL250" s="25" t="n">
        <v>3.77</v>
      </c>
      <c r="AM250" s="5" t="n">
        <v>38</v>
      </c>
      <c r="AN250" s="1" t="str">
        <f aca="false">CONCATENATE(VLOOKUP(AO250, '[1]Voxel Sizes'!$A$2:$B$18,2,FALSE()),"x",INT(AK250*15), "x", INT(AL250*15))</f>
        <v>198x40x56</v>
      </c>
      <c r="AO250" s="25" t="n">
        <f aca="false">ROUND(15*((AJ250*10)/256),0)</f>
        <v>12</v>
      </c>
      <c r="AQ250" s="1" t="str">
        <f aca="false">CONCATENATE(VLOOKUP(AO250,Constants!$A$2:$C$16,IF(AP250&lt;&gt;"", 3, 2), FALSE()),IF(AP250&lt;&gt;"",CONCATENATE(",",VLOOKUP(AP250,$B:$AQ,42,FALSE())),""))</f>
        <v>4,4,4</v>
      </c>
      <c r="AS250" s="6"/>
      <c r="AT250" s="6"/>
      <c r="AU250" s="25" t="s">
        <v>912</v>
      </c>
      <c r="AW250" s="25" t="n">
        <v>1</v>
      </c>
      <c r="BA250" s="25" t="n">
        <v>45</v>
      </c>
      <c r="BB250" s="16" t="n">
        <f aca="false">IF(O250&lt;&gt;"",MAX(16,(O250-M250)+8),"")</f>
        <v>53</v>
      </c>
      <c r="BD250" s="25" t="n">
        <v>-45</v>
      </c>
      <c r="BE250" s="25" t="n">
        <f aca="false">MIN(AE250/150, 1)*30</f>
        <v>18</v>
      </c>
      <c r="BF250" s="25" t="n">
        <f aca="false">MIN(Q250/4000, 1)*20</f>
        <v>2.5</v>
      </c>
      <c r="BG250" s="25" t="n">
        <f aca="false">MIN(AC250/400,1)*20</f>
        <v>4.75</v>
      </c>
      <c r="BH250" s="4" t="n">
        <f aca="false">1-(MAX(M250-1900, 0)/750)</f>
        <v>0.921333333333333</v>
      </c>
      <c r="BI250" s="25" t="n">
        <f aca="false">((MAX($P250,1)*MIN($AM250/300,1)))*IF(J250="Wagon",50,10)</f>
        <v>1.26666666666667</v>
      </c>
      <c r="BJ250" s="1" t="n">
        <f aca="false">VLOOKUP($K250,Constants!$I:$K, 2, FALSE())</f>
        <v>0.9</v>
      </c>
      <c r="BK250" s="1" t="n">
        <f aca="false">VLOOKUP($K250,Constants!$I:$K, 3, FALSE())*IF(AND(J250="multiple_unit",AE250&lt;110),0.75,1)</f>
        <v>2.5</v>
      </c>
      <c r="BL250" s="25" t="n">
        <f aca="false">INT(POWER((([1]Constants!$G$2+$BE250+$BF250+$BG250+$BI250)*$BH250)*$BK250, 1.05))+$BD250</f>
        <v>44</v>
      </c>
      <c r="BM250" s="25" t="n">
        <f aca="false">INT(POWER(((([1]Constants!$G$1+$BE250+$BF250+$BG250+$BI250)*($BH250))*$BJ250),IF($J250="wagon",1,1.2)))+$BC250</f>
        <v>69</v>
      </c>
      <c r="BN250" s="17" t="n">
        <f aca="false">BL250*IF($J250="wagon",62.5,781.25)</f>
        <v>34375</v>
      </c>
      <c r="BO250" s="17" t="n">
        <f aca="false">BM250*IF($J250="wagon",2.73,81.25)</f>
        <v>5606.25</v>
      </c>
      <c r="BU250" s="25" t="s">
        <v>914</v>
      </c>
      <c r="BY250" s="25" t="n">
        <v>2</v>
      </c>
      <c r="CC250" s="25" t="s">
        <v>662</v>
      </c>
      <c r="CD250" s="25" t="str">
        <f aca="false">VLOOKUP(M250,[1]Eras!$A$2:$C$10, 2, TRUE())</f>
        <v>dsl</v>
      </c>
      <c r="CE250" s="25" t="s">
        <v>785</v>
      </c>
      <c r="CF250" s="25" t="str">
        <f aca="false">CONCATENATE(CD250,"_",CE250)</f>
        <v>dsl_EMU</v>
      </c>
      <c r="CG250" s="25" t="str">
        <f aca="false">_xlfn.CONCAT(K250, "_",L250)</f>
        <v>dual_power_BATTERY</v>
      </c>
      <c r="CH250" s="7" t="str">
        <f aca="false">_xlfn.CONCAT("{BLACK}Length: {GOLD}", TEXT(ROUNDUP(IF(AT250&lt;&gt;"",SUM(VALUE(_xlfn.TEXTSPLIT(AT250, ","))), SUM(VALUE(_xlfn.TEXTSPLIT(AQ250, ",")))*IF(P250, P250, 1))/16, 1), "#,##0.0"), " tiles{}")</f>
        <v>{BLACK}Length: {GOLD}0.8 tiles{}</v>
      </c>
      <c r="CI250" s="1" t="n">
        <f aca="false">VLOOKUP($CG250, Constants!$M:$N, 2, FALSE())</f>
        <v>0</v>
      </c>
      <c r="CJ250" s="1" t="str">
        <f aca="false">IF(P250&gt;1,_xlfn.CONCAT("{BLACK}Cars: {GOLD}", P250),"")</f>
        <v/>
      </c>
      <c r="CK250" s="25" t="s">
        <v>915</v>
      </c>
      <c r="CM250" s="25"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25" t="str">
        <f aca="false">_xlfn.CONCAT(CI250,IF(CI250 &lt;&gt; "", " ", ""),CJ250,IF(OR(CJ250&lt;&gt;"", CI250&lt;&gt;""), "{}",""), CH250, CM250,"{SILVER}", CK250)</f>
        <v>{BLACK}Length: {GOLD}0.8 tiles{}{SILVER}The Class 419 Motor Luggage Van was used to extend the luggage capacity of express services and was capable of running on it’s own batteries within non-electrified areas.</v>
      </c>
    </row>
    <row r="251" s="25" customFormat="true" ht="14.25" hidden="false" customHeight="false" outlineLevel="0" collapsed="false">
      <c r="A251" s="25" t="s">
        <v>916</v>
      </c>
      <c r="B251" s="26" t="s">
        <v>917</v>
      </c>
      <c r="C251" s="1" t="n">
        <v>3038</v>
      </c>
      <c r="E251" s="1" t="n">
        <v>330</v>
      </c>
      <c r="G251" s="1" t="str">
        <f aca="false">IF($F251&lt;&gt;"",_xlfn.CONCAT(VLOOKUP($CE251, Constants!$T:$U, 2, FALSE()),",",$F251),VLOOKUP($CE251, Constants!$T:$U, 2, FALSE()))</f>
        <v>role/passenger</v>
      </c>
      <c r="H251" s="1" t="str">
        <f aca="false">IF($G251&lt;&gt;"",_xlfn.CONCAT(VLOOKUP($CG251, Constants!$M:$P, 4, FALSE()),",",$G251),VLOOKUP($CG251, Constants!$M:$P, 4, FALSE()))</f>
        <v>flag/GB,power/electric,role/passenger</v>
      </c>
      <c r="I251" s="25" t="s">
        <v>198</v>
      </c>
      <c r="J251" s="25" t="s">
        <v>206</v>
      </c>
      <c r="K251" s="25" t="s">
        <v>349</v>
      </c>
      <c r="L251" s="25" t="s">
        <v>498</v>
      </c>
      <c r="M251" s="25" t="n">
        <v>1959</v>
      </c>
      <c r="N251" s="25" t="n">
        <v>1989</v>
      </c>
      <c r="O251" s="25" t="n">
        <v>2005</v>
      </c>
      <c r="P251" s="25" t="n">
        <v>1</v>
      </c>
      <c r="Q251" s="25" t="n">
        <v>500</v>
      </c>
      <c r="R251" s="2"/>
      <c r="S251" s="3"/>
      <c r="T251" s="3"/>
      <c r="U251" s="3"/>
      <c r="V251" s="3"/>
      <c r="W251" s="3"/>
      <c r="X251" s="3"/>
      <c r="Y251" s="3"/>
      <c r="Z251" s="25" t="n">
        <v>40.5</v>
      </c>
      <c r="AA251" s="2"/>
      <c r="AB251" s="25" t="n">
        <v>5</v>
      </c>
      <c r="AC251" s="25" t="n">
        <v>95</v>
      </c>
      <c r="AD251" s="4" t="n">
        <f aca="false">IF(AND(Z251&gt;0,AC251&gt;0),(AC251/((Z251+AA251)*10)),"")</f>
        <v>0.234567901234568</v>
      </c>
      <c r="AE251" s="25" t="n">
        <v>90</v>
      </c>
      <c r="AF251" s="25" t="n">
        <f aca="false">ROUND(AE251*1.6, 0)</f>
        <v>144</v>
      </c>
      <c r="AI251" s="25" t="n">
        <v>19.64</v>
      </c>
      <c r="AJ251" s="25" t="n">
        <v>20</v>
      </c>
      <c r="AK251" s="25" t="n">
        <v>2.7</v>
      </c>
      <c r="AL251" s="25" t="n">
        <v>3.77</v>
      </c>
      <c r="AM251" s="5" t="n">
        <v>38</v>
      </c>
      <c r="AN251" s="1" t="str">
        <f aca="false">CONCATENATE(VLOOKUP(AO251, '[1]Voxel Sizes'!$A$2:$B$18,2,FALSE()),"x",INT(AK251*15), "x", INT(AL251*15))</f>
        <v>198x40x56</v>
      </c>
      <c r="AO251" s="25" t="n">
        <f aca="false">ROUND(15*((AJ251*10)/256),0)</f>
        <v>12</v>
      </c>
      <c r="AQ251" s="1" t="str">
        <f aca="false">CONCATENATE(VLOOKUP(AO251,Constants!$A$2:$C$16,IF(AP251&lt;&gt;"", 3, 2), FALSE()),IF(AP251&lt;&gt;"",CONCATENATE(",",VLOOKUP(AP251,$B:$AQ,42,FALSE())),""))</f>
        <v>4,4,4</v>
      </c>
      <c r="AS251" s="6"/>
      <c r="AT251" s="6"/>
      <c r="AU251" s="25" t="s">
        <v>917</v>
      </c>
      <c r="AW251" s="25" t="n">
        <v>1</v>
      </c>
      <c r="BA251" s="25" t="n">
        <v>45</v>
      </c>
      <c r="BB251" s="16" t="n">
        <f aca="false">IF(O251&lt;&gt;"",MAX(16,(O251-M251)+8),"")</f>
        <v>54</v>
      </c>
      <c r="BD251" s="25" t="n">
        <v>-45</v>
      </c>
      <c r="BE251" s="25" t="n">
        <f aca="false">MIN(AE251/150, 1)*30</f>
        <v>18</v>
      </c>
      <c r="BF251" s="25" t="n">
        <f aca="false">MIN(Q251/4000, 1)*20</f>
        <v>2.5</v>
      </c>
      <c r="BG251" s="25" t="n">
        <f aca="false">MIN(AC251/400,1)*20</f>
        <v>4.75</v>
      </c>
      <c r="BH251" s="4" t="n">
        <f aca="false">1-(MAX(M251-1900, 0)/750)</f>
        <v>0.921333333333333</v>
      </c>
      <c r="BI251" s="25" t="n">
        <f aca="false">((MAX($P251,1)*MIN($AM251/300,1)))*IF(J251="Wagon",50,10)</f>
        <v>1.26666666666667</v>
      </c>
      <c r="BJ251" s="1" t="n">
        <f aca="false">VLOOKUP($K251,Constants!$I:$K, 2, FALSE())</f>
        <v>0.85</v>
      </c>
      <c r="BK251" s="1" t="n">
        <f aca="false">VLOOKUP($K251,Constants!$I:$K, 3, FALSE())*IF(AND(J251="multiple_unit",AE251&lt;110),0.75,1)</f>
        <v>2.3</v>
      </c>
      <c r="BL251" s="25" t="n">
        <f aca="false">INT(POWER((([1]Constants!$G$2+$BE251+$BF251+$BG251+$BI251)*$BH251)*$BK251, 1.05))+$BD251</f>
        <v>37</v>
      </c>
      <c r="BM251" s="25" t="n">
        <f aca="false">INT(POWER(((([1]Constants!$G$1+$BE251+$BF251+$BG251+$BI251)*($BH251))*$BJ251),IF($J251="wagon",1,1.2)))+$BC251</f>
        <v>65</v>
      </c>
      <c r="BN251" s="17" t="n">
        <f aca="false">BL251*IF($J251="wagon",62.5,781.25)</f>
        <v>28906.25</v>
      </c>
      <c r="BO251" s="17" t="n">
        <f aca="false">BM251*IF($J251="wagon",2.73,81.25)</f>
        <v>5281.25</v>
      </c>
      <c r="BP251" s="25" t="n">
        <v>1</v>
      </c>
      <c r="BQ251" s="25" t="n">
        <v>1</v>
      </c>
      <c r="BU251" s="25" t="s">
        <v>918</v>
      </c>
      <c r="BY251" s="25" t="n">
        <v>2</v>
      </c>
      <c r="CC251" s="25" t="s">
        <v>662</v>
      </c>
      <c r="CD251" s="25" t="str">
        <f aca="false">VLOOKUP(M251,[1]Eras!$A$2:$C$10, 2, TRUE())</f>
        <v>dsl</v>
      </c>
      <c r="CE251" s="25" t="s">
        <v>785</v>
      </c>
      <c r="CF251" s="25" t="str">
        <f aca="false">CONCATENATE(CD251,"_",CE251)</f>
        <v>dsl_EMU</v>
      </c>
      <c r="CG251" s="25" t="str">
        <f aca="false">_xlfn.CONCAT(K251, "_",L251)</f>
        <v>electric_THIRD_RAIL</v>
      </c>
      <c r="CH251" s="7" t="str">
        <f aca="false">_xlfn.CONCAT("{BLACK}Length: {GOLD}", TEXT(ROUNDUP(IF(AT251&lt;&gt;"",SUM(VALUE(_xlfn.TEXTSPLIT(AT251, ","))), SUM(VALUE(_xlfn.TEXTSPLIT(AQ251, ",")))*IF(P251, P251, 1))/16, 1), "#,##0.0"), " tiles{}")</f>
        <v>{BLACK}Length: {GOLD}0.8 tiles{}</v>
      </c>
      <c r="CI251" s="1" t="n">
        <f aca="false">VLOOKUP($CG251, Constants!$M:$N, 2, FALSE())</f>
        <v>0</v>
      </c>
      <c r="CJ251" s="1" t="str">
        <f aca="false">IF(P251&gt;1,_xlfn.CONCAT("{BLACK}Cars: {GOLD}", P251),"")</f>
        <v/>
      </c>
      <c r="CK251" s="25" t="s">
        <v>919</v>
      </c>
      <c r="CM251" s="25" t="str">
        <f aca="false">IF(CA251="buffet","{YELLOW}25% long distance bonus for consist{}",IF(CD251="BRAKE","{YELLOW}Speed bonus for slow wagons{}",IF(BZ251&gt;190,CONCATENATE("{YELLOW}",INT((BZ251-185)/1.85),"% bonus for long distance travel{}"),IF(AND(BZ251&lt;180,BZ251&lt;&gt;0),CONCATENATE("{YELLOW}",INT((185-BZ251)/1.85),"% penalty for long distance travel{}"),""))))</f>
        <v/>
      </c>
      <c r="CN251" s="25" t="str">
        <f aca="false">_xlfn.CONCAT(CI251,IF(CI251 &lt;&gt; "", " ", ""),CJ251,IF(OR(CJ251&lt;&gt;"", CI251&lt;&gt;""), "{}",""), CH251, CM251,"{SILVER}", CK251)</f>
        <v>{BLACK}Length: {GOLD}0.8 tiles{}{SILVER}A late conversion of the 2HAP driving motor to a cab and luggage car for Gatwick Express services</v>
      </c>
    </row>
    <row r="252" s="25" customFormat="true" ht="14.25" hidden="false" customHeight="false" outlineLevel="0" collapsed="false">
      <c r="A252" s="25" t="s">
        <v>920</v>
      </c>
      <c r="B252" s="26" t="s">
        <v>921</v>
      </c>
      <c r="C252" s="1" t="n">
        <v>3030</v>
      </c>
      <c r="E252" s="1" t="n">
        <v>331</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5" t="s">
        <v>198</v>
      </c>
      <c r="J252" s="25" t="s">
        <v>423</v>
      </c>
      <c r="K252" s="25" t="s">
        <v>349</v>
      </c>
      <c r="L252" s="25" t="s">
        <v>350</v>
      </c>
      <c r="M252" s="25" t="n">
        <v>1959</v>
      </c>
      <c r="N252" s="25" t="n">
        <v>1982</v>
      </c>
      <c r="O252" s="25" t="n">
        <v>1992</v>
      </c>
      <c r="P252" s="25" t="n">
        <v>4</v>
      </c>
      <c r="Q252" s="25" t="n">
        <v>768</v>
      </c>
      <c r="R252" s="2"/>
      <c r="S252" s="3"/>
      <c r="T252" s="3"/>
      <c r="U252" s="3"/>
      <c r="V252" s="3"/>
      <c r="W252" s="3"/>
      <c r="X252" s="3"/>
      <c r="Y252" s="3"/>
      <c r="Z252" s="25" t="n">
        <v>157</v>
      </c>
      <c r="AA252" s="2"/>
      <c r="AB252" s="25" t="n">
        <v>5</v>
      </c>
      <c r="AC252" s="25" t="n">
        <v>130</v>
      </c>
      <c r="AD252" s="4" t="n">
        <f aca="false">IF(AND(Z252&gt;0,AC252&gt;0),(AC252/((Z252+AA252)*10)),"")</f>
        <v>0.0828025477707006</v>
      </c>
      <c r="AE252" s="25" t="n">
        <v>75</v>
      </c>
      <c r="AF252" s="25" t="n">
        <f aca="false">ROUND(AE252*1.6, 0)</f>
        <v>120</v>
      </c>
      <c r="AI252" s="25" t="n">
        <v>20.3</v>
      </c>
      <c r="AJ252" s="25" t="n">
        <v>20</v>
      </c>
      <c r="AK252" s="25" t="n">
        <v>2.82</v>
      </c>
      <c r="AL252" s="25" t="n">
        <v>3.97</v>
      </c>
      <c r="AM252" s="5" t="n">
        <v>57</v>
      </c>
      <c r="AN252" s="1" t="str">
        <f aca="false">CONCATENATE(VLOOKUP(AO252, '[1]Voxel Sizes'!$A$2:$B$18,2,FALSE()),"x",INT(AK252*15), "x", INT(AL252*15))</f>
        <v>198x42x59</v>
      </c>
      <c r="AO252" s="25" t="n">
        <f aca="false">ROUND(15*((AJ252*10)/256),0)</f>
        <v>12</v>
      </c>
      <c r="AQ252" s="1" t="str">
        <f aca="false">CONCATENATE(VLOOKUP(AO252,Constants!$A$2:$C$16,IF(AP252&lt;&gt;"", 3, 2), FALSE()),IF(AP252&lt;&gt;"",CONCATENATE(",",VLOOKUP(AP252,$B:$AQ,42,FALSE())),""))</f>
        <v>4,4,4</v>
      </c>
      <c r="AR252" s="25" t="n">
        <v>6</v>
      </c>
      <c r="AS252" s="6"/>
      <c r="AT252" s="6"/>
      <c r="AU252" s="25" t="s">
        <v>922</v>
      </c>
      <c r="AW252" s="25" t="s">
        <v>898</v>
      </c>
      <c r="AX252" s="25" t="s">
        <v>923</v>
      </c>
      <c r="BA252" s="25" t="n">
        <v>32</v>
      </c>
      <c r="BB252" s="16" t="n">
        <f aca="false">IF(O252&lt;&gt;"",MAX(16,(O252-M252)+8),"")</f>
        <v>41</v>
      </c>
      <c r="BC252" s="25" t="n">
        <v>-10</v>
      </c>
      <c r="BD252" s="25" t="n">
        <v>-20</v>
      </c>
      <c r="BE252" s="25" t="n">
        <f aca="false">MIN(AE252/150, 1)*30</f>
        <v>15</v>
      </c>
      <c r="BF252" s="25" t="n">
        <f aca="false">MIN(Q252/4000, 1)*20</f>
        <v>3.84</v>
      </c>
      <c r="BG252" s="25" t="n">
        <f aca="false">MIN(AC252/400,1)*20</f>
        <v>6.5</v>
      </c>
      <c r="BH252" s="4" t="n">
        <f aca="false">1-(MAX(M252-1900, 0)/750)</f>
        <v>0.921333333333333</v>
      </c>
      <c r="BI252" s="25" t="n">
        <f aca="false">((MAX($P252,1)*MIN($AM252/300,1)))*IF(J252="Wagon",50,10)</f>
        <v>7.6</v>
      </c>
      <c r="BJ252" s="1" t="n">
        <f aca="false">VLOOKUP($K252,Constants!$I:$K, 2, FALSE())</f>
        <v>0.85</v>
      </c>
      <c r="BK252" s="1" t="n">
        <f aca="false">VLOOKUP($K252,Constants!$I:$K, 3, FALSE())*IF(AND(J252="multiple_unit",AE252&lt;110),0.75,1)</f>
        <v>1.725</v>
      </c>
      <c r="BL252" s="25" t="n">
        <v>54</v>
      </c>
      <c r="BM252" s="25" t="n">
        <v>67</v>
      </c>
      <c r="BN252" s="17" t="n">
        <f aca="false">BL252*IF($J252="wagon",62.5,781.25)</f>
        <v>42187.5</v>
      </c>
      <c r="BO252" s="17" t="n">
        <f aca="false">BM252*IF($J252="wagon",2.73,81.25)</f>
        <v>5443.75</v>
      </c>
      <c r="BU252" s="25" t="s">
        <v>924</v>
      </c>
      <c r="BY252" s="25" t="n">
        <v>6</v>
      </c>
      <c r="BZ252" s="25" t="n">
        <v>185</v>
      </c>
      <c r="CC252" s="25" t="s">
        <v>327</v>
      </c>
      <c r="CD252" s="25" t="s">
        <v>569</v>
      </c>
      <c r="CE252" s="25" t="s">
        <v>785</v>
      </c>
      <c r="CF252" s="25" t="str">
        <f aca="false">CONCATENATE(CD252,"_",CE252)</f>
        <v>dsl_EMU</v>
      </c>
      <c r="CG252" s="25" t="str">
        <f aca="false">_xlfn.CONCAT(K252, "_",L252)</f>
        <v>electric_ELRL</v>
      </c>
      <c r="CH252" s="7" t="str">
        <f aca="false">_xlfn.CONCAT("{BLACK}Length: {GOLD}", TEXT(ROUNDUP(IF(AT252&lt;&gt;"",SUM(VALUE(_xlfn.TEXTSPLIT(AT252, ","))), SUM(VALUE(_xlfn.TEXTSPLIT(AQ252, ",")))*IF(P252, P252, 1))/16, 1), "#,##0.0"), " tiles{}")</f>
        <v>{BLACK}Length: {GOLD}3.0 tiles{}</v>
      </c>
      <c r="CI252" s="1" t="n">
        <f aca="false">VLOOKUP($CG252, Constants!$M:$N, 2, FALSE())</f>
        <v>0</v>
      </c>
      <c r="CJ252" s="1" t="str">
        <f aca="false">IF(P252&gt;1,_xlfn.CONCAT("{BLACK}Cars: {GOLD}", P252),"")</f>
        <v>{BLACK}Cars: {GOLD}4</v>
      </c>
      <c r="CK252" s="25" t="s">
        <v>925</v>
      </c>
      <c r="CM252" s="25"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25" t="str">
        <f aca="false">_xlfn.CONCAT(CI252,IF(CI252 &lt;&gt; "", " ", ""),CJ252,IF(OR(CJ252&lt;&gt;"", CI252&lt;&gt;""), "{}",""), CH252, CM252,"{SILVER}", CK252)</f>
        <v>{BLACK}Cars: {GOLD}4{}{BLACK}Length: {GOLD}3.0 tiles{}{SILVER}A suburban Mk1 EMU that mainly operated out of East London on the LT&amp;S line. Here we represent the refurbished condition of these units, which lasted until 1998.</v>
      </c>
    </row>
    <row r="253" s="25" customFormat="true" ht="14.25" hidden="false" customHeight="false" outlineLevel="0" collapsed="false">
      <c r="A253" s="25" t="s">
        <v>926</v>
      </c>
      <c r="B253" s="26" t="s">
        <v>927</v>
      </c>
      <c r="C253" s="1" t="n">
        <v>3031</v>
      </c>
      <c r="D253" s="25" t="n">
        <v>3030</v>
      </c>
      <c r="E253" s="1" t="n">
        <v>332</v>
      </c>
      <c r="G253" s="1" t="str">
        <f aca="false">IF($F253&lt;&gt;"",_xlfn.CONCAT(VLOOKUP($CE253, Constants!$T:$U, 2, FALSE()),",",$F253),VLOOKUP($CE253, Constants!$T:$U, 2, FALSE()))</f>
        <v>role/mail</v>
      </c>
      <c r="H253" s="1" t="str">
        <f aca="false">IF($G253&lt;&gt;"",_xlfn.CONCAT(VLOOKUP($CG253, Constants!$M:$P, 4, FALSE()),",",$G253),VLOOKUP($CG253, Constants!$M:$P, 4, FALSE()))</f>
        <v>flag/GB,power/electric,role/mail</v>
      </c>
      <c r="I253" s="25" t="s">
        <v>198</v>
      </c>
      <c r="J253" s="25" t="s">
        <v>423</v>
      </c>
      <c r="K253" s="25" t="s">
        <v>349</v>
      </c>
      <c r="L253" s="25" t="s">
        <v>350</v>
      </c>
      <c r="M253" s="25" t="n">
        <v>1959</v>
      </c>
      <c r="N253" s="25" t="n">
        <v>1982</v>
      </c>
      <c r="O253" s="25" t="n">
        <v>1992</v>
      </c>
      <c r="P253" s="25" t="n">
        <v>3</v>
      </c>
      <c r="Q253" s="25" t="n">
        <v>768</v>
      </c>
      <c r="R253" s="2"/>
      <c r="S253" s="3"/>
      <c r="T253" s="3"/>
      <c r="U253" s="3"/>
      <c r="V253" s="3"/>
      <c r="W253" s="3"/>
      <c r="X253" s="3"/>
      <c r="Y253" s="3"/>
      <c r="Z253" s="25" t="n">
        <v>124</v>
      </c>
      <c r="AA253" s="2"/>
      <c r="AB253" s="25" t="n">
        <v>5</v>
      </c>
      <c r="AC253" s="25" t="n">
        <v>130</v>
      </c>
      <c r="AD253" s="4" t="n">
        <f aca="false">IF(AND(Z253&gt;0,AC253&gt;0),(AC253/((Z253+AA253)*10)),"")</f>
        <v>0.104838709677419</v>
      </c>
      <c r="AE253" s="25" t="n">
        <v>75</v>
      </c>
      <c r="AF253" s="25" t="n">
        <f aca="false">ROUND(AE253*1.6, 0)</f>
        <v>120</v>
      </c>
      <c r="AI253" s="25" t="n">
        <v>20.3</v>
      </c>
      <c r="AJ253" s="25" t="n">
        <v>20</v>
      </c>
      <c r="AK253" s="25" t="n">
        <v>2.82</v>
      </c>
      <c r="AL253" s="25" t="n">
        <v>3.97</v>
      </c>
      <c r="AM253" s="5" t="n">
        <v>57</v>
      </c>
      <c r="AN253" s="1" t="str">
        <f aca="false">CONCATENATE(VLOOKUP(AO253, '[1]Voxel Sizes'!$A$2:$B$18,2,FALSE()),"x",INT(AK253*15), "x", INT(AL253*15))</f>
        <v>198x42x59</v>
      </c>
      <c r="AO253" s="25" t="n">
        <f aca="false">ROUND(15*((AJ253*10)/256),0)</f>
        <v>12</v>
      </c>
      <c r="AQ253" s="1" t="str">
        <f aca="false">CONCATENATE(VLOOKUP(AO253,Constants!$A$2:$C$16,IF(AP253&lt;&gt;"", 3, 2), FALSE()),IF(AP253&lt;&gt;"",CONCATENATE(",",VLOOKUP(AP253,$B:$AQ,42,FALSE())),""))</f>
        <v>4,4,4</v>
      </c>
      <c r="AR253" s="25" t="n">
        <v>3</v>
      </c>
      <c r="AS253" s="6"/>
      <c r="AT253" s="6"/>
      <c r="AU253" s="25" t="s">
        <v>928</v>
      </c>
      <c r="AW253" s="25" t="s">
        <v>425</v>
      </c>
      <c r="AX253" s="25" t="s">
        <v>929</v>
      </c>
      <c r="BA253" s="25" t="n">
        <v>32</v>
      </c>
      <c r="BB253" s="16" t="n">
        <f aca="false">IF(O253&lt;&gt;"",MAX(16,(O253-M253)+8),"")</f>
        <v>41</v>
      </c>
      <c r="BC253" s="25" t="n">
        <v>-15</v>
      </c>
      <c r="BD253" s="25" t="n">
        <v>-20</v>
      </c>
      <c r="BE253" s="25" t="n">
        <f aca="false">MIN(AE253/150, 1)*30</f>
        <v>15</v>
      </c>
      <c r="BF253" s="25" t="n">
        <f aca="false">MIN(Q253/4000, 1)*20</f>
        <v>3.84</v>
      </c>
      <c r="BG253" s="25" t="n">
        <f aca="false">MIN(AC253/400,1)*20</f>
        <v>6.5</v>
      </c>
      <c r="BH253" s="4" t="n">
        <f aca="false">1-(MAX(M253-1900, 0)/750)</f>
        <v>0.921333333333333</v>
      </c>
      <c r="BI253" s="25" t="n">
        <f aca="false">((MAX($P253,1)*MIN($AM253/300,1)))*IF(J253="Wagon",50,10)</f>
        <v>5.7</v>
      </c>
      <c r="BJ253" s="1" t="n">
        <f aca="false">VLOOKUP($K253,Constants!$I:$K, 2, FALSE())</f>
        <v>0.85</v>
      </c>
      <c r="BK253" s="1" t="n">
        <f aca="false">VLOOKUP($K253,Constants!$I:$K, 3, FALSE())*IF(AND(J253="multiple_unit",AE253&lt;110),0.75,1)</f>
        <v>1.725</v>
      </c>
      <c r="BL253" s="25" t="n">
        <v>50</v>
      </c>
      <c r="BM253" s="25" t="n">
        <v>58</v>
      </c>
      <c r="BN253" s="17" t="n">
        <f aca="false">BL253*IF($J253="wagon",62.5,781.25)</f>
        <v>39062.5</v>
      </c>
      <c r="BO253" s="17" t="n">
        <f aca="false">BM253*IF($J253="wagon",2.73,81.25)</f>
        <v>4712.5</v>
      </c>
      <c r="BU253" s="25" t="s">
        <v>930</v>
      </c>
      <c r="BY253" s="25" t="n">
        <v>6</v>
      </c>
      <c r="BZ253" s="25" t="n">
        <v>185</v>
      </c>
      <c r="CC253" s="25" t="s">
        <v>662</v>
      </c>
      <c r="CD253" s="25" t="s">
        <v>569</v>
      </c>
      <c r="CE253" s="1" t="s">
        <v>144</v>
      </c>
      <c r="CF253" s="25" t="str">
        <f aca="false">CONCATENATE(CD253,"_",CE253)</f>
        <v>dsl_Mail</v>
      </c>
      <c r="CG253" s="25" t="str">
        <f aca="false">_xlfn.CONCAT(K253, "_",L253)</f>
        <v>electric_ELRL</v>
      </c>
      <c r="CH253" s="7" t="str">
        <f aca="false">_xlfn.CONCAT("{BLACK}Length: {GOLD}", TEXT(ROUNDUP(IF(AT253&lt;&gt;"",SUM(VALUE(_xlfn.TEXTSPLIT(AT253, ","))), SUM(VALUE(_xlfn.TEXTSPLIT(AQ253, ",")))*IF(P253, P253, 1))/16, 1), "#,##0.0"), " tiles{}")</f>
        <v>{BLACK}Length: {GOLD}2.3 tiles{}</v>
      </c>
      <c r="CI253" s="1" t="n">
        <f aca="false">VLOOKUP($CG253, Constants!$M:$N, 2, FALSE())</f>
        <v>0</v>
      </c>
      <c r="CJ253" s="1" t="str">
        <f aca="false">IF(P253&gt;1,_xlfn.CONCAT("{BLACK}Cars: {GOLD}", P253),"")</f>
        <v>{BLACK}Cars: {GOLD}3</v>
      </c>
      <c r="CK253" s="25" t="s">
        <v>931</v>
      </c>
      <c r="CM253" s="25" t="str">
        <f aca="false">IF(CA253="buffet","{YELLOW}25% long distance bonus for consist{}",IF(CD253="BRAKE","{YELLOW}Speed bonus for slow wagons{}",IF(BZ253&gt;190,CONCATENATE("{YELLOW}",INT((BZ253-185)/1.85),"% bonus for long distance travel{}"),IF(AND(BZ253&lt;180,BZ253&lt;&gt;0),CONCATENATE("{YELLOW}",INT((185-BZ253)/1.85),"% penalty for long distance travel{}"),""))))</f>
        <v/>
      </c>
      <c r="CN253" s="25" t="str">
        <f aca="false">_xlfn.CONCAT(CI253,IF(CI253 &lt;&gt; "", " ", ""),CJ253,IF(OR(CJ253&lt;&gt;"", CI253&lt;&gt;""), "{}",""), CH253, CM253,"{SILVER}", CK253)</f>
        <v>{BLACK}Cars: {GOLD}3{}{BLACK}Length: {GOLD}2.3 tiles{}{SILVER}A later conversion of the Class 302 to a parcels unit involved the addition of roller doors to the bodyside for faster loading and unloading. The prototypes were also painted in a striking Royal Mail red livery.</v>
      </c>
    </row>
    <row r="254" s="25" customFormat="true" ht="14.25" hidden="false" customHeight="false" outlineLevel="0" collapsed="false">
      <c r="A254" s="25" t="s">
        <v>932</v>
      </c>
      <c r="B254" s="26" t="s">
        <v>933</v>
      </c>
      <c r="C254" s="1" t="n">
        <v>3028</v>
      </c>
      <c r="E254" s="1" t="n">
        <v>333</v>
      </c>
      <c r="G254" s="1" t="str">
        <f aca="false">IF($F254&lt;&gt;"",_xlfn.CONCAT(VLOOKUP($CE254, Constants!$T:$U, 2, FALSE()),",",$F254),VLOOKUP($CE254, Constants!$T:$U, 2, FALSE()))</f>
        <v>role/express_passenger</v>
      </c>
      <c r="H254" s="1" t="str">
        <f aca="false">IF($G254&lt;&gt;"",_xlfn.CONCAT(VLOOKUP($CG254, Constants!$M:$P, 4, FALSE()),",",$G254),VLOOKUP($CG254, Constants!$M:$P, 4, FALSE()))</f>
        <v>flag/GB,power/diesel,role/express_passenger</v>
      </c>
      <c r="I254" s="25" t="s">
        <v>198</v>
      </c>
      <c r="J254" s="25" t="s">
        <v>423</v>
      </c>
      <c r="K254" s="25" t="s">
        <v>482</v>
      </c>
      <c r="L254" s="25" t="s">
        <v>149</v>
      </c>
      <c r="M254" s="25" t="n">
        <v>1960</v>
      </c>
      <c r="O254" s="25" t="n">
        <v>1973</v>
      </c>
      <c r="P254" s="25" t="n">
        <v>6</v>
      </c>
      <c r="Q254" s="25" t="n">
        <v>1000</v>
      </c>
      <c r="R254" s="2"/>
      <c r="S254" s="3"/>
      <c r="T254" s="3"/>
      <c r="U254" s="3"/>
      <c r="V254" s="3"/>
      <c r="W254" s="3"/>
      <c r="X254" s="3"/>
      <c r="Y254" s="3"/>
      <c r="Z254" s="1" t="n">
        <v>304</v>
      </c>
      <c r="AA254" s="2"/>
      <c r="AB254" s="25" t="n">
        <v>3</v>
      </c>
      <c r="AC254" s="25" t="n">
        <v>155</v>
      </c>
      <c r="AD254" s="4" t="n">
        <f aca="false">IF(AND(Z254&gt;0,AC254&gt;0),(AC254/((Z254+AA254)*10)),"")</f>
        <v>0.0509868421052632</v>
      </c>
      <c r="AE254" s="25" t="n">
        <v>90</v>
      </c>
      <c r="AF254" s="25" t="n">
        <f aca="false">ROUND(AE254*1.6, 0)</f>
        <v>144</v>
      </c>
      <c r="AI254" s="25" t="n">
        <v>20.26</v>
      </c>
      <c r="AJ254" s="25" t="n">
        <v>20</v>
      </c>
      <c r="AK254" s="25" t="n">
        <v>2.9</v>
      </c>
      <c r="AL254" s="25" t="n">
        <v>3.77</v>
      </c>
      <c r="AM254" s="5" t="n">
        <v>36</v>
      </c>
      <c r="AN254" s="1" t="str">
        <f aca="false">CONCATENATE(VLOOKUP(AO254, '[1]Voxel Sizes'!$A$2:$B$18,2,FALSE()),"x",INT(AK254*15), "x", INT(AL254*15))</f>
        <v>198x43x56</v>
      </c>
      <c r="AO254" s="25" t="n">
        <f aca="false">ROUND(15*((AJ254*10)/256),0)</f>
        <v>12</v>
      </c>
      <c r="AQ254" s="1" t="str">
        <f aca="false">CONCATENATE(VLOOKUP(AO254,Constants!$A$2:$C$16,IF(AP254&lt;&gt;"", 3, 2), FALSE()),IF(AP254&lt;&gt;"",CONCATENATE(",",VLOOKUP(AP254,$B:$AQ,42,FALSE())),""))</f>
        <v>4,4,4</v>
      </c>
      <c r="AR254" s="25" t="s">
        <v>934</v>
      </c>
      <c r="AS254" s="6"/>
      <c r="AT254" s="6"/>
      <c r="AU254" s="25" t="s">
        <v>935</v>
      </c>
      <c r="AW254" s="25" t="s">
        <v>936</v>
      </c>
      <c r="AX254" s="25" t="s">
        <v>937</v>
      </c>
      <c r="BA254" s="25" t="n">
        <v>22</v>
      </c>
      <c r="BB254" s="16" t="n">
        <f aca="false">IF(O254&lt;&gt;"",MAX(16,(O254-M254)+8),"")</f>
        <v>21</v>
      </c>
      <c r="BC254" s="25" t="n">
        <v>-10</v>
      </c>
      <c r="BD254" s="25" t="n">
        <v>-15</v>
      </c>
      <c r="BE254" s="25" t="n">
        <f aca="false">MIN(AE254/150, 1)*30</f>
        <v>18</v>
      </c>
      <c r="BF254" s="25" t="n">
        <f aca="false">MIN(Q254/4000, 1)*20</f>
        <v>5</v>
      </c>
      <c r="BG254" s="25" t="n">
        <f aca="false">MIN(AC254/400,1)*20</f>
        <v>7.75</v>
      </c>
      <c r="BH254" s="4" t="n">
        <f aca="false">1-(MAX(M254-1900, 0)/750)</f>
        <v>0.92</v>
      </c>
      <c r="BI254" s="25" t="n">
        <f aca="false">((MAX($P254,1)*MIN($AM254/300,1)))*IF(J254="Wagon",50,10)</f>
        <v>7.2</v>
      </c>
      <c r="BJ254" s="1" t="n">
        <f aca="false">VLOOKUP($K254,Constants!$I:$K, 2, FALSE())</f>
        <v>1</v>
      </c>
      <c r="BK254" s="1" t="n">
        <f aca="false">VLOOKUP($K254,Constants!$I:$K, 3, FALSE())*IF(AND(J254="multiple_unit",AE254&lt;110),0.75,1)</f>
        <v>1.5</v>
      </c>
      <c r="BL254" s="25" t="n">
        <v>61</v>
      </c>
      <c r="BM254" s="25" t="n">
        <v>101</v>
      </c>
      <c r="BN254" s="17" t="n">
        <f aca="false">BL254*IF($J254="wagon",62.5,781.25)</f>
        <v>47656.25</v>
      </c>
      <c r="BO254" s="17" t="n">
        <f aca="false">BM254*IF($J254="wagon",2.73,81.25)</f>
        <v>8206.25</v>
      </c>
      <c r="BX254" s="25" t="s">
        <v>938</v>
      </c>
      <c r="BY254" s="25" t="n">
        <v>2</v>
      </c>
      <c r="BZ254" s="25" t="n">
        <v>222</v>
      </c>
      <c r="CC254" s="25" t="s">
        <v>327</v>
      </c>
      <c r="CD254" s="25" t="s">
        <v>569</v>
      </c>
      <c r="CE254" s="25" t="s">
        <v>939</v>
      </c>
      <c r="CF254" s="25" t="str">
        <f aca="false">CONCATENATE(CD254,"_",CE254)</f>
        <v>dsl_DMU (Express)</v>
      </c>
      <c r="CG254" s="25" t="str">
        <f aca="false">_xlfn.CONCAT(K254, "_",L254)</f>
        <v>diesel_RAIL</v>
      </c>
      <c r="CH254" s="7" t="str">
        <f aca="false">_xlfn.CONCAT("{BLACK}Length: {GOLD}", TEXT(ROUNDUP(IF(AT254&lt;&gt;"",SUM(VALUE(_xlfn.TEXTSPLIT(AT254, ","))), SUM(VALUE(_xlfn.TEXTSPLIT(AQ254, ",")))*IF(P254, P254, 1))/16, 1), "#,##0.0"), " tiles{}")</f>
        <v>{BLACK}Length: {GOLD}4.5 tiles{}</v>
      </c>
      <c r="CI254" s="1" t="n">
        <f aca="false">VLOOKUP($CG254, Constants!$M:$N, 2, FALSE())</f>
        <v>0</v>
      </c>
      <c r="CJ254" s="1" t="str">
        <f aca="false">IF(P254&gt;1,_xlfn.CONCAT("{BLACK}Cars: {GOLD}", P254),"")</f>
        <v>{BLACK}Cars: {GOLD}6</v>
      </c>
      <c r="CK254" s="25" t="s">
        <v>940</v>
      </c>
      <c r="CM254" s="25" t="str">
        <f aca="false">IF(CA254="buffet","{YELLOW}25% long distance bonus for consist{}",IF(CD254="BRAKE","{YELLOW}Speed bonus for slow wagons{}",IF(BZ254&gt;190,CONCATENATE("{YELLOW}",INT((BZ254-185)/1.85),"% bonus for long distance travel{}"),IF(AND(BZ254&lt;180,BZ254&lt;&gt;0),CONCATENATE("{YELLOW}",INT((185-BZ254)/1.85),"% penalty for long distance travel{}"),""))))</f>
        <v>{YELLOW}20% bonus for long distance travel{}</v>
      </c>
      <c r="CN254" s="25" t="str">
        <f aca="false">_xlfn.CONCAT(CI254,IF(CI254 &lt;&gt; "", " ", ""),CJ254,IF(OR(CJ254&lt;&gt;"", CI254&lt;&gt;""), "{}",""), CH254, CM254,"{SILVER}", CK254)</f>
        <v>{BLACK}Cars: {GOLD}6{}{BLACK}Length: {GOLD}4.5 tiles{}{YELLOW}20% bonus for long distance travel{}{SILVER}The Blue Pullman is an express diesel multiple unit, designed to tempt motorists from their cars with a luxurious inter-city service. This is the 6-car “Midland Region” layout.</v>
      </c>
    </row>
    <row r="255" s="25" customFormat="true" ht="14.25" hidden="false" customHeight="false" outlineLevel="0" collapsed="false">
      <c r="A255" s="25" t="s">
        <v>932</v>
      </c>
      <c r="B255" s="26" t="s">
        <v>941</v>
      </c>
      <c r="C255" s="1" t="n">
        <v>3029</v>
      </c>
      <c r="D255" s="25" t="n">
        <v>3028</v>
      </c>
      <c r="E255" s="1" t="n">
        <v>334</v>
      </c>
      <c r="G255" s="1" t="str">
        <f aca="false">IF($F255&lt;&gt;"",_xlfn.CONCAT(VLOOKUP($CE255, Constants!$T:$U, 2, FALSE()),",",$F255),VLOOKUP($CE255, Constants!$T:$U, 2, FALSE()))</f>
        <v>role/express_passenger</v>
      </c>
      <c r="H255" s="1" t="str">
        <f aca="false">IF($G255&lt;&gt;"",_xlfn.CONCAT(VLOOKUP($CG255, Constants!$M:$P, 4, FALSE()),",",$G255),VLOOKUP($CG255, Constants!$M:$P, 4, FALSE()))</f>
        <v>flag/GB,power/diesel,role/express_passenger</v>
      </c>
      <c r="I255" s="25" t="s">
        <v>198</v>
      </c>
      <c r="J255" s="25" t="s">
        <v>423</v>
      </c>
      <c r="K255" s="25" t="s">
        <v>482</v>
      </c>
      <c r="L255" s="25" t="s">
        <v>149</v>
      </c>
      <c r="M255" s="25" t="n">
        <v>1960</v>
      </c>
      <c r="O255" s="25" t="n">
        <v>1973</v>
      </c>
      <c r="P255" s="25" t="n">
        <v>8</v>
      </c>
      <c r="Q255" s="25" t="n">
        <v>1000</v>
      </c>
      <c r="R255" s="2"/>
      <c r="S255" s="3"/>
      <c r="T255" s="3"/>
      <c r="U255" s="3"/>
      <c r="V255" s="3"/>
      <c r="W255" s="3"/>
      <c r="X255" s="3"/>
      <c r="Y255" s="3"/>
      <c r="Z255" s="25" t="n">
        <f aca="false">408/6*5</f>
        <v>340</v>
      </c>
      <c r="AA255" s="2"/>
      <c r="AB255" s="25" t="n">
        <v>3</v>
      </c>
      <c r="AC255" s="25" t="n">
        <v>155</v>
      </c>
      <c r="AD255" s="4" t="n">
        <f aca="false">IF(AND(Z255&gt;0,AC255&gt;0),(AC255/((Z255+AA255)*10)),"")</f>
        <v>0.0455882352941176</v>
      </c>
      <c r="AE255" s="25" t="n">
        <v>90</v>
      </c>
      <c r="AF255" s="25" t="n">
        <f aca="false">ROUND(AE255*1.6, 0)</f>
        <v>144</v>
      </c>
      <c r="AI255" s="25" t="n">
        <v>20.26</v>
      </c>
      <c r="AJ255" s="25" t="n">
        <v>20</v>
      </c>
      <c r="AK255" s="25" t="n">
        <v>2.9</v>
      </c>
      <c r="AL255" s="25" t="n">
        <v>3.77</v>
      </c>
      <c r="AM255" s="5" t="n">
        <v>38</v>
      </c>
      <c r="AN255" s="1" t="str">
        <f aca="false">CONCATENATE(VLOOKUP(AO255, '[1]Voxel Sizes'!$A$2:$B$18,2,FALSE()),"x",INT(AK255*15), "x", INT(AL255*15))</f>
        <v>198x43x56</v>
      </c>
      <c r="AO255" s="25" t="n">
        <f aca="false">ROUND(15*((AJ255*10)/256),0)</f>
        <v>12</v>
      </c>
      <c r="AQ255" s="1" t="str">
        <f aca="false">CONCATENATE(VLOOKUP(AO255,Constants!$A$2:$C$16,IF(AP255&lt;&gt;"", 3, 2), FALSE()),IF(AP255&lt;&gt;"",CONCATENATE(",",VLOOKUP(AP255,$B:$AQ,42,FALSE())),""))</f>
        <v>4,4,4</v>
      </c>
      <c r="AR255" s="25" t="s">
        <v>942</v>
      </c>
      <c r="AS255" s="6"/>
      <c r="AT255" s="6"/>
      <c r="AU255" s="25" t="s">
        <v>935</v>
      </c>
      <c r="AW255" s="25" t="s">
        <v>943</v>
      </c>
      <c r="AX255" s="25" t="s">
        <v>937</v>
      </c>
      <c r="BA255" s="25" t="n">
        <v>22</v>
      </c>
      <c r="BB255" s="16" t="n">
        <f aca="false">IF(O255&lt;&gt;"",MAX(16,(O255-M255)+8),"")</f>
        <v>21</v>
      </c>
      <c r="BC255" s="25" t="n">
        <v>-10</v>
      </c>
      <c r="BD255" s="25" t="n">
        <v>-15</v>
      </c>
      <c r="BE255" s="25" t="n">
        <f aca="false">MIN(AE255/150, 1)*30</f>
        <v>18</v>
      </c>
      <c r="BF255" s="25" t="n">
        <f aca="false">MIN(Q255/4000, 1)*20</f>
        <v>5</v>
      </c>
      <c r="BG255" s="25" t="n">
        <f aca="false">MIN(AC255/400,1)*20</f>
        <v>7.75</v>
      </c>
      <c r="BH255" s="4" t="n">
        <f aca="false">1-(MAX(M255-1900, 0)/750)</f>
        <v>0.92</v>
      </c>
      <c r="BI255" s="25" t="n">
        <f aca="false">((MAX($P255,1)*MIN($AM255/300,1)))*IF(J255="Wagon",50,10)</f>
        <v>10.1333333333333</v>
      </c>
      <c r="BJ255" s="1" t="n">
        <f aca="false">VLOOKUP($K255,Constants!$I:$K, 2, FALSE())</f>
        <v>1</v>
      </c>
      <c r="BK255" s="1" t="n">
        <f aca="false">VLOOKUP($K255,Constants!$I:$K, 3, FALSE())*IF(AND(J255="multiple_unit",AE255&lt;110),0.75,1)</f>
        <v>1.5</v>
      </c>
      <c r="BL255" s="25" t="n">
        <v>61</v>
      </c>
      <c r="BM255" s="25" t="n">
        <v>101</v>
      </c>
      <c r="BN255" s="17" t="n">
        <f aca="false">BL255*IF($J255="wagon",62.5,781.25)</f>
        <v>47656.25</v>
      </c>
      <c r="BO255" s="17" t="n">
        <f aca="false">BM255*IF($J255="wagon",2.73,81.25)</f>
        <v>8206.25</v>
      </c>
      <c r="BX255" s="25" t="s">
        <v>938</v>
      </c>
      <c r="BY255" s="25" t="n">
        <v>2</v>
      </c>
      <c r="BZ255" s="25" t="n">
        <v>222</v>
      </c>
      <c r="CC255" s="25" t="s">
        <v>327</v>
      </c>
      <c r="CD255" s="25" t="s">
        <v>569</v>
      </c>
      <c r="CE255" s="25" t="s">
        <v>939</v>
      </c>
      <c r="CF255" s="25" t="str">
        <f aca="false">CONCATENATE(CD255,"_",CE255)</f>
        <v>dsl_DMU (Express)</v>
      </c>
      <c r="CG255" s="25" t="str">
        <f aca="false">_xlfn.CONCAT(K255, "_",L255)</f>
        <v>diesel_RAIL</v>
      </c>
      <c r="CH255" s="7" t="str">
        <f aca="false">_xlfn.CONCAT("{BLACK}Length: {GOLD}", TEXT(ROUNDUP(IF(AT255&lt;&gt;"",SUM(VALUE(_xlfn.TEXTSPLIT(AT255, ","))), SUM(VALUE(_xlfn.TEXTSPLIT(AQ255, ",")))*IF(P255, P255, 1))/16, 1), "#,##0.0"), " tiles{}")</f>
        <v>{BLACK}Length: {GOLD}6.0 tiles{}</v>
      </c>
      <c r="CI255" s="1" t="n">
        <f aca="false">VLOOKUP($CG255, Constants!$M:$N, 2, FALSE())</f>
        <v>0</v>
      </c>
      <c r="CJ255" s="1" t="str">
        <f aca="false">IF(P255&gt;1,_xlfn.CONCAT("{BLACK}Cars: {GOLD}", P255),"")</f>
        <v>{BLACK}Cars: {GOLD}8</v>
      </c>
      <c r="CK255" s="25" t="s">
        <v>944</v>
      </c>
      <c r="CM255" s="25"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{YELLOW}20% bonus for long distance travel{}</v>
      </c>
      <c r="CN255" s="25" t="str">
        <f aca="false">_xlfn.CONCAT(CI255,IF(CI255 &lt;&gt; "", " ", ""),CJ255,IF(OR(CJ255&lt;&gt;"", CI255&lt;&gt;""), "{}",""), CH255, CM255,"{SILVER}", CK255)</f>
        <v>{BLACK}Cars: {GOLD}8{}{BLACK}Length: {GOLD}6.0 tiles{}{YELLOW}20% bonus for long distance travel{}{SILVER}The Blue Pullman is an express diesel multiple unit, designed to tempt motorists from their cars with a luxurious inter-city service. This is the 8-car “Western Region” set layout.</v>
      </c>
    </row>
    <row r="256" customFormat="false" ht="14.25" hidden="false" customHeight="false" outlineLevel="0" collapsed="false">
      <c r="A256" s="1" t="s">
        <v>945</v>
      </c>
      <c r="B256" s="15" t="s">
        <v>946</v>
      </c>
      <c r="C256" s="1" t="n">
        <v>232</v>
      </c>
      <c r="E256" s="1" t="n">
        <v>335</v>
      </c>
      <c r="G256" s="1" t="str">
        <f aca="false">IF($F256&lt;&gt;"",_xlfn.CONCAT(VLOOKUP($CE256, Constants!$T:$U, 2, FALSE()),",",$F256),VLOOKUP($CE256, Constants!$T:$U, 2, FALSE()))</f>
        <v>role/passenger</v>
      </c>
      <c r="H256" s="1" t="str">
        <f aca="false">IF($G256&lt;&gt;"",_xlfn.CONCAT(VLOOKUP($CG256, Constants!$M:$P, 4, FALSE()),",",$G256),VLOOKUP($CG256, Constants!$M:$P, 4, FALSE()))</f>
        <v>flag/GB,power/diesel,role/passenger</v>
      </c>
      <c r="I256" s="1" t="s">
        <v>198</v>
      </c>
      <c r="J256" s="1" t="s">
        <v>423</v>
      </c>
      <c r="K256" s="1" t="s">
        <v>482</v>
      </c>
      <c r="L256" s="1" t="s">
        <v>149</v>
      </c>
      <c r="M256" s="1" t="n">
        <v>1960</v>
      </c>
      <c r="O256" s="1" t="n">
        <v>2017</v>
      </c>
      <c r="P256" s="1" t="n">
        <v>1</v>
      </c>
      <c r="Q256" s="1" t="n">
        <v>300</v>
      </c>
      <c r="Z256" s="1" t="n">
        <v>38</v>
      </c>
      <c r="AB256" s="1" t="n">
        <v>5</v>
      </c>
      <c r="AC256" s="1" t="n">
        <v>65</v>
      </c>
      <c r="AD256" s="4" t="n">
        <f aca="false">IF(AND(Z256&gt;0,AC256&gt;0),(AC256/((Z256+AA256)*10)),"")</f>
        <v>0.171052631578947</v>
      </c>
      <c r="AE256" s="1" t="n">
        <v>70</v>
      </c>
      <c r="AF256" s="1" t="n">
        <f aca="false">ROUND(AE256*1.6, 0)</f>
        <v>112</v>
      </c>
      <c r="AH256" s="1" t="n">
        <v>1</v>
      </c>
      <c r="AI256" s="1" t="n">
        <v>19.66</v>
      </c>
      <c r="AJ256" s="1" t="n">
        <v>19.66</v>
      </c>
      <c r="AL256" s="1" t="n">
        <v>3.77</v>
      </c>
      <c r="AM256" s="5" t="n">
        <v>66</v>
      </c>
      <c r="AN256" s="1" t="str">
        <f aca="false">CONCATENATE(VLOOKUP(AO256, 'Voxel Sizes'!$A$2:$B$18,2,FALSE()),"x",INT(AK256*15), "x", INT(AL256*15))</f>
        <v>198x0x56</v>
      </c>
      <c r="AO256" s="1" t="n">
        <f aca="false">ROUND(15*((AJ256*10)/256),0)</f>
        <v>12</v>
      </c>
      <c r="AQ256" s="1" t="str">
        <f aca="false">CONCATENATE(VLOOKUP(AO256,Constants!$A$2:$C$16,IF(AP256&lt;&gt;"", 3, 2), FALSE()),IF(AP256&lt;&gt;"",CONCATENATE(",",VLOOKUP(AP256,$B:$AQ,42,FALSE())),""))</f>
        <v>4,4,4</v>
      </c>
      <c r="AU256" s="1" t="s">
        <v>946</v>
      </c>
      <c r="AW256" s="1" t="n">
        <v>1</v>
      </c>
      <c r="BA256" s="1" t="n">
        <v>50</v>
      </c>
      <c r="BB256" s="16" t="n">
        <f aca="false">IF(O256&lt;&gt;"",MAX(16,(O256-M256)+8),"")</f>
        <v>65</v>
      </c>
      <c r="BC256" s="1" t="n">
        <v>-10</v>
      </c>
      <c r="BD256" s="1" t="n">
        <v>-15</v>
      </c>
      <c r="BE256" s="1" t="n">
        <f aca="false">MIN(AE256/150, 1)*30</f>
        <v>14</v>
      </c>
      <c r="BF256" s="1" t="n">
        <f aca="false">MIN(Q256/4000, 1)*20</f>
        <v>1.5</v>
      </c>
      <c r="BG256" s="1" t="n">
        <f aca="false">MIN(AC256/400,1)*20</f>
        <v>3.25</v>
      </c>
      <c r="BH256" s="4" t="n">
        <f aca="false">1-(MAX(M256-1900, 0)/750)</f>
        <v>0.92</v>
      </c>
      <c r="BI256" s="1" t="n">
        <f aca="false">((MAX($P256,1)*MIN($AM256/300,1)))*IF(J256="Wagon",50,10)</f>
        <v>2.2</v>
      </c>
      <c r="BJ256" s="1" t="n">
        <f aca="false">VLOOKUP($K256,Constants!$I:$K, 2, FALSE())</f>
        <v>1</v>
      </c>
      <c r="BK256" s="1" t="n">
        <f aca="false">VLOOKUP($K256,Constants!$I:$K, 3, FALSE())*IF(AND(J256="multiple_unit",AE256&lt;110),0.75,1)</f>
        <v>1.5</v>
      </c>
      <c r="BL256" s="1" t="n">
        <f aca="false">INT(POWER(((Constants!$G$2+$BE256+$BF256+$BG256+$BI256)*$BH256)*$BK256, 1.05))+$BD256</f>
        <v>27</v>
      </c>
      <c r="BM256" s="1" t="n">
        <f aca="false">INT(POWER((((Constants!$G$1+$BE256+$BF256+$BG256+$BI256)*($BH256))*$BJ256),IF($J256="wagon",1,1.2)))+$BC256</f>
        <v>56</v>
      </c>
      <c r="BN256" s="17" t="n">
        <f aca="false">BL256*IF($J256="wagon",62.5,781.25)</f>
        <v>21093.75</v>
      </c>
      <c r="BO256" s="17" t="n">
        <f aca="false">BM256*IF($J256="wagon",2.73,81.25)</f>
        <v>4550</v>
      </c>
      <c r="BY256" s="1" t="n">
        <v>4</v>
      </c>
      <c r="BZ256" s="1" t="n">
        <v>185</v>
      </c>
      <c r="CC256" s="1" t="s">
        <v>327</v>
      </c>
      <c r="CD256" s="1" t="str">
        <f aca="false">VLOOKUP(M256,Eras!$A$2:$C$10, 2, TRUE())</f>
        <v>dsl</v>
      </c>
      <c r="CE256" s="1" t="s">
        <v>779</v>
      </c>
      <c r="CF256" s="1" t="str">
        <f aca="false">CONCATENATE(CD256,"_",CE256)</f>
        <v>dsl_DMU</v>
      </c>
      <c r="CG256" s="1" t="str">
        <f aca="false">_xlfn.CONCAT(K256, "_",L256)</f>
        <v>diesel_RAIL</v>
      </c>
      <c r="CH256" s="7" t="str">
        <f aca="false">_xlfn.CONCAT("{BLACK}Length: {GOLD}", TEXT(ROUNDUP(IF(AT256&lt;&gt;"",SUM(VALUE(_xlfn.TEXTSPLIT(AT256, ","))), SUM(VALUE(_xlfn.TEXTSPLIT(AQ256, ",")))*IF(P256, P256, 1))/16, 1), "#,##0.0"), " tiles{}")</f>
        <v>{BLACK}Length: {GOLD}0.8 tiles{}</v>
      </c>
      <c r="CI256" s="1" t="n">
        <f aca="false">VLOOKUP($CG256, Constants!$M:$N, 2, FALSE())</f>
        <v>0</v>
      </c>
      <c r="CJ256" s="1" t="str">
        <f aca="false">IF(P256&gt;1,_xlfn.CONCAT("{BLACK}Cars: {GOLD}", P256),"")</f>
        <v/>
      </c>
      <c r="CK256" s="1" t="s">
        <v>947</v>
      </c>
      <c r="CL256" s="1" t="str">
        <f aca="false">IF($BX256="!param_no_gameplay_units","{GREEN}Included for gameplay purposes","")</f>
        <v/>
      </c>
      <c r="CM256" s="1" t="str">
        <f aca="false">IF(CA256="buffet","{YELLOW}25% long distance bonus for consist{}",IF(CC256="BRAKE","{YELLOW}Speed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{BLACK}Length: {GOLD}0.8 tiles{}{SILVER}The "Bubble Car" units saw a long life on branch lines and rural railways. Two six-cylinder AEC or Leyland engines of 150hp each drive the wheels through a mechanical transmission.</v>
      </c>
    </row>
    <row r="257" s="25" customFormat="true" ht="14.25" hidden="false" customHeight="false" outlineLevel="0" collapsed="false">
      <c r="A257" s="25" t="s">
        <v>948</v>
      </c>
      <c r="B257" s="26" t="s">
        <v>949</v>
      </c>
      <c r="C257" s="1" t="n">
        <v>3032</v>
      </c>
      <c r="D257" s="25" t="n">
        <v>3033</v>
      </c>
      <c r="E257" s="1" t="n">
        <v>336</v>
      </c>
      <c r="G257" s="1" t="str">
        <f aca="false">IF($F257&lt;&gt;"",_xlfn.CONCAT(VLOOKUP($CE257, Constants!$T:$U, 2, FALSE()),",",$F257),VLOOKUP($CE257, Constants!$T:$U, 2, FALSE()))</f>
        <v>role/express_passenger</v>
      </c>
      <c r="H257" s="1" t="str">
        <f aca="false">IF($G257&lt;&gt;"",_xlfn.CONCAT(VLOOKUP($CG257, Constants!$M:$P, 4, FALSE()),",",$G257),VLOOKUP($CG257, Constants!$M:$P, 4, FALSE()))</f>
        <v>flag/GB,power/electric,role/express_passenger</v>
      </c>
      <c r="I257" s="25" t="s">
        <v>198</v>
      </c>
      <c r="J257" s="25" t="s">
        <v>423</v>
      </c>
      <c r="K257" s="25" t="s">
        <v>349</v>
      </c>
      <c r="L257" s="25" t="s">
        <v>350</v>
      </c>
      <c r="M257" s="25" t="n">
        <v>1962</v>
      </c>
      <c r="N257" s="25" t="n">
        <v>1990</v>
      </c>
      <c r="O257" s="25" t="n">
        <v>2000</v>
      </c>
      <c r="P257" s="25" t="n">
        <v>2</v>
      </c>
      <c r="Q257" s="25" t="n">
        <v>1128</v>
      </c>
      <c r="R257" s="2"/>
      <c r="S257" s="3"/>
      <c r="T257" s="3"/>
      <c r="U257" s="3"/>
      <c r="V257" s="3"/>
      <c r="W257" s="3"/>
      <c r="X257" s="3"/>
      <c r="Y257" s="3"/>
      <c r="Z257" s="25" t="n">
        <v>101</v>
      </c>
      <c r="AA257" s="2"/>
      <c r="AB257" s="25" t="n">
        <v>5</v>
      </c>
      <c r="AC257" s="25" t="n">
        <v>205</v>
      </c>
      <c r="AD257" s="4" t="n">
        <f aca="false">IF(AND(Z257&gt;0,AC257&gt;0),(AC257/((Z257+AA257)*10)),"")</f>
        <v>0.202970297029703</v>
      </c>
      <c r="AE257" s="25" t="n">
        <v>100</v>
      </c>
      <c r="AF257" s="25" t="n">
        <f aca="false">ROUND(AE257*1.6, 0)</f>
        <v>160</v>
      </c>
      <c r="AI257" s="25" t="n">
        <v>20.3</v>
      </c>
      <c r="AJ257" s="25" t="n">
        <v>20</v>
      </c>
      <c r="AK257" s="25" t="n">
        <v>2.82</v>
      </c>
      <c r="AL257" s="25" t="n">
        <v>3.97</v>
      </c>
      <c r="AM257" s="5" t="n">
        <v>54</v>
      </c>
      <c r="AN257" s="1" t="str">
        <f aca="false">CONCATENATE(VLOOKUP(AO257, '[1]Voxel Sizes'!$A$2:$B$18,2,FALSE()),"x",INT(AK257*15), "x", INT(AL257*15))</f>
        <v>198x42x59</v>
      </c>
      <c r="AO257" s="25" t="n">
        <f aca="false">ROUND(15*((AJ257*10)/256),0)</f>
        <v>12</v>
      </c>
      <c r="AQ257" s="1" t="str">
        <f aca="false">CONCATENATE(VLOOKUP(AO257,Constants!$A$2:$C$16,IF(AP257&lt;&gt;"", 3, 2), FALSE()),IF(AP257&lt;&gt;"",CONCATENATE(",",VLOOKUP(AP257,$B:$AQ,42,FALSE())),""))</f>
        <v>4,4,4</v>
      </c>
      <c r="AR257" s="25" t="n">
        <v>6</v>
      </c>
      <c r="AS257" s="6"/>
      <c r="AT257" s="6"/>
      <c r="AU257" s="25" t="s">
        <v>950</v>
      </c>
      <c r="AW257" s="25" t="s">
        <v>770</v>
      </c>
      <c r="AX257" s="25" t="s">
        <v>951</v>
      </c>
      <c r="BA257" s="25" t="n">
        <v>35</v>
      </c>
      <c r="BB257" s="16" t="n">
        <f aca="false">IF(O257&lt;&gt;"",MAX(16,(O257-M257)+8),"")</f>
        <v>46</v>
      </c>
      <c r="BC257" s="25" t="n">
        <v>-15</v>
      </c>
      <c r="BD257" s="25" t="n">
        <v>-50</v>
      </c>
      <c r="BE257" s="25" t="n">
        <f aca="false">MIN(AE257/150, 1)*30</f>
        <v>20</v>
      </c>
      <c r="BF257" s="25" t="n">
        <f aca="false">MIN(Q257/4000, 1)*20</f>
        <v>5.64</v>
      </c>
      <c r="BG257" s="25" t="n">
        <f aca="false">MIN(AC257/400,1)*20</f>
        <v>10.25</v>
      </c>
      <c r="BH257" s="4" t="n">
        <f aca="false">1-(MAX(M257-1900, 0)/750)</f>
        <v>0.917333333333333</v>
      </c>
      <c r="BI257" s="25" t="n">
        <f aca="false">((MAX($P257,1)*MIN($AM257/300,1)))*IF(J257="Wagon",50,10)</f>
        <v>3.6</v>
      </c>
      <c r="BJ257" s="1" t="n">
        <f aca="false">VLOOKUP($K257,Constants!$I:$K, 2, FALSE())</f>
        <v>0.85</v>
      </c>
      <c r="BK257" s="1" t="n">
        <f aca="false">VLOOKUP($K257,Constants!$I:$K, 3, FALSE())*IF(AND(J257="multiple_unit",AE257&lt;110),0.75,1)</f>
        <v>1.725</v>
      </c>
      <c r="BL257" s="25" t="n">
        <v>37</v>
      </c>
      <c r="BM257" s="25" t="n">
        <v>74</v>
      </c>
      <c r="BN257" s="17" t="n">
        <f aca="false">BL257*IF($J257="wagon",62.5,781.25)</f>
        <v>28906.25</v>
      </c>
      <c r="BO257" s="17" t="n">
        <f aca="false">BM257*IF($J257="wagon",2.73,81.25)</f>
        <v>6012.5</v>
      </c>
      <c r="BU257" s="25" t="s">
        <v>952</v>
      </c>
      <c r="BY257" s="25" t="n">
        <v>6</v>
      </c>
      <c r="BZ257" s="25" t="n">
        <v>185</v>
      </c>
      <c r="CB257" s="25" t="s">
        <v>326</v>
      </c>
      <c r="CC257" s="25" t="s">
        <v>327</v>
      </c>
      <c r="CD257" s="25" t="s">
        <v>569</v>
      </c>
      <c r="CE257" s="25" t="s">
        <v>842</v>
      </c>
      <c r="CF257" s="25" t="str">
        <f aca="false">CONCATENATE(CD257,"_",CE257)</f>
        <v>dsl_EMU (Express)</v>
      </c>
      <c r="CG257" s="25" t="str">
        <f aca="false">_xlfn.CONCAT(K257, "_",L257)</f>
        <v>electric_ELRL</v>
      </c>
      <c r="CH257" s="7" t="str">
        <f aca="false">_xlfn.CONCAT("{BLACK}Length: {GOLD}", TEXT(ROUNDUP(IF(AT257&lt;&gt;"",SUM(VALUE(_xlfn.TEXTSPLIT(AT257, ","))), SUM(VALUE(_xlfn.TEXTSPLIT(AQ257, ",")))*IF(P257, P257, 1))/16, 1), "#,##0.0"), " tiles{}")</f>
        <v>{BLACK}Length: {GOLD}1.5 tiles{}</v>
      </c>
      <c r="CI257" s="1" t="n">
        <f aca="false">VLOOKUP($CG257, Constants!$M:$N, 2, FALSE())</f>
        <v>0</v>
      </c>
      <c r="CJ257" s="1" t="str">
        <f aca="false">IF(P257&gt;1,_xlfn.CONCAT("{BLACK}Cars: {GOLD}", P257),"")</f>
        <v>{BLACK}Cars: {GOLD}2</v>
      </c>
      <c r="CK257" s="25" t="s">
        <v>953</v>
      </c>
      <c r="CM257" s="25"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25" t="str">
        <f aca="false">_xlfn.CONCAT(CI257,IF(CI257 &lt;&gt; "", " ", ""),CJ257,IF(OR(CJ257&lt;&gt;"", CI257&lt;&gt;""), "{}",""), CH257, CM257,"{SILVER}", CK257)</f>
        <v>{BLACK}Cars: {GOLD}2{}{BLACK}Length: {GOLD}1.5 tiles{}{SILVER}The ‘Clacton’ units were iconic express EMUs of the GEML’s early electrification. This subclass represents a 2 car formation, used to boost 2nd class capacity and power on peak time services.</v>
      </c>
    </row>
    <row r="258" s="25" customFormat="true" ht="14.25" hidden="false" customHeight="false" outlineLevel="0" collapsed="false">
      <c r="A258" s="25" t="s">
        <v>954</v>
      </c>
      <c r="B258" s="26" t="s">
        <v>955</v>
      </c>
      <c r="C258" s="1" t="n">
        <v>3033</v>
      </c>
      <c r="E258" s="1" t="n">
        <v>337</v>
      </c>
      <c r="G258" s="1" t="str">
        <f aca="false">IF($F258&lt;&gt;"",_xlfn.CONCAT(VLOOKUP($CE258, Constants!$T:$U, 2, FALSE()),",",$F258),VLOOKUP($CE258, Constants!$T:$U, 2, FALSE()))</f>
        <v>role/express_passenger</v>
      </c>
      <c r="H258" s="1" t="str">
        <f aca="false">IF($G258&lt;&gt;"",_xlfn.CONCAT(VLOOKUP($CG258, Constants!$M:$P, 4, FALSE()),",",$G258),VLOOKUP($CG258, Constants!$M:$P, 4, FALSE()))</f>
        <v>flag/GB,power/electric,role/express_passenger</v>
      </c>
      <c r="I258" s="25" t="s">
        <v>198</v>
      </c>
      <c r="J258" s="25" t="s">
        <v>423</v>
      </c>
      <c r="K258" s="25" t="s">
        <v>349</v>
      </c>
      <c r="L258" s="25" t="s">
        <v>350</v>
      </c>
      <c r="M258" s="25" t="n">
        <v>1962</v>
      </c>
      <c r="N258" s="25" t="n">
        <v>1990</v>
      </c>
      <c r="O258" s="25" t="n">
        <v>2000</v>
      </c>
      <c r="P258" s="25" t="n">
        <v>4</v>
      </c>
      <c r="Q258" s="25" t="n">
        <v>1128</v>
      </c>
      <c r="R258" s="2"/>
      <c r="S258" s="3"/>
      <c r="T258" s="3"/>
      <c r="U258" s="3"/>
      <c r="V258" s="3"/>
      <c r="W258" s="3"/>
      <c r="X258" s="3"/>
      <c r="Y258" s="3"/>
      <c r="Z258" s="25" t="n">
        <v>171</v>
      </c>
      <c r="AA258" s="2"/>
      <c r="AB258" s="25" t="n">
        <v>5</v>
      </c>
      <c r="AC258" s="25" t="n">
        <v>205</v>
      </c>
      <c r="AD258" s="4" t="n">
        <f aca="false">IF(AND(Z258&gt;0,AC258&gt;0),(AC258/((Z258+AA258)*10)),"")</f>
        <v>0.119883040935673</v>
      </c>
      <c r="AE258" s="25" t="n">
        <v>100</v>
      </c>
      <c r="AF258" s="25" t="n">
        <f aca="false">ROUND(AE258*1.6, 0)</f>
        <v>160</v>
      </c>
      <c r="AI258" s="25" t="n">
        <v>20.3</v>
      </c>
      <c r="AJ258" s="25" t="n">
        <v>20</v>
      </c>
      <c r="AK258" s="25" t="n">
        <v>2.82</v>
      </c>
      <c r="AL258" s="25" t="n">
        <v>3.97</v>
      </c>
      <c r="AM258" s="5" t="n">
        <v>41</v>
      </c>
      <c r="AN258" s="1" t="str">
        <f aca="false">CONCATENATE(VLOOKUP(AO258, '[1]Voxel Sizes'!$A$2:$B$18,2,FALSE()),"x",INT(AK258*15), "x", INT(AL258*15))</f>
        <v>198x42x59</v>
      </c>
      <c r="AO258" s="25" t="n">
        <f aca="false">ROUND(15*((AJ258*10)/256),0)</f>
        <v>12</v>
      </c>
      <c r="AQ258" s="1" t="str">
        <f aca="false">CONCATENATE(VLOOKUP(AO258,Constants!$A$2:$C$16,IF(AP258&lt;&gt;"", 3, 2), FALSE()),IF(AP258&lt;&gt;"",CONCATENATE(",",VLOOKUP(AP258,$B:$AQ,42,FALSE())),""))</f>
        <v>4,4,4</v>
      </c>
      <c r="AR258" s="25" t="n">
        <v>6</v>
      </c>
      <c r="AS258" s="6"/>
      <c r="AT258" s="6"/>
      <c r="AU258" s="25" t="s">
        <v>956</v>
      </c>
      <c r="AW258" s="25" t="s">
        <v>957</v>
      </c>
      <c r="AX258" s="25" t="s">
        <v>958</v>
      </c>
      <c r="BA258" s="25" t="n">
        <v>35</v>
      </c>
      <c r="BB258" s="16" t="n">
        <f aca="false">IF(O258&lt;&gt;"",MAX(16,(O258-M258)+8),"")</f>
        <v>46</v>
      </c>
      <c r="BC258" s="25" t="n">
        <v>25</v>
      </c>
      <c r="BD258" s="25" t="n">
        <v>-15</v>
      </c>
      <c r="BE258" s="25" t="n">
        <f aca="false">MIN(AE258/150, 1)*30</f>
        <v>20</v>
      </c>
      <c r="BF258" s="25" t="n">
        <f aca="false">MIN(Q258/4000, 1)*20</f>
        <v>5.64</v>
      </c>
      <c r="BG258" s="25" t="n">
        <f aca="false">MIN(AC258/400,1)*20</f>
        <v>10.25</v>
      </c>
      <c r="BH258" s="4" t="n">
        <f aca="false">1-(MAX(M258-1900, 0)/750)</f>
        <v>0.917333333333333</v>
      </c>
      <c r="BI258" s="25" t="n">
        <f aca="false">((MAX($P258,1)*MIN($AM258/300,1)))*IF(J258="Wagon",50,10)</f>
        <v>5.46666666666667</v>
      </c>
      <c r="BJ258" s="1" t="n">
        <f aca="false">VLOOKUP($K258,Constants!$I:$K, 2, FALSE())</f>
        <v>0.85</v>
      </c>
      <c r="BK258" s="1" t="n">
        <f aca="false">VLOOKUP($K258,Constants!$I:$K, 3, FALSE())*IF(AND(J258="multiple_unit",AE258&lt;110),0.75,1)</f>
        <v>1.725</v>
      </c>
      <c r="BL258" s="25" t="n">
        <v>75</v>
      </c>
      <c r="BM258" s="25" t="n">
        <v>118</v>
      </c>
      <c r="BN258" s="17" t="n">
        <f aca="false">BL258*IF($J258="wagon",62.5,781.25)</f>
        <v>58593.75</v>
      </c>
      <c r="BO258" s="17" t="n">
        <f aca="false">BM258*IF($J258="wagon",2.73,81.25)</f>
        <v>9587.5</v>
      </c>
      <c r="BU258" s="25" t="s">
        <v>959</v>
      </c>
      <c r="BY258" s="25" t="n">
        <v>6</v>
      </c>
      <c r="BZ258" s="25" t="n">
        <v>185</v>
      </c>
      <c r="CA258" s="25" t="s">
        <v>960</v>
      </c>
      <c r="CB258" s="25" t="s">
        <v>326</v>
      </c>
      <c r="CC258" s="25" t="s">
        <v>327</v>
      </c>
      <c r="CD258" s="25" t="s">
        <v>569</v>
      </c>
      <c r="CE258" s="25" t="s">
        <v>842</v>
      </c>
      <c r="CF258" s="25" t="str">
        <f aca="false">CONCATENATE(CD258,"_",CE258)</f>
        <v>dsl_EMU (Express)</v>
      </c>
      <c r="CG258" s="25" t="str">
        <f aca="false">_xlfn.CONCAT(K258, "_",L258)</f>
        <v>electric_ELRL</v>
      </c>
      <c r="CH258" s="7" t="str">
        <f aca="false">_xlfn.CONCAT("{BLACK}Length: {GOLD}", TEXT(ROUNDUP(IF(AT258&lt;&gt;"",SUM(VALUE(_xlfn.TEXTSPLIT(AT258, ","))), SUM(VALUE(_xlfn.TEXTSPLIT(AQ258, ",")))*IF(P258, P258, 1))/16, 1), "#,##0.0"), " tiles{}")</f>
        <v>{BLACK}Length: {GOLD}3.0 tiles{}</v>
      </c>
      <c r="CI258" s="1" t="n">
        <f aca="false">VLOOKUP($CG258, Constants!$M:$N, 2, FALSE())</f>
        <v>0</v>
      </c>
      <c r="CJ258" s="1" t="str">
        <f aca="false">IF(P258&gt;1,_xlfn.CONCAT("{BLACK}Cars: {GOLD}", P258),"")</f>
        <v>{BLACK}Cars: {GOLD}4</v>
      </c>
      <c r="CK258" s="25" t="s">
        <v>961</v>
      </c>
      <c r="CM258" s="25"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{YELLOW}25% long distance bonus for consist{}</v>
      </c>
      <c r="CN258" s="25" t="str">
        <f aca="false">_xlfn.CONCAT(CI258,IF(CI258 &lt;&gt; "", " ", ""),CJ258,IF(OR(CJ258&lt;&gt;"", CI258&lt;&gt;""), "{}",""), CH258, CM258,"{SILVER}", CK258)</f>
        <v>{BLACK}Cars: {GOLD}4{}{BLACK}Length: {GOLD}3.0 tiles{}{YELLOW}25% long distance bonus for consist{}{SILVER}The ‘Clacton’ units were iconic express EMUs of the GEML’s early electrification. This subclass represents a 4 car formation complete with the famous ‘Griddle Car’ restaurant.</v>
      </c>
    </row>
    <row r="259" s="25" customFormat="true" ht="14.25" hidden="false" customHeight="false" outlineLevel="0" collapsed="false">
      <c r="A259" s="25" t="s">
        <v>962</v>
      </c>
      <c r="B259" s="26" t="s">
        <v>963</v>
      </c>
      <c r="C259" s="1" t="n">
        <v>3034</v>
      </c>
      <c r="D259" s="25" t="n">
        <v>3033</v>
      </c>
      <c r="E259" s="1" t="n">
        <v>338</v>
      </c>
      <c r="G259" s="1" t="str">
        <f aca="false">IF($F259&lt;&gt;"",_xlfn.CONCAT(VLOOKUP($CE259, Constants!$T:$U, 2, FALSE()),",",$F259),VLOOKUP($CE259, Constants!$T:$U, 2, FALSE()))</f>
        <v>role/express_passenger</v>
      </c>
      <c r="H259" s="1" t="str">
        <f aca="false">IF($G259&lt;&gt;"",_xlfn.CONCAT(VLOOKUP($CG259, Constants!$M:$P, 4, FALSE()),",",$G259),VLOOKUP($CG259, Constants!$M:$P, 4, FALSE()))</f>
        <v>flag/GB,power/electric,role/express_passenger</v>
      </c>
      <c r="I259" s="25" t="s">
        <v>198</v>
      </c>
      <c r="J259" s="25" t="s">
        <v>423</v>
      </c>
      <c r="K259" s="25" t="s">
        <v>349</v>
      </c>
      <c r="L259" s="25" t="s">
        <v>350</v>
      </c>
      <c r="M259" s="25" t="n">
        <v>1962</v>
      </c>
      <c r="N259" s="25" t="n">
        <v>1990</v>
      </c>
      <c r="O259" s="25" t="n">
        <v>2000</v>
      </c>
      <c r="P259" s="25" t="n">
        <v>4</v>
      </c>
      <c r="Q259" s="25" t="n">
        <v>1128</v>
      </c>
      <c r="R259" s="2"/>
      <c r="S259" s="3"/>
      <c r="T259" s="3"/>
      <c r="U259" s="3"/>
      <c r="V259" s="3"/>
      <c r="W259" s="3"/>
      <c r="X259" s="3"/>
      <c r="Y259" s="3"/>
      <c r="Z259" s="25" t="n">
        <v>170</v>
      </c>
      <c r="AA259" s="2"/>
      <c r="AB259" s="25" t="n">
        <v>5</v>
      </c>
      <c r="AC259" s="25" t="n">
        <v>205</v>
      </c>
      <c r="AD259" s="4" t="n">
        <f aca="false">IF(AND(Z259&gt;0,AC259&gt;0),(AC259/((Z259+AA259)*10)),"")</f>
        <v>0.120588235294118</v>
      </c>
      <c r="AE259" s="25" t="n">
        <v>100</v>
      </c>
      <c r="AF259" s="25" t="n">
        <f aca="false">ROUND(AE259*1.6, 0)</f>
        <v>160</v>
      </c>
      <c r="AI259" s="25" t="n">
        <v>20.3</v>
      </c>
      <c r="AJ259" s="25" t="n">
        <v>20</v>
      </c>
      <c r="AK259" s="25" t="n">
        <v>2.82</v>
      </c>
      <c r="AL259" s="25" t="n">
        <v>3.97</v>
      </c>
      <c r="AM259" s="5" t="n">
        <v>53</v>
      </c>
      <c r="AN259" s="1" t="str">
        <f aca="false">CONCATENATE(VLOOKUP(AO259, '[1]Voxel Sizes'!$A$2:$B$18,2,FALSE()),"x",INT(AK259*15), "x", INT(AL259*15))</f>
        <v>198x42x59</v>
      </c>
      <c r="AO259" s="25" t="n">
        <f aca="false">ROUND(15*((AJ259*10)/256),0)</f>
        <v>12</v>
      </c>
      <c r="AQ259" s="1" t="str">
        <f aca="false">CONCATENATE(VLOOKUP(AO259,Constants!$A$2:$C$16,IF(AP259&lt;&gt;"", 3, 2), FALSE()),IF(AP259&lt;&gt;"",CONCATENATE(",",VLOOKUP(AP259,$B:$AQ,42,FALSE())),""))</f>
        <v>4,4,4</v>
      </c>
      <c r="AR259" s="25" t="n">
        <v>6</v>
      </c>
      <c r="AS259" s="6"/>
      <c r="AT259" s="6"/>
      <c r="AU259" s="25" t="s">
        <v>964</v>
      </c>
      <c r="AW259" s="25" t="s">
        <v>965</v>
      </c>
      <c r="AX259" s="25" t="s">
        <v>958</v>
      </c>
      <c r="BA259" s="25" t="n">
        <v>35</v>
      </c>
      <c r="BB259" s="16" t="n">
        <f aca="false">IF(O259&lt;&gt;"",MAX(16,(O259-M259)+8),"")</f>
        <v>46</v>
      </c>
      <c r="BC259" s="25" t="n">
        <v>-10</v>
      </c>
      <c r="BD259" s="25" t="n">
        <v>-30</v>
      </c>
      <c r="BE259" s="25" t="n">
        <f aca="false">MIN(AE259/150, 1)*30</f>
        <v>20</v>
      </c>
      <c r="BF259" s="25" t="n">
        <f aca="false">MIN(Q259/4000, 1)*20</f>
        <v>5.64</v>
      </c>
      <c r="BG259" s="25" t="n">
        <f aca="false">MIN(AC259/400,1)*20</f>
        <v>10.25</v>
      </c>
      <c r="BH259" s="4" t="n">
        <f aca="false">1-(MAX(M259-1900, 0)/750)</f>
        <v>0.917333333333333</v>
      </c>
      <c r="BI259" s="25" t="n">
        <f aca="false">((MAX($P259,1)*MIN($AM259/300,1)))*IF(J259="Wagon",50,10)</f>
        <v>7.06666666666667</v>
      </c>
      <c r="BJ259" s="1" t="n">
        <f aca="false">VLOOKUP($K259,Constants!$I:$K, 2, FALSE())</f>
        <v>0.85</v>
      </c>
      <c r="BK259" s="1" t="n">
        <f aca="false">VLOOKUP($K259,Constants!$I:$K, 3, FALSE())*IF(AND(J259="multiple_unit",AE259&lt;110),0.75,1)</f>
        <v>1.725</v>
      </c>
      <c r="BL259" s="25" t="n">
        <v>64</v>
      </c>
      <c r="BM259" s="25" t="n">
        <v>86</v>
      </c>
      <c r="BN259" s="17" t="n">
        <f aca="false">BL259*IF($J259="wagon",62.5,781.25)</f>
        <v>50000</v>
      </c>
      <c r="BO259" s="17" t="n">
        <f aca="false">BM259*IF($J259="wagon",2.73,81.25)</f>
        <v>6987.5</v>
      </c>
      <c r="BU259" s="25" t="s">
        <v>966</v>
      </c>
      <c r="BY259" s="25" t="n">
        <v>6</v>
      </c>
      <c r="BZ259" s="25" t="n">
        <v>185</v>
      </c>
      <c r="CB259" s="25" t="s">
        <v>326</v>
      </c>
      <c r="CC259" s="25" t="s">
        <v>327</v>
      </c>
      <c r="CD259" s="25" t="s">
        <v>569</v>
      </c>
      <c r="CE259" s="25" t="s">
        <v>842</v>
      </c>
      <c r="CF259" s="25" t="str">
        <f aca="false">CONCATENATE(CD259,"_",CE259)</f>
        <v>dsl_EMU (Express)</v>
      </c>
      <c r="CG259" s="25" t="str">
        <f aca="false">_xlfn.CONCAT(K259, "_",L259)</f>
        <v>electric_ELRL</v>
      </c>
      <c r="CH259" s="7" t="str">
        <f aca="false">_xlfn.CONCAT("{BLACK}Length: {GOLD}", TEXT(ROUNDUP(IF(AT259&lt;&gt;"",SUM(VALUE(_xlfn.TEXTSPLIT(AT259, ","))), SUM(VALUE(_xlfn.TEXTSPLIT(AQ259, ",")))*IF(P259, P259, 1))/16, 1), "#,##0.0"), " tiles{}")</f>
        <v>{BLACK}Length: {GOLD}3.0 tiles{}</v>
      </c>
      <c r="CI259" s="1" t="n">
        <f aca="false">VLOOKUP($CG259, Constants!$M:$N, 2, FALSE())</f>
        <v>0</v>
      </c>
      <c r="CJ259" s="1" t="str">
        <f aca="false">IF(P259&gt;1,_xlfn.CONCAT("{BLACK}Cars: {GOLD}", P259),"")</f>
        <v>{BLACK}Cars: {GOLD}4</v>
      </c>
      <c r="CK259" s="25" t="s">
        <v>967</v>
      </c>
      <c r="CM259" s="25"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25" t="str">
        <f aca="false">_xlfn.CONCAT(CI259,IF(CI259 &lt;&gt; "", " ", ""),CJ259,IF(OR(CJ259&lt;&gt;"", CI259&lt;&gt;""), "{}",""), CH259, CM259,"{SILVER}", CK259)</f>
        <v>{BLACK}Cars: {GOLD}4{}{BLACK}Length: {GOLD}3.0 tiles{}{SILVER}The ‘Clacton’ units were iconic express EMUs of the GEML’s early electrification. This subclass represents a basic 4 car formation complete.</v>
      </c>
    </row>
    <row r="260" customFormat="false" ht="14.25" hidden="false" customHeight="false" outlineLevel="0" collapsed="false">
      <c r="A260" s="1" t="s">
        <v>968</v>
      </c>
      <c r="B260" s="15" t="s">
        <v>893</v>
      </c>
      <c r="C260" s="1" t="n">
        <v>233</v>
      </c>
      <c r="E260" s="1" t="n">
        <v>339</v>
      </c>
      <c r="G260" s="1" t="str">
        <f aca="false">IF($F260&lt;&gt;"",_xlfn.CONCAT(VLOOKUP($CE260, Constants!$T:$U, 2, FALSE()),",",$F260),VLOOKUP($CE260, Constants!$T:$U, 2, FALSE()))</f>
        <v>role/express_passenger</v>
      </c>
      <c r="H260" s="1" t="str">
        <f aca="false">IF($G260&lt;&gt;"",_xlfn.CONCAT(VLOOKUP($CG260, Constants!$M:$P, 4, FALSE()),",",$G260),VLOOKUP($CG260, Constants!$M:$P, 4, FALSE()))</f>
        <v>flag/GB,power/electric,role/express_passenger</v>
      </c>
      <c r="I260" s="1" t="s">
        <v>198</v>
      </c>
      <c r="J260" s="1" t="s">
        <v>423</v>
      </c>
      <c r="K260" s="1" t="s">
        <v>349</v>
      </c>
      <c r="L260" s="1" t="s">
        <v>498</v>
      </c>
      <c r="M260" s="1" t="n">
        <v>1964</v>
      </c>
      <c r="N260" s="1" t="n">
        <v>1972</v>
      </c>
      <c r="O260" s="1" t="n">
        <v>2005</v>
      </c>
      <c r="P260" s="1" t="n">
        <v>4</v>
      </c>
      <c r="Q260" s="1" t="n">
        <v>1000</v>
      </c>
      <c r="Z260" s="1" t="n">
        <v>152</v>
      </c>
      <c r="AB260" s="1" t="n">
        <v>5</v>
      </c>
      <c r="AC260" s="1" t="n">
        <v>125</v>
      </c>
      <c r="AD260" s="4" t="n">
        <f aca="false">IF(AND(Z260&gt;0,AC260&gt;0),(AC260/((Z260+AA260)*10)),"")</f>
        <v>0.0822368421052632</v>
      </c>
      <c r="AE260" s="1" t="n">
        <v>90</v>
      </c>
      <c r="AF260" s="1" t="n">
        <f aca="false">ROUND(AE260*1.6, 0)</f>
        <v>144</v>
      </c>
      <c r="AI260" s="1" t="n">
        <f aca="false">80.98/4</f>
        <v>20.245</v>
      </c>
      <c r="AJ260" s="1" t="n">
        <v>20.24</v>
      </c>
      <c r="AK260" s="1" t="n">
        <v>2.82</v>
      </c>
      <c r="AL260" s="1" t="n">
        <v>3.89</v>
      </c>
      <c r="AM260" s="5" t="n">
        <v>54</v>
      </c>
      <c r="AN260" s="1" t="str">
        <f aca="false">CONCATENATE(VLOOKUP(AO260, 'Voxel Sizes'!$A$2:$B$18,2,FALSE()),"x",INT(AK260*15), "x", INT(AL260*15))</f>
        <v>198x42x58</v>
      </c>
      <c r="AO260" s="1" t="n">
        <f aca="false">ROUND(15*((AJ260*10)/256),0)</f>
        <v>12</v>
      </c>
      <c r="AQ260" s="1" t="str">
        <f aca="false">CONCATENATE(VLOOKUP(AO260,Constants!$A$2:$C$16,IF(AP260&lt;&gt;"", 3, 2), FALSE()),IF(AP260&lt;&gt;"",CONCATENATE(",",VLOOKUP(AP260,$B:$AQ,42,FALSE())),""))</f>
        <v>4,4,4</v>
      </c>
      <c r="AU260" s="1" t="s">
        <v>969</v>
      </c>
      <c r="AW260" s="1" t="s">
        <v>847</v>
      </c>
      <c r="BA260" s="1" t="n">
        <v>40</v>
      </c>
      <c r="BB260" s="16" t="n">
        <f aca="false">IF(O260&lt;&gt;"",MAX(16,(O260-M260)+8),"")</f>
        <v>49</v>
      </c>
      <c r="BC260" s="1" t="n">
        <v>-10</v>
      </c>
      <c r="BD260" s="1" t="n">
        <v>-20</v>
      </c>
      <c r="BE260" s="1" t="n">
        <f aca="false">MIN(AE260/150, 1)*30</f>
        <v>18</v>
      </c>
      <c r="BF260" s="1" t="n">
        <f aca="false">MIN(Q260/4000, 1)*20</f>
        <v>5</v>
      </c>
      <c r="BG260" s="1" t="n">
        <f aca="false">MIN(AC260/400,1)*20</f>
        <v>6.25</v>
      </c>
      <c r="BH260" s="4" t="n">
        <f aca="false">1-(MAX(M260-1900, 0)/750)</f>
        <v>0.914666666666667</v>
      </c>
      <c r="BI260" s="1" t="n">
        <f aca="false">((MAX($P260,1)*MIN($AM260/300,1)))*IF(J260="Wagon",50,10)</f>
        <v>7.2</v>
      </c>
      <c r="BJ260" s="1" t="n">
        <f aca="false">VLOOKUP($K260,Constants!$I:$K, 2, FALSE())</f>
        <v>0.85</v>
      </c>
      <c r="BK260" s="1" t="n">
        <f aca="false">VLOOKUP($K260,Constants!$I:$K, 3, FALSE())*IF(AND(J260="multiple_unit",AE260&lt;110),0.75,1)</f>
        <v>1.725</v>
      </c>
      <c r="BL260" s="1" t="n">
        <f aca="false">INT(POWER(((Constants!$G$2+$BE260+$BF260+$BG260+$BI260)*$BH260)*$BK260, 1.05))+$BD260</f>
        <v>60</v>
      </c>
      <c r="BM260" s="1" t="n">
        <f aca="false">INT(POWER((((Constants!$G$1+$BE260+$BF260+$BG260+$BI260)*($BH260))*$BJ260),IF($J260="wagon",1,1.2)))+$BC260</f>
        <v>73</v>
      </c>
      <c r="BN260" s="17" t="n">
        <f aca="false">BL260*IF($J260="wagon",62.5,781.25)</f>
        <v>46875</v>
      </c>
      <c r="BO260" s="17" t="n">
        <f aca="false">BM260*IF($J260="wagon",2.73,81.25)</f>
        <v>5931.25</v>
      </c>
      <c r="BU260" s="1" t="s">
        <v>891</v>
      </c>
      <c r="BY260" s="1" t="n">
        <v>5</v>
      </c>
      <c r="BZ260" s="1" t="n">
        <v>185</v>
      </c>
      <c r="CC260" s="1" t="s">
        <v>327</v>
      </c>
      <c r="CD260" s="1" t="str">
        <f aca="false">VLOOKUP(M260,Eras!$A$2:$C$10, 2, TRUE())</f>
        <v>dsl</v>
      </c>
      <c r="CE260" s="1" t="s">
        <v>842</v>
      </c>
      <c r="CF260" s="1" t="str">
        <f aca="false">CONCATENATE(CD260,"_",CE260)</f>
        <v>dsl_EMU (Express)</v>
      </c>
      <c r="CG260" s="1" t="str">
        <f aca="false">_xlfn.CONCAT(K260, "_",L260)</f>
        <v>electric_THIRD_RAIL</v>
      </c>
      <c r="CH260" s="7" t="str">
        <f aca="false">_xlfn.CONCAT("{BLACK}Length: {GOLD}", TEXT(ROUNDUP(IF(AT260&lt;&gt;"",SUM(VALUE(_xlfn.TEXTSPLIT(AT260, ","))), SUM(VALUE(_xlfn.TEXTSPLIT(AQ260, ",")))*IF(P260, P260, 1))/16, 1), "#,##0.0"), " tiles{}")</f>
        <v>{BLACK}Length: {GOLD}3.0 tiles{}</v>
      </c>
      <c r="CI260" s="1" t="n">
        <f aca="false">VLOOKUP($CG260, Constants!$M:$N, 2, FALSE())</f>
        <v>0</v>
      </c>
      <c r="CJ260" s="1" t="str">
        <f aca="false">IF(P260&gt;1,_xlfn.CONCAT("{BLACK}Cars: {GOLD}", P260),"")</f>
        <v>{BLACK}Cars: {GOLD}4</v>
      </c>
      <c r="CK260" s="1" t="s">
        <v>970</v>
      </c>
      <c r="CL260" s="1" t="str">
        <f aca="false">IF($BX260="!param_no_gameplay_units","{GREEN}Included for gameplay purposes","")</f>
        <v/>
      </c>
      <c r="CM260" s="1" t="str">
        <f aca="false">IF(CA260="buffet","{YELLOW}25% long distance bonus for consist{}",IF(CC260="BRAKE","{YELLOW}Speed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{GOLD}4{}{BLACK}Length: {GOLD}3.0 tiles{}{SILVER}The Class 421 4 CIG (Corridor, brIGhton) was a third rail EMU with express gearing, used in the Southern Region. It was based on the Mk1 carriage design.</v>
      </c>
    </row>
    <row r="261" customFormat="false" ht="14.25" hidden="false" customHeight="false" outlineLevel="0" collapsed="false">
      <c r="A261" s="1" t="s">
        <v>971</v>
      </c>
      <c r="B261" s="15" t="s">
        <v>972</v>
      </c>
      <c r="C261" s="1" t="n">
        <v>234</v>
      </c>
      <c r="E261" s="1" t="n">
        <v>340</v>
      </c>
      <c r="G261" s="1" t="str">
        <f aca="false">IF($F261&lt;&gt;"",_xlfn.CONCAT(VLOOKUP($CE261, Constants!$T:$U, 2, FALSE()),",",$F261),VLOOKUP($CE261, Constants!$T:$U, 2, FALSE()))</f>
        <v>role/express_passenger</v>
      </c>
      <c r="H261" s="1" t="str">
        <f aca="false">IF($G261&lt;&gt;"",_xlfn.CONCAT(VLOOKUP($CG261, Constants!$M:$P, 4, FALSE()),",",$G261),VLOOKUP($CG261, Constants!$M:$P, 4, FALSE()))</f>
        <v>flag/GB,power/electric,role/express_passenger</v>
      </c>
      <c r="I261" s="1" t="s">
        <v>198</v>
      </c>
      <c r="J261" s="1" t="s">
        <v>423</v>
      </c>
      <c r="K261" s="1" t="s">
        <v>349</v>
      </c>
      <c r="L261" s="1" t="s">
        <v>350</v>
      </c>
      <c r="M261" s="1" t="n">
        <v>1965</v>
      </c>
      <c r="O261" s="1" t="n">
        <v>2002</v>
      </c>
      <c r="P261" s="1" t="n">
        <v>4</v>
      </c>
      <c r="Q261" s="1" t="n">
        <v>1080</v>
      </c>
      <c r="Z261" s="1" t="n">
        <v>158</v>
      </c>
      <c r="AB261" s="1" t="n">
        <v>5</v>
      </c>
      <c r="AC261" s="1" t="n">
        <v>130</v>
      </c>
      <c r="AD261" s="4" t="n">
        <f aca="false">IF(AND(Z261&gt;0,AC261&gt;0),(AC261/((Z261+AA261)*10)),"")</f>
        <v>0.0822784810126582</v>
      </c>
      <c r="AE261" s="1" t="n">
        <v>75</v>
      </c>
      <c r="AF261" s="1" t="n">
        <f aca="false">ROUND(AE261*1.6, 0)</f>
        <v>120</v>
      </c>
      <c r="AI261" s="1" t="n">
        <v>19.85</v>
      </c>
      <c r="AJ261" s="1" t="n">
        <v>19.85</v>
      </c>
      <c r="AK261" s="1" t="n">
        <v>2.82</v>
      </c>
      <c r="AL261" s="1" t="n">
        <v>3.97</v>
      </c>
      <c r="AM261" s="5" t="n">
        <v>57</v>
      </c>
      <c r="AN261" s="1" t="str">
        <f aca="false">CONCATENATE(VLOOKUP(AO261, 'Voxel Sizes'!$A$2:$B$18,2,FALSE()),"x",INT(AK261*15), "x", INT(AL261*15))</f>
        <v>198x42x59</v>
      </c>
      <c r="AO261" s="1" t="n">
        <f aca="false">ROUND(15*((AJ261*10)/256),0)</f>
        <v>12</v>
      </c>
      <c r="AQ261" s="1" t="str">
        <f aca="false">CONCATENATE(VLOOKUP(AO261,Constants!$A$2:$C$16,IF(AP261&lt;&gt;"", 3, 2), FALSE()),IF(AP261&lt;&gt;"",CONCATENATE(",",VLOOKUP(AP261,$B:$AQ,42,FALSE())),""))</f>
        <v>4,4,4</v>
      </c>
      <c r="AU261" s="1" t="s">
        <v>973</v>
      </c>
      <c r="AW261" s="1" t="s">
        <v>898</v>
      </c>
      <c r="BA261" s="1" t="n">
        <v>32</v>
      </c>
      <c r="BB261" s="16" t="n">
        <f aca="false">IF(O261&lt;&gt;"",MAX(16,(O261-M261)+8),"")</f>
        <v>45</v>
      </c>
      <c r="BC261" s="1" t="n">
        <v>-10</v>
      </c>
      <c r="BD261" s="1" t="n">
        <v>-20</v>
      </c>
      <c r="BE261" s="1" t="n">
        <f aca="false">MIN(AE261/150, 1)*30</f>
        <v>15</v>
      </c>
      <c r="BF261" s="1" t="n">
        <f aca="false">MIN(Q261/4000, 1)*20</f>
        <v>5.4</v>
      </c>
      <c r="BG261" s="1" t="n">
        <f aca="false">MIN(AC261/400,1)*20</f>
        <v>6.5</v>
      </c>
      <c r="BH261" s="4" t="n">
        <f aca="false">1-(MAX(M261-1900, 0)/750)</f>
        <v>0.913333333333333</v>
      </c>
      <c r="BI261" s="1" t="n">
        <f aca="false">((MAX($P261,1)*MIN($AM261/300,1)))*IF(J261="Wagon",50,10)</f>
        <v>7.6</v>
      </c>
      <c r="BJ261" s="1" t="n">
        <f aca="false">VLOOKUP($K261,Constants!$I:$K, 2, FALSE())</f>
        <v>0.85</v>
      </c>
      <c r="BK261" s="1" t="n">
        <f aca="false">VLOOKUP($K261,Constants!$I:$K, 3, FALSE())*IF(AND(J261="multiple_unit",AE261&lt;110),0.75,1)</f>
        <v>1.725</v>
      </c>
      <c r="BL261" s="1" t="n">
        <f aca="false">INT(POWER(((Constants!$G$2+$BE261+$BF261+$BG261+$BI261)*$BH261)*$BK261, 1.05))+$BD261</f>
        <v>56</v>
      </c>
      <c r="BM261" s="1" t="n">
        <f aca="false">INT(POWER((((Constants!$G$1+$BE261+$BF261+$BG261+$BI261)*($BH261))*$BJ261),IF($J261="wagon",1,1.2)))+$BC261</f>
        <v>69</v>
      </c>
      <c r="BN261" s="17" t="n">
        <f aca="false">BL261*IF($J261="wagon",62.5,781.25)</f>
        <v>43750</v>
      </c>
      <c r="BO261" s="17" t="n">
        <f aca="false">BM261*IF($J261="wagon",2.73,81.25)</f>
        <v>5606.25</v>
      </c>
      <c r="BY261" s="1" t="n">
        <v>6</v>
      </c>
      <c r="BZ261" s="1" t="n">
        <v>185</v>
      </c>
      <c r="CC261" s="1" t="s">
        <v>327</v>
      </c>
      <c r="CD261" s="1" t="str">
        <f aca="false">VLOOKUP(M261,Eras!$A$2:$C$10, 2, TRUE())</f>
        <v>dsl</v>
      </c>
      <c r="CE261" s="1" t="s">
        <v>939</v>
      </c>
      <c r="CF261" s="1" t="str">
        <f aca="false">CONCATENATE(CD261,"_",CE261)</f>
        <v>dsl_DMU (Express)</v>
      </c>
      <c r="CG261" s="1" t="str">
        <f aca="false">_xlfn.CONCAT(K261, "_",L261)</f>
        <v>electric_ELRL</v>
      </c>
      <c r="CH261" s="7" t="str">
        <f aca="false">_xlfn.CONCAT("{BLACK}Length: {GOLD}", TEXT(ROUNDUP(IF(AT261&lt;&gt;"",SUM(VALUE(_xlfn.TEXTSPLIT(AT261, ","))), SUM(VALUE(_xlfn.TEXTSPLIT(AQ261, ",")))*IF(P261, P261, 1))/16, 1), "#,##0.0"), " tiles{}")</f>
        <v>{BLACK}Length: {GOLD}3.0 tiles{}</v>
      </c>
      <c r="CI261" s="1" t="n">
        <f aca="false">VLOOKUP($CG261, Constants!$M:$N, 2, FALSE())</f>
        <v>0</v>
      </c>
      <c r="CJ261" s="1" t="str">
        <f aca="false">IF(P261&gt;1,_xlfn.CONCAT("{BLACK}Cars: {GOLD}", P261),"")</f>
        <v>{BLACK}Cars: {GOLD}4</v>
      </c>
      <c r="CK261" s="1" t="s">
        <v>974</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{GOLD}3.0 tiles{}{SILVER}The AM10 was the first EMU to be based on the Mk2 carriage bodyshell. They were introduced as part of the West Coast Main Line electrification.</v>
      </c>
    </row>
    <row r="262" s="25" customFormat="true" ht="14.25" hidden="false" customHeight="false" outlineLevel="0" collapsed="false">
      <c r="A262" s="25" t="s">
        <v>975</v>
      </c>
      <c r="B262" s="26" t="s">
        <v>976</v>
      </c>
      <c r="C262" s="1" t="n">
        <v>3035</v>
      </c>
      <c r="E262" s="1" t="n">
        <v>341</v>
      </c>
      <c r="G262" s="1" t="str">
        <f aca="false">IF($F262&lt;&gt;"",_xlfn.CONCAT(VLOOKUP($CE262, Constants!$T:$U, 2, FALSE()),",",$F262),VLOOKUP($CE262, Constants!$T:$U, 2, FALSE()))</f>
        <v>role/passenger</v>
      </c>
      <c r="H262" s="1" t="str">
        <f aca="false">IF($G262&lt;&gt;"",_xlfn.CONCAT(VLOOKUP($CG262, Constants!$M:$P, 4, FALSE()),",",$G262),VLOOKUP($CG262, Constants!$M:$P, 4, FALSE()))</f>
        <v>flag/GB,power/electric,role/passenger</v>
      </c>
      <c r="I262" s="25" t="s">
        <v>198</v>
      </c>
      <c r="J262" s="25" t="s">
        <v>423</v>
      </c>
      <c r="K262" s="25" t="s">
        <v>349</v>
      </c>
      <c r="L262" s="25" t="s">
        <v>350</v>
      </c>
      <c r="M262" s="25" t="n">
        <v>1975</v>
      </c>
      <c r="N262" s="25" t="n">
        <v>2010</v>
      </c>
      <c r="O262" s="25" t="n">
        <v>2015</v>
      </c>
      <c r="P262" s="25" t="n">
        <v>2</v>
      </c>
      <c r="Q262" s="25" t="n">
        <v>248</v>
      </c>
      <c r="R262" s="2"/>
      <c r="S262" s="3"/>
      <c r="T262" s="3"/>
      <c r="U262" s="3"/>
      <c r="V262" s="3"/>
      <c r="W262" s="3"/>
      <c r="X262" s="3"/>
      <c r="Y262" s="3"/>
      <c r="Z262" s="25" t="n">
        <v>40</v>
      </c>
      <c r="AA262" s="2"/>
      <c r="AB262" s="25" t="n">
        <v>5</v>
      </c>
      <c r="AC262" s="25" t="n">
        <v>40</v>
      </c>
      <c r="AD262" s="4" t="n">
        <f aca="false">IF(AND(Z262&gt;0,AC262&gt;0),(AC262/((Z262+AA262)*10)),"")</f>
        <v>0.1</v>
      </c>
      <c r="AE262" s="25" t="n">
        <v>50</v>
      </c>
      <c r="AF262" s="25" t="n">
        <f aca="false">ROUND(AE262*1.6, 0)</f>
        <v>80</v>
      </c>
      <c r="AI262" s="25" t="n">
        <v>13.9</v>
      </c>
      <c r="AJ262" s="25" t="n">
        <v>13.9</v>
      </c>
      <c r="AK262" s="25" t="n">
        <v>2.65</v>
      </c>
      <c r="AL262" s="25" t="n">
        <v>3.16</v>
      </c>
      <c r="AM262" s="5" t="n">
        <v>54</v>
      </c>
      <c r="AN262" s="1" t="str">
        <f aca="false">CONCATENATE(VLOOKUP(AO262, '[1]Voxel Sizes'!$A$2:$B$18,2,FALSE()),"x",INT(AK262*15), "x", INT(AL262*15))</f>
        <v>136x39x47</v>
      </c>
      <c r="AO262" s="25" t="n">
        <f aca="false">ROUND(15*((AJ262*10)/256),0)</f>
        <v>8</v>
      </c>
      <c r="AQ262" s="1" t="str">
        <f aca="false">CONCATENATE(VLOOKUP(AO262,Constants!$A$2:$C$16,IF(AP262&lt;&gt;"", 3, 2), FALSE()),IF(AP262&lt;&gt;"",CONCATENATE(",",VLOOKUP(AP262,$B:$AQ,42,FALSE())),""))</f>
        <v>2,4,2</v>
      </c>
      <c r="AR262" s="25" t="n">
        <v>2</v>
      </c>
      <c r="AS262" s="6"/>
      <c r="AT262" s="6"/>
      <c r="AU262" s="25" t="s">
        <v>977</v>
      </c>
      <c r="AW262" s="25" t="s">
        <v>770</v>
      </c>
      <c r="AX262" s="25" t="s">
        <v>978</v>
      </c>
      <c r="BA262" s="25" t="n">
        <v>45</v>
      </c>
      <c r="BB262" s="16" t="n">
        <v>120</v>
      </c>
      <c r="BD262" s="25" t="n">
        <v>-10</v>
      </c>
      <c r="BE262" s="25" t="n">
        <f aca="false">MIN(AE262/150, 1)*30</f>
        <v>10</v>
      </c>
      <c r="BF262" s="25" t="n">
        <f aca="false">MIN(Q262/4000, 1)*20</f>
        <v>1.24</v>
      </c>
      <c r="BG262" s="25" t="n">
        <f aca="false">MIN(AC262/400,1)*20</f>
        <v>2</v>
      </c>
      <c r="BH262" s="4" t="n">
        <f aca="false">1-(MAX(M262-1900, 0)/750)</f>
        <v>0.9</v>
      </c>
      <c r="BI262" s="25" t="n">
        <f aca="false">((MAX($P262,1)*MIN($AM262/300,1)))*IF(J262="Wagon",50,10)</f>
        <v>3.6</v>
      </c>
      <c r="BJ262" s="1" t="n">
        <f aca="false">VLOOKUP($K262,Constants!$I:$K, 2, FALSE())</f>
        <v>0.85</v>
      </c>
      <c r="BK262" s="1" t="n">
        <f aca="false">VLOOKUP($K262,Constants!$I:$K, 3, FALSE())*IF(AND(J262="multiple_unit",AE262&lt;110),0.75,1)</f>
        <v>1.725</v>
      </c>
      <c r="BL262" s="25" t="n">
        <v>30</v>
      </c>
      <c r="BM262" s="25" t="n">
        <v>46</v>
      </c>
      <c r="BN262" s="17" t="n">
        <f aca="false">BL262*IF($J262="wagon",62.5,781.25)</f>
        <v>23437.5</v>
      </c>
      <c r="BO262" s="17" t="n">
        <f aca="false">BM262*IF($J262="wagon",2.73,81.25)</f>
        <v>3737.5</v>
      </c>
      <c r="BY262" s="25" t="n">
        <v>9</v>
      </c>
      <c r="BZ262" s="25" t="n">
        <v>148</v>
      </c>
      <c r="CB262" s="25" t="s">
        <v>326</v>
      </c>
      <c r="CC262" s="25" t="s">
        <v>327</v>
      </c>
      <c r="CD262" s="25" t="s">
        <v>605</v>
      </c>
      <c r="CE262" s="25" t="s">
        <v>785</v>
      </c>
      <c r="CF262" s="25" t="str">
        <f aca="false">CONCATENATE(CD262,"_",CE262)</f>
        <v>lbr_EMU</v>
      </c>
      <c r="CG262" s="25" t="str">
        <f aca="false">_xlfn.CONCAT(K262, "_",L262)</f>
        <v>electric_ELRL</v>
      </c>
      <c r="CH262" s="7" t="str">
        <f aca="false">_xlfn.CONCAT("{BLACK}Length: {GOLD}", TEXT(ROUNDUP(IF(AT262&lt;&gt;"",SUM(VALUE(_xlfn.TEXTSPLIT(AT262, ","))), SUM(VALUE(_xlfn.TEXTSPLIT(AQ262, ",")))*IF(P262, P262, 1))/16, 1), "#,##0.0"), " tiles{}")</f>
        <v>{BLACK}Length: {GOLD}1.0 tiles{}</v>
      </c>
      <c r="CI262" s="1" t="n">
        <f aca="false">VLOOKUP($CG262, Constants!$M:$N, 2, FALSE())</f>
        <v>0</v>
      </c>
      <c r="CJ262" s="1" t="str">
        <f aca="false">IF(P262&gt;1,_xlfn.CONCAT("{BLACK}Cars: {GOLD}", P262),"")</f>
        <v>{BLACK}Cars: {GOLD}2</v>
      </c>
      <c r="CK262" s="25" t="s">
        <v>979</v>
      </c>
      <c r="CM262" s="25"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{YELLOW}20% penalty for long distance travel{}</v>
      </c>
      <c r="CN262" s="25" t="str">
        <f aca="false">_xlfn.CONCAT(CI262,IF(CI262 &lt;&gt; "", " ", ""),CJ262,IF(OR(CJ262&lt;&gt;"", CI262&lt;&gt;""), "{}",""), CH262, CM262,"{SILVER}", CK262)</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3" customFormat="false" ht="14.25" hidden="false" customHeight="false" outlineLevel="0" collapsed="false">
      <c r="A263" s="1" t="s">
        <v>980</v>
      </c>
      <c r="B263" s="15" t="s">
        <v>981</v>
      </c>
      <c r="C263" s="1" t="n">
        <v>235</v>
      </c>
      <c r="E263" s="1" t="n">
        <v>342</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1" t="s">
        <v>198</v>
      </c>
      <c r="J263" s="1" t="s">
        <v>423</v>
      </c>
      <c r="K263" s="1" t="s">
        <v>666</v>
      </c>
      <c r="L263" s="1" t="s">
        <v>709</v>
      </c>
      <c r="M263" s="1" t="n">
        <v>1976</v>
      </c>
      <c r="N263" s="1" t="n">
        <v>1977</v>
      </c>
      <c r="P263" s="1" t="n">
        <v>3</v>
      </c>
      <c r="Q263" s="1" t="n">
        <v>880</v>
      </c>
      <c r="Z263" s="1" t="n">
        <v>104.5</v>
      </c>
      <c r="AB263" s="1" t="n">
        <v>5</v>
      </c>
      <c r="AC263" s="1" t="n">
        <v>140</v>
      </c>
      <c r="AD263" s="4" t="n">
        <f aca="false">IF(AND(Z263&gt;0,AC263&gt;0),(AC263/((Z263+AA263)*10)),"")</f>
        <v>0.133971291866029</v>
      </c>
      <c r="AE263" s="1" t="n">
        <v>75</v>
      </c>
      <c r="AF263" s="1" t="n">
        <f aca="false">ROUND(AE263*1.6, 0)</f>
        <v>120</v>
      </c>
      <c r="AI263" s="1" t="n">
        <v>20.33</v>
      </c>
      <c r="AJ263" s="1" t="n">
        <v>20.33</v>
      </c>
      <c r="AL263" s="1" t="n">
        <v>3.58</v>
      </c>
      <c r="AM263" s="5" t="n">
        <v>75</v>
      </c>
      <c r="AN263" s="1" t="str">
        <f aca="false">CONCATENATE(VLOOKUP(AO263, 'Voxel Sizes'!$A$2:$B$18,2,FALSE()),"x",INT(AK263*15), "x", INT(AL263*15))</f>
        <v>198x0x53</v>
      </c>
      <c r="AO263" s="1" t="n">
        <f aca="false">ROUND(15*((AJ263*10)/256),0)</f>
        <v>12</v>
      </c>
      <c r="AQ263" s="1" t="str">
        <f aca="false">CONCATENATE(VLOOKUP(AO263,Constants!$A$2:$C$16,IF(AP263&lt;&gt;"", 3, 2), FALSE()),IF(AP263&lt;&gt;"",CONCATENATE(",",VLOOKUP(AP263,$B:$AQ,42,FALSE())),""))</f>
        <v>4,4,4</v>
      </c>
      <c r="AU263" s="1" t="s">
        <v>982</v>
      </c>
      <c r="AV263" s="1" t="s">
        <v>983</v>
      </c>
      <c r="AW263" s="1" t="s">
        <v>425</v>
      </c>
      <c r="BA263" s="1" t="n">
        <v>35</v>
      </c>
      <c r="BB263" s="16" t="str">
        <f aca="false">IF(O263&lt;&gt;"",MAX(16,(O263-M263)+8),"")</f>
        <v/>
      </c>
      <c r="BC263" s="1" t="n">
        <v>-10</v>
      </c>
      <c r="BD263" s="1" t="n">
        <v>-20</v>
      </c>
      <c r="BE263" s="1" t="n">
        <f aca="false">MIN(AE263/150, 1)*30</f>
        <v>15</v>
      </c>
      <c r="BF263" s="1" t="n">
        <f aca="false">MIN(Q263/4000, 1)*20</f>
        <v>4.4</v>
      </c>
      <c r="BG263" s="1" t="n">
        <f aca="false">MIN(AC263/400,1)*20</f>
        <v>7</v>
      </c>
      <c r="BH263" s="4" t="n">
        <f aca="false">1-(MAX(M263-1900, 0)/750)</f>
        <v>0.898666666666667</v>
      </c>
      <c r="BI263" s="1" t="n">
        <f aca="false">((MAX($P263,1)*MIN($AM263/300,1)))*IF(J263="Wagon",50,10)</f>
        <v>7.5</v>
      </c>
      <c r="BJ263" s="1" t="n">
        <f aca="false">VLOOKUP($K263,Constants!$I:$K, 2, FALSE())</f>
        <v>0.85</v>
      </c>
      <c r="BK263" s="1" t="n">
        <f aca="false">VLOOKUP($K263,Constants!$I:$K, 3, FALSE())*IF(AND(J263="multiple_unit",AE263&lt;110),0.75,1)</f>
        <v>1.8</v>
      </c>
      <c r="BL263" s="1" t="n">
        <f aca="false">INT(POWER(((Constants!$G$2+$BE263+$BF263+$BG263+$BI263)*$BH263)*$BK263, 1.05))+$BD263</f>
        <v>57</v>
      </c>
      <c r="BM263" s="1" t="n">
        <f aca="false">INT(POWER((((Constants!$G$1+$BE263+$BF263+$BG263+$BI263)*($BH263))*$BJ263),IF($J263="wagon",1,1.2)))+$BC263</f>
        <v>67</v>
      </c>
      <c r="BN263" s="17" t="n">
        <f aca="false">BL263*IF($J263="wagon",62.5,781.25)</f>
        <v>44531.25</v>
      </c>
      <c r="BO263" s="17" t="n">
        <f aca="false">BM263*IF($J263="wagon",2.73,81.25)</f>
        <v>5443.75</v>
      </c>
      <c r="BY263" s="1" t="n">
        <v>7</v>
      </c>
      <c r="BZ263" s="1" t="n">
        <v>185</v>
      </c>
      <c r="CC263" s="1" t="s">
        <v>327</v>
      </c>
      <c r="CD263" s="1" t="str">
        <f aca="false">VLOOKUP(M263,Eras!$A$2:$C$10, 2, TRUE())</f>
        <v>lbr</v>
      </c>
      <c r="CE263" s="1" t="s">
        <v>785</v>
      </c>
      <c r="CF263" s="1" t="str">
        <f aca="false">CONCATENATE(CD263,"_",CE263)</f>
        <v>lbr_EMU</v>
      </c>
      <c r="CG263" s="1" t="str">
        <f aca="false">_xlfn.CONCAT(K263, "_",L263)</f>
        <v>dual_electric_DUAL_POWER</v>
      </c>
      <c r="CH263" s="7" t="str">
        <f aca="false">_xlfn.CONCAT("{BLACK}Length: {GOLD}", TEXT(ROUNDUP(IF(AT263&lt;&gt;"",SUM(VALUE(_xlfn.TEXTSPLIT(AT263, ","))), SUM(VALUE(_xlfn.TEXTSPLIT(AQ263, ",")))*IF(P263, P263, 1))/16, 1), "#,##0.0"), " tiles{}")</f>
        <v>{BLACK}Length: {GOLD}2.3 tiles{}</v>
      </c>
      <c r="CI263" s="1" t="n">
        <f aca="false">VLOOKUP($CG263, Constants!$M:$N, 2, FALSE())</f>
        <v>0</v>
      </c>
      <c r="CJ263" s="1" t="str">
        <f aca="false">IF(P263&gt;1,_xlfn.CONCAT("{BLACK}Cars: {GOLD}", P263),"")</f>
        <v>{BLACK}Cars: {GOLD}3</v>
      </c>
      <c r="CK263" s="1" t="s">
        <v>984</v>
      </c>
      <c r="CL263" s="1" t="str">
        <f aca="fals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{GOLD}3{}{BLACK}Length: {GOLD}2.3 tiles{}{SILVER}The Class 313 is a dual voltage EMU capable of running both on overhead electrified lines and third rail systems.</v>
      </c>
    </row>
    <row r="264" s="1" customFormat="true" ht="14.25" hidden="false" customHeight="false" outlineLevel="0" collapsed="false">
      <c r="A264" s="1" t="s">
        <v>985</v>
      </c>
      <c r="B264" s="26" t="s">
        <v>986</v>
      </c>
      <c r="C264" s="1" t="n">
        <v>3039</v>
      </c>
      <c r="E264" s="1" t="n">
        <v>343</v>
      </c>
      <c r="G264" s="1" t="str">
        <f aca="false">IF($F264&lt;&gt;"",_xlfn.CONCAT(VLOOKUP($CE264, Constants!$T:$U, 2, FALSE()),",",$F264),VLOOKUP($CE264, Constants!$T:$U, 2, FALSE()))</f>
        <v>role/passenger</v>
      </c>
      <c r="H264" s="1" t="str">
        <f aca="false">IF($G264&lt;&gt;"",_xlfn.CONCAT(VLOOKUP($CG264, Constants!$M:$P, 4, FALSE()),",",$G264),VLOOKUP($CG264, Constants!$M:$P, 4, FALSE()))</f>
        <v>flag/GB,power/diesel,role/passenger</v>
      </c>
      <c r="I264" s="1" t="s">
        <v>198</v>
      </c>
      <c r="J264" s="1" t="s">
        <v>423</v>
      </c>
      <c r="K264" s="1" t="s">
        <v>482</v>
      </c>
      <c r="L264" s="1" t="s">
        <v>149</v>
      </c>
      <c r="M264" s="1" t="n">
        <v>1979</v>
      </c>
      <c r="N264" s="1" t="n">
        <v>1983</v>
      </c>
      <c r="O264" s="1" t="n">
        <v>1987</v>
      </c>
      <c r="P264" s="1" t="n">
        <v>1</v>
      </c>
      <c r="Q264" s="1" t="n">
        <v>150</v>
      </c>
      <c r="R264" s="2"/>
      <c r="S264" s="3"/>
      <c r="T264" s="3"/>
      <c r="U264" s="3"/>
      <c r="V264" s="3"/>
      <c r="W264" s="3"/>
      <c r="X264" s="3"/>
      <c r="Y264" s="3"/>
      <c r="Z264" s="1" t="n">
        <f aca="false">24.3</f>
        <v>24.3</v>
      </c>
      <c r="AA264" s="2"/>
      <c r="AB264" s="1" t="n">
        <v>5</v>
      </c>
      <c r="AC264" s="1" t="n">
        <v>70</v>
      </c>
      <c r="AD264" s="4" t="n">
        <f aca="false">IF(AND(Z264&gt;0,AC264&gt;0),(AC264/((Z264+AA264)*10)),"")</f>
        <v>0.288065843621399</v>
      </c>
      <c r="AE264" s="1" t="n">
        <v>75</v>
      </c>
      <c r="AF264" s="1" t="n">
        <f aca="false">ROUND(AE264*1.6, 0)</f>
        <v>120</v>
      </c>
      <c r="AI264" s="1" t="n">
        <v>15.45</v>
      </c>
      <c r="AJ264" s="1" t="n">
        <v>15.45</v>
      </c>
      <c r="AK264" s="1" t="n">
        <v>2.5</v>
      </c>
      <c r="AL264" s="1" t="n">
        <v>3.9</v>
      </c>
      <c r="AM264" s="5" t="n">
        <v>42</v>
      </c>
      <c r="AN264" s="1" t="s">
        <v>987</v>
      </c>
      <c r="AO264" s="1" t="n">
        <f aca="false">ROUND(15*((AJ264*10)/256),0)</f>
        <v>9</v>
      </c>
      <c r="AQ264" s="1" t="str">
        <f aca="false">CONCATENATE(VLOOKUP(AO264,Constants!$A$2:$C$16,IF(AP264&lt;&gt;"", 3, 2), FALSE()),IF(AP264&lt;&gt;"",CONCATENATE(",",VLOOKUP(AP264,$B:$AQ,42,FALSE())),""))</f>
        <v>2,5,2</v>
      </c>
      <c r="AS264" s="6"/>
      <c r="AT264" s="6"/>
      <c r="AU264" s="1" t="s">
        <v>986</v>
      </c>
      <c r="AW264" s="1" t="n">
        <v>1</v>
      </c>
      <c r="BA264" s="1" t="n">
        <v>18</v>
      </c>
      <c r="BB264" s="16" t="n">
        <f aca="false">IF(O264&lt;&gt;"",MAX(16,(O264-M264)+8),"")</f>
        <v>16</v>
      </c>
      <c r="BC264" s="1" t="n">
        <v>-35</v>
      </c>
      <c r="BD264" s="1" t="n">
        <v>-25</v>
      </c>
      <c r="BE264" s="1" t="n">
        <f aca="false">MIN(AE264/150, 1)*30</f>
        <v>15</v>
      </c>
      <c r="BF264" s="1" t="n">
        <f aca="false">MIN(Q264/4000, 1)*20</f>
        <v>0.75</v>
      </c>
      <c r="BG264" s="1" t="n">
        <f aca="false">MIN(AC264/400,1)*20</f>
        <v>3.5</v>
      </c>
      <c r="BH264" s="4" t="n">
        <f aca="false">1-(MAX(M264-1900, 0)/750)</f>
        <v>0.894666666666667</v>
      </c>
      <c r="BI264" s="1" t="n">
        <f aca="false">((MAX($P264,1)*MIN($AM264/300,1)))*IF(J264="Wagon",50,10)</f>
        <v>1.4</v>
      </c>
      <c r="BJ264" s="1" t="n">
        <f aca="false">VLOOKUP($K264,Constants!$I:$K, 2, FALSE())</f>
        <v>1</v>
      </c>
      <c r="BK264" s="1" t="n">
        <f aca="false">VLOOKUP($K264,Constants!$I:$K, 3, FALSE())*IF(AND(J264="multiple_unit",AE264&lt;110),0.75,1)</f>
        <v>1.5</v>
      </c>
      <c r="BL264" s="25" t="n">
        <f aca="false">INT(POWER((([1]Constants!$G$2+$BE264+$BF264+$BG264+$BI264)*$BH264)*$BK264, 1.05))+$BD264</f>
        <v>16</v>
      </c>
      <c r="BM264" s="25" t="n">
        <f aca="false">INT(POWER(((([1]Constants!$G$1+$BE264+$BF264+$BG264+$BI264)*($BH264))*$BJ264),IF($J264="wagon",1,1.2)))+$BC264</f>
        <v>28</v>
      </c>
      <c r="BN264" s="17" t="n">
        <f aca="false">BL264*IF($J264="wagon",62.5,781.25)</f>
        <v>12500</v>
      </c>
      <c r="BO264" s="17" t="n">
        <f aca="false">BM264*IF($J264="wagon",2.73,81.25)</f>
        <v>2275</v>
      </c>
      <c r="BY264" s="1" t="n">
        <v>2</v>
      </c>
      <c r="BZ264" s="1" t="n">
        <v>148</v>
      </c>
      <c r="CC264" s="1" t="s">
        <v>327</v>
      </c>
      <c r="CD264" s="1" t="s">
        <v>605</v>
      </c>
      <c r="CE264" s="25" t="s">
        <v>760</v>
      </c>
      <c r="CF264" s="25" t="str">
        <f aca="false">CONCATENATE(CD264,"_",CE264)</f>
        <v>lbr_DMU (Cheap)</v>
      </c>
      <c r="CG264" s="25" t="str">
        <f aca="false">_xlfn.CONCAT(K264, "_",L264)</f>
        <v>diesel_RAIL</v>
      </c>
      <c r="CH264" s="7" t="str">
        <f aca="false">_xlfn.CONCAT("{BLACK}Length: {GOLD}", TEXT(ROUNDUP(IF(AT264&lt;&gt;"",SUM(VALUE(_xlfn.TEXTSPLIT(AT264, ","))), SUM(VALUE(_xlfn.TEXTSPLIT(AQ264, ",")))*IF(P264, P264, 1))/16, 1), "#,##0.0"), " tiles{}")</f>
        <v>{BLACK}Length: {GOLD}0.6 tiles{}</v>
      </c>
      <c r="CI264" s="1" t="n">
        <f aca="false">VLOOKUP($CG264, Constants!$M:$N, 2, FALSE())</f>
        <v>0</v>
      </c>
      <c r="CJ264" s="1" t="str">
        <f aca="false">IF(P264&gt;1,_xlfn.CONCAT("{BLACK}Cars: {GOLD}", P264),"")</f>
        <v/>
      </c>
      <c r="CK264" s="1" t="s">
        <v>988</v>
      </c>
      <c r="CM264" s="25"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{YELLOW}20% penalty for long distance travel{}</v>
      </c>
      <c r="CN264" s="25" t="str">
        <f aca="false">_xlfn.CONCAT(CI264,IF(CI264 &lt;&gt; "", " ", ""),CJ264,IF(OR(CJ264&lt;&gt;"", CI264&lt;&gt;""), "{}",""), CH264, CM264,"{SILVER}", CK264)</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65" s="25" customFormat="true" ht="14.25" hidden="false" customHeight="false" outlineLevel="0" collapsed="false">
      <c r="A265" s="25" t="s">
        <v>989</v>
      </c>
      <c r="B265" s="26" t="s">
        <v>990</v>
      </c>
      <c r="C265" s="1" t="n">
        <v>3051</v>
      </c>
      <c r="D265" s="25" t="n">
        <v>3053</v>
      </c>
      <c r="E265" s="1" t="n">
        <v>344</v>
      </c>
      <c r="G265" s="1" t="str">
        <f aca="false">IF($F265&lt;&gt;"",_xlfn.CONCAT(VLOOKUP($CE265, Constants!$T:$U, 2, FALSE()),",",$F265),VLOOKUP($CE265, Constants!$T:$U, 2, FALSE()))</f>
        <v>role/express_passenger</v>
      </c>
      <c r="H265" s="1" t="str">
        <f aca="false">IF($G265&lt;&gt;"",_xlfn.CONCAT(VLOOKUP($CG265, Constants!$M:$P, 4, FALSE()),",",$G265),VLOOKUP($CG265, Constants!$M:$P, 4, FALSE()))</f>
        <v>flag/GB,role/express_passenger</v>
      </c>
      <c r="I265" s="25" t="s">
        <v>198</v>
      </c>
      <c r="J265" s="25" t="s">
        <v>423</v>
      </c>
      <c r="K265" s="25" t="s">
        <v>659</v>
      </c>
      <c r="L265" s="25" t="s">
        <v>149</v>
      </c>
      <c r="M265" s="25" t="n">
        <v>1979</v>
      </c>
      <c r="N265" s="25" t="n">
        <v>1986</v>
      </c>
      <c r="O265" s="25" t="n">
        <v>1988</v>
      </c>
      <c r="P265" s="25" t="n">
        <v>6</v>
      </c>
      <c r="Q265" s="25" t="n">
        <v>10</v>
      </c>
      <c r="R265" s="2"/>
      <c r="S265" s="3"/>
      <c r="T265" s="3"/>
      <c r="U265" s="3"/>
      <c r="V265" s="3"/>
      <c r="W265" s="3"/>
      <c r="X265" s="3"/>
      <c r="Y265" s="3"/>
      <c r="Z265" s="25" t="n">
        <v>164.8</v>
      </c>
      <c r="AA265" s="2"/>
      <c r="AB265" s="25" t="n">
        <v>4</v>
      </c>
      <c r="AC265" s="25" t="n">
        <v>5</v>
      </c>
      <c r="AD265" s="4" t="n">
        <f aca="false">IF(AND(Z265&gt;0,AC265&gt;0),(AC265/((Z265+AA265)*10)),"")</f>
        <v>0.00303398058252427</v>
      </c>
      <c r="AE265" s="25" t="n">
        <v>155</v>
      </c>
      <c r="AF265" s="25" t="n">
        <f aca="false">ROUND(AE265*1.6, 0)</f>
        <v>248</v>
      </c>
      <c r="AI265" s="25" t="n">
        <v>20.9</v>
      </c>
      <c r="AJ265" s="25" t="n">
        <v>20.9</v>
      </c>
      <c r="AK265" s="25" t="n">
        <v>2.7</v>
      </c>
      <c r="AL265" s="25" t="n">
        <v>3.5</v>
      </c>
      <c r="AM265" s="5" t="n">
        <v>44</v>
      </c>
      <c r="AN265" s="1" t="str">
        <f aca="false">CONCATENATE(VLOOKUP(AO265, '[1]Voxel Sizes'!$A$2:$B$18,2,FALSE()),"x",INT(AK265*15), "x", INT(AL265*15))</f>
        <v>198x40x52</v>
      </c>
      <c r="AO265" s="25" t="n">
        <f aca="false">ROUND(15*((AJ265*10)/256),0)</f>
        <v>12</v>
      </c>
      <c r="AQ265" s="1" t="str">
        <f aca="false">CONCATENATE(VLOOKUP(AO265,Constants!$A$2:$C$16,IF(AP265&lt;&gt;"", 3, 2), FALSE()),IF(AP265&lt;&gt;"",CONCATENATE(",",VLOOKUP(AP265,$B:$AQ,42,FALSE())),""))</f>
        <v>4,4,4</v>
      </c>
      <c r="AS265" s="6"/>
      <c r="AT265" s="6"/>
      <c r="AU265" s="25" t="s">
        <v>991</v>
      </c>
      <c r="AW265" s="25" t="s">
        <v>992</v>
      </c>
      <c r="AX265" s="25" t="s">
        <v>993</v>
      </c>
      <c r="BA265" s="25" t="n">
        <v>12</v>
      </c>
      <c r="BB265" s="16" t="n">
        <f aca="false">IF(O265&lt;&gt;"",MAX(16,(O265-M265)+8),"")</f>
        <v>17</v>
      </c>
      <c r="BD265" s="25" t="n">
        <v>-20</v>
      </c>
      <c r="BE265" s="25" t="n">
        <f aca="false">MIN(AE265/150, 1)*30</f>
        <v>30</v>
      </c>
      <c r="BF265" s="25" t="n">
        <f aca="false">MIN(Q265/4000, 1)*20</f>
        <v>0.05</v>
      </c>
      <c r="BG265" s="25" t="n">
        <f aca="false">MIN(AC265/400,1)*20</f>
        <v>0.25</v>
      </c>
      <c r="BH265" s="4" t="n">
        <f aca="false">1-(MAX(M265-1900, 0)/750)</f>
        <v>0.894666666666667</v>
      </c>
      <c r="BI265" s="25" t="n">
        <f aca="false">((MAX($P265,1)*MIN($AM265/300,1)))*IF(J265="Wagon",50,10)</f>
        <v>8.8</v>
      </c>
      <c r="BJ265" s="1" t="n">
        <f aca="false">VLOOKUP($K265,Constants!$I:$K, 2, FALSE())</f>
        <v>0.85</v>
      </c>
      <c r="BK265" s="1" t="n">
        <f aca="false">VLOOKUP($K265,Constants!$I:$K, 3, FALSE())*IF(AND(J265="multiple_unit",AE265&lt;110),0.75,1)</f>
        <v>2.3</v>
      </c>
      <c r="BL265" s="25" t="n">
        <f aca="false">INT(POWER((([1]Constants!$G$2+$BE265+$BF265+$BG265+$BI265)*$BH265)*$BK265, 1.05))+$BD265</f>
        <v>93</v>
      </c>
      <c r="BM265" s="25" t="n">
        <f aca="false">INT(POWER(((([1]Constants!$G$1+$BE265+$BF265+$BG265+$BI265)*($BH265))*$BJ265),IF($J265="wagon",1,1.2)))+$BC265</f>
        <v>86</v>
      </c>
      <c r="BN265" s="17" t="n">
        <f aca="false">BL265*IF($J265="wagon",62.5,781.25)</f>
        <v>72656.25</v>
      </c>
      <c r="BO265" s="17" t="n">
        <f aca="false">BM265*IF($J265="wagon",2.73,81.25)</f>
        <v>6987.5</v>
      </c>
      <c r="BT265" s="25" t="n">
        <v>1</v>
      </c>
      <c r="BU265" s="25" t="s">
        <v>994</v>
      </c>
      <c r="BX265" s="25" t="s">
        <v>938</v>
      </c>
      <c r="BY265" s="25" t="n">
        <v>8</v>
      </c>
      <c r="BZ265" s="25" t="n">
        <v>222</v>
      </c>
      <c r="CC265" s="25" t="s">
        <v>327</v>
      </c>
      <c r="CD265" s="25" t="str">
        <f aca="false">VLOOKUP(M265,[1]Eras!$A$2:$C$10, 2, TRUE())</f>
        <v>lbr</v>
      </c>
      <c r="CE265" s="25" t="s">
        <v>842</v>
      </c>
      <c r="CF265" s="25" t="str">
        <f aca="false">CONCATENATE(CD265,"_",CE265)</f>
        <v>lbr_EMU (Express)</v>
      </c>
      <c r="CG265" s="25" t="str">
        <f aca="false">_xlfn.CONCAT(K265, "_",L265)</f>
        <v>none_RAIL</v>
      </c>
      <c r="CH265" s="7" t="str">
        <f aca="false">_xlfn.CONCAT("{BLACK}Length: {GOLD}", TEXT(ROUNDUP(IF(AT265&lt;&gt;"",SUM(VALUE(_xlfn.TEXTSPLIT(AT265, ","))), SUM(VALUE(_xlfn.TEXTSPLIT(AQ265, ",")))*IF(P265, P265, 1))/16, 1), "#,##0.0"), " tiles{}")</f>
        <v>{BLACK}Length: {GOLD}4.5 tiles{}</v>
      </c>
      <c r="CI265" s="1" t="n">
        <f aca="false">VLOOKUP($CG265, Constants!$M:$N, 2, FALSE())</f>
        <v>0</v>
      </c>
      <c r="CJ265" s="1" t="str">
        <f aca="false">IF(P265&gt;1,_xlfn.CONCAT("{BLACK}Cars: {GOLD}", P265),"")</f>
        <v>{BLACK}Cars: {GOLD}6</v>
      </c>
      <c r="CK265" s="25" t="s">
        <v>995</v>
      </c>
      <c r="CM265" s="25" t="str">
        <f aca="false">IF(CA265="buffet","{YELLOW}25% long distance bonus for consist{}",IF(CD265="BRAKE","{YELLOW}Speed bonus for slow wagons{}",IF(BZ265&gt;190,CONCATENATE("{YELLOW}",INT((BZ265-185)/1.85),"% bonus for long distance travel{}"),IF(AND(BZ265&lt;180,BZ265&lt;&gt;0),CONCATENATE("{YELLOW}",INT((185-BZ265)/1.85),"% penalty for long distance travel{}"),""))))</f>
        <v>{YELLOW}20% bonus for long distance travel{}</v>
      </c>
      <c r="CN265" s="25" t="str">
        <f aca="false">_xlfn.CONCAT(CI265,IF(CI265 &lt;&gt; "", " ", ""),CJ265,IF(OR(CJ265&lt;&gt;"", CI265&lt;&gt;""), "{}",""), CH265, CM265,"{SILVER}", CK265)</f>
        <v>{BLACK}Cars: {GOLD}6{}{BLACK}Length: {GOLD}4.5 tiles{}{YELLOW}20% bonus for long distance travel{}{SILVER}A 6-car unpowered half-rake of APT-P vehicles. Pair with the Non-Driving power car and a reversed set for a complete unit.</v>
      </c>
    </row>
    <row r="266" s="25" customFormat="true" ht="14.25" hidden="false" customHeight="false" outlineLevel="0" collapsed="false">
      <c r="A266" s="25" t="s">
        <v>996</v>
      </c>
      <c r="B266" s="26" t="s">
        <v>997</v>
      </c>
      <c r="C266" s="1" t="n">
        <v>3052</v>
      </c>
      <c r="D266" s="25" t="n">
        <v>3053</v>
      </c>
      <c r="E266" s="1" t="n">
        <v>345</v>
      </c>
      <c r="G266" s="1" t="str">
        <f aca="false">IF($F266&lt;&gt;"",_xlfn.CONCAT(VLOOKUP($CE266, Constants!$T:$U, 2, FALSE()),",",$F266),VLOOKUP($CE266, Constants!$T:$U, 2, FALSE()))</f>
        <v>role/express_passenger</v>
      </c>
      <c r="H266" s="1" t="str">
        <f aca="false">IF($G266&lt;&gt;"",_xlfn.CONCAT(VLOOKUP($CG266, Constants!$M:$P, 4, FALSE()),",",$G266),VLOOKUP($CG266, Constants!$M:$P, 4, FALSE()))</f>
        <v>flag/GB,role/express_passenger</v>
      </c>
      <c r="I266" s="25" t="s">
        <v>198</v>
      </c>
      <c r="J266" s="25" t="s">
        <v>998</v>
      </c>
      <c r="K266" s="25" t="s">
        <v>659</v>
      </c>
      <c r="L266" s="25" t="s">
        <v>149</v>
      </c>
      <c r="M266" s="25" t="n">
        <v>1979</v>
      </c>
      <c r="N266" s="25" t="n">
        <v>1986</v>
      </c>
      <c r="O266" s="25" t="n">
        <v>1988</v>
      </c>
      <c r="P266" s="25" t="n">
        <v>6</v>
      </c>
      <c r="Q266" s="25" t="n">
        <v>10</v>
      </c>
      <c r="R266" s="2"/>
      <c r="S266" s="3"/>
      <c r="T266" s="3"/>
      <c r="U266" s="3"/>
      <c r="V266" s="3"/>
      <c r="W266" s="3"/>
      <c r="X266" s="3"/>
      <c r="Y266" s="3"/>
      <c r="Z266" s="25" t="n">
        <v>164.8</v>
      </c>
      <c r="AA266" s="2"/>
      <c r="AB266" s="25" t="n">
        <v>4</v>
      </c>
      <c r="AC266" s="25" t="n">
        <v>5</v>
      </c>
      <c r="AD266" s="4" t="n">
        <f aca="false">IF(AND(Z266&gt;0,AC266&gt;0),(AC266/((Z266+AA266)*10)),"")</f>
        <v>0.00303398058252427</v>
      </c>
      <c r="AE266" s="25" t="n">
        <v>155</v>
      </c>
      <c r="AF266" s="25" t="n">
        <f aca="false">ROUND(AE266*1.6, 0)</f>
        <v>248</v>
      </c>
      <c r="AI266" s="25" t="n">
        <v>20.9</v>
      </c>
      <c r="AJ266" s="25" t="n">
        <v>20.9</v>
      </c>
      <c r="AK266" s="25" t="n">
        <v>2.7</v>
      </c>
      <c r="AL266" s="25" t="n">
        <v>3.5</v>
      </c>
      <c r="AM266" s="5" t="n">
        <v>44</v>
      </c>
      <c r="AN266" s="1" t="str">
        <f aca="false">CONCATENATE(VLOOKUP(AO266, '[1]Voxel Sizes'!$A$2:$B$18,2,FALSE()),"x",INT(AK266*15), "x", INT(AL266*15))</f>
        <v>198x40x52</v>
      </c>
      <c r="AO266" s="25" t="n">
        <f aca="false">ROUND(15*((AJ266*10)/256),0)</f>
        <v>12</v>
      </c>
      <c r="AQ266" s="1" t="str">
        <f aca="false">CONCATENATE(VLOOKUP(AO266,Constants!$A$2:$C$16,IF(AP266&lt;&gt;"", 3, 2), FALSE()),IF(AP266&lt;&gt;"",CONCATENATE(",",VLOOKUP(AP266,$B:$AQ,42,FALSE())),""))</f>
        <v>4,4,4</v>
      </c>
      <c r="AS266" s="6"/>
      <c r="AT266" s="6"/>
      <c r="AU266" s="25" t="s">
        <v>999</v>
      </c>
      <c r="AW266" s="25" t="s">
        <v>1000</v>
      </c>
      <c r="AX266" s="25" t="s">
        <v>1001</v>
      </c>
      <c r="BA266" s="25" t="n">
        <v>12</v>
      </c>
      <c r="BB266" s="16" t="n">
        <f aca="false">IF(O266&lt;&gt;"",MAX(16,(O266-M266)+8),"")</f>
        <v>17</v>
      </c>
      <c r="BC266" s="25" t="n">
        <v>-20</v>
      </c>
      <c r="BD266" s="25" t="n">
        <v>-20</v>
      </c>
      <c r="BE266" s="25" t="n">
        <f aca="false">MIN(AE266/150, 1)*30</f>
        <v>30</v>
      </c>
      <c r="BF266" s="25" t="n">
        <f aca="false">MIN(Q266/4000, 1)*20</f>
        <v>0.05</v>
      </c>
      <c r="BG266" s="25" t="n">
        <f aca="false">MIN(AC266/400,1)*20</f>
        <v>0.25</v>
      </c>
      <c r="BH266" s="4" t="n">
        <f aca="false">1-(MAX(M266-1900, 0)/750)</f>
        <v>0.894666666666667</v>
      </c>
      <c r="BI266" s="25" t="n">
        <f aca="false">((MAX($P266,1)*MIN($AM266/300,1)))*IF(J266="Wagon",50,10)</f>
        <v>8.8</v>
      </c>
      <c r="BJ266" s="1" t="n">
        <f aca="false">VLOOKUP($K266,Constants!$I:$K, 2, FALSE())</f>
        <v>0.85</v>
      </c>
      <c r="BK266" s="1" t="n">
        <f aca="false">VLOOKUP($K266,Constants!$I:$K, 3, FALSE())*IF(AND(J266="multiple_unit",AE266&lt;110),0.75,1)</f>
        <v>2.3</v>
      </c>
      <c r="BL266" s="25" t="n">
        <f aca="false">INT(POWER((([1]Constants!$G$2+$BE266+$BF266+$BG266+$BI266)*$BH266)*$BK266, 1.05))+$BD266</f>
        <v>93</v>
      </c>
      <c r="BM266" s="25" t="n">
        <f aca="false">INT(POWER(((([1]Constants!$G$1+$BE266+$BF266+$BG266+$BI266)*($BH266))*$BJ266),IF($J266="wagon",1,1.2)))+$BC266</f>
        <v>66</v>
      </c>
      <c r="BN266" s="17" t="n">
        <f aca="false">BL266*IF($J266="wagon",62.5,781.25)</f>
        <v>72656.25</v>
      </c>
      <c r="BO266" s="17" t="n">
        <f aca="false">BM266*IF($J266="wagon",2.73,81.25)</f>
        <v>5362.5</v>
      </c>
      <c r="BS266" s="25" t="n">
        <v>1</v>
      </c>
      <c r="BT266" s="25" t="n">
        <v>1</v>
      </c>
      <c r="BU266" s="25" t="s">
        <v>1002</v>
      </c>
      <c r="BX266" s="25" t="s">
        <v>938</v>
      </c>
      <c r="BY266" s="25" t="n">
        <v>8</v>
      </c>
      <c r="BZ266" s="25" t="n">
        <v>222</v>
      </c>
      <c r="CC266" s="25" t="s">
        <v>327</v>
      </c>
      <c r="CD266" s="25" t="str">
        <f aca="false">VLOOKUP(M266,[1]Eras!$A$2:$C$10, 2, TRUE())</f>
        <v>lbr</v>
      </c>
      <c r="CE266" s="25" t="s">
        <v>842</v>
      </c>
      <c r="CF266" s="25" t="str">
        <f aca="false">CONCATENATE(CD266,"_",CE266)</f>
        <v>lbr_EMU (Express)</v>
      </c>
      <c r="CG266" s="25" t="str">
        <f aca="false">_xlfn.CONCAT(K266, "_",L266)</f>
        <v>none_RAIL</v>
      </c>
      <c r="CH266" s="7" t="str">
        <f aca="false">_xlfn.CONCAT("{BLACK}Length: {GOLD}", TEXT(ROUNDUP(IF(AT266&lt;&gt;"",SUM(VALUE(_xlfn.TEXTSPLIT(AT266, ","))), SUM(VALUE(_xlfn.TEXTSPLIT(AQ266, ",")))*IF(P266, P266, 1))/16, 1), "#,##0.0"), " tiles{}")</f>
        <v>{BLACK}Length: {GOLD}4.5 tiles{}</v>
      </c>
      <c r="CI266" s="1" t="n">
        <f aca="false">VLOOKUP($CG266, Constants!$M:$N, 2, FALSE())</f>
        <v>0</v>
      </c>
      <c r="CJ266" s="1" t="str">
        <f aca="false">IF(P266&gt;1,_xlfn.CONCAT("{BLACK}Cars: {GOLD}", P266),"")</f>
        <v>{BLACK}Cars: {GOLD}6</v>
      </c>
      <c r="CK266" s="25" t="s">
        <v>1003</v>
      </c>
      <c r="CM266" s="25"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{YELLOW}20% bonus for long distance travel{}</v>
      </c>
      <c r="CN266" s="25" t="str">
        <f aca="false">_xlfn.CONCAT(CI266,IF(CI266 &lt;&gt; "", " ", ""),CJ266,IF(OR(CJ266&lt;&gt;"", CI266&lt;&gt;""), "{}",""), CH266, CM266,"{SILVER}", CK266)</f>
        <v>{BLACK}Cars: {GOLD}6{}{BLACK}Length: {GOLD}4.5 tiles{}{YELLOW}20% bonus for long distance travel{}{SILVER}A 6-car half-rake of APT-P vehicles. This is the rear half of a formation.</v>
      </c>
    </row>
    <row r="267" s="25" customFormat="true" ht="14.25" hidden="false" customHeight="false" outlineLevel="0" collapsed="false">
      <c r="A267" s="25" t="s">
        <v>1004</v>
      </c>
      <c r="B267" s="26" t="s">
        <v>1005</v>
      </c>
      <c r="C267" s="1" t="n">
        <v>3053</v>
      </c>
      <c r="E267" s="1" t="n">
        <v>346</v>
      </c>
      <c r="G267" s="1" t="str">
        <f aca="false">IF($F267&lt;&gt;"",_xlfn.CONCAT(VLOOKUP($CE267, Constants!$T:$U, 2, FALSE()),",",$F267),VLOOKUP($CE267, Constants!$T:$U, 2, FALSE()))</f>
        <v>role/express_passenger</v>
      </c>
      <c r="H267" s="1" t="str">
        <f aca="false">IF($G267&lt;&gt;"",_xlfn.CONCAT(VLOOKUP($CG267, Constants!$M:$P, 4, FALSE()),",",$G267),VLOOKUP($CG267, Constants!$M:$P, 4, FALSE()))</f>
        <v>flag/GB,role/express_passenger</v>
      </c>
      <c r="I267" s="25" t="s">
        <v>198</v>
      </c>
      <c r="J267" s="25" t="s">
        <v>423</v>
      </c>
      <c r="K267" s="25" t="s">
        <v>659</v>
      </c>
      <c r="L267" s="25" t="s">
        <v>149</v>
      </c>
      <c r="M267" s="25" t="n">
        <v>1979</v>
      </c>
      <c r="N267" s="25" t="n">
        <v>1986</v>
      </c>
      <c r="O267" s="25" t="n">
        <v>1988</v>
      </c>
      <c r="P267" s="25" t="n">
        <v>2</v>
      </c>
      <c r="Q267" s="25" t="n">
        <v>10</v>
      </c>
      <c r="R267" s="2"/>
      <c r="S267" s="3"/>
      <c r="T267" s="3"/>
      <c r="U267" s="3"/>
      <c r="V267" s="3"/>
      <c r="W267" s="3"/>
      <c r="X267" s="3"/>
      <c r="Y267" s="3"/>
      <c r="Z267" s="25" t="n">
        <v>65.6</v>
      </c>
      <c r="AA267" s="2"/>
      <c r="AB267" s="25" t="n">
        <v>4</v>
      </c>
      <c r="AC267" s="25" t="n">
        <v>5</v>
      </c>
      <c r="AD267" s="4" t="n">
        <f aca="false">IF(AND(Z267&gt;0,AC267&gt;0),(AC267/((Z267+AA267)*10)),"")</f>
        <v>0.0076219512195122</v>
      </c>
      <c r="AE267" s="25" t="n">
        <v>155</v>
      </c>
      <c r="AF267" s="25" t="n">
        <f aca="false">ROUND(AE267*1.6, 0)</f>
        <v>248</v>
      </c>
      <c r="AI267" s="25" t="n">
        <v>20.9</v>
      </c>
      <c r="AJ267" s="25" t="n">
        <v>20.9</v>
      </c>
      <c r="AK267" s="25" t="n">
        <v>2.7</v>
      </c>
      <c r="AL267" s="25" t="n">
        <v>3.5</v>
      </c>
      <c r="AM267" s="5" t="n">
        <v>39</v>
      </c>
      <c r="AN267" s="1" t="str">
        <f aca="false">CONCATENATE(VLOOKUP(AO267, '[1]Voxel Sizes'!$A$2:$B$18,2,FALSE()),"x",INT(AK267*15), "x", INT(AL267*15))</f>
        <v>198x40x52</v>
      </c>
      <c r="AO267" s="25" t="n">
        <f aca="false">ROUND(15*((AJ267*10)/256),0)</f>
        <v>12</v>
      </c>
      <c r="AQ267" s="1" t="str">
        <f aca="false">CONCATENATE(VLOOKUP(AO267,Constants!$A$2:$C$16,IF(AP267&lt;&gt;"", 3, 2), FALSE()),IF(AP267&lt;&gt;"",CONCATENATE(",",VLOOKUP(AP267,$B:$AQ,42,FALSE())),""))</f>
        <v>4,4,4</v>
      </c>
      <c r="AS267" s="6"/>
      <c r="AT267" s="6"/>
      <c r="AU267" s="25" t="s">
        <v>1006</v>
      </c>
      <c r="AW267" s="25" t="s">
        <v>888</v>
      </c>
      <c r="AX267" s="25" t="s">
        <v>993</v>
      </c>
      <c r="BA267" s="25" t="n">
        <v>12</v>
      </c>
      <c r="BB267" s="16" t="n">
        <f aca="false">IF(O267&lt;&gt;"",MAX(16,(O267-M267)+8),"")</f>
        <v>17</v>
      </c>
      <c r="BC267" s="25" t="n">
        <v>-45</v>
      </c>
      <c r="BD267" s="25" t="n">
        <v>-65</v>
      </c>
      <c r="BE267" s="25" t="n">
        <f aca="false">MIN(AE267/150, 1)*30</f>
        <v>30</v>
      </c>
      <c r="BF267" s="25" t="n">
        <f aca="false">MIN(Q267/4000, 1)*20</f>
        <v>0.05</v>
      </c>
      <c r="BG267" s="25" t="n">
        <f aca="false">MIN(AC267/400,1)*20</f>
        <v>0.25</v>
      </c>
      <c r="BH267" s="4" t="n">
        <f aca="false">1-(MAX(M267-1900, 0)/750)</f>
        <v>0.894666666666667</v>
      </c>
      <c r="BI267" s="25" t="n">
        <f aca="false">((MAX($P267,1)*MIN($AM267/300,1)))*IF(J267="Wagon",50,10)</f>
        <v>2.6</v>
      </c>
      <c r="BJ267" s="1" t="n">
        <f aca="false">VLOOKUP($K267,Constants!$I:$K, 2, FALSE())</f>
        <v>0.85</v>
      </c>
      <c r="BK267" s="1" t="n">
        <f aca="false">VLOOKUP($K267,Constants!$I:$K, 3, FALSE())*IF(AND(J267="multiple_unit",AE267&lt;110),0.75,1)</f>
        <v>2.3</v>
      </c>
      <c r="BL267" s="25" t="n">
        <f aca="false">INT(POWER((([1]Constants!$G$2+$BE267+$BF267+$BG267+$BI267)*$BH267)*$BK267, 1.05))+$BD267</f>
        <v>31</v>
      </c>
      <c r="BM267" s="25" t="n">
        <f aca="false">INT(POWER(((([1]Constants!$G$1+$BE267+$BF267+$BG267+$BI267)*($BH267))*$BJ267),IF($J267="wagon",1,1.2)))+$BC267</f>
        <v>29</v>
      </c>
      <c r="BN267" s="17" t="n">
        <f aca="false">BL267*IF($J267="wagon",62.5,781.25)</f>
        <v>24218.75</v>
      </c>
      <c r="BO267" s="17" t="n">
        <f aca="false">BM267*IF($J267="wagon",2.73,81.25)</f>
        <v>2356.25</v>
      </c>
      <c r="BT267" s="25" t="n">
        <v>1</v>
      </c>
      <c r="BU267" s="25" t="s">
        <v>1007</v>
      </c>
      <c r="BY267" s="25" t="n">
        <v>8</v>
      </c>
      <c r="BZ267" s="25" t="n">
        <v>185</v>
      </c>
      <c r="CC267" s="25" t="s">
        <v>327</v>
      </c>
      <c r="CD267" s="25" t="str">
        <f aca="false">VLOOKUP(M267,[1]Eras!$A$2:$C$10, 2, TRUE())</f>
        <v>lbr</v>
      </c>
      <c r="CE267" s="25" t="s">
        <v>842</v>
      </c>
      <c r="CF267" s="25" t="str">
        <f aca="false">CONCATENATE(CD267,"_",CE267)</f>
        <v>lbr_EMU (Express)</v>
      </c>
      <c r="CG267" s="25" t="str">
        <f aca="false">_xlfn.CONCAT(K267, "_",L267)</f>
        <v>none_RAIL</v>
      </c>
      <c r="CH267" s="7" t="str">
        <f aca="false">_xlfn.CONCAT("{BLACK}Length: {GOLD}", TEXT(ROUNDUP(IF(AT267&lt;&gt;"",SUM(VALUE(_xlfn.TEXTSPLIT(AT267, ","))), SUM(VALUE(_xlfn.TEXTSPLIT(AQ267, ",")))*IF(P267, P267, 1))/16, 1), "#,##0.0"), " tiles{}")</f>
        <v>{BLACK}Length: {GOLD}1.5 tiles{}</v>
      </c>
      <c r="CI267" s="1" t="n">
        <f aca="false">VLOOKUP($CG267, Constants!$M:$N, 2, FALSE())</f>
        <v>0</v>
      </c>
      <c r="CJ267" s="1" t="str">
        <f aca="false">IF(P267&gt;1,_xlfn.CONCAT("{BLACK}Cars: {GOLD}", P267),"")</f>
        <v>{BLACK}Cars: {GOLD}2</v>
      </c>
      <c r="CK267" s="25" t="s">
        <v>1008</v>
      </c>
      <c r="CM267" s="25"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
      </c>
      <c r="CN267" s="25" t="str">
        <f aca="false">_xlfn.CONCAT(CI267,IF(CI267 &lt;&gt; "", " ", ""),CJ267,IF(OR(CJ267&lt;&gt;"", CI267&lt;&gt;""), "{}",""), CH267, CM267,"{SILVER}", CK267)</f>
        <v>{BLACK}Cars: {GOLD}2{}{BLACK}Length: {GOLD}1.5 tiles{}{SILVER}A minimal 2-car half-rake of APT-P Vehicles. Lack of dining facilities makes this much less attractive for passengers. Pair with the Non-Driving power car and a reversed set for a complete unit.</v>
      </c>
    </row>
    <row r="268" s="25" customFormat="true" ht="14.25" hidden="false" customHeight="false" outlineLevel="0" collapsed="false">
      <c r="A268" s="25" t="s">
        <v>1009</v>
      </c>
      <c r="B268" s="26" t="s">
        <v>1010</v>
      </c>
      <c r="C268" s="1" t="n">
        <v>3054</v>
      </c>
      <c r="D268" s="25" t="n">
        <v>3053</v>
      </c>
      <c r="E268" s="1" t="n">
        <v>347</v>
      </c>
      <c r="G268" s="1" t="str">
        <f aca="false">IF($F268&lt;&gt;"",_xlfn.CONCAT(VLOOKUP($CE268, Constants!$T:$U, 2, FALSE()),",",$F268),VLOOKUP($CE268, Constants!$T:$U, 2, FALSE()))</f>
        <v>role/express_passenger</v>
      </c>
      <c r="H268" s="1" t="str">
        <f aca="false">IF($G268&lt;&gt;"",_xlfn.CONCAT(VLOOKUP($CG268, Constants!$M:$P, 4, FALSE()),",",$G268),VLOOKUP($CG268, Constants!$M:$P, 4, FALSE()))</f>
        <v>flag/GB,role/express_passenger</v>
      </c>
      <c r="I268" s="25" t="s">
        <v>198</v>
      </c>
      <c r="J268" s="25" t="s">
        <v>998</v>
      </c>
      <c r="K268" s="25" t="s">
        <v>659</v>
      </c>
      <c r="L268" s="25" t="s">
        <v>149</v>
      </c>
      <c r="M268" s="25" t="n">
        <v>1979</v>
      </c>
      <c r="N268" s="25" t="n">
        <v>1986</v>
      </c>
      <c r="O268" s="25" t="n">
        <v>1988</v>
      </c>
      <c r="P268" s="25" t="n">
        <v>2</v>
      </c>
      <c r="Q268" s="25" t="n">
        <v>10</v>
      </c>
      <c r="R268" s="2"/>
      <c r="S268" s="3"/>
      <c r="T268" s="3"/>
      <c r="U268" s="3"/>
      <c r="V268" s="3"/>
      <c r="W268" s="3"/>
      <c r="X268" s="3"/>
      <c r="Y268" s="3"/>
      <c r="Z268" s="25" t="n">
        <v>65.6</v>
      </c>
      <c r="AA268" s="2"/>
      <c r="AB268" s="25" t="n">
        <v>4</v>
      </c>
      <c r="AC268" s="25" t="n">
        <v>5</v>
      </c>
      <c r="AD268" s="4" t="n">
        <f aca="false">IF(AND(Z268&gt;0,AC268&gt;0),(AC268/((Z268+AA268)*10)),"")</f>
        <v>0.0076219512195122</v>
      </c>
      <c r="AE268" s="25" t="n">
        <v>155</v>
      </c>
      <c r="AF268" s="25" t="n">
        <f aca="false">ROUND(AE268*1.6, 0)</f>
        <v>248</v>
      </c>
      <c r="AI268" s="25" t="n">
        <v>20.9</v>
      </c>
      <c r="AJ268" s="25" t="n">
        <v>20.9</v>
      </c>
      <c r="AK268" s="25" t="n">
        <v>2.7</v>
      </c>
      <c r="AL268" s="25" t="n">
        <v>3.5</v>
      </c>
      <c r="AM268" s="5" t="n">
        <v>39</v>
      </c>
      <c r="AN268" s="1" t="str">
        <f aca="false">CONCATENATE(VLOOKUP(AO268, '[1]Voxel Sizes'!$A$2:$B$18,2,FALSE()),"x",INT(AK268*15), "x", INT(AL268*15))</f>
        <v>198x40x52</v>
      </c>
      <c r="AO268" s="25" t="n">
        <f aca="false">ROUND(15*((AJ268*10)/256),0)</f>
        <v>12</v>
      </c>
      <c r="AQ268" s="1" t="str">
        <f aca="false">CONCATENATE(VLOOKUP(AO268,Constants!$A$2:$C$16,IF(AP268&lt;&gt;"", 3, 2), FALSE()),IF(AP268&lt;&gt;"",CONCATENATE(",",VLOOKUP(AP268,$B:$AQ,42,FALSE())),""))</f>
        <v>4,4,4</v>
      </c>
      <c r="AS268" s="6"/>
      <c r="AT268" s="6"/>
      <c r="AU268" s="25" t="s">
        <v>1011</v>
      </c>
      <c r="AW268" s="25" t="s">
        <v>888</v>
      </c>
      <c r="AX268" s="25" t="s">
        <v>1001</v>
      </c>
      <c r="BA268" s="25" t="n">
        <v>12</v>
      </c>
      <c r="BB268" s="16" t="n">
        <f aca="false">IF(O268&lt;&gt;"",MAX(16,(O268-M268)+8),"")</f>
        <v>17</v>
      </c>
      <c r="BC268" s="25" t="n">
        <v>-60</v>
      </c>
      <c r="BD268" s="25" t="n">
        <v>-65</v>
      </c>
      <c r="BE268" s="25" t="n">
        <f aca="false">MIN(AE268/150, 1)*30</f>
        <v>30</v>
      </c>
      <c r="BF268" s="25" t="n">
        <f aca="false">MIN(Q268/4000, 1)*20</f>
        <v>0.05</v>
      </c>
      <c r="BG268" s="25" t="n">
        <f aca="false">MIN(AC268/400,1)*20</f>
        <v>0.25</v>
      </c>
      <c r="BH268" s="4" t="n">
        <f aca="false">1-(MAX(M268-1900, 0)/750)</f>
        <v>0.894666666666667</v>
      </c>
      <c r="BI268" s="25" t="n">
        <f aca="false">((MAX($P268,1)*MIN($AM268/300,1)))*IF(J268="Wagon",50,10)</f>
        <v>2.6</v>
      </c>
      <c r="BJ268" s="1" t="n">
        <f aca="false">VLOOKUP($K268,Constants!$I:$K, 2, FALSE())</f>
        <v>0.85</v>
      </c>
      <c r="BK268" s="1" t="n">
        <f aca="false">VLOOKUP($K268,Constants!$I:$K, 3, FALSE())*IF(AND(J268="multiple_unit",AE268&lt;110),0.75,1)</f>
        <v>2.3</v>
      </c>
      <c r="BL268" s="25" t="n">
        <f aca="false">INT(POWER((([1]Constants!$G$2+$BE268+$BF268+$BG268+$BI268)*$BH268)*$BK268, 1.05))+$BD268</f>
        <v>31</v>
      </c>
      <c r="BM268" s="25" t="n">
        <f aca="false">INT(POWER(((([1]Constants!$G$1+$BE268+$BF268+$BG268+$BI268)*($BH268))*$BJ268),IF($J268="wagon",1,1.2)))+$BC268</f>
        <v>14</v>
      </c>
      <c r="BN268" s="17" t="n">
        <f aca="false">BL268*IF($J268="wagon",62.5,781.25)</f>
        <v>24218.75</v>
      </c>
      <c r="BO268" s="17" t="n">
        <f aca="false">BM268*IF($J268="wagon",2.73,81.25)</f>
        <v>1137.5</v>
      </c>
      <c r="BS268" s="25" t="n">
        <v>1</v>
      </c>
      <c r="BT268" s="25" t="n">
        <v>1</v>
      </c>
      <c r="BU268" s="25" t="s">
        <v>1012</v>
      </c>
      <c r="BY268" s="25" t="n">
        <v>8</v>
      </c>
      <c r="BZ268" s="25" t="n">
        <v>185</v>
      </c>
      <c r="CC268" s="25" t="s">
        <v>327</v>
      </c>
      <c r="CD268" s="25" t="str">
        <f aca="false">VLOOKUP(M268,[1]Eras!$A$2:$C$10, 2, TRUE())</f>
        <v>lbr</v>
      </c>
      <c r="CE268" s="25" t="s">
        <v>842</v>
      </c>
      <c r="CF268" s="25" t="str">
        <f aca="false">CONCATENATE(CD268,"_",CE268)</f>
        <v>lbr_EMU (Express)</v>
      </c>
      <c r="CG268" s="25" t="str">
        <f aca="false">_xlfn.CONCAT(K268, "_",L268)</f>
        <v>none_RAIL</v>
      </c>
      <c r="CH268" s="7" t="str">
        <f aca="false">_xlfn.CONCAT("{BLACK}Length: {GOLD}", TEXT(ROUNDUP(IF(AT268&lt;&gt;"",SUM(VALUE(_xlfn.TEXTSPLIT(AT268, ","))), SUM(VALUE(_xlfn.TEXTSPLIT(AQ268, ",")))*IF(P268, P268, 1))/16, 1), "#,##0.0"), " tiles{}")</f>
        <v>{BLACK}Length: {GOLD}1.5 tiles{}</v>
      </c>
      <c r="CI268" s="1" t="n">
        <f aca="false">VLOOKUP($CG268, Constants!$M:$N, 2, FALSE())</f>
        <v>0</v>
      </c>
      <c r="CJ268" s="1" t="str">
        <f aca="false">IF(P268&gt;1,_xlfn.CONCAT("{BLACK}Cars: {GOLD}", P268),"")</f>
        <v>{BLACK}Cars: {GOLD}2</v>
      </c>
      <c r="CK268" s="25" t="s">
        <v>1013</v>
      </c>
      <c r="CM268" s="25"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25" t="str">
        <f aca="false">_xlfn.CONCAT(CI268,IF(CI268 &lt;&gt; "", " ", ""),CJ268,IF(OR(CJ268&lt;&gt;"", CI268&lt;&gt;""), "{}",""), CH268, CM268,"{SILVER}", CK268)</f>
        <v>{BLACK}Cars: {GOLD}2{}{BLACK}Length: {GOLD}1.5 tiles{}{SILVER}A minimal 2-car half-rake of APT-P Vehicles. Lack of dining facilities makes this much less attractive for passengers. This is the rear half of a formation.</v>
      </c>
    </row>
    <row r="269" s="25" customFormat="true" ht="14.25" hidden="false" customHeight="false" outlineLevel="0" collapsed="false">
      <c r="A269" s="25" t="s">
        <v>1014</v>
      </c>
      <c r="B269" s="26" t="s">
        <v>1015</v>
      </c>
      <c r="C269" s="1" t="n">
        <v>3055</v>
      </c>
      <c r="D269" s="25" t="n">
        <v>3053</v>
      </c>
      <c r="E269" s="1" t="n">
        <v>348</v>
      </c>
      <c r="G269" s="1" t="str">
        <f aca="false">IF($F269&lt;&gt;"",_xlfn.CONCAT(VLOOKUP($CE269, Constants!$T:$U, 2, FALSE()),",",$F269),VLOOKUP($CE269, Constants!$T:$U, 2, FALSE()))</f>
        <v>role/express_passenger</v>
      </c>
      <c r="H269" s="1" t="str">
        <f aca="false">IF($G269&lt;&gt;"",_xlfn.CONCAT(VLOOKUP($CG269, Constants!$M:$P, 4, FALSE()),",",$G269),VLOOKUP($CG269, Constants!$M:$P, 4, FALSE()))</f>
        <v>flag/GB,power/electric,role/express_passenger</v>
      </c>
      <c r="I269" s="25" t="s">
        <v>198</v>
      </c>
      <c r="J269" s="25" t="s">
        <v>206</v>
      </c>
      <c r="K269" s="25" t="s">
        <v>349</v>
      </c>
      <c r="L269" s="25" t="s">
        <v>350</v>
      </c>
      <c r="M269" s="25" t="n">
        <v>1979</v>
      </c>
      <c r="N269" s="25" t="n">
        <v>1986</v>
      </c>
      <c r="O269" s="25" t="n">
        <v>1988</v>
      </c>
      <c r="Q269" s="25" t="n">
        <v>4000</v>
      </c>
      <c r="R269" s="2"/>
      <c r="S269" s="3"/>
      <c r="T269" s="3"/>
      <c r="U269" s="3"/>
      <c r="V269" s="3"/>
      <c r="W269" s="3"/>
      <c r="X269" s="3"/>
      <c r="Y269" s="3"/>
      <c r="Z269" s="25" t="n">
        <v>67.5</v>
      </c>
      <c r="AA269" s="2"/>
      <c r="AB269" s="25" t="n">
        <v>4</v>
      </c>
      <c r="AC269" s="25" t="n">
        <v>210</v>
      </c>
      <c r="AD269" s="4" t="n">
        <f aca="false">IF(AND(Z269&gt;0,AC269&gt;0),(AC269/((Z269+AA269)*10)),"")</f>
        <v>0.311111111111111</v>
      </c>
      <c r="AE269" s="25" t="n">
        <v>155</v>
      </c>
      <c r="AF269" s="25" t="n">
        <f aca="false">ROUND(AE269*1.6, 0)</f>
        <v>248</v>
      </c>
      <c r="AI269" s="25" t="n">
        <v>20.9</v>
      </c>
      <c r="AJ269" s="25" t="n">
        <v>20.9</v>
      </c>
      <c r="AK269" s="25" t="n">
        <v>2.7</v>
      </c>
      <c r="AL269" s="25" t="n">
        <v>3.5</v>
      </c>
      <c r="AM269" s="5" t="n">
        <v>0</v>
      </c>
      <c r="AN269" s="1" t="str">
        <f aca="false">CONCATENATE(VLOOKUP(AO269, '[1]Voxel Sizes'!$A$2:$B$18,2,FALSE()),"x",INT(AK269*15), "x", INT(AL269*15))</f>
        <v>198x40x52</v>
      </c>
      <c r="AO269" s="25" t="n">
        <f aca="false">ROUND(15*((AJ269*10)/256),0)</f>
        <v>12</v>
      </c>
      <c r="AQ269" s="1" t="str">
        <f aca="false">CONCATENATE(VLOOKUP(AO269,Constants!$A$2:$C$16,IF(AP269&lt;&gt;"", 3, 2), FALSE()),IF(AP269&lt;&gt;"",CONCATENATE(",",VLOOKUP(AP269,$B:$AQ,42,FALSE())),""))</f>
        <v>4,4,4</v>
      </c>
      <c r="AS269" s="6"/>
      <c r="AT269" s="6"/>
      <c r="BA269" s="25" t="n">
        <v>12</v>
      </c>
      <c r="BB269" s="16" t="n">
        <f aca="false">IF(O269&lt;&gt;"",MAX(16,(O269-M269)+8),"")</f>
        <v>17</v>
      </c>
      <c r="BC269" s="25" t="n">
        <v>25</v>
      </c>
      <c r="BD269" s="25" t="n">
        <v>-90</v>
      </c>
      <c r="BE269" s="25" t="n">
        <f aca="false">MIN(AE269/150, 1)*30</f>
        <v>30</v>
      </c>
      <c r="BF269" s="25" t="n">
        <f aca="false">MIN(Q269/4000, 1)*20</f>
        <v>20</v>
      </c>
      <c r="BG269" s="25" t="n">
        <f aca="false">MIN(AC269/400,1)*20</f>
        <v>10.5</v>
      </c>
      <c r="BH269" s="4" t="n">
        <f aca="false">1-(MAX(M269-1900, 0)/750)</f>
        <v>0.894666666666667</v>
      </c>
      <c r="BI269" s="25" t="n">
        <f aca="false">((MAX($P269,1)*MIN($AM269/300,1)))*IF(J269="Wagon",50,10)</f>
        <v>0</v>
      </c>
      <c r="BJ269" s="1" t="n">
        <f aca="false">VLOOKUP($K269,Constants!$I:$K, 2, FALSE())</f>
        <v>0.85</v>
      </c>
      <c r="BK269" s="1" t="n">
        <f aca="false">VLOOKUP($K269,Constants!$I:$K, 3, FALSE())*IF(AND(J269="multiple_unit",AE269&lt;110),0.75,1)</f>
        <v>2.3</v>
      </c>
      <c r="BL269" s="25" t="n">
        <f aca="false">INT(POWER((([1]Constants!$G$2+$BE269+$BF269+$BG269+$BI269)*$BH269)*$BK269, 1.05))+$BD269</f>
        <v>82</v>
      </c>
      <c r="BM269" s="25" t="n">
        <f aca="false">INT(POWER(((([1]Constants!$G$1+$BE269+$BF269+$BG269+$BI269)*($BH269))*$BJ269),IF($J269="wagon",1,1.2)))+$BC269</f>
        <v>154</v>
      </c>
      <c r="BN269" s="17" t="n">
        <f aca="false">BL269*IF($J269="wagon",62.5,781.25)</f>
        <v>64062.5</v>
      </c>
      <c r="BO269" s="17" t="n">
        <f aca="false">BM269*IF($J269="wagon",2.73,81.25)</f>
        <v>12512.5</v>
      </c>
      <c r="BP269" s="25" t="n">
        <v>2</v>
      </c>
      <c r="BS269" s="25" t="n">
        <v>1</v>
      </c>
      <c r="BT269" s="25" t="n">
        <v>1</v>
      </c>
      <c r="BU269" s="25" t="s">
        <v>1016</v>
      </c>
      <c r="BY269" s="25" t="n">
        <v>8</v>
      </c>
      <c r="CD269" s="25" t="str">
        <f aca="false">VLOOKUP(M269,[1]Eras!$A$2:$C$10, 2, TRUE())</f>
        <v>lbr</v>
      </c>
      <c r="CE269" s="25" t="s">
        <v>842</v>
      </c>
      <c r="CF269" s="25" t="str">
        <f aca="false">CONCATENATE(CD269,"_",CE269)</f>
        <v>lbr_EMU (Express)</v>
      </c>
      <c r="CG269" s="25" t="str">
        <f aca="false">_xlfn.CONCAT(K269, "_",L269)</f>
        <v>electric_ELRL</v>
      </c>
      <c r="CH269" s="7" t="str">
        <f aca="false">_xlfn.CONCAT("{BLACK}Length: {GOLD}", TEXT(ROUNDUP(IF(AT269&lt;&gt;"",SUM(VALUE(_xlfn.TEXTSPLIT(AT269, ","))), SUM(VALUE(_xlfn.TEXTSPLIT(AQ269, ",")))*IF(P269, P269, 1))/16, 1), "#,##0.0"), " tiles{}")</f>
        <v>{BLACK}Length: {GOLD}0.8 tiles{}</v>
      </c>
      <c r="CI269" s="1" t="n">
        <f aca="false">VLOOKUP($CG269, Constants!$M:$N, 2, FALSE())</f>
        <v>0</v>
      </c>
      <c r="CJ269" s="1" t="str">
        <f aca="false">IF(P269&gt;1,_xlfn.CONCAT("{BLACK}Cars: {GOLD}", P269),"")</f>
        <v/>
      </c>
      <c r="CK269" s="25" t="s">
        <v>1017</v>
      </c>
      <c r="CM269" s="25"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25" t="str">
        <f aca="false">_xlfn.CONCAT(CI269,IF(CI269 &lt;&gt; "", " ", ""),CJ269,IF(OR(CJ269&lt;&gt;"", CI269&lt;&gt;""), "{}",""), CH269, CM269,"{SILVER}", CK269)</f>
        <v>{BLACK}Length: {GOLD}0.8 tiles{}{SILVER}An APT-P centre power car</v>
      </c>
    </row>
    <row r="270" customFormat="false" ht="14.25" hidden="false" customHeight="false" outlineLevel="0" collapsed="false">
      <c r="A270" s="1" t="s">
        <v>1018</v>
      </c>
      <c r="B270" s="15" t="s">
        <v>1019</v>
      </c>
      <c r="C270" s="1" t="n">
        <v>239</v>
      </c>
      <c r="E270" s="1" t="n">
        <v>349</v>
      </c>
      <c r="G270" s="1" t="str">
        <f aca="false">IF($F270&lt;&gt;"",_xlfn.CONCAT(VLOOKUP($CE270, Constants!$T:$U, 2, FALSE()),",",$F270),VLOOKUP($CE270, Constants!$T:$U, 2, FALSE()))</f>
        <v>role/passenger</v>
      </c>
      <c r="H270" s="1" t="str">
        <f aca="false">IF($G270&lt;&gt;"",_xlfn.CONCAT(VLOOKUP($CG270, Constants!$M:$P, 4, FALSE()),",",$G270),VLOOKUP($CG270, Constants!$M:$P, 4, FALSE()))</f>
        <v>flag/GB,power/electric,role/passenger</v>
      </c>
      <c r="I270" s="1" t="s">
        <v>198</v>
      </c>
      <c r="J270" s="1" t="s">
        <v>423</v>
      </c>
      <c r="K270" s="1" t="s">
        <v>349</v>
      </c>
      <c r="L270" s="1" t="s">
        <v>350</v>
      </c>
      <c r="M270" s="1" t="n">
        <v>1980</v>
      </c>
      <c r="N270" s="1" t="n">
        <v>1981</v>
      </c>
      <c r="P270" s="1" t="n">
        <v>4</v>
      </c>
      <c r="Q270" s="1" t="n">
        <v>880</v>
      </c>
      <c r="Z270" s="1" t="n">
        <v>127.5</v>
      </c>
      <c r="AB270" s="1" t="n">
        <v>5</v>
      </c>
      <c r="AC270" s="1" t="n">
        <v>140</v>
      </c>
      <c r="AD270" s="4" t="n">
        <f aca="false">IF(AND(Z270&gt;0,AC270&gt;0),(AC270/((Z270+AA270)*10)),"")</f>
        <v>0.109803921568627</v>
      </c>
      <c r="AE270" s="1" t="n">
        <v>75</v>
      </c>
      <c r="AF270" s="1" t="n">
        <f aca="false">ROUND(AE270*1.6, 0)</f>
        <v>120</v>
      </c>
      <c r="AI270" s="1" t="n">
        <v>19.8</v>
      </c>
      <c r="AJ270" s="1" t="n">
        <v>19.8</v>
      </c>
      <c r="AL270" s="1" t="n">
        <v>3.58</v>
      </c>
      <c r="AM270" s="5" t="n">
        <v>78</v>
      </c>
      <c r="AN270" s="1" t="str">
        <f aca="false">CONCATENATE(VLOOKUP(AO270, 'Voxel Sizes'!$A$2:$B$18,2,FALSE()),"x",INT(AK270*15), "x", INT(AL270*15))</f>
        <v>198x0x53</v>
      </c>
      <c r="AO270" s="1" t="n">
        <f aca="false">ROUND(15*((AJ270*10)/256),0)</f>
        <v>12</v>
      </c>
      <c r="AQ270" s="1" t="str">
        <f aca="false">CONCATENATE(VLOOKUP(AO270,Constants!$A$2:$C$16,IF(AP270&lt;&gt;"", 3, 2), FALSE()),IF(AP270&lt;&gt;"",CONCATENATE(",",VLOOKUP(AP270,$B:$AQ,42,FALSE())),""))</f>
        <v>4,4,4</v>
      </c>
      <c r="AU270" s="1" t="s">
        <v>1020</v>
      </c>
      <c r="AW270" s="1" t="s">
        <v>898</v>
      </c>
      <c r="BA270" s="1" t="n">
        <v>35</v>
      </c>
      <c r="BB270" s="16" t="str">
        <f aca="false">IF(O270&lt;&gt;"",MAX(16,(O270-M270)+8),"")</f>
        <v/>
      </c>
      <c r="BC270" s="1" t="n">
        <v>-10</v>
      </c>
      <c r="BD270" s="1" t="n">
        <v>-20</v>
      </c>
      <c r="BE270" s="1" t="n">
        <f aca="false">MIN(AE270/150, 1)*30</f>
        <v>15</v>
      </c>
      <c r="BF270" s="1" t="n">
        <f aca="false">MIN(Q270/4000, 1)*20</f>
        <v>4.4</v>
      </c>
      <c r="BG270" s="1" t="n">
        <f aca="false">MIN(AC270/400,1)*20</f>
        <v>7</v>
      </c>
      <c r="BH270" s="4" t="n">
        <f aca="false">1-(MAX(M270-1900, 0)/750)</f>
        <v>0.893333333333333</v>
      </c>
      <c r="BI270" s="1" t="n">
        <f aca="false">((MAX($P270,1)*MIN($AM270/300,1)))*IF(J270="Wagon",50,10)</f>
        <v>10.4</v>
      </c>
      <c r="BJ270" s="1" t="n">
        <f aca="false">VLOOKUP($K270,Constants!$I:$K, 2, FALSE())</f>
        <v>0.85</v>
      </c>
      <c r="BK270" s="1" t="n">
        <f aca="false">VLOOKUP($K270,Constants!$I:$K, 3, FALSE())*IF(AND(J270="multiple_unit",AE270&lt;110),0.75,1)</f>
        <v>1.725</v>
      </c>
      <c r="BL270" s="1" t="n">
        <f aca="false">INT(POWER(((Constants!$G$2+$BE270+$BF270+$BG270+$BI270)*$BH270)*$BK270, 1.05))+$BD270</f>
        <v>59</v>
      </c>
      <c r="BM270" s="1" t="n">
        <f aca="false">INT(POWER((((Constants!$G$1+$BE270+$BF270+$BG270+$BI270)*($BH270))*$BJ270),IF($J270="wagon",1,1.2)))+$BC270</f>
        <v>71</v>
      </c>
      <c r="BN270" s="17" t="n">
        <f aca="false">BL270*IF($J270="wagon",62.5,781.25)</f>
        <v>46093.75</v>
      </c>
      <c r="BO270" s="17" t="n">
        <f aca="false">BM270*IF($J270="wagon",2.73,81.25)</f>
        <v>5768.75</v>
      </c>
      <c r="BY270" s="1" t="n">
        <v>11</v>
      </c>
      <c r="BZ270" s="1" t="n">
        <v>185</v>
      </c>
      <c r="CC270" s="1" t="s">
        <v>327</v>
      </c>
      <c r="CD270" s="1" t="str">
        <f aca="false">VLOOKUP(M270,Eras!$A$2:$C$10, 2, TRUE())</f>
        <v>lbr</v>
      </c>
      <c r="CE270" s="1" t="s">
        <v>785</v>
      </c>
      <c r="CF270" s="1" t="str">
        <f aca="false">CONCATENATE(CD270,"_",CE270)</f>
        <v>lbr_EMU</v>
      </c>
      <c r="CG270" s="1" t="str">
        <f aca="false">_xlfn.CONCAT(K270, "_",L270)</f>
        <v>electric_ELRL</v>
      </c>
      <c r="CH270" s="7" t="str">
        <f aca="false">_xlfn.CONCAT("{BLACK}Length: {GOLD}", TEXT(ROUNDUP(IF(AT270&lt;&gt;"",SUM(VALUE(_xlfn.TEXTSPLIT(AT270, ","))), SUM(VALUE(_xlfn.TEXTSPLIT(AQ270, ",")))*IF(P270, P270, 1))/16, 1), "#,##0.0"), " tiles{}")</f>
        <v>{BLACK}Length: {GOLD}3.0 tiles{}</v>
      </c>
      <c r="CI270" s="1" t="n">
        <f aca="false">VLOOKUP($CG270, Constants!$M:$N, 2, FALSE())</f>
        <v>0</v>
      </c>
      <c r="CJ270" s="1" t="str">
        <f aca="false">IF(P270&gt;1,_xlfn.CONCAT("{BLACK}Cars: {GOLD}", P270),"")</f>
        <v>{BLACK}Cars: {GOLD}4</v>
      </c>
      <c r="CK270" s="1" t="s">
        <v>1021</v>
      </c>
      <c r="CL270" s="1" t="str">
        <f aca="false">IF($BX270="!param_no_gameplay_units","{GREEN}Included for gameplay purposes","")</f>
        <v/>
      </c>
      <c r="CM270" s="1" t="str">
        <f aca="false">IF(CA270="buffet","{YELLOW}25% long distance bonus for consist{}",IF(CC270="BRAKE","{YELLOW}Speed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{GOLD}4{}{BLACK}Length: {GOLD}3.0 tiles{}{SILVER}The Class 315 is the last class of the 1972 standard EMU design, running on 25kV overhead AC power and used for inner suburban services.</v>
      </c>
    </row>
    <row r="271" s="25" customFormat="true" ht="14.25" hidden="false" customHeight="false" outlineLevel="0" collapsed="false">
      <c r="A271" s="25" t="s">
        <v>1022</v>
      </c>
      <c r="B271" s="26" t="s">
        <v>1023</v>
      </c>
      <c r="C271" s="1" t="n">
        <v>3026</v>
      </c>
      <c r="E271" s="1" t="n">
        <v>350</v>
      </c>
      <c r="G271" s="1" t="str">
        <f aca="false">IF($F271&lt;&gt;"",_xlfn.CONCAT(VLOOKUP($CE271, Constants!$T:$U, 2, FALSE()),",",$F271),VLOOKUP($CE271, Constants!$T:$U, 2, FALSE()))</f>
        <v>role/passenger</v>
      </c>
      <c r="H271" s="1" t="str">
        <f aca="false">IF($G271&lt;&gt;"",_xlfn.CONCAT(VLOOKUP($CG271, Constants!$M:$P, 4, FALSE()),",",$G271),VLOOKUP($CG271, Constants!$M:$P, 4, FALSE()))</f>
        <v>flag/GB,power/diesel,role/passenger</v>
      </c>
      <c r="I271" s="25" t="s">
        <v>198</v>
      </c>
      <c r="J271" s="25" t="s">
        <v>423</v>
      </c>
      <c r="K271" s="25" t="s">
        <v>482</v>
      </c>
      <c r="L271" s="25" t="s">
        <v>149</v>
      </c>
      <c r="M271" s="25" t="n">
        <v>1982</v>
      </c>
      <c r="N271" s="25" t="n">
        <v>2002</v>
      </c>
      <c r="O271" s="25" t="n">
        <v>2006</v>
      </c>
      <c r="P271" s="25" t="n">
        <v>4</v>
      </c>
      <c r="Q271" s="25" t="n">
        <v>1000</v>
      </c>
      <c r="R271" s="2"/>
      <c r="S271" s="3"/>
      <c r="T271" s="3"/>
      <c r="U271" s="3"/>
      <c r="V271" s="3"/>
      <c r="W271" s="3"/>
      <c r="X271" s="3"/>
      <c r="Y271" s="3"/>
      <c r="Z271" s="25" t="n">
        <v>144</v>
      </c>
      <c r="AA271" s="2"/>
      <c r="AB271" s="25" t="n">
        <v>5</v>
      </c>
      <c r="AC271" s="25" t="n">
        <v>92</v>
      </c>
      <c r="AD271" s="4" t="n">
        <f aca="false">IF(AND(Z271&gt;0,AC271&gt;0),(AC271/((Z271+AA271)*10)),"")</f>
        <v>0.0638888888888889</v>
      </c>
      <c r="AE271" s="25" t="n">
        <v>90</v>
      </c>
      <c r="AF271" s="25" t="n">
        <f aca="false">ROUND(AE271*1.6, 0)</f>
        <v>144</v>
      </c>
      <c r="AI271" s="25" t="n">
        <v>19.8</v>
      </c>
      <c r="AJ271" s="25" t="n">
        <v>20</v>
      </c>
      <c r="AK271" s="25" t="n">
        <v>2.5</v>
      </c>
      <c r="AL271" s="25" t="n">
        <v>3.77</v>
      </c>
      <c r="AM271" s="5" t="n">
        <v>64</v>
      </c>
      <c r="AN271" s="1" t="str">
        <f aca="false">CONCATENATE(VLOOKUP(AO271, '[1]Voxel Sizes'!$A$2:$B$18,2,FALSE()),"x",INT(AK271*15), "x", INT(AL271*15))</f>
        <v>198x37x56</v>
      </c>
      <c r="AO271" s="25" t="n">
        <f aca="false">ROUND(15*((AJ271*10)/256),0)</f>
        <v>12</v>
      </c>
      <c r="AQ271" s="1" t="str">
        <f aca="false">CONCATENATE(VLOOKUP(AO271,Constants!$A$2:$C$16,IF(AP271&lt;&gt;"", 3, 2), FALSE()),IF(AP271&lt;&gt;"",CONCATENATE(",",VLOOKUP(AP271,$B:$AQ,42,FALSE())),""))</f>
        <v>4,4,4</v>
      </c>
      <c r="AR271" s="25" t="n">
        <v>1</v>
      </c>
      <c r="AS271" s="6"/>
      <c r="AT271" s="6"/>
      <c r="AU271" s="25" t="s">
        <v>1024</v>
      </c>
      <c r="AW271" s="25" t="s">
        <v>898</v>
      </c>
      <c r="AX271" s="25" t="s">
        <v>1025</v>
      </c>
      <c r="BA271" s="25" t="n">
        <v>45</v>
      </c>
      <c r="BB271" s="16" t="n">
        <f aca="false">IF(O271&lt;&gt;"",MAX(16,(O271-M271)+8),"")</f>
        <v>32</v>
      </c>
      <c r="BC271" s="25" t="n">
        <v>10</v>
      </c>
      <c r="BE271" s="25" t="n">
        <f aca="false">MIN(AE271/150, 1)*30</f>
        <v>18</v>
      </c>
      <c r="BF271" s="25" t="n">
        <f aca="false">MIN(Q271/4000, 1)*20</f>
        <v>5</v>
      </c>
      <c r="BG271" s="25" t="n">
        <f aca="false">MIN(AC271/400,1)*20</f>
        <v>4.6</v>
      </c>
      <c r="BH271" s="4" t="n">
        <f aca="false">1-(MAX(M271-1900, 0)/750)</f>
        <v>0.890666666666667</v>
      </c>
      <c r="BI271" s="25" t="n">
        <f aca="false">((MAX($P271,1)*MIN($AM271/300,1)))*IF(J271="Wagon",50,10)</f>
        <v>8.53333333333333</v>
      </c>
      <c r="BJ271" s="1" t="n">
        <f aca="false">VLOOKUP($K271,Constants!$I:$K, 2, FALSE())</f>
        <v>1</v>
      </c>
      <c r="BK271" s="1" t="n">
        <f aca="false">VLOOKUP($K271,Constants!$I:$K, 3, FALSE())*IF(AND(J271="multiple_unit",AE271&lt;110),0.75,1)</f>
        <v>1.5</v>
      </c>
      <c r="BL271" s="25" t="n">
        <f aca="false">INT(POWER((([1]Constants!$G$2+$BE271+$BF271+$BG271+$BI271)*$BH271)*$BK271, 1.05))+$BD271</f>
        <v>67</v>
      </c>
      <c r="BM271" s="25" t="n">
        <f aca="false">INT(POWER(((([1]Constants!$G$1+$BE271+$BF271+$BG271+$BI271)*($BH271))*$BJ271),IF($J271="wagon",1,1.2)))+$BC271</f>
        <v>107</v>
      </c>
      <c r="BN271" s="17" t="n">
        <f aca="false">BL271*IF($J271="wagon",62.5,781.25)</f>
        <v>52343.75</v>
      </c>
      <c r="BO271" s="17" t="n">
        <f aca="false">BM271*IF($J271="wagon",2.73,81.25)</f>
        <v>8693.75</v>
      </c>
      <c r="BU271" s="25" t="s">
        <v>1026</v>
      </c>
      <c r="BY271" s="25" t="n">
        <v>2</v>
      </c>
      <c r="CC271" s="25" t="s">
        <v>327</v>
      </c>
      <c r="CD271" s="25" t="str">
        <f aca="false">VLOOKUP(M271,[1]Eras!$A$2:$C$10, 2, TRUE())</f>
        <v>lbr</v>
      </c>
      <c r="CE271" s="25" t="s">
        <v>779</v>
      </c>
      <c r="CF271" s="25" t="str">
        <f aca="false">CONCATENATE(CD271,"_",CE271)</f>
        <v>lbr_DMU</v>
      </c>
      <c r="CG271" s="25" t="str">
        <f aca="false">_xlfn.CONCAT(K271, "_",L271)</f>
        <v>diesel_RAIL</v>
      </c>
      <c r="CH271" s="7" t="str">
        <f aca="false">_xlfn.CONCAT("{BLACK}Length: {GOLD}", TEXT(ROUNDUP(IF(AT271&lt;&gt;"",SUM(VALUE(_xlfn.TEXTSPLIT(AT271, ","))), SUM(VALUE(_xlfn.TEXTSPLIT(AQ271, ",")))*IF(P271, P271, 1))/16, 1), "#,##0.0"), " tiles{}")</f>
        <v>{BLACK}Length: {GOLD}3.0 tiles{}</v>
      </c>
      <c r="CI271" s="1" t="n">
        <f aca="false">VLOOKUP($CG271, Constants!$M:$N, 2, FALSE())</f>
        <v>0</v>
      </c>
      <c r="CJ271" s="1" t="str">
        <f aca="false">IF(P271&gt;1,_xlfn.CONCAT("{BLACK}Cars: {GOLD}", P271),"")</f>
        <v>{BLACK}Cars: {GOLD}4</v>
      </c>
      <c r="CK271" s="25" t="s">
        <v>1027</v>
      </c>
      <c r="CM271" s="25"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25" t="str">
        <f aca="false">_xlfn.CONCAT(CI271,IF(CI271 &lt;&gt; "", " ", ""),CJ271,IF(OR(CJ271&lt;&gt;"", CI271&lt;&gt;""), "{}",""), CH271, CM271,"{SILVER}", CK271)</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2" s="25" customFormat="true" ht="14.25" hidden="false" customHeight="false" outlineLevel="0" collapsed="false">
      <c r="A272" s="25" t="s">
        <v>1028</v>
      </c>
      <c r="B272" s="26" t="s">
        <v>1026</v>
      </c>
      <c r="C272" s="1" t="n">
        <v>3027</v>
      </c>
      <c r="D272" s="25" t="n">
        <v>3026</v>
      </c>
      <c r="E272" s="1" t="n">
        <v>351</v>
      </c>
      <c r="G272" s="1" t="str">
        <f aca="false">IF($F272&lt;&gt;"",_xlfn.CONCAT(VLOOKUP($CE272, Constants!$T:$U, 2, FALSE()),",",$F272),VLOOKUP($CE272, Constants!$T:$U, 2, FALSE()))</f>
        <v>role/passenger</v>
      </c>
      <c r="H272" s="1" t="str">
        <f aca="false">IF($G272&lt;&gt;"",_xlfn.CONCAT(VLOOKUP($CG272, Constants!$M:$P, 4, FALSE()),",",$G272),VLOOKUP($CG272, Constants!$M:$P, 4, FALSE()))</f>
        <v>flag/GB,power/diesel,role/passenger</v>
      </c>
      <c r="I272" s="25" t="s">
        <v>198</v>
      </c>
      <c r="J272" s="25" t="s">
        <v>423</v>
      </c>
      <c r="K272" s="25" t="s">
        <v>482</v>
      </c>
      <c r="L272" s="25" t="s">
        <v>149</v>
      </c>
      <c r="M272" s="25" t="n">
        <v>1982</v>
      </c>
      <c r="N272" s="25" t="n">
        <v>2002</v>
      </c>
      <c r="O272" s="25" t="n">
        <v>2006</v>
      </c>
      <c r="P272" s="25" t="n">
        <v>3</v>
      </c>
      <c r="Q272" s="25" t="n">
        <v>1000</v>
      </c>
      <c r="R272" s="2"/>
      <c r="S272" s="3"/>
      <c r="T272" s="3"/>
      <c r="U272" s="3"/>
      <c r="V272" s="3"/>
      <c r="W272" s="3"/>
      <c r="X272" s="3"/>
      <c r="Y272" s="3"/>
      <c r="Z272" s="25" t="n">
        <v>118</v>
      </c>
      <c r="AA272" s="2"/>
      <c r="AB272" s="25" t="n">
        <v>5</v>
      </c>
      <c r="AC272" s="25" t="n">
        <v>92</v>
      </c>
      <c r="AD272" s="4" t="n">
        <f aca="false">IF(AND(Z272&gt;0,AC272&gt;0),(AC272/((Z272+AA272)*10)),"")</f>
        <v>0.0779661016949153</v>
      </c>
      <c r="AE272" s="25" t="n">
        <v>90</v>
      </c>
      <c r="AF272" s="25" t="n">
        <f aca="false">ROUND(AE272*1.6, 0)</f>
        <v>144</v>
      </c>
      <c r="AI272" s="25" t="n">
        <v>19.8</v>
      </c>
      <c r="AJ272" s="25" t="n">
        <v>20</v>
      </c>
      <c r="AK272" s="25" t="n">
        <v>2.5</v>
      </c>
      <c r="AL272" s="25" t="n">
        <v>3.77</v>
      </c>
      <c r="AM272" s="5" t="n">
        <v>67</v>
      </c>
      <c r="AN272" s="1" t="str">
        <f aca="false">CONCATENATE(VLOOKUP(AO272, '[1]Voxel Sizes'!$A$2:$B$18,2,FALSE()),"x",INT(AK272*15), "x", INT(AL272*15))</f>
        <v>198x37x56</v>
      </c>
      <c r="AO272" s="25" t="n">
        <f aca="false">ROUND(15*((AJ272*10)/256),0)</f>
        <v>12</v>
      </c>
      <c r="AQ272" s="1" t="str">
        <f aca="false">CONCATENATE(VLOOKUP(AO272,Constants!$A$2:$C$16,IF(AP272&lt;&gt;"", 3, 2), FALSE()),IF(AP272&lt;&gt;"",CONCATENATE(",",VLOOKUP(AP272,$B:$AQ,42,FALSE())),""))</f>
        <v>4,4,4</v>
      </c>
      <c r="AR272" s="25" t="n">
        <v>8</v>
      </c>
      <c r="AS272" s="6"/>
      <c r="AT272" s="6"/>
      <c r="AU272" s="25" t="s">
        <v>1029</v>
      </c>
      <c r="AW272" s="25" t="s">
        <v>426</v>
      </c>
      <c r="AX272" s="25" t="s">
        <v>1030</v>
      </c>
      <c r="BA272" s="25" t="n">
        <v>45</v>
      </c>
      <c r="BB272" s="16" t="n">
        <f aca="false">IF(O272&lt;&gt;"",MAX(16,(O272-M272)+8),"")</f>
        <v>32</v>
      </c>
      <c r="BC272" s="25" t="n">
        <v>10</v>
      </c>
      <c r="BE272" s="25" t="n">
        <f aca="false">MIN(AE272/150, 1)*30</f>
        <v>18</v>
      </c>
      <c r="BF272" s="25" t="n">
        <f aca="false">MIN(Q272/4000, 1)*20</f>
        <v>5</v>
      </c>
      <c r="BG272" s="25" t="n">
        <f aca="false">MIN(AC272/400,1)*20</f>
        <v>4.6</v>
      </c>
      <c r="BH272" s="4" t="n">
        <f aca="false">1-(MAX(M272-1900, 0)/750)</f>
        <v>0.890666666666667</v>
      </c>
      <c r="BI272" s="25" t="n">
        <f aca="false">((MAX($P272,1)*MIN($AM272/300,1)))*IF(J272="Wagon",50,10)</f>
        <v>6.7</v>
      </c>
      <c r="BJ272" s="1" t="n">
        <f aca="false">VLOOKUP($K272,Constants!$I:$K, 2, FALSE())</f>
        <v>1</v>
      </c>
      <c r="BK272" s="1" t="n">
        <f aca="false">VLOOKUP($K272,Constants!$I:$K, 3, FALSE())*IF(AND(J272="multiple_unit",AE272&lt;110),0.75,1)</f>
        <v>1.5</v>
      </c>
      <c r="BL272" s="25" t="n">
        <f aca="false">INT(POWER((([1]Constants!$G$2+$BE272+$BF272+$BG272+$BI272)*$BH272)*$BK272, 1.05))+$BD272</f>
        <v>64</v>
      </c>
      <c r="BM272" s="25" t="n">
        <f aca="false">INT(POWER(((([1]Constants!$G$1+$BE272+$BF272+$BG272+$BI272)*($BH272))*$BJ272),IF($J272="wagon",1,1.2)))+$BC272</f>
        <v>103</v>
      </c>
      <c r="BN272" s="17" t="n">
        <f aca="false">BL272*IF($J272="wagon",62.5,781.25)</f>
        <v>50000</v>
      </c>
      <c r="BO272" s="17" t="n">
        <f aca="false">BM272*IF($J272="wagon",2.73,81.25)</f>
        <v>8368.75</v>
      </c>
      <c r="BU272" s="25" t="s">
        <v>1023</v>
      </c>
      <c r="BY272" s="25" t="n">
        <v>2</v>
      </c>
      <c r="CC272" s="25" t="s">
        <v>327</v>
      </c>
      <c r="CD272" s="25" t="str">
        <f aca="false">VLOOKUP(M272,[1]Eras!$A$2:$C$10, 2, TRUE())</f>
        <v>lbr</v>
      </c>
      <c r="CE272" s="25" t="s">
        <v>779</v>
      </c>
      <c r="CF272" s="25" t="str">
        <f aca="false">CONCATENATE(CD272,"_",CE272)</f>
        <v>lbr_DMU</v>
      </c>
      <c r="CG272" s="25" t="str">
        <f aca="false">_xlfn.CONCAT(K272, "_",L272)</f>
        <v>diesel_RAIL</v>
      </c>
      <c r="CH272" s="7" t="str">
        <f aca="false">_xlfn.CONCAT("{BLACK}Length: {GOLD}", TEXT(ROUNDUP(IF(AT272&lt;&gt;"",SUM(VALUE(_xlfn.TEXTSPLIT(AT272, ","))), SUM(VALUE(_xlfn.TEXTSPLIT(AQ272, ",")))*IF(P272, P272, 1))/16, 1), "#,##0.0"), " tiles{}")</f>
        <v>{BLACK}Length: {GOLD}2.3 tiles{}</v>
      </c>
      <c r="CI272" s="1" t="n">
        <f aca="false">VLOOKUP($CG272, Constants!$M:$N, 2, FALSE())</f>
        <v>0</v>
      </c>
      <c r="CJ272" s="1" t="str">
        <f aca="false">IF(P272&gt;1,_xlfn.CONCAT("{BLACK}Cars: {GOLD}", P272),"")</f>
        <v>{BLACK}Cars: {GOLD}3</v>
      </c>
      <c r="CK272" s="25" t="s">
        <v>1031</v>
      </c>
      <c r="CM272" s="25"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25" t="str">
        <f aca="false">_xlfn.CONCAT(CI272,IF(CI272 &lt;&gt; "", " ", ""),CJ272,IF(OR(CJ272&lt;&gt;"", CI272&lt;&gt;""), "{}",""), CH272, CM272,"{SILVER}", CK272)</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3" customFormat="false" ht="14.25" hidden="false" customHeight="false" outlineLevel="0" collapsed="false">
      <c r="A273" s="1" t="s">
        <v>1032</v>
      </c>
      <c r="B273" s="15" t="s">
        <v>1033</v>
      </c>
      <c r="C273" s="1" t="n">
        <v>240</v>
      </c>
      <c r="E273" s="1" t="n">
        <v>352</v>
      </c>
      <c r="G273" s="1" t="str">
        <f aca="false">IF($F273&lt;&gt;"",_xlfn.CONCAT(VLOOKUP($CE273, Constants!$T:$U, 2, FALSE()),",",$F273),VLOOKUP($CE273, Constants!$T:$U, 2, FALSE()))</f>
        <v>role/passenger</v>
      </c>
      <c r="H273" s="1" t="str">
        <f aca="false">IF($G273&lt;&gt;"",_xlfn.CONCAT(VLOOKUP($CG273, Constants!$M:$P, 4, FALSE()),",",$G273),VLOOKUP($CG273, Constants!$M:$P, 4, FALSE()))</f>
        <v>flag/GB,power/electric,role/passenger</v>
      </c>
      <c r="I273" s="1" t="s">
        <v>198</v>
      </c>
      <c r="J273" s="1" t="s">
        <v>423</v>
      </c>
      <c r="K273" s="1" t="s">
        <v>349</v>
      </c>
      <c r="L273" s="1" t="s">
        <v>498</v>
      </c>
      <c r="M273" s="1" t="n">
        <v>1982</v>
      </c>
      <c r="P273" s="1" t="n">
        <v>4</v>
      </c>
      <c r="Q273" s="1" t="n">
        <v>992</v>
      </c>
      <c r="Z273" s="1" t="n">
        <v>136</v>
      </c>
      <c r="AB273" s="1" t="n">
        <v>5</v>
      </c>
      <c r="AC273" s="1" t="n">
        <v>150</v>
      </c>
      <c r="AD273" s="4" t="n">
        <f aca="false">IF(AND(Z273&gt;0,AC273&gt;0),(AC273/((Z273+AA273)*10)),"")</f>
        <v>0.110294117647059</v>
      </c>
      <c r="AE273" s="1" t="n">
        <v>75</v>
      </c>
      <c r="AF273" s="1" t="n">
        <f aca="false">ROUND(AE273*1.6, 0)</f>
        <v>120</v>
      </c>
      <c r="AI273" s="1" t="n">
        <v>19.8</v>
      </c>
      <c r="AJ273" s="1" t="n">
        <v>19.8</v>
      </c>
      <c r="AM273" s="5" t="n">
        <v>78</v>
      </c>
      <c r="AN273" s="1" t="str">
        <f aca="false">CONCATENATE(VLOOKUP(AO273, 'Voxel Sizes'!$A$2:$B$18,2,FALSE()),"x",INT(AK273*15), "x", INT(AL273*15))</f>
        <v>198x0x0</v>
      </c>
      <c r="AO273" s="1" t="n">
        <f aca="false">ROUND(15*((AJ273*10)/256),0)</f>
        <v>12</v>
      </c>
      <c r="AQ273" s="1" t="str">
        <f aca="false">CONCATENATE(VLOOKUP(AO273,Constants!$A$2:$C$16,IF(AP273&lt;&gt;"", 3, 2), FALSE()),IF(AP273&lt;&gt;"",CONCATENATE(",",VLOOKUP(AP273,$B:$AQ,42,FALSE())),""))</f>
        <v>4,4,4</v>
      </c>
      <c r="AU273" s="1" t="s">
        <v>1034</v>
      </c>
      <c r="AW273" s="1" t="s">
        <v>847</v>
      </c>
      <c r="BA273" s="1" t="n">
        <v>35</v>
      </c>
      <c r="BB273" s="16" t="str">
        <f aca="false">IF(O273&lt;&gt;"",MAX(16,(O273-M273)+8),"")</f>
        <v/>
      </c>
      <c r="BC273" s="1" t="n">
        <v>-10</v>
      </c>
      <c r="BD273" s="1" t="n">
        <v>-20</v>
      </c>
      <c r="BE273" s="1" t="n">
        <f aca="false">MIN(AE273/150, 1)*30</f>
        <v>15</v>
      </c>
      <c r="BF273" s="1" t="n">
        <f aca="false">MIN(Q273/4000, 1)*20</f>
        <v>4.96</v>
      </c>
      <c r="BG273" s="1" t="n">
        <f aca="false">MIN(AC273/400,1)*20</f>
        <v>7.5</v>
      </c>
      <c r="BH273" s="4" t="n">
        <f aca="false">1-(MAX(M273-1900, 0)/750)</f>
        <v>0.890666666666667</v>
      </c>
      <c r="BI273" s="1" t="n">
        <f aca="false">((MAX($P273,1)*MIN($AM273/300,1)))*IF(J273="Wagon",50,10)</f>
        <v>10.4</v>
      </c>
      <c r="BJ273" s="1" t="n">
        <f aca="false">VLOOKUP($K273,Constants!$I:$K, 2, FALSE())</f>
        <v>0.85</v>
      </c>
      <c r="BK273" s="1" t="n">
        <f aca="false">VLOOKUP($K273,Constants!$I:$K, 3, FALSE())*IF(AND(J273="multiple_unit",AE273&lt;110),0.75,1)</f>
        <v>1.725</v>
      </c>
      <c r="BL273" s="1" t="n">
        <f aca="false">INT(POWER(((Constants!$G$2+$BE273+$BF273+$BG273+$BI273)*$BH273)*$BK273, 1.05))+$BD273</f>
        <v>61</v>
      </c>
      <c r="BM273" s="1" t="n">
        <f aca="false">INT(POWER((((Constants!$G$1+$BE273+$BF273+$BG273+$BI273)*($BH273))*$BJ273),IF($J273="wagon",1,1.2)))+$BC273</f>
        <v>73</v>
      </c>
      <c r="BN273" s="17" t="n">
        <f aca="false">BL273*IF($J273="wagon",62.5,781.25)</f>
        <v>47656.25</v>
      </c>
      <c r="BO273" s="17" t="n">
        <f aca="false">BM273*IF($J273="wagon",2.73,81.25)</f>
        <v>5931.25</v>
      </c>
      <c r="BU273" s="1" t="s">
        <v>1035</v>
      </c>
      <c r="BY273" s="1" t="n">
        <v>12</v>
      </c>
      <c r="BZ273" s="1" t="n">
        <v>185</v>
      </c>
      <c r="CC273" s="1" t="s">
        <v>327</v>
      </c>
      <c r="CD273" s="1" t="str">
        <f aca="false">VLOOKUP(M273,Eras!$A$2:$C$10, 2, TRUE())</f>
        <v>lbr</v>
      </c>
      <c r="CE273" s="1" t="s">
        <v>785</v>
      </c>
      <c r="CF273" s="1" t="str">
        <f aca="false">CONCATENATE(CD273,"_",CE273)</f>
        <v>lbr_EMU</v>
      </c>
      <c r="CG273" s="1" t="str">
        <f aca="false">_xlfn.CONCAT(K273, "_",L273)</f>
        <v>electric_THIRD_RAIL</v>
      </c>
      <c r="CH273" s="7" t="str">
        <f aca="false">_xlfn.CONCAT("{BLACK}Length: {GOLD}", TEXT(ROUNDUP(IF(AT273&lt;&gt;"",SUM(VALUE(_xlfn.TEXTSPLIT(AT273, ","))), SUM(VALUE(_xlfn.TEXTSPLIT(AQ273, ",")))*IF(P273, P273, 1))/16, 1), "#,##0.0"), " tiles{}")</f>
        <v>{BLACK}Length: {GOLD}3.0 tiles{}</v>
      </c>
      <c r="CI273" s="1" t="n">
        <f aca="false">VLOOKUP($CG273, Constants!$M:$N, 2, FALSE())</f>
        <v>0</v>
      </c>
      <c r="CJ273" s="1" t="str">
        <f aca="false">IF(P273&gt;1,_xlfn.CONCAT("{BLACK}Cars: {GOLD}", P273),"")</f>
        <v>{BLACK}Cars: {GOLD}4</v>
      </c>
      <c r="CK273" s="1" t="s">
        <v>1036</v>
      </c>
      <c r="CL273" s="1" t="str">
        <f aca="false">IF($BX273="!param_no_gameplay_units","{GREEN}Included for gameplay purposes","")</f>
        <v/>
      </c>
      <c r="CM273" s="1" t="str">
        <f aca="false">IF(CA273="buffet","{YELLOW}25% long distance bonus for consist{}",IF(CC273="BRAKE","{YELLOW}Speed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{GOLD}4{}{BLACK}Length: {GOLD}3.0 tiles{}{SILVER}The Class 455 is a DC third rail version of British Rail's second generation EMU design. Some units re-used existing carriages from the Class 508, recognisable by the different side profile.</v>
      </c>
    </row>
    <row r="274" s="1" customFormat="true" ht="14.25" hidden="false" customHeight="false" outlineLevel="0" collapsed="false">
      <c r="A274" s="1" t="s">
        <v>1037</v>
      </c>
      <c r="B274" s="26" t="s">
        <v>1038</v>
      </c>
      <c r="C274" s="1" t="n">
        <v>3040</v>
      </c>
      <c r="E274" s="1" t="n">
        <v>353</v>
      </c>
      <c r="G274" s="1" t="str">
        <f aca="false">IF($F274&lt;&gt;"",_xlfn.CONCAT(VLOOKUP($CE274, Constants!$T:$U, 2, FALSE()),",",$F274),VLOOKUP($CE274, Constants!$T:$U, 2, FALSE()))</f>
        <v>role/passenger</v>
      </c>
      <c r="H274" s="1" t="str">
        <f aca="false">IF($G274&lt;&gt;"",_xlfn.CONCAT(VLOOKUP($CG274, Constants!$M:$P, 4, FALSE()),",",$G274),VLOOKUP($CG274, Constants!$M:$P, 4, FALSE()))</f>
        <v>flag/GB,power/diesel,role/passenger</v>
      </c>
      <c r="I274" s="1" t="s">
        <v>198</v>
      </c>
      <c r="J274" s="1" t="s">
        <v>423</v>
      </c>
      <c r="K274" s="1" t="s">
        <v>482</v>
      </c>
      <c r="L274" s="1" t="s">
        <v>149</v>
      </c>
      <c r="M274" s="1" t="n">
        <v>1984</v>
      </c>
      <c r="N274" s="1" t="n">
        <v>1988</v>
      </c>
      <c r="O274" s="1" t="n">
        <v>2005</v>
      </c>
      <c r="P274" s="1" t="n">
        <v>2</v>
      </c>
      <c r="Q274" s="1" t="n">
        <v>205</v>
      </c>
      <c r="R274" s="2"/>
      <c r="S274" s="3"/>
      <c r="T274" s="3"/>
      <c r="U274" s="3"/>
      <c r="V274" s="3"/>
      <c r="W274" s="3"/>
      <c r="X274" s="3"/>
      <c r="Y274" s="3"/>
      <c r="Z274" s="1" t="n">
        <f aca="false">26+26.5</f>
        <v>52.5</v>
      </c>
      <c r="AA274" s="2"/>
      <c r="AB274" s="1" t="n">
        <v>5</v>
      </c>
      <c r="AC274" s="1" t="n">
        <v>70</v>
      </c>
      <c r="AD274" s="4" t="n">
        <f aca="false">IF(AND(Z274&gt;0,AC274&gt;0),(AC274/((Z274+AA274)*10)),"")</f>
        <v>0.133333333333333</v>
      </c>
      <c r="AE274" s="1" t="n">
        <v>75</v>
      </c>
      <c r="AF274" s="1" t="n">
        <f aca="false">ROUND(AE274*1.6, 0)</f>
        <v>120</v>
      </c>
      <c r="AI274" s="1" t="n">
        <v>15.45</v>
      </c>
      <c r="AJ274" s="1" t="n">
        <v>15.45</v>
      </c>
      <c r="AK274" s="1" t="n">
        <v>2.5</v>
      </c>
      <c r="AL274" s="1" t="n">
        <v>3.9</v>
      </c>
      <c r="AM274" s="5" t="n">
        <v>46</v>
      </c>
      <c r="AN274" s="1" t="s">
        <v>987</v>
      </c>
      <c r="AO274" s="1" t="n">
        <f aca="false">ROUND(15*((AJ274*10)/256),0)</f>
        <v>9</v>
      </c>
      <c r="AQ274" s="1" t="str">
        <f aca="false">CONCATENATE(VLOOKUP(AO274,Constants!$A$2:$C$16,IF(AP274&lt;&gt;"", 3, 2), FALSE()),IF(AP274&lt;&gt;"",CONCATENATE(",",VLOOKUP(AP274,$B:$AQ,42,FALSE())),""))</f>
        <v>2,5,2</v>
      </c>
      <c r="AS274" s="6"/>
      <c r="AT274" s="6"/>
      <c r="AU274" s="1" t="s">
        <v>1039</v>
      </c>
      <c r="AW274" s="1" t="s">
        <v>770</v>
      </c>
      <c r="AX274" s="1" t="s">
        <v>1040</v>
      </c>
      <c r="BA274" s="1" t="n">
        <v>18</v>
      </c>
      <c r="BB274" s="16" t="n">
        <f aca="false">IF(O274&lt;&gt;"",MAX(16,(O274-M274)+8),"")</f>
        <v>29</v>
      </c>
      <c r="BC274" s="1" t="n">
        <v>-35</v>
      </c>
      <c r="BD274" s="1" t="n">
        <v>-20</v>
      </c>
      <c r="BE274" s="1" t="n">
        <f aca="false">MIN(AE274/150, 1)*30</f>
        <v>15</v>
      </c>
      <c r="BF274" s="1" t="n">
        <f aca="false">MIN(Q274/4000, 1)*20</f>
        <v>1.025</v>
      </c>
      <c r="BG274" s="1" t="n">
        <f aca="false">MIN(AC274/400,1)*20</f>
        <v>3.5</v>
      </c>
      <c r="BH274" s="4" t="n">
        <f aca="false">1-(MAX(M274-1900, 0)/750)</f>
        <v>0.888</v>
      </c>
      <c r="BI274" s="1" t="n">
        <f aca="false">((MAX($P274,1)*MIN($AM274/300,1)))*IF(J274="Wagon",50,10)</f>
        <v>3.06666666666667</v>
      </c>
      <c r="BJ274" s="1" t="n">
        <f aca="false">VLOOKUP($K274,Constants!$I:$K, 2, FALSE())</f>
        <v>1</v>
      </c>
      <c r="BK274" s="1" t="n">
        <f aca="false">VLOOKUP($K274,Constants!$I:$K, 3, FALSE())*IF(AND(J274="multiple_unit",AE274&lt;110),0.75,1)</f>
        <v>1.5</v>
      </c>
      <c r="BL274" s="25" t="n">
        <f aca="false">INT(POWER((([1]Constants!$G$2+$BE274+$BF274+$BG274+$BI274)*$BH274)*$BK274, 1.05))+$BD274</f>
        <v>24</v>
      </c>
      <c r="BM274" s="25" t="n">
        <f aca="false">INT(POWER(((([1]Constants!$G$1+$BE274+$BF274+$BG274+$BI274)*($BH274))*$BJ274),IF($J274="wagon",1,1.2)))+$BC274</f>
        <v>32</v>
      </c>
      <c r="BN274" s="17" t="n">
        <f aca="false">BL274*IF($J274="wagon",62.5,781.25)</f>
        <v>18750</v>
      </c>
      <c r="BO274" s="17" t="n">
        <f aca="false">BM274*IF($J274="wagon",2.73,81.25)</f>
        <v>2600</v>
      </c>
      <c r="BU274" s="1" t="s">
        <v>1041</v>
      </c>
      <c r="BY274" s="1" t="n">
        <v>2</v>
      </c>
      <c r="BZ274" s="1" t="n">
        <v>148</v>
      </c>
      <c r="CC274" s="1" t="s">
        <v>327</v>
      </c>
      <c r="CD274" s="1" t="s">
        <v>605</v>
      </c>
      <c r="CE274" s="25" t="s">
        <v>760</v>
      </c>
      <c r="CF274" s="25" t="str">
        <f aca="false">CONCATENATE(CD274,"_",CE274)</f>
        <v>lbr_DMU (Cheap)</v>
      </c>
      <c r="CG274" s="25" t="str">
        <f aca="false">_xlfn.CONCAT(K274, "_",L274)</f>
        <v>diesel_RAIL</v>
      </c>
      <c r="CH274" s="7" t="str">
        <f aca="false">_xlfn.CONCAT("{BLACK}Length: {GOLD}", TEXT(ROUNDUP(IF(AT274&lt;&gt;"",SUM(VALUE(_xlfn.TEXTSPLIT(AT274, ","))), SUM(VALUE(_xlfn.TEXTSPLIT(AQ274, ",")))*IF(P274, P274, 1))/16, 1), "#,##0.0"), " tiles{}")</f>
        <v>{BLACK}Length: {GOLD}1.2 tiles{}</v>
      </c>
      <c r="CI274" s="1" t="n">
        <f aca="false">VLOOKUP($CG274, Constants!$M:$N, 2, FALSE())</f>
        <v>0</v>
      </c>
      <c r="CJ274" s="1" t="str">
        <f aca="false">IF(P274&gt;1,_xlfn.CONCAT("{BLACK}Cars: {GOLD}", P274),"")</f>
        <v>{BLACK}Cars: {GOLD}2</v>
      </c>
      <c r="CK274" s="1" t="s">
        <v>1042</v>
      </c>
      <c r="CM274" s="25"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{YELLOW}20% penalty for long distance travel{}</v>
      </c>
      <c r="CN274" s="25" t="str">
        <f aca="false">_xlfn.CONCAT(CI274,IF(CI274 &lt;&gt; "", " ", ""),CJ274,IF(OR(CJ274&lt;&gt;"", CI274&lt;&gt;""), "{}",""), CH274, CM274,"{SILVER}", CK274)</f>
        <v>{BLACK}Cars: {GOLD}2{}{BLACK}Length: {GOLD}1.2 tiles{}{YELLOW}20% penalty for long distance travel{}{SILVER}The Class 141 is a multiple unit built from Leyland National bus parts. While cheap and light, it is criticised for its poor ride quality.</v>
      </c>
    </row>
    <row r="275" s="1" customFormat="true" ht="14.25" hidden="false" customHeight="false" outlineLevel="0" collapsed="false">
      <c r="A275" s="1" t="s">
        <v>1043</v>
      </c>
      <c r="B275" s="26" t="s">
        <v>1044</v>
      </c>
      <c r="C275" s="1" t="n">
        <v>3041</v>
      </c>
      <c r="E275" s="1" t="n">
        <v>354</v>
      </c>
      <c r="G275" s="1" t="str">
        <f aca="false">IF($F275&lt;&gt;"",_xlfn.CONCAT(VLOOKUP($CE275, Constants!$T:$U, 2, FALSE()),",",$F275),VLOOKUP($CE275, Constants!$T:$U, 2, FALSE()))</f>
        <v>role/passenger</v>
      </c>
      <c r="H275" s="1" t="str">
        <f aca="false">IF($G275&lt;&gt;"",_xlfn.CONCAT(VLOOKUP($CG275, Constants!$M:$P, 4, FALSE()),",",$G275),VLOOKUP($CG275, Constants!$M:$P, 4, FALSE()))</f>
        <v>flag/GB,power/diesel,role/passenger</v>
      </c>
      <c r="I275" s="1" t="s">
        <v>198</v>
      </c>
      <c r="J275" s="1" t="s">
        <v>423</v>
      </c>
      <c r="K275" s="1" t="s">
        <v>482</v>
      </c>
      <c r="L275" s="1" t="s">
        <v>149</v>
      </c>
      <c r="M275" s="1" t="n">
        <v>1984</v>
      </c>
      <c r="N275" s="1" t="n">
        <v>1987</v>
      </c>
      <c r="P275" s="1" t="n">
        <v>2</v>
      </c>
      <c r="Q275" s="1" t="n">
        <f aca="false">286*2</f>
        <v>572</v>
      </c>
      <c r="R275" s="2"/>
      <c r="S275" s="3"/>
      <c r="T275" s="3"/>
      <c r="U275" s="3"/>
      <c r="V275" s="3"/>
      <c r="W275" s="3"/>
      <c r="X275" s="3"/>
      <c r="Y275" s="3"/>
      <c r="Z275" s="1" t="n">
        <f aca="false">35.8*2</f>
        <v>71.6</v>
      </c>
      <c r="AA275" s="2"/>
      <c r="AB275" s="1" t="n">
        <v>5</v>
      </c>
      <c r="AC275" s="1" t="n">
        <v>110</v>
      </c>
      <c r="AD275" s="4" t="n">
        <f aca="false">IF(AND(Z275&gt;0,AC275&gt;0),(AC275/((Z275+AA275)*10)),"")</f>
        <v>0.153631284916201</v>
      </c>
      <c r="AE275" s="1" t="n">
        <v>75</v>
      </c>
      <c r="AF275" s="1" t="n">
        <f aca="false">ROUND(AE275*1.6, 0)</f>
        <v>120</v>
      </c>
      <c r="AI275" s="1" t="n">
        <v>20</v>
      </c>
      <c r="AJ275" s="1" t="n">
        <v>20</v>
      </c>
      <c r="AK275" s="1" t="n">
        <v>2.81</v>
      </c>
      <c r="AL275" s="1" t="n">
        <v>3.7</v>
      </c>
      <c r="AM275" s="5" t="n">
        <v>63</v>
      </c>
      <c r="AN275" s="1" t="s">
        <v>1045</v>
      </c>
      <c r="AO275" s="1" t="n">
        <f aca="false">ROUND(15*((AJ275*10)/256),0)</f>
        <v>12</v>
      </c>
      <c r="AQ275" s="1" t="str">
        <f aca="false">CONCATENATE(VLOOKUP(AO275,Constants!$A$2:$C$16,IF(AP275&lt;&gt;"", 3, 2), FALSE()),IF(AP275&lt;&gt;"",CONCATENATE(",",VLOOKUP(AP275,$B:$AQ,42,FALSE())),""))</f>
        <v>4,4,4</v>
      </c>
      <c r="AS275" s="6"/>
      <c r="AT275" s="6"/>
      <c r="AU275" s="1" t="s">
        <v>1046</v>
      </c>
      <c r="AW275" s="1" t="s">
        <v>770</v>
      </c>
      <c r="AX275" s="1" t="s">
        <v>1047</v>
      </c>
      <c r="BA275" s="1" t="n">
        <v>28</v>
      </c>
      <c r="BB275" s="16" t="str">
        <f aca="false">IF(O275&lt;&gt;"",MAX(16,(O275-M275)+8),"")</f>
        <v/>
      </c>
      <c r="BC275" s="1" t="n">
        <v>-10</v>
      </c>
      <c r="BD275" s="1" t="n">
        <v>-15</v>
      </c>
      <c r="BE275" s="1" t="n">
        <f aca="false">MIN(AE275/150, 1)*30</f>
        <v>15</v>
      </c>
      <c r="BF275" s="1" t="n">
        <f aca="false">MIN(Q275/4000, 1)*20</f>
        <v>2.86</v>
      </c>
      <c r="BG275" s="1" t="n">
        <f aca="false">MIN(AC275/400,1)*20</f>
        <v>5.5</v>
      </c>
      <c r="BH275" s="4" t="n">
        <f aca="false">1-(MAX(M275-1900, 0)/750)</f>
        <v>0.888</v>
      </c>
      <c r="BI275" s="1" t="n">
        <f aca="false">((MAX($P275,1)*MIN($AM275/300,1)))*IF(J275="Wagon",50,10)</f>
        <v>4.2</v>
      </c>
      <c r="BJ275" s="1" t="n">
        <f aca="false">VLOOKUP($K275,Constants!$I:$K, 2, FALSE())</f>
        <v>1</v>
      </c>
      <c r="BK275" s="1" t="n">
        <f aca="false">VLOOKUP($K275,Constants!$I:$K, 3, FALSE())*IF(AND(J275="multiple_unit",AE275&lt;110),0.75,1)</f>
        <v>1.5</v>
      </c>
      <c r="BL275" s="1" t="n">
        <v>37</v>
      </c>
      <c r="BM275" s="1" t="n">
        <v>68</v>
      </c>
      <c r="BN275" s="17" t="n">
        <f aca="false">BL275*IF($J275="wagon",62.5,781.25)</f>
        <v>28906.25</v>
      </c>
      <c r="BO275" s="17" t="n">
        <f aca="false">BM275*IF($J275="wagon",2.73,81.25)</f>
        <v>5525</v>
      </c>
      <c r="BU275" s="1" t="s">
        <v>1048</v>
      </c>
      <c r="BY275" s="1" t="n">
        <v>1</v>
      </c>
      <c r="BZ275" s="1" t="n">
        <v>185</v>
      </c>
      <c r="CC275" s="1" t="s">
        <v>327</v>
      </c>
      <c r="CD275" s="1" t="s">
        <v>605</v>
      </c>
      <c r="CE275" s="25" t="s">
        <v>779</v>
      </c>
      <c r="CF275" s="1" t="str">
        <f aca="false">CONCATENATE(CD275,"_",CE275)</f>
        <v>lbr_DMU</v>
      </c>
      <c r="CG275" s="1" t="str">
        <f aca="false">_xlfn.CONCAT(K275, "_",L275)</f>
        <v>diesel_RAIL</v>
      </c>
      <c r="CH275" s="7" t="str">
        <f aca="false">_xlfn.CONCAT("{BLACK}Length: {GOLD}", TEXT(ROUNDUP(IF(AT275&lt;&gt;"",SUM(VALUE(_xlfn.TEXTSPLIT(AT275, ","))), SUM(VALUE(_xlfn.TEXTSPLIT(AQ275, ",")))*IF(P275, P275, 1))/16, 1), "#,##0.0"), " tiles{}")</f>
        <v>{BLACK}Length: {GOLD}1.5 tiles{}</v>
      </c>
      <c r="CI275" s="1" t="n">
        <f aca="false">VLOOKUP($CG275, Constants!$M:$N, 2, FALSE())</f>
        <v>0</v>
      </c>
      <c r="CJ275" s="1" t="str">
        <f aca="false">IF(P275&gt;1,_xlfn.CONCAT("{BLACK}Cars: {GOLD}", P275),"")</f>
        <v>{BLACK}Cars: {GOLD}2</v>
      </c>
      <c r="CK275" s="1" t="s">
        <v>1049</v>
      </c>
      <c r="CN275" s="25" t="str">
        <f aca="false">_xlfn.CONCAT(CI275,IF(CI275 &lt;&gt; "", " ", ""),CJ275,IF(OR(CJ275&lt;&gt;"", CI275&lt;&gt;""), "{}",""), CG275, CK275,"{SILVER}", CJ275)</f>
        <v>{BLACK}Cars: {GOLD}2{}diesel_RAILThe Sprinter replaced first-generation DMUs. Like other second-generation units it was based on the Mark 3 bodyshell. The name refers to its faster acceleration compared to the units it replaced.{SILVER}{BLACK}Cars: {GOLD}2</v>
      </c>
    </row>
    <row r="276" s="25" customFormat="true" ht="14.25" hidden="false" customHeight="false" outlineLevel="0" collapsed="false">
      <c r="A276" s="25" t="s">
        <v>1050</v>
      </c>
      <c r="B276" s="26" t="s">
        <v>1051</v>
      </c>
      <c r="C276" s="1" t="n">
        <v>3042</v>
      </c>
      <c r="E276" s="1" t="n">
        <v>355</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25" t="s">
        <v>198</v>
      </c>
      <c r="J276" s="25" t="s">
        <v>423</v>
      </c>
      <c r="K276" s="25" t="s">
        <v>482</v>
      </c>
      <c r="L276" s="25" t="s">
        <v>149</v>
      </c>
      <c r="M276" s="25" t="n">
        <v>1985</v>
      </c>
      <c r="N276" s="25" t="n">
        <v>2015</v>
      </c>
      <c r="O276" s="25" t="n">
        <v>2025</v>
      </c>
      <c r="P276" s="25" t="n">
        <v>3</v>
      </c>
      <c r="Q276" s="25" t="n">
        <v>855</v>
      </c>
      <c r="R276" s="2"/>
      <c r="S276" s="3"/>
      <c r="T276" s="3"/>
      <c r="U276" s="3"/>
      <c r="V276" s="3"/>
      <c r="W276" s="3"/>
      <c r="X276" s="3"/>
      <c r="Y276" s="3"/>
      <c r="Z276" s="25" t="n">
        <v>97</v>
      </c>
      <c r="AA276" s="2"/>
      <c r="AB276" s="25" t="n">
        <v>5</v>
      </c>
      <c r="AC276" s="25" t="n">
        <v>145</v>
      </c>
      <c r="AD276" s="4" t="n">
        <f aca="false">IF(AND(Z276&gt;0,AC276&gt;0),(AC276/((Z276+AA276)*10)),"")</f>
        <v>0.149484536082474</v>
      </c>
      <c r="AE276" s="25" t="n">
        <v>75</v>
      </c>
      <c r="AF276" s="25" t="n">
        <f aca="false">ROUND(AE276*1.6, 0)</f>
        <v>120</v>
      </c>
      <c r="AI276" s="25" t="n">
        <v>19.9</v>
      </c>
      <c r="AJ276" s="25" t="n">
        <v>20</v>
      </c>
      <c r="AK276" s="25" t="n">
        <v>2.8</v>
      </c>
      <c r="AL276" s="25" t="n">
        <v>3.84</v>
      </c>
      <c r="AM276" s="5" t="n">
        <v>77</v>
      </c>
      <c r="AN276" s="1" t="str">
        <f aca="false">CONCATENATE(VLOOKUP(AO276, '[1]Voxel Sizes'!$A$2:$B$18,2,FALSE()),"x",INT(AK276*15), "x", INT(AL276*15))</f>
        <v>198x42x57</v>
      </c>
      <c r="AO276" s="25" t="n">
        <f aca="false">ROUND(15*((AJ276*10)/256),0)</f>
        <v>12</v>
      </c>
      <c r="AQ276" s="1" t="str">
        <f aca="false">CONCATENATE(VLOOKUP(AO276,Constants!$A$2:$C$16,IF(AP276&lt;&gt;"", 3, 2), FALSE()),IF(AP276&lt;&gt;"",CONCATENATE(",",VLOOKUP(AP276,$B:$AQ,42,FALSE())),""))</f>
        <v>4,4,4</v>
      </c>
      <c r="AR276" s="25" t="n">
        <v>4</v>
      </c>
      <c r="AS276" s="6"/>
      <c r="AT276" s="6"/>
      <c r="AU276" s="25" t="s">
        <v>1052</v>
      </c>
      <c r="AW276" s="25" t="s">
        <v>425</v>
      </c>
      <c r="AX276" s="25" t="s">
        <v>1051</v>
      </c>
      <c r="BA276" s="25" t="n">
        <v>27</v>
      </c>
      <c r="BB276" s="16" t="n">
        <f aca="false">IF(O276&lt;&gt;"",MAX(16,(O276-M276)+8),"")</f>
        <v>48</v>
      </c>
      <c r="BC276" s="25" t="n">
        <v>-15</v>
      </c>
      <c r="BD276" s="25" t="n">
        <v>-25</v>
      </c>
      <c r="BE276" s="25" t="n">
        <f aca="false">MIN(AE276/150, 1)*30</f>
        <v>15</v>
      </c>
      <c r="BF276" s="25" t="n">
        <f aca="false">MIN(Q276/4000, 1)*20</f>
        <v>4.275</v>
      </c>
      <c r="BG276" s="25" t="n">
        <f aca="false">MIN(AC276/400,1)*20</f>
        <v>7.25</v>
      </c>
      <c r="BH276" s="4" t="n">
        <f aca="false">1-(MAX(M276-1900, 0)/750)</f>
        <v>0.886666666666667</v>
      </c>
      <c r="BI276" s="25" t="n">
        <f aca="false">((MAX($P276,1)*MIN($AM276/300,1)))*IF(J276="Wagon",50,10)</f>
        <v>7.7</v>
      </c>
      <c r="BJ276" s="1" t="n">
        <f aca="false">VLOOKUP($K276,Constants!$I:$K, 2, FALSE())</f>
        <v>1</v>
      </c>
      <c r="BK276" s="1" t="n">
        <f aca="false">VLOOKUP($K276,Constants!$I:$K, 3, FALSE())*IF(AND(J276="multiple_unit",AE276&lt;110),0.75,1)</f>
        <v>1.5</v>
      </c>
      <c r="BL276" s="25" t="n">
        <v>38</v>
      </c>
      <c r="BM276" s="25" t="n">
        <v>77</v>
      </c>
      <c r="BN276" s="17" t="n">
        <f aca="false">BL276*IF($J276="wagon",62.5,781.25)</f>
        <v>29687.5</v>
      </c>
      <c r="BO276" s="17" t="n">
        <f aca="false">BM276*IF($J276="wagon",2.73,81.25)</f>
        <v>6256.25</v>
      </c>
      <c r="BU276" s="1" t="s">
        <v>1053</v>
      </c>
      <c r="BY276" s="25" t="n">
        <v>4</v>
      </c>
      <c r="BZ276" s="25" t="n">
        <v>185</v>
      </c>
      <c r="CC276" s="25" t="s">
        <v>327</v>
      </c>
      <c r="CD276" s="25" t="s">
        <v>605</v>
      </c>
      <c r="CE276" s="25" t="s">
        <v>779</v>
      </c>
      <c r="CF276" s="25" t="str">
        <f aca="false">CONCATENATE(CD276,"_",CE276)</f>
        <v>lbr_DMU</v>
      </c>
      <c r="CG276" s="25" t="str">
        <f aca="false">_xlfn.CONCAT(K276, "_",L276)</f>
        <v>diesel_RAIL</v>
      </c>
      <c r="CH276" s="7" t="str">
        <f aca="false">_xlfn.CONCAT("{BLACK}Length: {GOLD}", TEXT(ROUNDUP(IF(AT276&lt;&gt;"",SUM(VALUE(_xlfn.TEXTSPLIT(AT276, ","))), SUM(VALUE(_xlfn.TEXTSPLIT(AQ276, ",")))*IF(P276, P276, 1))/16, 1), "#,##0.0"), " tiles{}")</f>
        <v>{BLACK}Length: {GOLD}2.3 tiles{}</v>
      </c>
      <c r="CI276" s="1" t="n">
        <f aca="false">VLOOKUP($CG276, Constants!$M:$N, 2, FALSE())</f>
        <v>0</v>
      </c>
      <c r="CJ276" s="1" t="str">
        <f aca="false">IF(P276&gt;1,_xlfn.CONCAT("{BLACK}Cars: {GOLD}", P276),"")</f>
        <v>{BLACK}Cars: {GOLD}3</v>
      </c>
      <c r="CK276" s="25" t="s">
        <v>1054</v>
      </c>
      <c r="CM276" s="25"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25" t="str">
        <f aca="false">_xlfn.CONCAT(CI276,IF(CI276 &lt;&gt; "", " ", ""),CJ276,IF(OR(CJ276&lt;&gt;"", CI276&lt;&gt;""), "{}",""), CH276, CM276,"{SILVER}", CK276)</f>
        <v>{BLACK}Cars: {GOLD}3{}{BLACK}Length: {GOLD}2.3 tiles{}{SILVER}A class of 2 prototype DMUs built to compete for the contract that became the Class 150 fleet purchase. These units suffered with gearbox issues and the BREL type won the contest instead.</v>
      </c>
    </row>
    <row r="277" customFormat="false" ht="14.25" hidden="false" customHeight="false" outlineLevel="0" collapsed="false">
      <c r="A277" s="1" t="s">
        <v>1055</v>
      </c>
      <c r="B277" s="15" t="s">
        <v>1056</v>
      </c>
      <c r="C277" s="1" t="n">
        <v>243</v>
      </c>
      <c r="E277" s="1" t="n">
        <v>356</v>
      </c>
      <c r="G277" s="1" t="str">
        <f aca="false">IF($F277&lt;&gt;"",_xlfn.CONCAT(VLOOKUP($CE277, Constants!$T:$U, 2, FALSE()),",",$F277),VLOOKUP($CE277, Constants!$T:$U, 2, FALSE()))</f>
        <v>role/passenger</v>
      </c>
      <c r="H277" s="1" t="str">
        <f aca="false">IF($G277&lt;&gt;"",_xlfn.CONCAT(VLOOKUP($CG277, Constants!$M:$P, 4, FALSE()),",",$G277),VLOOKUP($CG277, Constants!$M:$P, 4, FALSE()))</f>
        <v>flag/GB,power/electric,role/passenger</v>
      </c>
      <c r="I277" s="1" t="s">
        <v>198</v>
      </c>
      <c r="J277" s="1" t="s">
        <v>423</v>
      </c>
      <c r="K277" s="1" t="s">
        <v>666</v>
      </c>
      <c r="L277" s="1" t="s">
        <v>709</v>
      </c>
      <c r="M277" s="1" t="n">
        <v>1987</v>
      </c>
      <c r="N277" s="1" t="n">
        <v>1990</v>
      </c>
      <c r="P277" s="1" t="n">
        <v>4</v>
      </c>
      <c r="Q277" s="1" t="n">
        <f aca="false">4*332</f>
        <v>1328</v>
      </c>
      <c r="Z277" s="1" t="n">
        <v>140.3</v>
      </c>
      <c r="AB277" s="1" t="n">
        <v>5</v>
      </c>
      <c r="AC277" s="1" t="n">
        <v>160</v>
      </c>
      <c r="AD277" s="4" t="n">
        <f aca="false">IF(AND(Z277&gt;0,AC277&gt;0),(AC277/((Z277+AA277)*10)),"")</f>
        <v>0.114041339985745</v>
      </c>
      <c r="AE277" s="1" t="n">
        <v>100</v>
      </c>
      <c r="AF277" s="1" t="n">
        <f aca="false">ROUND(AE277*1.6, 0)</f>
        <v>160</v>
      </c>
      <c r="AI277" s="1" t="n">
        <v>19.83</v>
      </c>
      <c r="AJ277" s="1" t="n">
        <v>19.83</v>
      </c>
      <c r="AL277" s="1" t="n">
        <v>3.58</v>
      </c>
      <c r="AM277" s="5" t="n">
        <v>78</v>
      </c>
      <c r="AN277" s="1" t="str">
        <f aca="false">CONCATENATE(VLOOKUP(AO277, 'Voxel Sizes'!$A$2:$B$18,2,FALSE()),"x",INT(AK277*15), "x", INT(AL277*15))</f>
        <v>198x0x53</v>
      </c>
      <c r="AO277" s="1" t="n">
        <f aca="false">ROUND(15*((AJ277*10)/256),0)</f>
        <v>12</v>
      </c>
      <c r="AQ277" s="1" t="str">
        <f aca="false">CONCATENATE(VLOOKUP(AO277,Constants!$A$2:$C$16,IF(AP277&lt;&gt;"", 3, 2), FALSE()),IF(AP277&lt;&gt;"",CONCATENATE(",",VLOOKUP(AP277,$B:$AQ,42,FALSE())),""))</f>
        <v>4,4,4</v>
      </c>
      <c r="AU277" s="1" t="s">
        <v>1057</v>
      </c>
      <c r="AV277" s="1" t="s">
        <v>1058</v>
      </c>
      <c r="AW277" s="1" t="s">
        <v>898</v>
      </c>
      <c r="BA277" s="1" t="n">
        <v>32</v>
      </c>
      <c r="BB277" s="16" t="str">
        <f aca="false">IF(O277&lt;&gt;"",MAX(16,(O277-M277)+8),"")</f>
        <v/>
      </c>
      <c r="BC277" s="1" t="n">
        <v>-10</v>
      </c>
      <c r="BD277" s="1" t="n">
        <v>-20</v>
      </c>
      <c r="BE277" s="1" t="n">
        <f aca="false">MIN(AE277/150, 1)*30</f>
        <v>20</v>
      </c>
      <c r="BF277" s="1" t="n">
        <f aca="false">MIN(Q277/4000, 1)*20</f>
        <v>6.64</v>
      </c>
      <c r="BG277" s="1" t="n">
        <f aca="false">MIN(AC277/400,1)*20</f>
        <v>8</v>
      </c>
      <c r="BH277" s="4" t="n">
        <f aca="false">1-(MAX(M277-1900, 0)/750)</f>
        <v>0.884</v>
      </c>
      <c r="BI277" s="1" t="n">
        <f aca="false">((MAX($P277,1)*MIN($AM277/300,1)))*IF(J277="Wagon",50,10)</f>
        <v>10.4</v>
      </c>
      <c r="BJ277" s="1" t="n">
        <f aca="false">VLOOKUP($K277,Constants!$I:$K, 2, FALSE())</f>
        <v>0.85</v>
      </c>
      <c r="BK277" s="1" t="n">
        <f aca="false">VLOOKUP($K277,Constants!$I:$K, 3, FALSE())*IF(AND(J277="multiple_unit",AE277&lt;110),0.75,1)</f>
        <v>1.8</v>
      </c>
      <c r="BL277" s="1" t="n">
        <f aca="false">INT(POWER(((Constants!$G$2+$BE277+$BF277+$BG277+$BI277)*$BH277)*$BK277, 1.05))+$BD277</f>
        <v>79</v>
      </c>
      <c r="BM277" s="1" t="n">
        <f aca="false">INT(POWER((((Constants!$G$1+$BE277+$BF277+$BG277+$BI277)*($BH277))*$BJ277),IF($J277="wagon",1,1.2)))+$BC277</f>
        <v>86</v>
      </c>
      <c r="BN277" s="17" t="n">
        <f aca="false">BL277*IF($J277="wagon",62.5,781.25)</f>
        <v>61718.75</v>
      </c>
      <c r="BO277" s="17" t="n">
        <f aca="false">BM277*IF($J277="wagon",2.73,81.25)</f>
        <v>6987.5</v>
      </c>
      <c r="BY277" s="1" t="n">
        <v>3</v>
      </c>
      <c r="BZ277" s="1" t="n">
        <v>185</v>
      </c>
      <c r="CC277" s="1" t="s">
        <v>327</v>
      </c>
      <c r="CD277" s="1" t="str">
        <f aca="false">VLOOKUP(M277,Eras!$A$2:$C$10, 2, TRUE())</f>
        <v>lbr</v>
      </c>
      <c r="CE277" s="1" t="s">
        <v>785</v>
      </c>
      <c r="CF277" s="1" t="str">
        <f aca="false">CONCATENATE(CD277,"_",CE277)</f>
        <v>lbr_EMU</v>
      </c>
      <c r="CG277" s="1" t="str">
        <f aca="false">_xlfn.CONCAT(K277, "_",L277)</f>
        <v>dual_electric_DUAL_POWER</v>
      </c>
      <c r="CH277" s="7" t="str">
        <f aca="false">_xlfn.CONCAT("{BLACK}Length: {GOLD}", TEXT(ROUNDUP(IF(AT277&lt;&gt;"",SUM(VALUE(_xlfn.TEXTSPLIT(AT277, ","))), SUM(VALUE(_xlfn.TEXTSPLIT(AQ277, ",")))*IF(P277, P277, 1))/16, 1), "#,##0.0"), " tiles{}")</f>
        <v>{BLACK}Length: {GOLD}3.0 tiles{}</v>
      </c>
      <c r="CI277" s="1" t="n">
        <f aca="false">VLOOKUP($CG277, Constants!$M:$N, 2, FALSE())</f>
        <v>0</v>
      </c>
      <c r="CJ277" s="1" t="str">
        <f aca="false">IF(P277&gt;1,_xlfn.CONCAT("{BLACK}Cars: {GOLD}", P277),"")</f>
        <v>{BLACK}Cars: {GOLD}4</v>
      </c>
      <c r="CK277" s="1" t="s">
        <v>1059</v>
      </c>
      <c r="CL277" s="1" t="str">
        <f aca="false">IF($BX277="!param_no_gameplay_units","{GREEN}Included for gameplay purposes","")</f>
        <v/>
      </c>
      <c r="CM277" s="1" t="str">
        <f aca="false">IF(CA277="buffet","{YELLOW}25% long distance bonus for consist{}",IF(CC277="BRAKE","{YELLOW}Speed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{GOLD}4{}{BLACK}Length: {GOLD}3.0 tiles{}{SILVER}The Class 319 is a dual-voltage EMU built for the then-new Thameslink service between Brighton and Bedford.</v>
      </c>
    </row>
    <row r="278" customFormat="false" ht="14.25" hidden="false" customHeight="false" outlineLevel="0" collapsed="false">
      <c r="A278" s="1" t="s">
        <v>1060</v>
      </c>
      <c r="B278" s="15" t="s">
        <v>1061</v>
      </c>
      <c r="C278" s="1" t="n">
        <v>244</v>
      </c>
      <c r="E278" s="1" t="n">
        <v>357</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198</v>
      </c>
      <c r="J278" s="1" t="s">
        <v>423</v>
      </c>
      <c r="K278" s="1" t="s">
        <v>349</v>
      </c>
      <c r="L278" s="1" t="s">
        <v>350</v>
      </c>
      <c r="M278" s="1" t="n">
        <v>1988</v>
      </c>
      <c r="N278" s="1" t="n">
        <v>1991</v>
      </c>
      <c r="P278" s="1" t="n">
        <v>4</v>
      </c>
      <c r="Q278" s="1" t="n">
        <v>1438</v>
      </c>
      <c r="Z278" s="1" t="n">
        <v>137.9</v>
      </c>
      <c r="AB278" s="1" t="n">
        <v>5</v>
      </c>
      <c r="AC278" s="1" t="n">
        <v>150</v>
      </c>
      <c r="AD278" s="4" t="n">
        <f aca="false">IF(AND(Z278&gt;0,AC278&gt;0),(AC278/((Z278+AA278)*10)),"")</f>
        <v>0.108774474256708</v>
      </c>
      <c r="AE278" s="1" t="n">
        <v>100</v>
      </c>
      <c r="AF278" s="1" t="n">
        <f aca="false">ROUND(AE278*1.6, 0)</f>
        <v>160</v>
      </c>
      <c r="AI278" s="1" t="n">
        <v>19.95</v>
      </c>
      <c r="AJ278" s="1" t="n">
        <v>19.95</v>
      </c>
      <c r="AL278" s="1" t="n">
        <v>3.78</v>
      </c>
      <c r="AM278" s="5" t="n">
        <v>78</v>
      </c>
      <c r="AN278" s="1" t="str">
        <f aca="false">CONCATENATE(VLOOKUP(AO278, 'Voxel Sizes'!$A$2:$B$18,2,FALSE()),"x",INT(AK278*15), "x", INT(AL278*15))</f>
        <v>198x0x56</v>
      </c>
      <c r="AO278" s="1" t="n">
        <f aca="false">ROUND(15*((AJ278*10)/256),0)</f>
        <v>12</v>
      </c>
      <c r="AQ278" s="1" t="str">
        <f aca="false">CONCATENATE(VLOOKUP(AO278,Constants!$A$2:$C$16,IF(AP278&lt;&gt;"", 3, 2), FALSE()),IF(AP278&lt;&gt;"",CONCATENATE(",",VLOOKUP(AP278,$B:$AQ,42,FALSE())),""))</f>
        <v>4,4,4</v>
      </c>
      <c r="AU278" s="1" t="s">
        <v>1062</v>
      </c>
      <c r="AW278" s="1" t="s">
        <v>898</v>
      </c>
      <c r="BA278" s="1" t="n">
        <v>33</v>
      </c>
      <c r="BB278" s="16" t="str">
        <f aca="false">IF(O278&lt;&gt;"",MAX(16,(O278-M278)+8),"")</f>
        <v/>
      </c>
      <c r="BC278" s="1" t="n">
        <v>-10</v>
      </c>
      <c r="BD278" s="1" t="n">
        <v>-27</v>
      </c>
      <c r="BE278" s="1" t="n">
        <f aca="false">MIN(AE278/150, 1)*30</f>
        <v>20</v>
      </c>
      <c r="BF278" s="1" t="n">
        <f aca="false">MIN(Q278/4000, 1)*20</f>
        <v>7.19</v>
      </c>
      <c r="BG278" s="1" t="n">
        <f aca="false">MIN(AC278/400,1)*20</f>
        <v>7.5</v>
      </c>
      <c r="BH278" s="4" t="n">
        <f aca="false">1-(MAX(M278-1900, 0)/750)</f>
        <v>0.882666666666667</v>
      </c>
      <c r="BI278" s="1" t="n">
        <f aca="false">((MAX($P278,1)*MIN($AM278/300,1)))*IF(J278="Wagon",50,10)</f>
        <v>10.4</v>
      </c>
      <c r="BJ278" s="1" t="n">
        <f aca="false">VLOOKUP($K278,Constants!$I:$K, 2, FALSE())</f>
        <v>0.85</v>
      </c>
      <c r="BK278" s="1" t="n">
        <f aca="false">VLOOKUP($K278,Constants!$I:$K, 3, FALSE())*IF(AND(J278="multiple_unit",AE278&lt;110),0.75,1)</f>
        <v>1.725</v>
      </c>
      <c r="BL278" s="1" t="n">
        <f aca="false">INT(POWER(((Constants!$G$2+$BE278+$BF278+$BG278+$BI278)*$BH278)*$BK278, 1.05))+$BD278</f>
        <v>67</v>
      </c>
      <c r="BM278" s="1" t="n">
        <f aca="false">INT(POWER((((Constants!$G$1+$BE278+$BF278+$BG278+$BI278)*($BH278))*$BJ278),IF($J278="wagon",1,1.2)))+$BC278</f>
        <v>86</v>
      </c>
      <c r="BN278" s="17" t="n">
        <f aca="false">BL278*IF($J278="wagon",62.5,781.25)</f>
        <v>52343.75</v>
      </c>
      <c r="BO278" s="17" t="n">
        <f aca="false">BM278*IF($J278="wagon",2.73,81.25)</f>
        <v>6987.5</v>
      </c>
      <c r="BY278" s="1" t="n">
        <v>9</v>
      </c>
      <c r="BZ278" s="1" t="n">
        <v>185</v>
      </c>
      <c r="CC278" s="1" t="s">
        <v>327</v>
      </c>
      <c r="CD278" s="1" t="str">
        <f aca="false">VLOOKUP(M278,Eras!$A$2:$C$10, 2, TRUE())</f>
        <v>lbr</v>
      </c>
      <c r="CE278" s="1" t="s">
        <v>785</v>
      </c>
      <c r="CF278" s="1" t="str">
        <f aca="false">CONCATENATE(CD278,"_",CE278)</f>
        <v>lbr_EMU</v>
      </c>
      <c r="CG278" s="1" t="str">
        <f aca="false">_xlfn.CONCAT(K278, "_",L278)</f>
        <v>electric_ELRL</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1063</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321 is an overhead-line EMU, originally built for Network South East services and Regional Railways services from Leeds.</v>
      </c>
    </row>
    <row r="279" s="1" customFormat="true" ht="14.25" hidden="false" customHeight="false" outlineLevel="0" collapsed="false">
      <c r="A279" s="1" t="s">
        <v>1064</v>
      </c>
      <c r="B279" s="26" t="s">
        <v>1065</v>
      </c>
      <c r="C279" s="1" t="n">
        <v>3066</v>
      </c>
      <c r="E279" s="1" t="n">
        <v>358</v>
      </c>
      <c r="G279" s="1" t="str">
        <f aca="false">IF($F279&lt;&gt;"",_xlfn.CONCAT(VLOOKUP($CE279, Constants!$T:$U, 2, FALSE()),",",$F279),VLOOKUP($CE279, Constants!$T:$U, 2, FALSE()))</f>
        <v>role/express_passenger</v>
      </c>
      <c r="H279" s="1" t="str">
        <f aca="false">IF($G279&lt;&gt;"",_xlfn.CONCAT(VLOOKUP($CG279, Constants!$M:$P, 4, FALSE()),",",$G279),VLOOKUP($CG279, Constants!$M:$P, 4, FALSE()))</f>
        <v>flag/GB,power/electric,role/express_passenger</v>
      </c>
      <c r="I279" s="1" t="s">
        <v>198</v>
      </c>
      <c r="J279" s="1" t="s">
        <v>423</v>
      </c>
      <c r="K279" s="1" t="s">
        <v>349</v>
      </c>
      <c r="L279" s="1" t="s">
        <v>498</v>
      </c>
      <c r="M279" s="1" t="n">
        <v>1988</v>
      </c>
      <c r="P279" s="1" t="n">
        <v>5</v>
      </c>
      <c r="Q279" s="1" t="n">
        <v>1610</v>
      </c>
      <c r="R279" s="2"/>
      <c r="S279" s="3"/>
      <c r="T279" s="3"/>
      <c r="U279" s="3"/>
      <c r="V279" s="3"/>
      <c r="W279" s="3"/>
      <c r="X279" s="3"/>
      <c r="Y279" s="3"/>
      <c r="Z279" s="1" t="n">
        <v>202.8</v>
      </c>
      <c r="AA279" s="2"/>
      <c r="AB279" s="1" t="n">
        <v>5</v>
      </c>
      <c r="AC279" s="1" t="n">
        <v>190</v>
      </c>
      <c r="AD279" s="4" t="n">
        <f aca="false">IF(AND(Z279&gt;0,AC279&gt;0),(AC279/((Z279+AA279)*10)),"")</f>
        <v>0.0936883629191322</v>
      </c>
      <c r="AE279" s="1" t="n">
        <v>108</v>
      </c>
      <c r="AF279" s="1" t="n">
        <f aca="false">ROUND(AE279*1.6, 0)</f>
        <v>173</v>
      </c>
      <c r="AI279" s="1" t="n">
        <v>23</v>
      </c>
      <c r="AJ279" s="1" t="n">
        <v>23</v>
      </c>
      <c r="AK279" s="1" t="n">
        <v>2.74</v>
      </c>
      <c r="AL279" s="1" t="n">
        <v>3.81</v>
      </c>
      <c r="AM279" s="5" t="n">
        <v>66</v>
      </c>
      <c r="AN279" s="1" t="s">
        <v>1066</v>
      </c>
      <c r="AO279" s="1" t="n">
        <f aca="false">ROUND(15*((AJ279*10)/256),0)</f>
        <v>13</v>
      </c>
      <c r="AQ279" s="1" t="str">
        <f aca="false">CONCATENATE(VLOOKUP(AO279,Constants!$A$2:$C$16,IF(AP279&lt;&gt;"", 3, 2), FALSE()),IF(AP279&lt;&gt;"",CONCATENATE(",",VLOOKUP(AP279,$B:$AQ,42,FALSE())),""))</f>
        <v>4,5,4</v>
      </c>
      <c r="AS279" s="6"/>
      <c r="AT279" s="6"/>
      <c r="AU279" s="1" t="s">
        <v>1067</v>
      </c>
      <c r="AW279" s="1" t="s">
        <v>1068</v>
      </c>
      <c r="AX279" s="1" t="s">
        <v>1069</v>
      </c>
      <c r="BA279" s="1" t="n">
        <v>35</v>
      </c>
      <c r="BB279" s="16" t="str">
        <f aca="false">IF(O279&lt;&gt;"",MAX(16,(O279-M279)+8),"")</f>
        <v/>
      </c>
      <c r="BC279" s="1" t="n">
        <v>-10</v>
      </c>
      <c r="BD279" s="1" t="n">
        <v>-25</v>
      </c>
      <c r="BE279" s="1" t="n">
        <f aca="false">MIN(AE279/150, 1)*30</f>
        <v>21.6</v>
      </c>
      <c r="BF279" s="1" t="n">
        <f aca="false">MIN(Q279/4000, 1)*20</f>
        <v>8.05</v>
      </c>
      <c r="BG279" s="1" t="n">
        <f aca="false">MIN(AC279/400,1)*20</f>
        <v>9.5</v>
      </c>
      <c r="BH279" s="4" t="n">
        <f aca="false">1-(MAX(M279-1900, 0)/750)</f>
        <v>0.882666666666667</v>
      </c>
      <c r="BI279" s="1" t="n">
        <f aca="false">((MAX($P279,1)*MIN($AM279/300,1)))*IF(J279="Wagon",50,10)</f>
        <v>11</v>
      </c>
      <c r="BJ279" s="1" t="n">
        <f aca="false">VLOOKUP($K279,Constants!$I:$K, 2, FALSE())</f>
        <v>0.85</v>
      </c>
      <c r="BK279" s="1" t="n">
        <f aca="false">VLOOKUP($K279,Constants!$I:$K, 3, FALSE())*IF(AND(J279="multiple_unit",AE279&lt;110),0.75,1)</f>
        <v>1.725</v>
      </c>
      <c r="BL279" s="1" t="n">
        <v>79</v>
      </c>
      <c r="BM279" s="1" t="n">
        <v>96</v>
      </c>
      <c r="BN279" s="17" t="n">
        <f aca="false">BL279*IF($J279="wagon",62.5,781.25)</f>
        <v>61718.75</v>
      </c>
      <c r="BO279" s="17" t="n">
        <f aca="false">BM279*IF($J279="wagon",2.73,81.25)</f>
        <v>7800</v>
      </c>
      <c r="BY279" s="1" t="n">
        <v>5</v>
      </c>
      <c r="BZ279" s="1" t="n">
        <v>205</v>
      </c>
      <c r="CC279" s="1" t="s">
        <v>327</v>
      </c>
      <c r="CD279" s="1" t="s">
        <v>605</v>
      </c>
      <c r="CE279" s="25" t="s">
        <v>842</v>
      </c>
      <c r="CF279" s="1" t="str">
        <f aca="false">CONCATENATE(CD279,"_",CE279)</f>
        <v>lbr_EMU (Express)</v>
      </c>
      <c r="CG279" s="1" t="str">
        <f aca="false">_xlfn.CONCAT(K279, "_",L279)</f>
        <v>electric_THIRD_RAIL</v>
      </c>
      <c r="CH279" s="7" t="str">
        <f aca="false">_xlfn.CONCAT("{BLACK}Length: {GOLD}", TEXT(ROUNDUP(IF(AT279&lt;&gt;"",SUM(VALUE(_xlfn.TEXTSPLIT(AT279, ","))), SUM(VALUE(_xlfn.TEXTSPLIT(AQ279, ",")))*IF(P279, P279, 1))/16, 1), "#,##0.0"), " tiles{}")</f>
        <v>{BLACK}Length: {GOLD}4.1 tiles{}</v>
      </c>
      <c r="CI279" s="1" t="n">
        <f aca="false">VLOOKUP($CG279, Constants!$M:$N, 2, FALSE())</f>
        <v>0</v>
      </c>
      <c r="CJ279" s="1" t="str">
        <f aca="false">IF(P279&gt;1,_xlfn.CONCAT("{BLACK}Cars: {GOLD}", P279),"")</f>
        <v>{BLACK}Cars: {GOLD}5</v>
      </c>
      <c r="CK279" s="1" t="s">
        <v>1070</v>
      </c>
      <c r="CM279" s="25"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{YELLOW}10% bonus for long distance travel{}</v>
      </c>
      <c r="CN279" s="25" t="str">
        <f aca="false">_xlfn.CONCAT(CI279,IF(CI279 &lt;&gt; "", " ", ""),CJ279,IF(OR(CJ279&lt;&gt;"", CI279&lt;&gt;""), "{}",""), CH279, CM279,"{SILVER}", CK279)</f>
        <v>{BLACK}Cars: {GOLD}5{}{BLACK}Length: {GOLD}4.1 tiles{}{YELLOW}10% bonus for long distance travel{}{SILVER}The Class 442 holds the speed record for a third rail EMU at 108mph. Unlike most of its generation of Mk3-based multiple units, it uses the full-length carriage bodyshell.</v>
      </c>
    </row>
    <row r="280" s="1" customFormat="true" ht="14.25" hidden="false" customHeight="false" outlineLevel="0" collapsed="false">
      <c r="A280" s="1" t="s">
        <v>1071</v>
      </c>
      <c r="B280" s="26" t="s">
        <v>1069</v>
      </c>
      <c r="C280" s="1" t="n">
        <v>3067</v>
      </c>
      <c r="D280" s="1" t="n">
        <v>3066</v>
      </c>
      <c r="E280" s="1" t="n">
        <v>359</v>
      </c>
      <c r="G280" s="1" t="str">
        <f aca="false">IF($F280&lt;&gt;"",_xlfn.CONCAT(VLOOKUP($CE280, Constants!$T:$U, 2, FALSE()),",",$F280),VLOOKUP($CE280, Constants!$T:$U, 2, FALSE()))</f>
        <v>role/express_passenger</v>
      </c>
      <c r="H280" s="1" t="str">
        <f aca="false">IF($G280&lt;&gt;"",_xlfn.CONCAT(VLOOKUP($CG280, Constants!$M:$P, 4, FALSE()),",",$G280),VLOOKUP($CG280, Constants!$M:$P, 4, FALSE()))</f>
        <v>flag/GB,power/electric,role/express_passenger</v>
      </c>
      <c r="I280" s="1" t="s">
        <v>198</v>
      </c>
      <c r="J280" s="1" t="s">
        <v>423</v>
      </c>
      <c r="K280" s="1" t="s">
        <v>666</v>
      </c>
      <c r="L280" s="25" t="s">
        <v>709</v>
      </c>
      <c r="M280" s="1" t="n">
        <v>1988</v>
      </c>
      <c r="P280" s="1" t="n">
        <v>5</v>
      </c>
      <c r="Q280" s="1" t="n">
        <v>2250</v>
      </c>
      <c r="R280" s="2" t="n">
        <v>1610</v>
      </c>
      <c r="S280" s="3"/>
      <c r="T280" s="3"/>
      <c r="U280" s="3"/>
      <c r="V280" s="3"/>
      <c r="W280" s="3"/>
      <c r="X280" s="3"/>
      <c r="Y280" s="3"/>
      <c r="Z280" s="1" t="n">
        <v>208.8</v>
      </c>
      <c r="AA280" s="2"/>
      <c r="AB280" s="1" t="n">
        <v>5</v>
      </c>
      <c r="AC280" s="1" t="n">
        <v>190</v>
      </c>
      <c r="AD280" s="4" t="n">
        <f aca="false">IF(AND(Z280&gt;0,AC280&gt;0),(AC280/((Z280+AA280)*10)),"")</f>
        <v>0.0909961685823755</v>
      </c>
      <c r="AE280" s="1" t="n">
        <v>108</v>
      </c>
      <c r="AF280" s="1" t="n">
        <f aca="false">ROUND(AE280*1.6, 0)</f>
        <v>173</v>
      </c>
      <c r="AI280" s="1" t="n">
        <v>23</v>
      </c>
      <c r="AJ280" s="1" t="n">
        <v>23</v>
      </c>
      <c r="AK280" s="1" t="n">
        <v>2.74</v>
      </c>
      <c r="AL280" s="1" t="n">
        <v>3.81</v>
      </c>
      <c r="AM280" s="5" t="n">
        <v>66</v>
      </c>
      <c r="AN280" s="1" t="s">
        <v>1066</v>
      </c>
      <c r="AO280" s="1" t="n">
        <f aca="false">ROUND(15*((AJ280*10)/256),0)</f>
        <v>13</v>
      </c>
      <c r="AQ280" s="1" t="str">
        <f aca="false">CONCATENATE(VLOOKUP(AO280,Constants!$A$2:$C$16,IF(AP280&lt;&gt;"", 3, 2), FALSE()),IF(AP280&lt;&gt;"",CONCATENATE(",",VLOOKUP(AP280,$B:$AQ,42,FALSE())),""))</f>
        <v>4,5,4</v>
      </c>
      <c r="AS280" s="6"/>
      <c r="AT280" s="6"/>
      <c r="AU280" s="1" t="s">
        <v>1072</v>
      </c>
      <c r="AV280" s="1" t="s">
        <v>1073</v>
      </c>
      <c r="AW280" s="1" t="s">
        <v>829</v>
      </c>
      <c r="BA280" s="1" t="n">
        <v>35</v>
      </c>
      <c r="BB280" s="16" t="str">
        <f aca="false">IF(O280&lt;&gt;"",MAX(16,(O280-M280)+8),"")</f>
        <v/>
      </c>
      <c r="BC280" s="1" t="n">
        <v>-10</v>
      </c>
      <c r="BD280" s="1" t="n">
        <v>-25</v>
      </c>
      <c r="BE280" s="1" t="n">
        <f aca="false">MIN(AE280/150, 1)*30</f>
        <v>21.6</v>
      </c>
      <c r="BF280" s="1" t="n">
        <f aca="false">MIN(Q280/4000, 1)*20</f>
        <v>11.25</v>
      </c>
      <c r="BG280" s="1" t="n">
        <f aca="false">MIN(AC280/400,1)*20</f>
        <v>9.5</v>
      </c>
      <c r="BH280" s="4" t="n">
        <f aca="false">1-(MAX(M280-1900, 0)/750)</f>
        <v>0.882666666666667</v>
      </c>
      <c r="BI280" s="1" t="n">
        <f aca="false">((MAX($P280,1)*MIN($AM280/300,1)))*IF(J280="Wagon",50,10)</f>
        <v>11</v>
      </c>
      <c r="BJ280" s="1" t="n">
        <f aca="false">VLOOKUP($K280,Constants!$I:$K, 2, FALSE())</f>
        <v>0.85</v>
      </c>
      <c r="BK280" s="1" t="n">
        <f aca="false">VLOOKUP($K280,Constants!$I:$K, 3, FALSE())*IF(AND(J280="multiple_unit",AE280&lt;110),0.75,1)</f>
        <v>1.8</v>
      </c>
      <c r="BL280" s="1" t="n">
        <v>91</v>
      </c>
      <c r="BM280" s="1" t="n">
        <v>102</v>
      </c>
      <c r="BN280" s="17" t="n">
        <f aca="false">BL280*IF($J280="wagon",62.5,781.25)</f>
        <v>71093.75</v>
      </c>
      <c r="BO280" s="17" t="n">
        <f aca="false">BM280*IF($J280="wagon",2.73,81.25)</f>
        <v>8287.5</v>
      </c>
      <c r="BX280" s="1" t="s">
        <v>660</v>
      </c>
      <c r="BY280" s="1" t="n">
        <v>5</v>
      </c>
      <c r="BZ280" s="1" t="n">
        <v>205</v>
      </c>
      <c r="CC280" s="1" t="s">
        <v>327</v>
      </c>
      <c r="CD280" s="1" t="s">
        <v>605</v>
      </c>
      <c r="CE280" s="25" t="s">
        <v>842</v>
      </c>
      <c r="CF280" s="1" t="str">
        <f aca="false">CONCATENATE(CD280,"_",CE280)</f>
        <v>lbr_EMU (Express)</v>
      </c>
      <c r="CG280" s="1" t="str">
        <f aca="false">_xlfn.CONCAT(K280, "_",L280)</f>
        <v>dual_electric_DUAL_POWER</v>
      </c>
      <c r="CH280" s="7" t="str">
        <f aca="false">_xlfn.CONCAT("{BLACK}Length: {GOLD}", TEXT(ROUNDUP(IF(AT280&lt;&gt;"",SUM(VALUE(_xlfn.TEXTSPLIT(AT280, ","))), SUM(VALUE(_xlfn.TEXTSPLIT(AQ280, ",")))*IF(P280, P280, 1))/16, 1), "#,##0.0"), " tiles{}")</f>
        <v>{BLACK}Length: {GOLD}4.1 tiles{}</v>
      </c>
      <c r="CI280" s="1" t="n">
        <f aca="false">VLOOKUP($CG280, Constants!$M:$N, 2, FALSE())</f>
        <v>0</v>
      </c>
      <c r="CJ280" s="1" t="str">
        <f aca="false">IF(P280&gt;1,_xlfn.CONCAT("{BLACK}Cars: {GOLD}", P280),"")</f>
        <v>{BLACK}Cars: {GOLD}5</v>
      </c>
      <c r="CK280" s="31" t="s">
        <v>1074</v>
      </c>
      <c r="CM280" s="25"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{YELLOW}10% bonus for long distance travel{}</v>
      </c>
      <c r="CN280" s="25" t="str">
        <f aca="false">_xlfn.CONCAT(CI280,IF(CI280 &lt;&gt; "", " ", ""),CJ280,IF(OR(CJ280&lt;&gt;"", CI280&lt;&gt;""), "{}",""), CH280, CM280,"{SILVER}", CK280)</f>
        <v>{BLACK}Cars: {GOLD}5{}{BLACK}Length: {GOLD}4.1 tiles{}{YELLOW}10% bonus for long distance travel{}{SILVER}What if the Class 442 had a dual-voltage conversion to allow through-running expresses and an end to 3rd rail power supply?</v>
      </c>
    </row>
    <row r="281" s="1" customFormat="true" ht="14.25" hidden="false" customHeight="false" outlineLevel="0" collapsed="false">
      <c r="A281" s="1" t="s">
        <v>1075</v>
      </c>
      <c r="B281" s="26" t="s">
        <v>1076</v>
      </c>
      <c r="C281" s="1" t="n">
        <v>3045</v>
      </c>
      <c r="E281" s="1" t="n">
        <v>360</v>
      </c>
      <c r="G281" s="1" t="str">
        <f aca="false">IF($F281&lt;&gt;"",_xlfn.CONCAT(VLOOKUP($CE281, Constants!$T:$U, 2, FALSE()),",",$F281),VLOOKUP($CE281, Constants!$T:$U, 2, FALSE()))</f>
        <v>role/passenger</v>
      </c>
      <c r="H281" s="1" t="str">
        <f aca="false">IF($G281&lt;&gt;"",_xlfn.CONCAT(VLOOKUP($CG281, Constants!$M:$P, 4, FALSE()),",",$G281),VLOOKUP($CG281, Constants!$M:$P, 4, FALSE()))</f>
        <v>flag/GB,power/diesel,role/passenger</v>
      </c>
      <c r="I281" s="1" t="s">
        <v>198</v>
      </c>
      <c r="J281" s="1" t="s">
        <v>423</v>
      </c>
      <c r="K281" s="1" t="s">
        <v>482</v>
      </c>
      <c r="L281" s="1" t="s">
        <v>149</v>
      </c>
      <c r="M281" s="1" t="n">
        <v>1988</v>
      </c>
      <c r="P281" s="1" t="n">
        <v>2</v>
      </c>
      <c r="Q281" s="1" t="n">
        <f aca="false">285*2</f>
        <v>570</v>
      </c>
      <c r="R281" s="2"/>
      <c r="S281" s="3"/>
      <c r="T281" s="3"/>
      <c r="U281" s="3"/>
      <c r="V281" s="3"/>
      <c r="W281" s="3"/>
      <c r="X281" s="3"/>
      <c r="Y281" s="3"/>
      <c r="Z281" s="1" t="n">
        <f aca="false">35.5+36.1</f>
        <v>71.6</v>
      </c>
      <c r="AA281" s="2"/>
      <c r="AB281" s="1" t="n">
        <v>5</v>
      </c>
      <c r="AC281" s="1" t="n">
        <v>110</v>
      </c>
      <c r="AD281" s="4" t="n">
        <f aca="false">IF(AND(Z281&gt;0,AC281&gt;0),(AC281/((Z281+AA281)*10)),"")</f>
        <v>0.153631284916201</v>
      </c>
      <c r="AE281" s="1" t="n">
        <v>75</v>
      </c>
      <c r="AF281" s="1" t="n">
        <f aca="false">ROUND(AE281*1.6, 0)</f>
        <v>120</v>
      </c>
      <c r="AI281" s="1" t="n">
        <v>23</v>
      </c>
      <c r="AJ281" s="1" t="n">
        <v>23</v>
      </c>
      <c r="AK281" s="1" t="n">
        <v>2.8</v>
      </c>
      <c r="AL281" s="1" t="n">
        <v>3.7</v>
      </c>
      <c r="AM281" s="5" t="n">
        <v>69</v>
      </c>
      <c r="AN281" s="1" t="s">
        <v>1077</v>
      </c>
      <c r="AO281" s="1" t="n">
        <f aca="false">ROUND(15*((AJ281*10)/256),0)</f>
        <v>13</v>
      </c>
      <c r="AQ281" s="1" t="str">
        <f aca="false">CONCATENATE(VLOOKUP(AO281,Constants!$A$2:$C$16,IF(AP281&lt;&gt;"", 3, 2), FALSE()),IF(AP281&lt;&gt;"",CONCATENATE(",",VLOOKUP(AP281,$B:$AQ,42,FALSE())),""))</f>
        <v>4,5,4</v>
      </c>
      <c r="AS281" s="6"/>
      <c r="AT281" s="6"/>
      <c r="AU281" s="1" t="s">
        <v>1078</v>
      </c>
      <c r="AW281" s="1" t="s">
        <v>770</v>
      </c>
      <c r="BA281" s="1" t="n">
        <v>33</v>
      </c>
      <c r="BB281" s="16" t="str">
        <f aca="false">IF(O281&lt;&gt;"",MAX(16,(O281-M281)+8),"")</f>
        <v/>
      </c>
      <c r="BC281" s="1" t="n">
        <v>-10</v>
      </c>
      <c r="BD281" s="1" t="n">
        <v>-15</v>
      </c>
      <c r="BE281" s="1" t="n">
        <f aca="false">MIN(AE281/150, 1)*30</f>
        <v>15</v>
      </c>
      <c r="BF281" s="1" t="n">
        <f aca="false">MIN(Q281/4000, 1)*20</f>
        <v>2.85</v>
      </c>
      <c r="BG281" s="1" t="n">
        <f aca="false">MIN(AC281/400,1)*20</f>
        <v>5.5</v>
      </c>
      <c r="BH281" s="4" t="n">
        <f aca="false">1-(MAX(M281-1900, 0)/750)</f>
        <v>0.882666666666667</v>
      </c>
      <c r="BI281" s="1" t="n">
        <f aca="false">((MAX($P281,1)*MIN($AM281/300,1)))*IF(J281="Wagon",50,10)</f>
        <v>4.6</v>
      </c>
      <c r="BJ281" s="1" t="n">
        <f aca="false">VLOOKUP($K281,Constants!$I:$K, 2, FALSE())</f>
        <v>1</v>
      </c>
      <c r="BK281" s="1" t="n">
        <f aca="false">VLOOKUP($K281,Constants!$I:$K, 3, FALSE())*IF(AND(J281="multiple_unit",AE281&lt;110),0.75,1)</f>
        <v>1.5</v>
      </c>
      <c r="BL281" s="25" t="n">
        <f aca="false">INT(POWER((([1]Constants!$G$2+$BE281+$BF281+$BG281+$BI281)*$BH281)*$BK281, 1.05))+$BD281</f>
        <v>37</v>
      </c>
      <c r="BM281" s="25" t="n">
        <f aca="false">INT(POWER(((([1]Constants!$G$1+$BE281+$BF281+$BG281+$BI281)*($BH281))*$BJ281),IF($J281="wagon",1,1.2)))+$BC281</f>
        <v>68</v>
      </c>
      <c r="BN281" s="17" t="n">
        <f aca="false">BL281*IF($J281="wagon",62.5,781.25)</f>
        <v>28906.25</v>
      </c>
      <c r="BO281" s="17" t="n">
        <f aca="false">BM281*IF($J281="wagon",2.73,81.25)</f>
        <v>5525</v>
      </c>
      <c r="BU281" s="1" t="s">
        <v>1079</v>
      </c>
      <c r="BY281" s="1" t="n">
        <v>4</v>
      </c>
      <c r="BZ281" s="1" t="n">
        <v>185</v>
      </c>
      <c r="CC281" s="1" t="s">
        <v>327</v>
      </c>
      <c r="CD281" s="1" t="s">
        <v>605</v>
      </c>
      <c r="CE281" s="25" t="s">
        <v>779</v>
      </c>
      <c r="CF281" s="1" t="str">
        <f aca="false">CONCATENATE(CD281,"_",CE281)</f>
        <v>lbr_DMU</v>
      </c>
      <c r="CG281" s="1" t="str">
        <f aca="false">_xlfn.CONCAT(K281, "_",L281)</f>
        <v>diesel_RAIL</v>
      </c>
      <c r="CH281" s="7" t="str">
        <f aca="false">_xlfn.CONCAT("{BLACK}Length: {GOLD}", TEXT(ROUNDUP(IF(AT281&lt;&gt;"",SUM(VALUE(_xlfn.TEXTSPLIT(AT281, ","))), SUM(VALUE(_xlfn.TEXTSPLIT(AQ281, ",")))*IF(P281, P281, 1))/16, 1), "#,##0.0"), " tiles{}")</f>
        <v>{BLACK}Length: {GOLD}1.7 tiles{}</v>
      </c>
      <c r="CI281" s="1" t="n">
        <f aca="false">VLOOKUP($CG281, Constants!$M:$N, 2, FALSE())</f>
        <v>0</v>
      </c>
      <c r="CJ281" s="1" t="str">
        <f aca="false">IF(P281&gt;1,_xlfn.CONCAT("{BLACK}Cars: {GOLD}", P281),"")</f>
        <v>{BLACK}Cars: {GOLD}2</v>
      </c>
      <c r="CK281" s="1" t="s">
        <v>1080</v>
      </c>
      <c r="CM281" s="25"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25" t="str">
        <f aca="false">_xlfn.CONCAT(CI281,IF(CI281 &lt;&gt; "", " ", ""),CJ281,IF(OR(CJ281&lt;&gt;"", CI281&lt;&gt;""), "{}",""), CH281, CM281,"{SILVER}", CK281)</f>
        <v>{BLACK}Cars: {GOLD}2{}{BLACK}Length: {GOLD}1.7 tiles{}{SILVER}The Class 156 is a member of the Sprinter family designed for longer journeys, with single doors at each end rather than the metro-style doors of the Class 150s.</v>
      </c>
    </row>
    <row r="282" s="1" customFormat="true" ht="14.25" hidden="false" customHeight="false" outlineLevel="0" collapsed="false">
      <c r="A282" s="1" t="s">
        <v>1081</v>
      </c>
      <c r="B282" s="26" t="s">
        <v>1082</v>
      </c>
      <c r="C282" s="1" t="n">
        <v>3046</v>
      </c>
      <c r="E282" s="1" t="n">
        <v>361</v>
      </c>
      <c r="G282" s="1" t="str">
        <f aca="false">IF($F282&lt;&gt;"",_xlfn.CONCAT(VLOOKUP($CE282, Constants!$T:$U, 2, FALSE()),",",$F282),VLOOKUP($CE282, Constants!$T:$U, 2, FALSE()))</f>
        <v>role/express_passenger</v>
      </c>
      <c r="H282" s="1" t="str">
        <f aca="false">IF($G282&lt;&gt;"",_xlfn.CONCAT(VLOOKUP($CG282, Constants!$M:$P, 4, FALSE()),",",$G282),VLOOKUP($CG282, Constants!$M:$P, 4, FALSE()))</f>
        <v>flag/GB,power/diesel,role/express_passenger</v>
      </c>
      <c r="I282" s="1" t="s">
        <v>198</v>
      </c>
      <c r="J282" s="1" t="s">
        <v>423</v>
      </c>
      <c r="K282" s="1" t="s">
        <v>482</v>
      </c>
      <c r="L282" s="1" t="s">
        <v>149</v>
      </c>
      <c r="M282" s="1" t="n">
        <v>1989</v>
      </c>
      <c r="N282" s="1" t="n">
        <v>1992</v>
      </c>
      <c r="P282" s="1" t="n">
        <v>2</v>
      </c>
      <c r="Q282" s="1" t="n">
        <f aca="false">350*2</f>
        <v>700</v>
      </c>
      <c r="R282" s="2"/>
      <c r="S282" s="3"/>
      <c r="T282" s="3"/>
      <c r="U282" s="3"/>
      <c r="V282" s="3"/>
      <c r="W282" s="3"/>
      <c r="X282" s="3"/>
      <c r="Y282" s="3"/>
      <c r="Z282" s="1" t="n">
        <f aca="false">38.5 * 2</f>
        <v>77</v>
      </c>
      <c r="AA282" s="2"/>
      <c r="AB282" s="1" t="n">
        <v>5</v>
      </c>
      <c r="AC282" s="1" t="n">
        <v>120</v>
      </c>
      <c r="AD282" s="4" t="n">
        <f aca="false">IF(AND(Z282&gt;0,AC282&gt;0),(AC282/((Z282+AA282)*10)),"")</f>
        <v>0.155844155844156</v>
      </c>
      <c r="AE282" s="1" t="n">
        <v>90</v>
      </c>
      <c r="AF282" s="1" t="n">
        <f aca="false">ROUND(AE282*1.6, 0)</f>
        <v>144</v>
      </c>
      <c r="AI282" s="1" t="n">
        <v>23.2</v>
      </c>
      <c r="AJ282" s="1" t="n">
        <v>23</v>
      </c>
      <c r="AK282" s="1" t="n">
        <v>2.7</v>
      </c>
      <c r="AM282" s="5" t="n">
        <v>69</v>
      </c>
      <c r="AN282" s="1" t="s">
        <v>1083</v>
      </c>
      <c r="AO282" s="1" t="n">
        <f aca="false">ROUND(15*((AJ282*10)/256),0)</f>
        <v>13</v>
      </c>
      <c r="AQ282" s="1" t="str">
        <f aca="false">CONCATENATE(VLOOKUP(AO282,Constants!$A$2:$C$16,IF(AP282&lt;&gt;"", 3, 2), FALSE()),IF(AP282&lt;&gt;"",CONCATENATE(",",VLOOKUP(AP282,$B:$AQ,42,FALSE())),""))</f>
        <v>4,5,4</v>
      </c>
      <c r="AS282" s="6"/>
      <c r="AT282" s="6"/>
      <c r="AU282" s="1" t="s">
        <v>1084</v>
      </c>
      <c r="AW282" s="1" t="s">
        <v>770</v>
      </c>
      <c r="AX282" s="1" t="s">
        <v>1085</v>
      </c>
      <c r="BA282" s="1" t="n">
        <v>33</v>
      </c>
      <c r="BB282" s="16" t="str">
        <f aca="false">IF(O282&lt;&gt;"",MAX(16,(O282-M282)+8),"")</f>
        <v/>
      </c>
      <c r="BC282" s="1" t="n">
        <v>-10</v>
      </c>
      <c r="BD282" s="1" t="n">
        <v>-15</v>
      </c>
      <c r="BE282" s="1" t="n">
        <f aca="false">MIN(AE282/150, 1)*30</f>
        <v>18</v>
      </c>
      <c r="BF282" s="1" t="n">
        <f aca="false">MIN(Q282/4000, 1)*20</f>
        <v>3.5</v>
      </c>
      <c r="BG282" s="1" t="n">
        <f aca="false">MIN(AC282/400,1)*20</f>
        <v>6</v>
      </c>
      <c r="BH282" s="4" t="n">
        <f aca="false">1-(MAX(M282-1900, 0)/750)</f>
        <v>0.881333333333333</v>
      </c>
      <c r="BI282" s="1" t="n">
        <f aca="false">((MAX($P282,1)*MIN($AM282/300,1)))*IF(J282="Wagon",50,10)</f>
        <v>4.6</v>
      </c>
      <c r="BJ282" s="1" t="n">
        <f aca="false">VLOOKUP($K282,Constants!$I:$K, 2, FALSE())</f>
        <v>1</v>
      </c>
      <c r="BK282" s="1" t="n">
        <f aca="false">VLOOKUP($K282,Constants!$I:$K, 3, FALSE())*IF(AND(J282="multiple_unit",AE282&lt;110),0.75,1)</f>
        <v>1.5</v>
      </c>
      <c r="BL282" s="25" t="n">
        <f aca="false">INT(POWER((([1]Constants!$G$2+$BE282+$BF282+$BG282+$BI282)*$BH282)*$BK282, 1.05))+$BD282</f>
        <v>44</v>
      </c>
      <c r="BM282" s="25" t="n">
        <f aca="false">INT(POWER(((([1]Constants!$G$1+$BE282+$BF282+$BG282+$BI282)*($BH282))*$BJ282),IF($J282="wagon",1,1.2)))+$BC282</f>
        <v>77</v>
      </c>
      <c r="BN282" s="17" t="n">
        <f aca="false">BL282*IF($J282="wagon",62.5,781.25)</f>
        <v>34375</v>
      </c>
      <c r="BO282" s="17" t="n">
        <f aca="false">BM282*IF($J282="wagon",2.73,81.25)</f>
        <v>6256.25</v>
      </c>
      <c r="BU282" s="1" t="s">
        <v>1086</v>
      </c>
      <c r="BY282" s="1" t="n">
        <v>7</v>
      </c>
      <c r="BZ282" s="1" t="n">
        <v>205</v>
      </c>
      <c r="CC282" s="1" t="s">
        <v>327</v>
      </c>
      <c r="CD282" s="1" t="s">
        <v>605</v>
      </c>
      <c r="CE282" s="25" t="s">
        <v>939</v>
      </c>
      <c r="CF282" s="1" t="str">
        <f aca="false">CONCATENATE(CD282,"_",CE282)</f>
        <v>lbr_DMU (Express)</v>
      </c>
      <c r="CG282" s="1" t="str">
        <f aca="false">_xlfn.CONCAT(K282, "_",L282)</f>
        <v>diesel_RAIL</v>
      </c>
      <c r="CH282" s="7" t="str">
        <f aca="false">_xlfn.CONCAT("{BLACK}Length: {GOLD}", TEXT(ROUNDUP(IF(AT282&lt;&gt;"",SUM(VALUE(_xlfn.TEXTSPLIT(AT282, ","))), SUM(VALUE(_xlfn.TEXTSPLIT(AQ282, ",")))*IF(P282, P282, 1))/16, 1), "#,##0.0"), " tiles{}")</f>
        <v>{BLACK}Length: {GOLD}1.7 tiles{}</v>
      </c>
      <c r="CI282" s="1" t="n">
        <f aca="false">VLOOKUP($CG282, Constants!$M:$N, 2, FALSE())</f>
        <v>0</v>
      </c>
      <c r="CJ282" s="1" t="str">
        <f aca="false">IF(P282&gt;1,_xlfn.CONCAT("{BLACK}Cars: {GOLD}", P282),"")</f>
        <v>{BLACK}Cars: {GOLD}2</v>
      </c>
      <c r="CK282" s="1" t="s">
        <v>1087</v>
      </c>
      <c r="CM282" s="25"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{YELLOW}10% bonus for long distance travel{}</v>
      </c>
      <c r="CN282" s="25" t="str">
        <f aca="false">_xlfn.CONCAT(CI282,IF(CI282 &lt;&gt; "", " ", ""),CJ282,IF(OR(CJ282&lt;&gt;"", CI282&lt;&gt;""), "{}",""), CH282, CM282,"{SILVER}", CK282)</f>
        <v>{BLACK}Cars: {GOLD}2{}{BLACK}Length: {GOLD}1.7 tiles{}{YELLOW}10% bonus for long distance travel{}{SILVER}The Class 158 has many improvements over earlier generation Sprinters, including air conditioning and a more comfortable ride.</v>
      </c>
    </row>
    <row r="283" s="1" customFormat="true" ht="14.25" hidden="false" customHeight="false" outlineLevel="0" collapsed="false">
      <c r="A283" s="1" t="s">
        <v>1081</v>
      </c>
      <c r="B283" s="26" t="s">
        <v>1088</v>
      </c>
      <c r="C283" s="1" t="n">
        <v>3047</v>
      </c>
      <c r="D283" s="1" t="n">
        <v>3046</v>
      </c>
      <c r="E283" s="1" t="n">
        <v>362</v>
      </c>
      <c r="G283" s="1" t="str">
        <f aca="false">IF($F283&lt;&gt;"",_xlfn.CONCAT(VLOOKUP($CE283, Constants!$T:$U, 2, FALSE()),",",$F283),VLOOKUP($CE283, Constants!$T:$U, 2, FALSE()))</f>
        <v>role/express_passenger</v>
      </c>
      <c r="H283" s="1" t="str">
        <f aca="false">IF($G283&lt;&gt;"",_xlfn.CONCAT(VLOOKUP($CG283, Constants!$M:$P, 4, FALSE()),",",$G283),VLOOKUP($CG283, Constants!$M:$P, 4, FALSE()))</f>
        <v>flag/GB,power/diesel,role/express_passenger</v>
      </c>
      <c r="I283" s="1" t="s">
        <v>198</v>
      </c>
      <c r="J283" s="1" t="s">
        <v>423</v>
      </c>
      <c r="K283" s="1" t="s">
        <v>482</v>
      </c>
      <c r="L283" s="1" t="s">
        <v>149</v>
      </c>
      <c r="M283" s="1" t="n">
        <v>1989</v>
      </c>
      <c r="N283" s="1" t="n">
        <v>1992</v>
      </c>
      <c r="P283" s="1" t="n">
        <v>3</v>
      </c>
      <c r="Q283" s="1" t="n">
        <f aca="false">350*3</f>
        <v>1050</v>
      </c>
      <c r="R283" s="2"/>
      <c r="S283" s="3"/>
      <c r="T283" s="3"/>
      <c r="U283" s="3"/>
      <c r="V283" s="3"/>
      <c r="W283" s="3"/>
      <c r="X283" s="3"/>
      <c r="Y283" s="3"/>
      <c r="Z283" s="1" t="n">
        <f aca="false">38.5 * 3</f>
        <v>115.5</v>
      </c>
      <c r="AA283" s="2"/>
      <c r="AB283" s="1" t="n">
        <v>5</v>
      </c>
      <c r="AC283" s="1" t="n">
        <v>120</v>
      </c>
      <c r="AD283" s="4" t="n">
        <f aca="false">IF(AND(Z283&gt;0,AC283&gt;0),(AC283/((Z283+AA283)*10)),"")</f>
        <v>0.103896103896104</v>
      </c>
      <c r="AE283" s="1" t="n">
        <v>90</v>
      </c>
      <c r="AF283" s="1" t="n">
        <f aca="false">ROUND(AE283*1.6, 0)</f>
        <v>144</v>
      </c>
      <c r="AI283" s="1" t="n">
        <v>23.2</v>
      </c>
      <c r="AJ283" s="1" t="n">
        <v>23</v>
      </c>
      <c r="AK283" s="1" t="n">
        <v>2.7</v>
      </c>
      <c r="AM283" s="5" t="n">
        <v>69</v>
      </c>
      <c r="AN283" s="1" t="s">
        <v>1083</v>
      </c>
      <c r="AO283" s="1" t="n">
        <f aca="false">ROUND(15*((AJ283*10)/256),0)</f>
        <v>13</v>
      </c>
      <c r="AQ283" s="1" t="str">
        <f aca="false">CONCATENATE(VLOOKUP(AO283,Constants!$A$2:$C$16,IF(AP283&lt;&gt;"", 3, 2), FALSE()),IF(AP283&lt;&gt;"",CONCATENATE(",",VLOOKUP(AP283,$B:$AQ,42,FALSE())),""))</f>
        <v>4,5,4</v>
      </c>
      <c r="AS283" s="6"/>
      <c r="AT283" s="6"/>
      <c r="AU283" s="1" t="s">
        <v>1089</v>
      </c>
      <c r="AW283" s="1" t="s">
        <v>774</v>
      </c>
      <c r="AX283" s="1" t="s">
        <v>1085</v>
      </c>
      <c r="BA283" s="1" t="n">
        <v>33</v>
      </c>
      <c r="BB283" s="16" t="str">
        <f aca="false">IF(O283&lt;&gt;"",MAX(16,(O283-M283)+8),"")</f>
        <v/>
      </c>
      <c r="BC283" s="1" t="n">
        <v>-10</v>
      </c>
      <c r="BD283" s="1" t="n">
        <v>-15</v>
      </c>
      <c r="BE283" s="1" t="n">
        <f aca="false">MIN(AE283/150, 1)*30</f>
        <v>18</v>
      </c>
      <c r="BF283" s="1" t="n">
        <f aca="false">MIN(Q283/4000, 1)*20</f>
        <v>5.25</v>
      </c>
      <c r="BG283" s="1" t="n">
        <f aca="false">MIN(AC283/400,1)*20</f>
        <v>6</v>
      </c>
      <c r="BH283" s="4" t="n">
        <f aca="false">1-(MAX(M283-1900, 0)/750)</f>
        <v>0.881333333333333</v>
      </c>
      <c r="BI283" s="1" t="n">
        <f aca="false">((MAX($P283,1)*MIN($AM283/300,1)))*IF(J283="Wagon",50,10)</f>
        <v>6.9</v>
      </c>
      <c r="BJ283" s="1" t="n">
        <f aca="false">VLOOKUP($K283,Constants!$I:$K, 2, FALSE())</f>
        <v>1</v>
      </c>
      <c r="BK283" s="1" t="n">
        <f aca="false">VLOOKUP($K283,Constants!$I:$K, 3, FALSE())*IF(AND(J283="multiple_unit",AE283&lt;110),0.75,1)</f>
        <v>1.5</v>
      </c>
      <c r="BL283" s="25" t="n">
        <f aca="false">INT(POWER((([1]Constants!$G$2+$BE283+$BF283+$BG283+$BI283)*$BH283)*$BK283, 1.05))+$BD283</f>
        <v>51</v>
      </c>
      <c r="BM283" s="25" t="n">
        <f aca="false">INT(POWER(((([1]Constants!$G$1+$BE283+$BF283+$BG283+$BI283)*($BH283))*$BJ283),IF($J283="wagon",1,1.2)))+$BC283</f>
        <v>86</v>
      </c>
      <c r="BN283" s="17" t="n">
        <f aca="false">BL283*IF($J283="wagon",62.5,781.25)</f>
        <v>39843.75</v>
      </c>
      <c r="BO283" s="17" t="n">
        <f aca="false">BM283*IF($J283="wagon",2.73,81.25)</f>
        <v>6987.5</v>
      </c>
      <c r="BU283" s="1" t="s">
        <v>1090</v>
      </c>
      <c r="BY283" s="1" t="n">
        <v>7</v>
      </c>
      <c r="BZ283" s="1" t="n">
        <v>205</v>
      </c>
      <c r="CC283" s="1" t="s">
        <v>327</v>
      </c>
      <c r="CD283" s="1" t="s">
        <v>605</v>
      </c>
      <c r="CE283" s="25" t="s">
        <v>939</v>
      </c>
      <c r="CF283" s="1" t="str">
        <f aca="false">CONCATENATE(CD283,"_",CE283)</f>
        <v>lbr_DMU (Express)</v>
      </c>
      <c r="CG283" s="1" t="str">
        <f aca="false">_xlfn.CONCAT(K283, "_",L283)</f>
        <v>diesel_RAIL</v>
      </c>
      <c r="CH283" s="7" t="str">
        <f aca="false">_xlfn.CONCAT("{BLACK}Length: {GOLD}", TEXT(ROUNDUP(IF(AT283&lt;&gt;"",SUM(VALUE(_xlfn.TEXTSPLIT(AT283, ","))), SUM(VALUE(_xlfn.TEXTSPLIT(AQ283, ",")))*IF(P283, P283, 1))/16, 1), "#,##0.0"), " tiles{}")</f>
        <v>{BLACK}Length: {GOLD}2.5 tiles{}</v>
      </c>
      <c r="CI283" s="1" t="n">
        <f aca="false">VLOOKUP($CG283, Constants!$M:$N, 2, FALSE())</f>
        <v>0</v>
      </c>
      <c r="CJ283" s="1" t="str">
        <f aca="false">IF(P283&gt;1,_xlfn.CONCAT("{BLACK}Cars: {GOLD}", P283),"")</f>
        <v>{BLACK}Cars: {GOLD}3</v>
      </c>
      <c r="CK283" s="1" t="s">
        <v>1087</v>
      </c>
      <c r="CM283" s="25"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{YELLOW}10% bonus for long distance travel{}</v>
      </c>
      <c r="CN283" s="25" t="str">
        <f aca="false">_xlfn.CONCAT(CI283,IF(CI283 &lt;&gt; "", " ", ""),CJ283,IF(OR(CJ283&lt;&gt;"", CI283&lt;&gt;""), "{}",""), CH283, CM283,"{SILVER}", CK283)</f>
        <v>{BLACK}Cars: {GOLD}3{}{BLACK}Length: {GOLD}2.5 tiles{}{YELLOW}10% bonus for long distance travel{}{SILVER}The Class 158 has many improvements over earlier generation Sprinters, including air conditioning and a more comfortable ride.</v>
      </c>
    </row>
    <row r="284" s="1" customFormat="true" ht="14.25" hidden="false" customHeight="false" outlineLevel="0" collapsed="false">
      <c r="A284" s="1" t="s">
        <v>1091</v>
      </c>
      <c r="B284" s="26" t="s">
        <v>1092</v>
      </c>
      <c r="C284" s="1" t="n">
        <v>3048</v>
      </c>
      <c r="D284" s="1" t="n">
        <v>3046</v>
      </c>
      <c r="E284" s="1" t="n">
        <v>363</v>
      </c>
      <c r="G284" s="1" t="str">
        <f aca="false">IF($F284&lt;&gt;"",_xlfn.CONCAT(VLOOKUP($CE284, Constants!$T:$U, 2, FALSE()),",",$F284),VLOOKUP($CE284, Constants!$T:$U, 2, FALSE()))</f>
        <v>role/passenger</v>
      </c>
      <c r="H284" s="1" t="str">
        <f aca="false">IF($G284&lt;&gt;"",_xlfn.CONCAT(VLOOKUP($CG284, Constants!$M:$P, 4, FALSE()),",",$G284),VLOOKUP($CG284, Constants!$M:$P, 4, FALSE()))</f>
        <v>flag/GB,power/diesel,role/passenger</v>
      </c>
      <c r="I284" s="1" t="s">
        <v>198</v>
      </c>
      <c r="J284" s="1" t="s">
        <v>423</v>
      </c>
      <c r="K284" s="1" t="s">
        <v>482</v>
      </c>
      <c r="L284" s="1" t="s">
        <v>149</v>
      </c>
      <c r="M284" s="1" t="n">
        <v>1989</v>
      </c>
      <c r="N284" s="1" t="n">
        <v>1992</v>
      </c>
      <c r="P284" s="1" t="n">
        <v>2</v>
      </c>
      <c r="Q284" s="1" t="n">
        <f aca="false">350+285</f>
        <v>635</v>
      </c>
      <c r="R284" s="2"/>
      <c r="S284" s="3"/>
      <c r="T284" s="3"/>
      <c r="U284" s="3"/>
      <c r="V284" s="3"/>
      <c r="W284" s="3"/>
      <c r="X284" s="3"/>
      <c r="Y284" s="3"/>
      <c r="Z284" s="1" t="n">
        <f aca="false">38.5+36.1</f>
        <v>74.6</v>
      </c>
      <c r="AA284" s="2"/>
      <c r="AB284" s="1" t="n">
        <v>5</v>
      </c>
      <c r="AC284" s="1" t="n">
        <v>120</v>
      </c>
      <c r="AD284" s="4" t="n">
        <f aca="false">IF(AND(Z284&gt;0,AC284&gt;0),(AC284/((Z284+AA284)*10)),"")</f>
        <v>0.160857908847185</v>
      </c>
      <c r="AE284" s="1" t="n">
        <v>75</v>
      </c>
      <c r="AF284" s="1" t="n">
        <f aca="false">ROUND(AE284*1.6, 0)</f>
        <v>120</v>
      </c>
      <c r="AI284" s="1" t="n">
        <v>23.2</v>
      </c>
      <c r="AJ284" s="1" t="n">
        <v>23</v>
      </c>
      <c r="AK284" s="1" t="n">
        <v>2.7</v>
      </c>
      <c r="AM284" s="5" t="n">
        <v>69</v>
      </c>
      <c r="AN284" s="1" t="s">
        <v>1083</v>
      </c>
      <c r="AO284" s="1" t="n">
        <f aca="false">ROUND(15*((AJ284*10)/256),0)</f>
        <v>13</v>
      </c>
      <c r="AQ284" s="1" t="str">
        <f aca="false">CONCATENATE(VLOOKUP(AO284,Constants!$A$2:$C$16,IF(AP284&lt;&gt;"", 3, 2), FALSE()),IF(AP284&lt;&gt;"",CONCATENATE(",",VLOOKUP(AP284,$B:$AQ,42,FALSE())),""))</f>
        <v>4,5,4</v>
      </c>
      <c r="AS284" s="6"/>
      <c r="AT284" s="6"/>
      <c r="AU284" s="1" t="s">
        <v>1093</v>
      </c>
      <c r="AW284" s="1" t="s">
        <v>888</v>
      </c>
      <c r="AX284" s="1" t="s">
        <v>1085</v>
      </c>
      <c r="BA284" s="1" t="n">
        <v>33</v>
      </c>
      <c r="BB284" s="16" t="str">
        <f aca="false">IF(O284&lt;&gt;"",MAX(16,(O284-M284)+8),"")</f>
        <v/>
      </c>
      <c r="BC284" s="1" t="n">
        <v>-10</v>
      </c>
      <c r="BD284" s="1" t="n">
        <v>-15</v>
      </c>
      <c r="BE284" s="1" t="n">
        <f aca="false">MIN(AE284/150, 1)*30</f>
        <v>15</v>
      </c>
      <c r="BF284" s="1" t="n">
        <f aca="false">MIN(Q284/4000, 1)*20</f>
        <v>3.175</v>
      </c>
      <c r="BG284" s="1" t="n">
        <f aca="false">MIN(AC284/400,1)*20</f>
        <v>6</v>
      </c>
      <c r="BH284" s="4" t="n">
        <f aca="false">1-(MAX(M284-1900, 0)/750)</f>
        <v>0.881333333333333</v>
      </c>
      <c r="BI284" s="1" t="n">
        <f aca="false">((MAX($P284,1)*MIN($AM284/300,1)))*IF(J284="Wagon",50,10)</f>
        <v>4.6</v>
      </c>
      <c r="BJ284" s="1" t="n">
        <f aca="false">VLOOKUP($K284,Constants!$I:$K, 2, FALSE())</f>
        <v>1</v>
      </c>
      <c r="BK284" s="1" t="n">
        <f aca="false">VLOOKUP($K284,Constants!$I:$K, 3, FALSE())*IF(AND(J284="multiple_unit",AE284&lt;110),0.75,1)</f>
        <v>1.5</v>
      </c>
      <c r="BL284" s="25" t="n">
        <f aca="false">INT(POWER((([1]Constants!$G$2+$BE284+$BF284+$BG284+$BI284)*$BH284)*$BK284, 1.05))+$BD284</f>
        <v>38</v>
      </c>
      <c r="BM284" s="25" t="n">
        <f aca="false">INT(POWER(((([1]Constants!$G$1+$BE284+$BF284+$BG284+$BI284)*($BH284))*$BJ284),IF($J284="wagon",1,1.2)))+$BC284</f>
        <v>70</v>
      </c>
      <c r="BN284" s="17" t="n">
        <f aca="false">BL284*IF($J284="wagon",62.5,781.25)</f>
        <v>29687.5</v>
      </c>
      <c r="BO284" s="17" t="n">
        <f aca="false">BM284*IF($J284="wagon",2.73,81.25)</f>
        <v>5687.5</v>
      </c>
      <c r="BU284" s="1" t="s">
        <v>1094</v>
      </c>
      <c r="BY284" s="1" t="n">
        <v>9</v>
      </c>
      <c r="BZ284" s="1" t="n">
        <v>185</v>
      </c>
      <c r="CC284" s="1" t="s">
        <v>327</v>
      </c>
      <c r="CD284" s="1" t="s">
        <v>605</v>
      </c>
      <c r="CE284" s="25" t="s">
        <v>779</v>
      </c>
      <c r="CF284" s="1" t="str">
        <f aca="false">CONCATENATE(CD284,"_",CE284)</f>
        <v>lbr_DMU</v>
      </c>
      <c r="CG284" s="1" t="str">
        <f aca="false">_xlfn.CONCAT(K284, "_",L284)</f>
        <v>diesel_RAIL</v>
      </c>
      <c r="CH284" s="7" t="str">
        <f aca="false">_xlfn.CONCAT("{BLACK}Length: {GOLD}", TEXT(ROUNDUP(IF(AT284&lt;&gt;"",SUM(VALUE(_xlfn.TEXTSPLIT(AT284, ","))), SUM(VALUE(_xlfn.TEXTSPLIT(AQ284, ",")))*IF(P284, P284, 1))/16, 1), "#,##0.0"), " tiles{}")</f>
        <v>{BLACK}Length: {GOLD}1.7 tiles{}</v>
      </c>
      <c r="CI284" s="1" t="n">
        <f aca="false">VLOOKUP($CG284, Constants!$M:$N, 2, FALSE())</f>
        <v>0</v>
      </c>
      <c r="CJ284" s="1" t="str">
        <f aca="false">IF(P284&gt;1,_xlfn.CONCAT("{BLACK}Cars: {GOLD}", P284),"")</f>
        <v>{BLACK}Cars: {GOLD}2</v>
      </c>
      <c r="CK284" s="1" t="s">
        <v>1095</v>
      </c>
      <c r="CM284" s="25"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
      </c>
      <c r="CN284" s="25" t="str">
        <f aca="false">_xlfn.CONCAT(CI284,IF(CI284 &lt;&gt; "", " ", ""),CJ284,IF(OR(CJ284&lt;&gt;"", CI284&lt;&gt;""), "{}",""), CH284, CM284,"{SILVER}", CK284)</f>
        <v>{BLACK}Cars: {GOLD}2{}{BLACK}Length: {GOLD}1.7 tiles{}{SILVER}When both Class 158 and Class 156 vehicles are unavailable, it’s possible to run hybrid units of the type, and these have been documented in passenger service on many occasions.</v>
      </c>
    </row>
    <row r="285" customFormat="false" ht="14.25" hidden="false" customHeight="false" outlineLevel="0" collapsed="false">
      <c r="A285" s="1" t="s">
        <v>1096</v>
      </c>
      <c r="B285" s="15" t="s">
        <v>1035</v>
      </c>
      <c r="C285" s="1" t="n">
        <v>249</v>
      </c>
      <c r="E285" s="1" t="n">
        <v>364</v>
      </c>
      <c r="G285" s="1" t="str">
        <f aca="false">IF($F285&lt;&gt;"",_xlfn.CONCAT(VLOOKUP($CE285, Constants!$T:$U, 2, FALSE()),",",$F285),VLOOKUP($CE285, Constants!$T:$U, 2, FALSE()))</f>
        <v>role/passenger</v>
      </c>
      <c r="H285" s="1" t="str">
        <f aca="false">IF($G285&lt;&gt;"",_xlfn.CONCAT(VLOOKUP($CG285, Constants!$M:$P, 4, FALSE()),",",$G285),VLOOKUP($CG285, Constants!$M:$P, 4, FALSE()))</f>
        <v>flag/GB,power/electric,role/passenger</v>
      </c>
      <c r="I285" s="1" t="s">
        <v>198</v>
      </c>
      <c r="J285" s="1" t="s">
        <v>423</v>
      </c>
      <c r="K285" s="1" t="s">
        <v>349</v>
      </c>
      <c r="L285" s="1" t="s">
        <v>498</v>
      </c>
      <c r="M285" s="1" t="n">
        <v>1990</v>
      </c>
      <c r="P285" s="1" t="n">
        <v>2</v>
      </c>
      <c r="Q285" s="1" t="n">
        <v>500</v>
      </c>
      <c r="Z285" s="1" t="n">
        <v>72.5</v>
      </c>
      <c r="AB285" s="1" t="n">
        <v>5</v>
      </c>
      <c r="AC285" s="1" t="n">
        <v>120</v>
      </c>
      <c r="AD285" s="4" t="n">
        <f aca="false">IF(AND(Z285&gt;0,AC285&gt;0),(AC285/((Z285+AA285)*10)),"")</f>
        <v>0.16551724137931</v>
      </c>
      <c r="AE285" s="1" t="n">
        <v>75</v>
      </c>
      <c r="AF285" s="1" t="n">
        <f aca="false">ROUND(AE285*1.6, 0)</f>
        <v>120</v>
      </c>
      <c r="AI285" s="1" t="n">
        <v>19.8</v>
      </c>
      <c r="AJ285" s="1" t="n">
        <v>19.8</v>
      </c>
      <c r="AM285" s="5" t="n">
        <v>75</v>
      </c>
      <c r="AN285" s="1" t="str">
        <f aca="false">CONCATENATE(VLOOKUP(AO285, 'Voxel Sizes'!$A$2:$B$18,2,FALSE()),"x",INT(AK285*15), "x", INT(AL285*15))</f>
        <v>198x0x0</v>
      </c>
      <c r="AO285" s="1" t="n">
        <f aca="false">ROUND(15*((AJ285*10)/256),0)</f>
        <v>12</v>
      </c>
      <c r="AQ285" s="1" t="str">
        <f aca="false">CONCATENATE(VLOOKUP(AO285,Constants!$A$2:$C$16,IF(AP285&lt;&gt;"", 3, 2), FALSE()),IF(AP285&lt;&gt;"",CONCATENATE(",",VLOOKUP(AP285,$B:$AQ,42,FALSE())),""))</f>
        <v>4,4,4</v>
      </c>
      <c r="AU285" s="1" t="s">
        <v>1097</v>
      </c>
      <c r="AW285" s="1" t="s">
        <v>770</v>
      </c>
      <c r="BA285" s="1" t="n">
        <v>31</v>
      </c>
      <c r="BB285" s="16" t="str">
        <f aca="false">IF(O285&lt;&gt;"",MAX(16,(O285-M285)+8),"")</f>
        <v/>
      </c>
      <c r="BC285" s="1" t="n">
        <v>-10</v>
      </c>
      <c r="BD285" s="1" t="n">
        <v>-20</v>
      </c>
      <c r="BE285" s="1" t="n">
        <f aca="false">MIN(AE285/150, 1)*30</f>
        <v>15</v>
      </c>
      <c r="BF285" s="1" t="n">
        <f aca="false">MIN(Q285/4000, 1)*20</f>
        <v>2.5</v>
      </c>
      <c r="BG285" s="1" t="n">
        <f aca="false">MIN(AC285/400,1)*20</f>
        <v>6</v>
      </c>
      <c r="BH285" s="4" t="n">
        <f aca="false">1-(MAX(M285-1900, 0)/750)</f>
        <v>0.88</v>
      </c>
      <c r="BI285" s="1" t="n">
        <f aca="false">((MAX($P285,1)*MIN($AM285/300,1)))*IF(J285="Wagon",50,10)</f>
        <v>5</v>
      </c>
      <c r="BJ285" s="1" t="n">
        <f aca="false">VLOOKUP($K285,Constants!$I:$K, 2, FALSE())</f>
        <v>0.85</v>
      </c>
      <c r="BK285" s="1" t="n">
        <f aca="false">VLOOKUP($K285,Constants!$I:$K, 3, FALSE())*IF(AND(J285="multiple_unit",AE285&lt;110),0.75,1)</f>
        <v>1.725</v>
      </c>
      <c r="BL285" s="1" t="n">
        <f aca="false">INT(POWER(((Constants!$G$2+$BE285+$BF285+$BG285+$BI285)*$BH285)*$BK285, 1.05))+$BD285</f>
        <v>41</v>
      </c>
      <c r="BM285" s="1" t="n">
        <f aca="false">INT(POWER((((Constants!$G$1+$BE285+$BF285+$BG285+$BI285)*($BH285))*$BJ285),IF($J285="wagon",1,1.2)))+$BC285</f>
        <v>55</v>
      </c>
      <c r="BN285" s="17" t="n">
        <f aca="false">BL285*IF($J285="wagon",62.5,781.25)</f>
        <v>32031.25</v>
      </c>
      <c r="BO285" s="17" t="n">
        <f aca="false">BM285*IF($J285="wagon",2.73,81.25)</f>
        <v>4468.75</v>
      </c>
      <c r="BU285" s="1" t="s">
        <v>1033</v>
      </c>
      <c r="BY285" s="1" t="n">
        <v>8</v>
      </c>
      <c r="BZ285" s="1" t="n">
        <v>185</v>
      </c>
      <c r="CC285" s="1" t="s">
        <v>327</v>
      </c>
      <c r="CD285" s="1" t="str">
        <f aca="false">VLOOKUP(M285,Eras!$A$2:$C$10, 2, TRUE())</f>
        <v>lbr</v>
      </c>
      <c r="CE285" s="1" t="s">
        <v>785</v>
      </c>
      <c r="CF285" s="1" t="str">
        <f aca="false">CONCATENATE(CD285,"_",CE285)</f>
        <v>lbr_EMU</v>
      </c>
      <c r="CG285" s="1" t="str">
        <f aca="false">_xlfn.CONCAT(K285, "_",L285)</f>
        <v>electric_THIRD_RAIL</v>
      </c>
      <c r="CH285" s="7" t="str">
        <f aca="false">_xlfn.CONCAT("{BLACK}Length: {GOLD}", TEXT(ROUNDUP(IF(AT285&lt;&gt;"",SUM(VALUE(_xlfn.TEXTSPLIT(AT285, ","))), SUM(VALUE(_xlfn.TEXTSPLIT(AQ285, ",")))*IF(P285, P285, 1))/16, 1), "#,##0.0"), " tiles{}")</f>
        <v>{BLACK}Length: {GOLD}1.5 tiles{}</v>
      </c>
      <c r="CI285" s="1" t="n">
        <f aca="false">VLOOKUP($CG285, Constants!$M:$N, 2, FALSE())</f>
        <v>0</v>
      </c>
      <c r="CJ285" s="1" t="str">
        <f aca="false">IF(P285&gt;1,_xlfn.CONCAT("{BLACK}Cars: {GOLD}", P285),"")</f>
        <v>{BLACK}Cars: {GOLD}2</v>
      </c>
      <c r="CK285" s="1" t="s">
        <v>1098</v>
      </c>
      <c r="CL285" s="1" t="str">
        <f aca="false">IF($BX285="!param_no_gameplay_units","{GREEN}Included for gameplay purposes","")</f>
        <v/>
      </c>
      <c r="CM285" s="1" t="str">
        <f aca="false">IF(CA285="buffet","{YELLOW}25% long distance bonus for consist{}",IF(CC285="BRAKE","{YELLOW}Speed bonus for slow wagons{}",IF(BZ285&gt;190,CONCATENATE("{YELLOW}",INT((BZ285-185)/1.85),"%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{GOLD}1.5 tiles{}{SILVER}The Class 456 is a two-car EMU used for inner suburban services - either as a single unit for services with low demand or coupled to other Class 456 or 455 units for higher capacity routes.</v>
      </c>
    </row>
    <row r="286" customFormat="false" ht="14.25" hidden="false" customHeight="false" outlineLevel="0" collapsed="false">
      <c r="A286" s="1" t="s">
        <v>1099</v>
      </c>
      <c r="B286" s="15" t="s">
        <v>1100</v>
      </c>
      <c r="C286" s="1" t="n">
        <v>250</v>
      </c>
      <c r="E286" s="1" t="n">
        <v>365</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198</v>
      </c>
      <c r="J286" s="1" t="s">
        <v>423</v>
      </c>
      <c r="K286" s="1" t="s">
        <v>482</v>
      </c>
      <c r="L286" s="1" t="s">
        <v>149</v>
      </c>
      <c r="M286" s="1" t="n">
        <v>1991</v>
      </c>
      <c r="N286" s="1" t="n">
        <v>1992</v>
      </c>
      <c r="P286" s="1" t="n">
        <v>2</v>
      </c>
      <c r="Q286" s="1" t="n">
        <f aca="false">350*2</f>
        <v>700</v>
      </c>
      <c r="Z286" s="1" t="n">
        <v>74</v>
      </c>
      <c r="AB286" s="1" t="n">
        <v>5</v>
      </c>
      <c r="AC286" s="1" t="n">
        <v>105</v>
      </c>
      <c r="AD286" s="4" t="n">
        <f aca="false">IF(AND(Z286&gt;0,AC286&gt;0),(AC286/((Z286+AA286)*10)),"")</f>
        <v>0.141891891891892</v>
      </c>
      <c r="AE286" s="1" t="n">
        <v>75</v>
      </c>
      <c r="AF286" s="1" t="n">
        <f aca="false">ROUND(AE286*1.6, 0)</f>
        <v>120</v>
      </c>
      <c r="AI286" s="1" t="n">
        <v>22.91</v>
      </c>
      <c r="AJ286" s="1" t="n">
        <v>22.9</v>
      </c>
      <c r="AK286" s="1" t="n">
        <v>2.8</v>
      </c>
      <c r="AL286" s="1" t="n">
        <v>3.8</v>
      </c>
      <c r="AM286" s="5" t="n">
        <v>93</v>
      </c>
      <c r="AN286" s="1" t="str">
        <f aca="false">CONCATENATE(VLOOKUP(AO286, 'Voxel Sizes'!$A$2:$B$18,2,FALSE()),"x",INT(AK286*15), "x", INT(AL286*15))</f>
        <v>214x42x57</v>
      </c>
      <c r="AO286" s="1" t="n">
        <f aca="false">ROUND(15*((AJ286*10)/256),0)</f>
        <v>13</v>
      </c>
      <c r="AQ286" s="1" t="str">
        <f aca="false">CONCATENATE(VLOOKUP(AO286,Constants!$A$2:$C$16,IF(AP286&lt;&gt;"", 3, 2), FALSE()),IF(AP286&lt;&gt;"",CONCATENATE(",",VLOOKUP(AP286,$B:$AQ,42,FALSE())),""))</f>
        <v>4,5,4</v>
      </c>
      <c r="AU286" s="1" t="s">
        <v>1101</v>
      </c>
      <c r="AW286" s="1" t="s">
        <v>770</v>
      </c>
      <c r="BA286" s="1" t="n">
        <v>32</v>
      </c>
      <c r="BB286" s="16" t="str">
        <f aca="false">IF(O286&lt;&gt;"",MAX(16,(O286-M286)+8),"")</f>
        <v/>
      </c>
      <c r="BC286" s="1" t="n">
        <v>-10</v>
      </c>
      <c r="BD286" s="1" t="n">
        <v>-15</v>
      </c>
      <c r="BE286" s="1" t="n">
        <f aca="false">MIN(AE286/150, 1)*30</f>
        <v>15</v>
      </c>
      <c r="BF286" s="1" t="n">
        <f aca="false">MIN(Q286/4000, 1)*20</f>
        <v>3.5</v>
      </c>
      <c r="BG286" s="1" t="n">
        <f aca="false">MIN(AC286/400,1)*20</f>
        <v>5.25</v>
      </c>
      <c r="BH286" s="4" t="n">
        <f aca="false">1-(MAX(M286-1900, 0)/750)</f>
        <v>0.878666666666667</v>
      </c>
      <c r="BI286" s="1" t="n">
        <f aca="false">((MAX($P286,1)*MIN($AM286/300,1)))*IF(J286="Wagon",50,10)</f>
        <v>6.2</v>
      </c>
      <c r="BJ286" s="1" t="n">
        <f aca="false">VLOOKUP($K286,Constants!$I:$K, 2, FALSE())</f>
        <v>1</v>
      </c>
      <c r="BK286" s="1" t="n">
        <f aca="false">VLOOKUP($K286,Constants!$I:$K, 3, FALSE())*IF(AND(J286="multiple_unit",AE286&lt;110),0.75,1)</f>
        <v>1.5</v>
      </c>
      <c r="BL286" s="1" t="n">
        <f aca="false">INT(POWER(((Constants!$G$2+$BE286+$BF286+$BG286+$BI286)*$BH286)*$BK286, 1.05))+$BD286</f>
        <v>40</v>
      </c>
      <c r="BM286" s="1" t="n">
        <f aca="false">INT(POWER((((Constants!$G$1+$BE286+$BF286+$BG286+$BI286)*($BH286))*$BJ286),IF($J286="wagon",1,1.2)))+$BC286</f>
        <v>72</v>
      </c>
      <c r="BN286" s="17" t="n">
        <f aca="false">BL286*IF($J286="wagon",62.5,781.25)</f>
        <v>31250</v>
      </c>
      <c r="BO286" s="17" t="n">
        <f aca="false">BM286*IF($J286="wagon",2.73,81.25)</f>
        <v>5850</v>
      </c>
      <c r="BY286" s="1" t="n">
        <v>9</v>
      </c>
      <c r="BZ286" s="1" t="n">
        <v>185</v>
      </c>
      <c r="CC286" s="1" t="s">
        <v>327</v>
      </c>
      <c r="CD286" s="1" t="str">
        <f aca="false">VLOOKUP(M286,Eras!$A$2:$C$10, 2, TRUE())</f>
        <v>lbr</v>
      </c>
      <c r="CE286" s="1" t="s">
        <v>779</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1102</v>
      </c>
      <c r="CL286" s="1" t="str">
        <f aca="false">IF($BX286="!param_no_gameplay_units","{GREEN}Included for gameplay purposes","")</f>
        <v/>
      </c>
      <c r="CM286" s="1" t="str">
        <f aca="false">IF(CA286="buffet","{YELLOW}25% long distance bonus for consist{}",IF(CC286="BRAKE","{YELLOW}Speed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{GOLD}1.7 tiles{}{SILVER}The Class 165 is a high capacity DMU with 2+3 seating.</v>
      </c>
    </row>
    <row r="287" s="25" customFormat="true" ht="14.25" hidden="false" customHeight="false" outlineLevel="0" collapsed="false">
      <c r="A287" s="25" t="s">
        <v>1103</v>
      </c>
      <c r="B287" s="26" t="s">
        <v>1104</v>
      </c>
      <c r="C287" s="1" t="n">
        <v>3043</v>
      </c>
      <c r="E287" s="1" t="n">
        <v>366</v>
      </c>
      <c r="G287" s="1" t="str">
        <f aca="false">IF($F287&lt;&gt;"",_xlfn.CONCAT(VLOOKUP($CE287, Constants!$T:$U, 2, FALSE()),",",$F287),VLOOKUP($CE287, Constants!$T:$U, 2, FALSE()))</f>
        <v>role/passenger</v>
      </c>
      <c r="H287" s="1" t="str">
        <f aca="false">IF($G287&lt;&gt;"",_xlfn.CONCAT(VLOOKUP($CG287, Constants!$M:$P, 4, FALSE()),",",$G287),VLOOKUP($CG287, Constants!$M:$P, 4, FALSE()))</f>
        <v>flag/GB,power/diesel,role/passenger</v>
      </c>
      <c r="I287" s="25" t="s">
        <v>198</v>
      </c>
      <c r="J287" s="25" t="s">
        <v>423</v>
      </c>
      <c r="K287" s="25" t="s">
        <v>482</v>
      </c>
      <c r="L287" s="25" t="s">
        <v>149</v>
      </c>
      <c r="M287" s="25" t="n">
        <v>1991</v>
      </c>
      <c r="P287" s="25" t="n">
        <v>1</v>
      </c>
      <c r="Q287" s="25" t="n">
        <v>285</v>
      </c>
      <c r="R287" s="2"/>
      <c r="S287" s="3"/>
      <c r="T287" s="3"/>
      <c r="U287" s="3"/>
      <c r="V287" s="3"/>
      <c r="W287" s="3"/>
      <c r="X287" s="3"/>
      <c r="Y287" s="3"/>
      <c r="Z287" s="25" t="n">
        <v>41.2</v>
      </c>
      <c r="AA287" s="2"/>
      <c r="AB287" s="25" t="n">
        <v>5</v>
      </c>
      <c r="AC287" s="25" t="n">
        <v>55</v>
      </c>
      <c r="AD287" s="4" t="n">
        <v>0.153631284916201</v>
      </c>
      <c r="AE287" s="25" t="n">
        <v>75</v>
      </c>
      <c r="AF287" s="25" t="n">
        <v>120</v>
      </c>
      <c r="AI287" s="25" t="n">
        <v>23.2</v>
      </c>
      <c r="AJ287" s="25" t="n">
        <v>23.2</v>
      </c>
      <c r="AK287" s="25" t="n">
        <v>2.7</v>
      </c>
      <c r="AL287" s="25" t="n">
        <v>3.7</v>
      </c>
      <c r="AM287" s="5" t="n">
        <v>72</v>
      </c>
      <c r="AN287" s="1" t="str">
        <f aca="false">CONCATENATE(VLOOKUP(AO287, '[1]Voxel Sizes'!$A$2:$B$18,2,FALSE()),"x",INT(AK287*15), "x", INT(AL287*15))</f>
        <v>238x40x55</v>
      </c>
      <c r="AO287" s="25" t="n">
        <f aca="false">ROUND(15*((AJ287*10)/256),0)</f>
        <v>14</v>
      </c>
      <c r="AQ287" s="1" t="str">
        <f aca="false">CONCATENATE(VLOOKUP(AO287,Constants!$A$2:$C$16,IF(AP287&lt;&gt;"", 3, 2), FALSE()),IF(AP287&lt;&gt;"",CONCATENATE(",",VLOOKUP(AP287,$B:$AQ,42,FALSE())),""))</f>
        <v>4,6,4</v>
      </c>
      <c r="AS287" s="6"/>
      <c r="AT287" s="6"/>
      <c r="AU287" s="25" t="s">
        <v>1104</v>
      </c>
      <c r="AW287" s="25" t="n">
        <v>1</v>
      </c>
      <c r="BA287" s="25" t="n">
        <v>33</v>
      </c>
      <c r="BB287" s="16"/>
      <c r="BC287" s="25" t="n">
        <v>-10</v>
      </c>
      <c r="BD287" s="25" t="n">
        <v>-15</v>
      </c>
      <c r="BE287" s="25" t="n">
        <f aca="false">MIN(AE287/150, 1)*30</f>
        <v>15</v>
      </c>
      <c r="BF287" s="25" t="n">
        <f aca="false">MIN(Q287/4000, 1)*20</f>
        <v>1.425</v>
      </c>
      <c r="BG287" s="25" t="n">
        <f aca="false">MIN(AC287/400,1)*20</f>
        <v>2.75</v>
      </c>
      <c r="BH287" s="4" t="n">
        <f aca="false">1-(MAX(M287-1900, 0)/750)</f>
        <v>0.878666666666667</v>
      </c>
      <c r="BI287" s="25" t="n">
        <f aca="false">((MAX($P287,1)*MIN($AM287/300,1)))*IF(J287="Wagon",50,10)</f>
        <v>2.4</v>
      </c>
      <c r="BJ287" s="1" t="n">
        <f aca="false">VLOOKUP($K287,Constants!$I:$K, 2, FALSE())</f>
        <v>1</v>
      </c>
      <c r="BK287" s="1" t="n">
        <f aca="false">VLOOKUP($K287,Constants!$I:$K, 3, FALSE())*IF(AND(J287="multiple_unit",AE287&lt;110),0.75,1)</f>
        <v>1.5</v>
      </c>
      <c r="BL287" s="25" t="n">
        <f aca="false">INT(POWER((([1]Constants!$G$2+$BE287+$BF287+$BG287+$BI287)*$BH287)*$BK287, 1.05))+$BD287</f>
        <v>26</v>
      </c>
      <c r="BM287" s="25" t="n">
        <f aca="false">INT(POWER(((([1]Constants!$G$1+$BE287+$BF287+$BG287+$BI287)*($BH287))*$BJ287),IF($J287="wagon",1,1.2)))+$BC287</f>
        <v>54</v>
      </c>
      <c r="BN287" s="17" t="n">
        <f aca="false">BL287*IF($J287="wagon",62.5,781.25)</f>
        <v>20312.5</v>
      </c>
      <c r="BO287" s="17" t="n">
        <f aca="false">BM287*IF($J287="wagon",2.73,81.25)</f>
        <v>4387.5</v>
      </c>
      <c r="BU287" s="1" t="s">
        <v>1105</v>
      </c>
      <c r="BY287" s="25" t="n">
        <v>4</v>
      </c>
      <c r="BZ287" s="25" t="n">
        <v>185</v>
      </c>
      <c r="CC287" s="25" t="s">
        <v>327</v>
      </c>
      <c r="CD287" s="25" t="str">
        <f aca="false">VLOOKUP(M287,[1]Eras!$A$2:$C$10, 2, TRUE())</f>
        <v>lbr</v>
      </c>
      <c r="CE287" s="25" t="s">
        <v>779</v>
      </c>
      <c r="CF287" s="25" t="s">
        <v>1106</v>
      </c>
      <c r="CG287" s="25" t="s">
        <v>1107</v>
      </c>
      <c r="CH287" s="7" t="str">
        <f aca="false">_xlfn.CONCAT("{BLACK}Length: {GOLD}", TEXT(ROUNDUP(IF(AT287&lt;&gt;"",SUM(VALUE(_xlfn.TEXTSPLIT(AT287, ","))), SUM(VALUE(_xlfn.TEXTSPLIT(AQ287, ",")))*IF(P287, P287, 1))/16, 1), "#,##0.0"), " tiles{}")</f>
        <v>{BLACK}Length: {GOLD}0.9 tiles{}</v>
      </c>
      <c r="CI287" s="1" t="n">
        <f aca="false">VLOOKUP($CG287, Constants!$M:$N, 2, FALSE())</f>
        <v>0</v>
      </c>
      <c r="CJ287" s="1" t="str">
        <f aca="false">IF(P287&gt;1,_xlfn.CONCAT("{BLACK}Cars: {GOLD}", P287),"")</f>
        <v/>
      </c>
      <c r="CK287" s="25" t="s">
        <v>1108</v>
      </c>
      <c r="CM287" s="25"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25" t="str">
        <f aca="false">_xlfn.CONCAT(CI287,IF(CI287 &lt;&gt; "", " ", ""),CJ287,IF(OR(CJ287&lt;&gt;"", CI287&lt;&gt;""), "{}",""), CH287, CM287,"{SILVER}", CK287)</f>
        <v>{BLACK}Length: {GOLD}0.9 tiles{}{SILVER}The Class 153 was a conversion of earlier Class 155 units, 35 of which were split in two with small cabs added at the inner ends.</v>
      </c>
    </row>
    <row r="288" s="25" customFormat="true" ht="14.25" hidden="false" customHeight="false" outlineLevel="0" collapsed="false">
      <c r="A288" s="25" t="s">
        <v>1109</v>
      </c>
      <c r="B288" s="26" t="s">
        <v>1110</v>
      </c>
      <c r="C288" s="1" t="n">
        <v>3044</v>
      </c>
      <c r="D288" s="25" t="n">
        <v>3043</v>
      </c>
      <c r="E288" s="1" t="n">
        <v>367</v>
      </c>
      <c r="G288" s="1" t="str">
        <f aca="false">IF($F288&lt;&gt;"",_xlfn.CONCAT(VLOOKUP($CE288, Constants!$T:$U, 2, FALSE()),",",$F288),VLOOKUP($CE288, Constants!$T:$U, 2, FALSE()))</f>
        <v>role/mail</v>
      </c>
      <c r="H288" s="1" t="str">
        <f aca="false">IF($G288&lt;&gt;"",_xlfn.CONCAT(VLOOKUP($CG288, Constants!$M:$P, 4, FALSE()),",",$G288),VLOOKUP($CG288, Constants!$M:$P, 4, FALSE()))</f>
        <v>flag/GB,power/diesel,role/mail</v>
      </c>
      <c r="I288" s="25" t="s">
        <v>198</v>
      </c>
      <c r="J288" s="25" t="s">
        <v>423</v>
      </c>
      <c r="K288" s="25" t="s">
        <v>482</v>
      </c>
      <c r="L288" s="25" t="s">
        <v>149</v>
      </c>
      <c r="M288" s="25" t="n">
        <v>1991</v>
      </c>
      <c r="P288" s="25" t="n">
        <v>1</v>
      </c>
      <c r="Q288" s="25" t="n">
        <v>285</v>
      </c>
      <c r="R288" s="2"/>
      <c r="S288" s="3"/>
      <c r="T288" s="3"/>
      <c r="U288" s="3"/>
      <c r="V288" s="3"/>
      <c r="W288" s="3"/>
      <c r="X288" s="3"/>
      <c r="Y288" s="3"/>
      <c r="Z288" s="25" t="n">
        <v>41.2</v>
      </c>
      <c r="AA288" s="2"/>
      <c r="AB288" s="25" t="n">
        <v>5</v>
      </c>
      <c r="AC288" s="25" t="n">
        <v>55</v>
      </c>
      <c r="AD288" s="4" t="n">
        <v>0.153631284916201</v>
      </c>
      <c r="AE288" s="25" t="n">
        <v>75</v>
      </c>
      <c r="AF288" s="25" t="n">
        <v>120</v>
      </c>
      <c r="AI288" s="25" t="n">
        <v>23.2</v>
      </c>
      <c r="AJ288" s="25" t="n">
        <v>23.2</v>
      </c>
      <c r="AK288" s="25" t="n">
        <v>2.7</v>
      </c>
      <c r="AL288" s="25" t="n">
        <v>3.7</v>
      </c>
      <c r="AM288" s="5" t="n">
        <v>60</v>
      </c>
      <c r="AN288" s="1" t="str">
        <f aca="false">CONCATENATE(VLOOKUP(AO288, '[1]Voxel Sizes'!$A$2:$B$18,2,FALSE()),"x",INT(AK288*15), "x", INT(AL288*15))</f>
        <v>238x40x55</v>
      </c>
      <c r="AO288" s="25" t="n">
        <f aca="false">ROUND(15*((AJ288*10)/256),0)</f>
        <v>14</v>
      </c>
      <c r="AQ288" s="1" t="str">
        <f aca="false">CONCATENATE(VLOOKUP(AO288,Constants!$A$2:$C$16,IF(AP288&lt;&gt;"", 3, 2), FALSE()),IF(AP288&lt;&gt;"",CONCATENATE(",",VLOOKUP(AP288,$B:$AQ,42,FALSE())),""))</f>
        <v>4,6,4</v>
      </c>
      <c r="AS288" s="6"/>
      <c r="AT288" s="6"/>
      <c r="AU288" s="25" t="s">
        <v>1110</v>
      </c>
      <c r="AW288" s="25" t="n">
        <v>1</v>
      </c>
      <c r="BA288" s="25" t="n">
        <v>33</v>
      </c>
      <c r="BB288" s="16"/>
      <c r="BC288" s="25" t="n">
        <v>-10</v>
      </c>
      <c r="BD288" s="25" t="n">
        <v>-15</v>
      </c>
      <c r="BE288" s="25" t="n">
        <f aca="false">MIN(AE288/150, 1)*30</f>
        <v>15</v>
      </c>
      <c r="BF288" s="25" t="n">
        <f aca="false">MIN(Q288/4000, 1)*20</f>
        <v>1.425</v>
      </c>
      <c r="BG288" s="25" t="n">
        <f aca="false">MIN(AC288/400,1)*20</f>
        <v>2.75</v>
      </c>
      <c r="BH288" s="4" t="n">
        <f aca="false">1-(MAX(M288-1900, 0)/750)</f>
        <v>0.878666666666667</v>
      </c>
      <c r="BI288" s="25" t="n">
        <f aca="false">((MAX($P288,1)*MIN($AM288/300,1)))*IF(J288="Wagon",50,10)</f>
        <v>2</v>
      </c>
      <c r="BJ288" s="1" t="n">
        <f aca="false">VLOOKUP($K288,Constants!$I:$K, 2, FALSE())</f>
        <v>1</v>
      </c>
      <c r="BK288" s="1" t="n">
        <f aca="false">VLOOKUP($K288,Constants!$I:$K, 3, FALSE())*IF(AND(J288="multiple_unit",AE288&lt;110),0.75,1)</f>
        <v>1.5</v>
      </c>
      <c r="BL288" s="25" t="n">
        <f aca="false">INT(POWER((([1]Constants!$G$2+$BE288+$BF288+$BG288+$BI288)*$BH288)*$BK288, 1.05))+$BD288</f>
        <v>26</v>
      </c>
      <c r="BM288" s="25" t="n">
        <f aca="false">INT(POWER(((([1]Constants!$G$1+$BE288+$BF288+$BG288+$BI288)*($BH288))*$BJ288),IF($J288="wagon",1,1.2)))+$BC288</f>
        <v>53</v>
      </c>
      <c r="BN288" s="17" t="n">
        <f aca="false">BL288*IF($J288="wagon",62.5,781.25)</f>
        <v>20312.5</v>
      </c>
      <c r="BO288" s="17" t="n">
        <f aca="false">BM288*IF($J288="wagon",2.73,81.25)</f>
        <v>4306.25</v>
      </c>
      <c r="BU288" s="1" t="s">
        <v>1111</v>
      </c>
      <c r="BX288" s="25" t="s">
        <v>660</v>
      </c>
      <c r="BY288" s="25" t="n">
        <v>4</v>
      </c>
      <c r="BZ288" s="25" t="n">
        <v>185</v>
      </c>
      <c r="CC288" s="25" t="s">
        <v>662</v>
      </c>
      <c r="CD288" s="25" t="str">
        <f aca="false">VLOOKUP(M288,[1]Eras!$A$2:$C$10, 2, TRUE())</f>
        <v>lbr</v>
      </c>
      <c r="CE288" s="1" t="s">
        <v>144</v>
      </c>
      <c r="CF288" s="25" t="s">
        <v>1106</v>
      </c>
      <c r="CG288" s="25" t="s">
        <v>1107</v>
      </c>
      <c r="CH288" s="7" t="str">
        <f aca="false">_xlfn.CONCAT("{BLACK}Length: {GOLD}", TEXT(ROUNDUP(IF(AT288&lt;&gt;"",SUM(VALUE(_xlfn.TEXTSPLIT(AT288, ","))), SUM(VALUE(_xlfn.TEXTSPLIT(AQ288, ",")))*IF(P288, P288, 1))/16, 1), "#,##0.0"), " tiles{}")</f>
        <v>{BLACK}Length: {GOLD}0.9 tiles{}</v>
      </c>
      <c r="CI288" s="1" t="n">
        <f aca="false">VLOOKUP($CG288, Constants!$M:$N, 2, FALSE())</f>
        <v>0</v>
      </c>
      <c r="CJ288" s="1" t="str">
        <f aca="false">IF(P288&gt;1,_xlfn.CONCAT("{BLACK}Cars: {GOLD}", P288),"")</f>
        <v/>
      </c>
      <c r="CK288" s="25" t="s">
        <v>1112</v>
      </c>
      <c r="CM288" s="25"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25" t="str">
        <f aca="false">_xlfn.CONCAT(CI288,IF(CI288 &lt;&gt; "", " ", ""),CJ288,IF(OR(CJ288&lt;&gt;"", CI288&lt;&gt;""), "{}",""), CH288, CM288,"{SILVER}", CK288)</f>
        <v>{BLACK}Length: {GOLD}0.9 tiles{}{SILVER}What if the class 153s were converted for parcels service rather than passenger use? This preceds the later use of the 153 as supplementary bike carriages or ‘active travel’ vehicles.</v>
      </c>
    </row>
    <row r="289" customFormat="false" ht="14.25" hidden="false" customHeight="false" outlineLevel="0" collapsed="false">
      <c r="A289" s="1" t="s">
        <v>1113</v>
      </c>
      <c r="B289" s="15" t="s">
        <v>1114</v>
      </c>
      <c r="C289" s="1" t="n">
        <v>255</v>
      </c>
      <c r="E289" s="1" t="n">
        <v>368</v>
      </c>
      <c r="G289" s="1" t="str">
        <f aca="false">IF($F289&lt;&gt;"",_xlfn.CONCAT(VLOOKUP($CE289, Constants!$T:$U, 2, FALSE()),",",$F289),VLOOKUP($CE289, Constants!$T:$U, 2, FALSE()))</f>
        <v>role/express_passenger</v>
      </c>
      <c r="H289" s="1" t="str">
        <f aca="false">IF($G289&lt;&gt;"",_xlfn.CONCAT(VLOOKUP($CG289, Constants!$M:$P, 4, FALSE()),",",$G289),VLOOKUP($CG289, Constants!$M:$P, 4, FALSE()))</f>
        <v>flag/GB,power/electric,role/express_passenger</v>
      </c>
      <c r="I289" s="1" t="s">
        <v>198</v>
      </c>
      <c r="J289" s="1" t="s">
        <v>423</v>
      </c>
      <c r="K289" s="1" t="s">
        <v>666</v>
      </c>
      <c r="L289" s="1" t="s">
        <v>709</v>
      </c>
      <c r="M289" s="1" t="n">
        <v>1995</v>
      </c>
      <c r="P289" s="1" t="n">
        <v>4</v>
      </c>
      <c r="Q289" s="1" t="n">
        <v>1328</v>
      </c>
      <c r="Z289" s="1" t="n">
        <v>138.5</v>
      </c>
      <c r="AB289" s="1" t="n">
        <v>5</v>
      </c>
      <c r="AC289" s="1" t="n">
        <v>160</v>
      </c>
      <c r="AD289" s="4" t="n">
        <f aca="false">IF(AND(Z289&gt;0,AC289&gt;0),(AC289/((Z289+AA289)*10)),"")</f>
        <v>0.115523465703971</v>
      </c>
      <c r="AE289" s="1" t="n">
        <v>100</v>
      </c>
      <c r="AF289" s="1" t="n">
        <f aca="false">ROUND(AE289*1.6, 0)</f>
        <v>160</v>
      </c>
      <c r="AI289" s="1" t="n">
        <v>19.83</v>
      </c>
      <c r="AJ289" s="1" t="n">
        <v>19.8</v>
      </c>
      <c r="AK289" s="1" t="n">
        <v>2.8</v>
      </c>
      <c r="AL289" s="1" t="n">
        <v>3.8</v>
      </c>
      <c r="AM289" s="5" t="n">
        <v>78</v>
      </c>
      <c r="AN289" s="1" t="str">
        <f aca="false">CONCATENATE(VLOOKUP(AO289, 'Voxel Sizes'!$A$2:$B$18,2,FALSE()),"x",INT(AK289*15), "x", INT(AL289*15))</f>
        <v>198x42x57</v>
      </c>
      <c r="AO289" s="1" t="n">
        <f aca="false">ROUND(15*((AJ289*10)/256),0)</f>
        <v>12</v>
      </c>
      <c r="AQ289" s="1" t="str">
        <f aca="false">CONCATENATE(VLOOKUP(AO289,Constants!$A$2:$C$16,IF(AP289&lt;&gt;"", 3, 2), FALSE()),IF(AP289&lt;&gt;"",CONCATENATE(",",VLOOKUP(AP289,$B:$AQ,42,FALSE())),""))</f>
        <v>4,4,4</v>
      </c>
      <c r="AU289" s="1" t="s">
        <v>1115</v>
      </c>
      <c r="AV289" s="1" t="s">
        <v>1116</v>
      </c>
      <c r="AW289" s="1" t="s">
        <v>898</v>
      </c>
      <c r="BA289" s="1" t="n">
        <v>30</v>
      </c>
      <c r="BB289" s="16" t="str">
        <f aca="false">IF(O289&lt;&gt;"",MAX(16,(O289-M289)+8),"")</f>
        <v/>
      </c>
      <c r="BC289" s="1" t="n">
        <v>-15</v>
      </c>
      <c r="BD289" s="1" t="n">
        <v>-40</v>
      </c>
      <c r="BE289" s="1" t="n">
        <f aca="false">MIN(AE289/150, 1)*30</f>
        <v>20</v>
      </c>
      <c r="BF289" s="1" t="n">
        <f aca="false">MIN(Q289/4000, 1)*20</f>
        <v>6.64</v>
      </c>
      <c r="BG289" s="1" t="n">
        <f aca="false">MIN(AC289/400,1)*20</f>
        <v>8</v>
      </c>
      <c r="BH289" s="4" t="n">
        <f aca="false">1-(MAX(M289-1900, 0)/750)</f>
        <v>0.873333333333333</v>
      </c>
      <c r="BI289" s="1" t="n">
        <f aca="false">((MAX($P289,1)*MIN($AM289/300,1)))*IF(J289="Wagon",50,10)</f>
        <v>10.4</v>
      </c>
      <c r="BJ289" s="1" t="n">
        <f aca="false">VLOOKUP($K289,Constants!$I:$K, 2, FALSE())</f>
        <v>0.85</v>
      </c>
      <c r="BK289" s="1" t="n">
        <f aca="false">VLOOKUP($K289,Constants!$I:$K, 3, FALSE())*IF(AND(J289="multiple_unit",AE289&lt;110),0.75,1)</f>
        <v>1.8</v>
      </c>
      <c r="BL289" s="1" t="n">
        <f aca="false">INT(POWER(((Constants!$G$2+$BE289+$BF289+$BG289+$BI289)*$BH289)*$BK289, 1.05))+$BD289</f>
        <v>57</v>
      </c>
      <c r="BM289" s="1" t="n">
        <f aca="false">INT(POWER((((Constants!$G$1+$BE289+$BF289+$BG289+$BI289)*($BH289))*$BJ289),IF($J289="wagon",1,1.2)))+$BC289</f>
        <v>80</v>
      </c>
      <c r="BN289" s="17" t="n">
        <f aca="false">BL289*IF($J289="wagon",62.5,781.25)</f>
        <v>44531.25</v>
      </c>
      <c r="BO289" s="17" t="n">
        <f aca="false">BM289*IF($J289="wagon",2.73,81.25)</f>
        <v>6500</v>
      </c>
      <c r="BY289" s="1" t="n">
        <v>2</v>
      </c>
      <c r="BZ289" s="1" t="n">
        <v>185</v>
      </c>
      <c r="CC289" s="1" t="s">
        <v>662</v>
      </c>
      <c r="CD289" s="1" t="str">
        <f aca="false">VLOOKUP(M289,Eras!$A$2:$C$10, 2, TRUE())</f>
        <v>prv</v>
      </c>
      <c r="CE289" s="1" t="s">
        <v>939</v>
      </c>
      <c r="CF289" s="1" t="str">
        <f aca="false">CONCATENATE(CD289,"_",CE289)</f>
        <v>prv_DMU (Express)</v>
      </c>
      <c r="CG289" s="1" t="str">
        <f aca="false">_xlfn.CONCAT(K289, "_",L289)</f>
        <v>dual_electric_DUAL_POWER</v>
      </c>
      <c r="CH289" s="7" t="str">
        <f aca="false">_xlfn.CONCAT("{BLACK}Length: {GOLD}", TEXT(ROUNDUP(IF(AT289&lt;&gt;"",SUM(VALUE(_xlfn.TEXTSPLIT(AT289, ","))), SUM(VALUE(_xlfn.TEXTSPLIT(AQ289, ",")))*IF(P289, P289, 1))/16, 1), "#,##0.0"), " tiles{}")</f>
        <v>{BLACK}Length: {GOLD}3.0 tiles{}</v>
      </c>
      <c r="CI289" s="1" t="n">
        <f aca="false">VLOOKUP($CG289, Constants!$M:$N, 2, FALSE())</f>
        <v>0</v>
      </c>
      <c r="CJ289" s="1" t="str">
        <f aca="false">IF(P289&gt;1,_xlfn.CONCAT("{BLACK}Cars: {GOLD}", P289),"")</f>
        <v>{BLACK}Cars: {GOLD}4</v>
      </c>
      <c r="CK289" s="1" t="s">
        <v>1117</v>
      </c>
      <c r="CL289" s="1" t="str">
        <f aca="false">IF($BX289="!param_no_gameplay_units","{GREEN}Included for gameplay purposes","")</f>
        <v/>
      </c>
      <c r="CM289" s="1" t="str">
        <f aca="false">IF(CA289="buffet","{YELLOW}25% long distance bonus for consist{}",IF(CC289="BRAKE","{YELLOW}Speed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{GOLD}4{}{BLACK}Length: {GOLD}3.0 tiles{}{SILVER}The Class 325 is a multiple unit designed for carrying mail and parcels more economically than a locomotive-hauled train. It is based on Class 319 hardware.</v>
      </c>
    </row>
    <row r="290" s="25" customFormat="true" ht="14.25" hidden="false" customHeight="false" outlineLevel="0" collapsed="false">
      <c r="A290" s="25" t="s">
        <v>1118</v>
      </c>
      <c r="B290" s="26" t="s">
        <v>1119</v>
      </c>
      <c r="C290" s="1" t="n">
        <v>3068</v>
      </c>
      <c r="E290" s="1" t="n">
        <v>369</v>
      </c>
      <c r="G290" s="1" t="str">
        <f aca="false">IF($F290&lt;&gt;"",_xlfn.CONCAT(VLOOKUP($CE290, Constants!$T:$U, 2, FALSE()),",",$F290),VLOOKUP($CE290, Constants!$T:$U, 2, FALSE()))</f>
        <v>role/express_passenger</v>
      </c>
      <c r="H290" s="1" t="str">
        <f aca="false">IF($G290&lt;&gt;"",_xlfn.CONCAT(VLOOKUP($CG290, Constants!$M:$P, 4, FALSE()),",",$G290),VLOOKUP($CG290, Constants!$M:$P, 4, FALSE()))</f>
        <v>flag/GB,power/electric,role/express_passenger</v>
      </c>
      <c r="I290" s="25" t="s">
        <v>198</v>
      </c>
      <c r="J290" s="25" t="s">
        <v>423</v>
      </c>
      <c r="K290" s="25" t="s">
        <v>666</v>
      </c>
      <c r="L290" s="25" t="s">
        <v>709</v>
      </c>
      <c r="M290" s="25" t="n">
        <v>1992</v>
      </c>
      <c r="P290" s="25" t="n">
        <v>20</v>
      </c>
      <c r="Q290" s="25" t="n">
        <v>16400</v>
      </c>
      <c r="R290" s="2" t="n">
        <v>4600</v>
      </c>
      <c r="S290" s="3"/>
      <c r="T290" s="3"/>
      <c r="U290" s="3"/>
      <c r="V290" s="3"/>
      <c r="W290" s="3"/>
      <c r="X290" s="3"/>
      <c r="Y290" s="3"/>
      <c r="Z290" s="25" t="n">
        <v>752</v>
      </c>
      <c r="AA290" s="2"/>
      <c r="AB290" s="25" t="n">
        <v>4</v>
      </c>
      <c r="AC290" s="25" t="n">
        <v>220</v>
      </c>
      <c r="AD290" s="4" t="n">
        <f aca="false">IF(AND(Z290&gt;0,AC290&gt;0),(AC290/((Z290+AA290)*10)),"")</f>
        <v>0.0292553191489362</v>
      </c>
      <c r="AE290" s="25" t="n">
        <v>186</v>
      </c>
      <c r="AF290" s="25" t="n">
        <f aca="false">ROUND(AE290*1.6, 0)</f>
        <v>298</v>
      </c>
      <c r="AI290" s="25" t="n">
        <v>22.15</v>
      </c>
      <c r="AJ290" s="25" t="n">
        <v>22.15</v>
      </c>
      <c r="AK290" s="25" t="n">
        <v>2.81</v>
      </c>
      <c r="AM290" s="5" t="n">
        <v>35</v>
      </c>
      <c r="AN290" s="1" t="str">
        <f aca="false">CONCATENATE(VLOOKUP(AO290, '[1]Voxel Sizes'!$A$2:$B$18,2,FALSE()),"x",INT(AK290*15), "x", INT(AL290*15))</f>
        <v>214x42x0</v>
      </c>
      <c r="AO290" s="25" t="n">
        <f aca="false">ROUND(15*((AJ290*10)/256),0)</f>
        <v>13</v>
      </c>
      <c r="AQ290" s="1" t="str">
        <f aca="false">CONCATENATE(VLOOKUP(AO290,Constants!$A$2:$C$16,IF(AP290&lt;&gt;"", 3, 2), FALSE()),IF(AP290&lt;&gt;"",CONCATENATE(",",VLOOKUP(AP290,$B:$AQ,42,FALSE())),""))</f>
        <v>4,5,4</v>
      </c>
      <c r="AS290" s="29" t="s">
        <v>1120</v>
      </c>
      <c r="AT290" s="29" t="s">
        <v>1121</v>
      </c>
      <c r="AU290" s="25" t="s">
        <v>1122</v>
      </c>
      <c r="AV290" s="25" t="s">
        <v>1123</v>
      </c>
      <c r="AW290" s="25" t="s">
        <v>1124</v>
      </c>
      <c r="BA290" s="25" t="n">
        <v>25</v>
      </c>
      <c r="BB290" s="16" t="str">
        <f aca="false">IF(O290&lt;&gt;"",MAX(16,(O290-M290)+8),"")</f>
        <v/>
      </c>
      <c r="BE290" s="25" t="n">
        <f aca="false">MIN(AE290/150, 1)*30</f>
        <v>30</v>
      </c>
      <c r="BF290" s="25" t="n">
        <f aca="false">MIN(Q290/4000, 1)*20</f>
        <v>20</v>
      </c>
      <c r="BG290" s="25" t="n">
        <f aca="false">MIN(AC290/400,1)*20</f>
        <v>11</v>
      </c>
      <c r="BH290" s="4" t="n">
        <f aca="false">1-(MAX(M290-1900, 0)/750)</f>
        <v>0.877333333333333</v>
      </c>
      <c r="BI290" s="25" t="n">
        <f aca="false">((MAX($P290,1)*MIN($AM290/300,1)))*IF(J290="Wagon",50,10)</f>
        <v>23.3333333333333</v>
      </c>
      <c r="BJ290" s="1" t="n">
        <f aca="false">VLOOKUP($K290,Constants!$I:$K, 2, FALSE())</f>
        <v>0.85</v>
      </c>
      <c r="BK290" s="1" t="n">
        <f aca="false">VLOOKUP($K290,Constants!$I:$K, 3, FALSE())*IF(AND(J290="multiple_unit",AE290&lt;110),0.75,1)</f>
        <v>2.4</v>
      </c>
      <c r="BL290" s="25" t="n">
        <f aca="false">INT(POWER((([1]Constants!$G$2+$BE290+$BF290+$BG290+$BI290)*$BH290)*$BK290, 1.05))+$BD290</f>
        <v>244</v>
      </c>
      <c r="BM290" s="25" t="n">
        <f aca="false">INT(POWER(((([1]Constants!$G$1+$BE290+$BF290+$BG290+$BI290)*($BH290))*$BJ290),IF($J290="wagon",1,1.2)))+$BC290</f>
        <v>175</v>
      </c>
      <c r="BN290" s="17" t="n">
        <f aca="false">BL290*IF($J290="wagon",62.5,781.25)</f>
        <v>190625</v>
      </c>
      <c r="BO290" s="17" t="n">
        <f aca="false">BM290*IF($J290="wagon",2.73,81.25)</f>
        <v>14218.75</v>
      </c>
      <c r="BX290" s="25" t="s">
        <v>938</v>
      </c>
      <c r="BY290" s="25" t="n">
        <v>11</v>
      </c>
      <c r="BZ290" s="25" t="n">
        <v>232</v>
      </c>
      <c r="CC290" s="25" t="s">
        <v>327</v>
      </c>
      <c r="CD290" s="25" t="s">
        <v>605</v>
      </c>
      <c r="CE290" s="25" t="s">
        <v>842</v>
      </c>
      <c r="CF290" s="25" t="str">
        <f aca="false">CONCATENATE(CD290,"_",CE290)</f>
        <v>lbr_EMU (Express)</v>
      </c>
      <c r="CG290" s="25" t="str">
        <f aca="false">_xlfn.CONCAT(K290, "_",L290)</f>
        <v>dual_electric_DUAL_POWER</v>
      </c>
      <c r="CH290" s="7" t="str">
        <f aca="false">_xlfn.CONCAT("{BLACK}Length: {GOLD}", TEXT(ROUNDUP(IF(AT290&lt;&gt;"",SUM(VALUE(_xlfn.TEXTSPLIT(AT290, ","))), SUM(VALUE(_xlfn.TEXTSPLIT(AQ290, ",")))*IF(P290, P290, 1))/16, 1), "#,##0.0"), " tiles{}")</f>
        <v>{BLACK}Length: {GOLD}14.5 tiles{}</v>
      </c>
      <c r="CI290" s="1" t="n">
        <f aca="false">VLOOKUP($CG290, Constants!$M:$N, 2, FALSE())</f>
        <v>0</v>
      </c>
      <c r="CJ290" s="1" t="str">
        <f aca="false">IF(P290&gt;1,_xlfn.CONCAT("{BLACK}Cars: {GOLD}", P290),"")</f>
        <v>{BLACK}Cars: {GOLD}20</v>
      </c>
      <c r="CK290" s="25" t="s">
        <v>1125</v>
      </c>
      <c r="CM290" s="25"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{YELLOW}25% bonus for long distance travel{}</v>
      </c>
      <c r="CN290" s="25" t="str">
        <f aca="false">_xlfn.CONCAT(CI290,IF(CI290 &lt;&gt; "", " ", ""),CJ290,IF(OR(CJ290&lt;&gt;"", CI290&lt;&gt;""), "{}",""), CH290, CM290,"{SILVER}", CK290)</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1" s="25" customFormat="true" ht="14.25" hidden="false" customHeight="false" outlineLevel="0" collapsed="false">
      <c r="A291" s="25" t="s">
        <v>1126</v>
      </c>
      <c r="B291" s="26" t="s">
        <v>1127</v>
      </c>
      <c r="C291" s="1" t="n">
        <v>3069</v>
      </c>
      <c r="D291" s="25" t="n">
        <v>3068</v>
      </c>
      <c r="E291" s="1" t="n">
        <v>370</v>
      </c>
      <c r="G291" s="1" t="str">
        <f aca="false">IF($F291&lt;&gt;"",_xlfn.CONCAT(VLOOKUP($CE291, Constants!$T:$U, 2, FALSE()),",",$F291),VLOOKUP($CE291, Constants!$T:$U, 2, FALSE()))</f>
        <v>role/express_passenger</v>
      </c>
      <c r="H291" s="1" t="str">
        <f aca="false">IF($G291&lt;&gt;"",_xlfn.CONCAT(VLOOKUP($CG291, Constants!$M:$P, 4, FALSE()),",",$G291),VLOOKUP($CG291, Constants!$M:$P, 4, FALSE()))</f>
        <v>flag/GB,power/electric,role/express_passenger</v>
      </c>
      <c r="I291" s="25" t="s">
        <v>198</v>
      </c>
      <c r="J291" s="25" t="s">
        <v>423</v>
      </c>
      <c r="K291" s="25" t="s">
        <v>666</v>
      </c>
      <c r="L291" s="25" t="s">
        <v>709</v>
      </c>
      <c r="M291" s="25" t="n">
        <v>1992</v>
      </c>
      <c r="P291" s="25" t="n">
        <v>16</v>
      </c>
      <c r="Q291" s="25" t="n">
        <v>16400</v>
      </c>
      <c r="R291" s="2" t="n">
        <v>4600</v>
      </c>
      <c r="S291" s="3"/>
      <c r="T291" s="3"/>
      <c r="U291" s="3"/>
      <c r="V291" s="3"/>
      <c r="W291" s="3"/>
      <c r="X291" s="3"/>
      <c r="Y291" s="3"/>
      <c r="Z291" s="25" t="n">
        <v>665</v>
      </c>
      <c r="AA291" s="2"/>
      <c r="AB291" s="25" t="n">
        <v>4</v>
      </c>
      <c r="AC291" s="25" t="n">
        <v>220</v>
      </c>
      <c r="AD291" s="4" t="n">
        <f aca="false">IF(AND(Z291&gt;0,AC291&gt;0),(AC291/((Z291+AA291)*10)),"")</f>
        <v>0.0330827067669173</v>
      </c>
      <c r="AE291" s="25" t="n">
        <v>186</v>
      </c>
      <c r="AF291" s="25" t="n">
        <f aca="false">ROUND(AE291*1.6, 0)</f>
        <v>298</v>
      </c>
      <c r="AI291" s="25" t="n">
        <v>22.15</v>
      </c>
      <c r="AJ291" s="25" t="n">
        <v>22.15</v>
      </c>
      <c r="AK291" s="25" t="n">
        <v>2.81</v>
      </c>
      <c r="AM291" s="5" t="n">
        <v>35</v>
      </c>
      <c r="AN291" s="1" t="str">
        <f aca="false">CONCATENATE(VLOOKUP(AO291, '[1]Voxel Sizes'!$A$2:$B$18,2,FALSE()),"x",INT(AK291*15), "x", INT(AL291*15))</f>
        <v>214x42x0</v>
      </c>
      <c r="AO291" s="25" t="n">
        <f aca="false">ROUND(15*((AJ291*10)/256),0)</f>
        <v>13</v>
      </c>
      <c r="AQ291" s="1" t="str">
        <f aca="false">CONCATENATE(VLOOKUP(AO291,Constants!$A$2:$C$16,IF(AP291&lt;&gt;"", 3, 2), FALSE()),IF(AP291&lt;&gt;"",CONCATENATE(",",VLOOKUP(AP291,$B:$AQ,42,FALSE())),""))</f>
        <v>4,5,4</v>
      </c>
      <c r="AS291" s="29" t="s">
        <v>1128</v>
      </c>
      <c r="AT291" s="29" t="s">
        <v>1129</v>
      </c>
      <c r="AU291" s="25" t="s">
        <v>1130</v>
      </c>
      <c r="AV291" s="25" t="s">
        <v>1131</v>
      </c>
      <c r="AW291" s="25" t="s">
        <v>1132</v>
      </c>
      <c r="BA291" s="25" t="n">
        <v>25</v>
      </c>
      <c r="BB291" s="16" t="str">
        <f aca="false">IF(O291&lt;&gt;"",MAX(16,(O291-M291)+8),"")</f>
        <v/>
      </c>
      <c r="BE291" s="25" t="n">
        <f aca="false">MIN(AE291/150, 1)*30</f>
        <v>30</v>
      </c>
      <c r="BF291" s="25" t="n">
        <f aca="false">MIN(Q291/4000, 1)*20</f>
        <v>20</v>
      </c>
      <c r="BG291" s="25" t="n">
        <f aca="false">MIN(AC291/400,1)*20</f>
        <v>11</v>
      </c>
      <c r="BH291" s="4" t="n">
        <f aca="false">1-(MAX(M291-1900, 0)/750)</f>
        <v>0.877333333333333</v>
      </c>
      <c r="BI291" s="25" t="n">
        <f aca="false">((MAX($P291,1)*MIN($AM291/300,1)))*IF(J291="Wagon",50,10)</f>
        <v>18.6666666666667</v>
      </c>
      <c r="BJ291" s="1" t="n">
        <f aca="false">VLOOKUP($K291,Constants!$I:$K, 2, FALSE())</f>
        <v>0.85</v>
      </c>
      <c r="BK291" s="1" t="n">
        <f aca="false">VLOOKUP($K291,Constants!$I:$K, 3, FALSE())*IF(AND(J291="multiple_unit",AE291&lt;110),0.75,1)</f>
        <v>2.4</v>
      </c>
      <c r="BL291" s="25" t="n">
        <f aca="false">INT(POWER((([1]Constants!$G$2+$BE291+$BF291+$BG291+$BI291)*$BH291)*$BK291, 1.05))+$BD291</f>
        <v>231</v>
      </c>
      <c r="BM291" s="25" t="n">
        <f aca="false">INT(POWER(((([1]Constants!$G$1+$BE291+$BF291+$BG291+$BI291)*($BH291))*$BJ291),IF($J291="wagon",1,1.2)))+$BC291</f>
        <v>165</v>
      </c>
      <c r="BN291" s="17" t="n">
        <f aca="false">BL291*IF($J291="wagon",62.5,781.25)</f>
        <v>180468.75</v>
      </c>
      <c r="BO291" s="17" t="n">
        <f aca="false">BM291*IF($J291="wagon",2.73,81.25)</f>
        <v>13406.25</v>
      </c>
      <c r="BX291" s="25" t="s">
        <v>938</v>
      </c>
      <c r="BY291" s="25" t="n">
        <v>11</v>
      </c>
      <c r="BZ291" s="25" t="n">
        <v>232</v>
      </c>
      <c r="CC291" s="25" t="s">
        <v>327</v>
      </c>
      <c r="CD291" s="25" t="s">
        <v>605</v>
      </c>
      <c r="CE291" s="25" t="s">
        <v>842</v>
      </c>
      <c r="CF291" s="25" t="str">
        <f aca="false">CONCATENATE(CD291,"_",CE291)</f>
        <v>lbr_EMU (Express)</v>
      </c>
      <c r="CG291" s="25" t="str">
        <f aca="false">_xlfn.CONCAT(K291, "_",L291)</f>
        <v>dual_electric_DUAL_POWER</v>
      </c>
      <c r="CH291" s="7" t="str">
        <f aca="false">_xlfn.CONCAT("{BLACK}Length: {GOLD}", TEXT(ROUNDUP(IF(AT291&lt;&gt;"",SUM(VALUE(_xlfn.TEXTSPLIT(AT291, ","))), SUM(VALUE(_xlfn.TEXTSPLIT(AQ291, ",")))*IF(P291, P291, 1))/16, 1), "#,##0.0"), " tiles{}")</f>
        <v>{BLACK}Length: {GOLD}11.8 tiles{}</v>
      </c>
      <c r="CI291" s="1" t="n">
        <f aca="false">VLOOKUP($CG291, Constants!$M:$N, 2, FALSE())</f>
        <v>0</v>
      </c>
      <c r="CJ291" s="1" t="str">
        <f aca="false">IF(P291&gt;1,_xlfn.CONCAT("{BLACK}Cars: {GOLD}", P291),"")</f>
        <v>{BLACK}Cars: {GOLD}16</v>
      </c>
      <c r="CK291" s="25" t="s">
        <v>1133</v>
      </c>
      <c r="CM291" s="25"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{YELLOW}25% bonus for long distance travel{}</v>
      </c>
      <c r="CN291" s="25" t="str">
        <f aca="false">_xlfn.CONCAT(CI291,IF(CI291 &lt;&gt; "", " ", ""),CJ291,IF(OR(CJ291&lt;&gt;"", CI291&lt;&gt;""), "{}",""), CH291, CM291,"{SILVER}", CK291)</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2" s="25" customFormat="true" ht="14.25" hidden="false" customHeight="false" outlineLevel="0" collapsed="false">
      <c r="A292" s="25" t="s">
        <v>1134</v>
      </c>
      <c r="B292" s="26" t="s">
        <v>1135</v>
      </c>
      <c r="C292" s="1" t="n">
        <v>3070</v>
      </c>
      <c r="D292" s="25" t="n">
        <v>3068</v>
      </c>
      <c r="E292" s="1" t="n">
        <v>371</v>
      </c>
      <c r="G292" s="1" t="str">
        <f aca="false">IF($F292&lt;&gt;"",_xlfn.CONCAT(VLOOKUP($CE292, Constants!$T:$U, 2, FALSE()),",",$F292),VLOOKUP($CE292, Constants!$T:$U, 2, FALSE()))</f>
        <v>role/express_passenger</v>
      </c>
      <c r="H292" s="1" t="str">
        <f aca="false">IF($G292&lt;&gt;"",_xlfn.CONCAT(VLOOKUP($CG292, Constants!$M:$P, 4, FALSE()),",",$G292),VLOOKUP($CG292, Constants!$M:$P, 4, FALSE()))</f>
        <v>flag/GB,power/electric,role/express_passenger</v>
      </c>
      <c r="I292" s="25" t="s">
        <v>198</v>
      </c>
      <c r="J292" s="25" t="s">
        <v>423</v>
      </c>
      <c r="K292" s="25" t="s">
        <v>666</v>
      </c>
      <c r="L292" s="25" t="s">
        <v>709</v>
      </c>
      <c r="M292" s="25" t="n">
        <v>1992</v>
      </c>
      <c r="P292" s="25" t="n">
        <v>20</v>
      </c>
      <c r="Q292" s="25" t="n">
        <v>16400</v>
      </c>
      <c r="R292" s="2" t="n">
        <v>4600</v>
      </c>
      <c r="S292" s="3"/>
      <c r="T292" s="3"/>
      <c r="U292" s="3"/>
      <c r="V292" s="3"/>
      <c r="W292" s="3"/>
      <c r="X292" s="3"/>
      <c r="Y292" s="3"/>
      <c r="Z292" s="25" t="n">
        <v>752</v>
      </c>
      <c r="AA292" s="2"/>
      <c r="AB292" s="25" t="n">
        <v>4</v>
      </c>
      <c r="AC292" s="25" t="n">
        <v>220</v>
      </c>
      <c r="AD292" s="4" t="n">
        <f aca="false">IF(AND(Z292&gt;0,AC292&gt;0),(AC292/((Z292+AA292)*10)),"")</f>
        <v>0.0292553191489362</v>
      </c>
      <c r="AE292" s="25" t="n">
        <v>186</v>
      </c>
      <c r="AF292" s="25" t="n">
        <f aca="false">ROUND(AE292*1.6, 0)</f>
        <v>298</v>
      </c>
      <c r="AI292" s="25" t="n">
        <v>22.15</v>
      </c>
      <c r="AJ292" s="25" t="n">
        <v>22.15</v>
      </c>
      <c r="AK292" s="25" t="n">
        <v>2.81</v>
      </c>
      <c r="AM292" s="5" t="n">
        <v>35</v>
      </c>
      <c r="AN292" s="1" t="str">
        <f aca="false">CONCATENATE(VLOOKUP(AO292, '[1]Voxel Sizes'!$A$2:$B$18,2,FALSE()),"x",INT(AK292*15), "x", INT(AL292*15))</f>
        <v>214x42x0</v>
      </c>
      <c r="AO292" s="25" t="n">
        <f aca="false">ROUND(15*((AJ292*10)/256),0)</f>
        <v>13</v>
      </c>
      <c r="AQ292" s="1" t="str">
        <f aca="false">CONCATENATE(VLOOKUP(AO292,Constants!$A$2:$C$16,IF(AP292&lt;&gt;"", 3, 2), FALSE()),IF(AP292&lt;&gt;"",CONCATENATE(",",VLOOKUP(AP292,$B:$AQ,42,FALSE())),""))</f>
        <v>4,5,4</v>
      </c>
      <c r="AS292" s="29" t="s">
        <v>1120</v>
      </c>
      <c r="AT292" s="29" t="s">
        <v>1121</v>
      </c>
      <c r="AU292" s="25" t="s">
        <v>1136</v>
      </c>
      <c r="AV292" s="25" t="s">
        <v>1135</v>
      </c>
      <c r="AW292" s="25" t="s">
        <v>1137</v>
      </c>
      <c r="AX292" s="1"/>
      <c r="BA292" s="25" t="n">
        <v>25</v>
      </c>
      <c r="BB292" s="16" t="str">
        <f aca="false">IF(O292&lt;&gt;"",MAX(16,(O292-M292)+8),"")</f>
        <v/>
      </c>
      <c r="BE292" s="25" t="n">
        <f aca="false">MIN(AE292/150, 1)*30</f>
        <v>30</v>
      </c>
      <c r="BF292" s="25" t="n">
        <f aca="false">MIN(Q292/4000, 1)*20</f>
        <v>20</v>
      </c>
      <c r="BG292" s="25" t="n">
        <f aca="false">MIN(AC292/400,1)*20</f>
        <v>11</v>
      </c>
      <c r="BH292" s="4" t="n">
        <f aca="false">1-(MAX(M292-1900, 0)/750)</f>
        <v>0.877333333333333</v>
      </c>
      <c r="BI292" s="25" t="n">
        <f aca="false">((MAX($P292,1)*MIN($AM292/300,1)))*IF(J292="Wagon",50,10)</f>
        <v>23.3333333333333</v>
      </c>
      <c r="BJ292" s="1" t="n">
        <f aca="false">VLOOKUP($K292,Constants!$I:$K, 2, FALSE())</f>
        <v>0.85</v>
      </c>
      <c r="BK292" s="1" t="n">
        <f aca="false">VLOOKUP($K292,Constants!$I:$K, 3, FALSE())*IF(AND(J292="multiple_unit",AE292&lt;110),0.75,1)</f>
        <v>2.4</v>
      </c>
      <c r="BL292" s="25" t="n">
        <f aca="false">INT(POWER((([1]Constants!$G$2+$BE292+$BF292+$BG292+$BI292)*$BH292)*$BK292, 1.05))+$BD292</f>
        <v>244</v>
      </c>
      <c r="BM292" s="25" t="n">
        <f aca="false">INT(POWER(((([1]Constants!$G$1+$BE292+$BF292+$BG292+$BI292)*($BH292))*$BJ292),IF($J292="wagon",1,1.2)))+$BC292</f>
        <v>175</v>
      </c>
      <c r="BN292" s="17" t="n">
        <f aca="false">BL292*IF($J292="wagon",62.5,781.25)</f>
        <v>190625</v>
      </c>
      <c r="BO292" s="17" t="n">
        <f aca="false">BM292*IF($J292="wagon",2.73,81.25)</f>
        <v>14218.75</v>
      </c>
      <c r="BX292" s="25" t="s">
        <v>938</v>
      </c>
      <c r="BY292" s="25" t="n">
        <v>11</v>
      </c>
      <c r="BZ292" s="25" t="n">
        <v>232</v>
      </c>
      <c r="CC292" s="25" t="s">
        <v>327</v>
      </c>
      <c r="CD292" s="25" t="s">
        <v>605</v>
      </c>
      <c r="CE292" s="25" t="s">
        <v>842</v>
      </c>
      <c r="CF292" s="25" t="str">
        <f aca="false">CONCATENATE(CD292,"_",CE292)</f>
        <v>lbr_EMU (Express)</v>
      </c>
      <c r="CG292" s="25" t="str">
        <f aca="false">_xlfn.CONCAT(K292, "_",L292)</f>
        <v>dual_electric_DUAL_POWER</v>
      </c>
      <c r="CH292" s="7" t="str">
        <f aca="false">_xlfn.CONCAT("{BLACK}Length: {GOLD}", TEXT(ROUNDUP(IF(AT292&lt;&gt;"",SUM(VALUE(_xlfn.TEXTSPLIT(AT292, ","))), SUM(VALUE(_xlfn.TEXTSPLIT(AQ292, ",")))*IF(P292, P292, 1))/16, 1), "#,##0.0"), " tiles{}")</f>
        <v>{BLACK}Length: {GOLD}14.5 tiles{}</v>
      </c>
      <c r="CI292" s="1" t="n">
        <f aca="false">VLOOKUP($CG292, Constants!$M:$N, 2, FALSE())</f>
        <v>0</v>
      </c>
      <c r="CJ292" s="1" t="str">
        <f aca="false">IF(P292&gt;1,_xlfn.CONCAT("{BLACK}Cars: {GOLD}", P292),"")</f>
        <v>{BLACK}Cars: {GOLD}20</v>
      </c>
      <c r="CK292" s="25" t="s">
        <v>1125</v>
      </c>
      <c r="CM292" s="25"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bonus for long distance travel{}</v>
      </c>
      <c r="CN292" s="25" t="str">
        <f aca="false">_xlfn.CONCAT(CI292,IF(CI292 &lt;&gt; "", " ", ""),CJ292,IF(OR(CJ292&lt;&gt;"", CI292&lt;&gt;""), "{}",""), CH292, CM292,"{SILVER}", CK292)</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3" s="25" customFormat="true" ht="14.25" hidden="false" customHeight="false" outlineLevel="0" collapsed="false">
      <c r="A293" s="25" t="s">
        <v>1134</v>
      </c>
      <c r="B293" s="26" t="s">
        <v>1138</v>
      </c>
      <c r="C293" s="1" t="n">
        <v>3071</v>
      </c>
      <c r="D293" s="25" t="n">
        <v>3068</v>
      </c>
      <c r="E293" s="1" t="n">
        <v>372</v>
      </c>
      <c r="G293" s="1" t="str">
        <f aca="false">IF($F293&lt;&gt;"",_xlfn.CONCAT(VLOOKUP($CE293, Constants!$T:$U, 2, FALSE()),",",$F293),VLOOKUP($CE293, Constants!$T:$U, 2, FALSE()))</f>
        <v>role/express_passenger</v>
      </c>
      <c r="H293" s="1" t="str">
        <f aca="false">IF($G293&lt;&gt;"",_xlfn.CONCAT(VLOOKUP($CG293, Constants!$M:$P, 4, FALSE()),",",$G293),VLOOKUP($CG293, Constants!$M:$P, 4, FALSE()))</f>
        <v>flag/GB,power/electric,role/express_passenger</v>
      </c>
      <c r="I293" s="25" t="s">
        <v>198</v>
      </c>
      <c r="J293" s="25" t="s">
        <v>423</v>
      </c>
      <c r="K293" s="25" t="s">
        <v>666</v>
      </c>
      <c r="L293" s="25" t="s">
        <v>709</v>
      </c>
      <c r="M293" s="25" t="n">
        <v>1992</v>
      </c>
      <c r="P293" s="25" t="n">
        <v>16</v>
      </c>
      <c r="Q293" s="25" t="n">
        <v>16400</v>
      </c>
      <c r="R293" s="2" t="n">
        <v>4600</v>
      </c>
      <c r="S293" s="3"/>
      <c r="T293" s="3"/>
      <c r="U293" s="3"/>
      <c r="V293" s="3"/>
      <c r="W293" s="3"/>
      <c r="X293" s="3"/>
      <c r="Y293" s="3"/>
      <c r="Z293" s="25" t="n">
        <v>665</v>
      </c>
      <c r="AA293" s="2"/>
      <c r="AB293" s="25" t="n">
        <v>4</v>
      </c>
      <c r="AC293" s="25" t="n">
        <v>220</v>
      </c>
      <c r="AD293" s="4" t="n">
        <f aca="false">IF(AND(Z293&gt;0,AC293&gt;0),(AC293/((Z293+AA293)*10)),"")</f>
        <v>0.0330827067669173</v>
      </c>
      <c r="AE293" s="25" t="n">
        <v>186</v>
      </c>
      <c r="AF293" s="25" t="n">
        <f aca="false">ROUND(AE293*1.6, 0)</f>
        <v>298</v>
      </c>
      <c r="AI293" s="25" t="n">
        <v>22.15</v>
      </c>
      <c r="AJ293" s="25" t="n">
        <v>22.15</v>
      </c>
      <c r="AK293" s="25" t="n">
        <v>2.81</v>
      </c>
      <c r="AM293" s="5" t="n">
        <v>35</v>
      </c>
      <c r="AN293" s="1" t="str">
        <f aca="false">CONCATENATE(VLOOKUP(AO293, '[1]Voxel Sizes'!$A$2:$B$18,2,FALSE()),"x",INT(AK293*15), "x", INT(AL293*15))</f>
        <v>214x42x0</v>
      </c>
      <c r="AO293" s="25" t="n">
        <f aca="false">ROUND(15*((AJ293*10)/256),0)</f>
        <v>13</v>
      </c>
      <c r="AQ293" s="1" t="str">
        <f aca="false">CONCATENATE(VLOOKUP(AO293,Constants!$A$2:$C$16,IF(AP293&lt;&gt;"", 3, 2), FALSE()),IF(AP293&lt;&gt;"",CONCATENATE(",",VLOOKUP(AP293,$B:$AQ,42,FALSE())),""))</f>
        <v>4,5,4</v>
      </c>
      <c r="AS293" s="29" t="s">
        <v>1128</v>
      </c>
      <c r="AT293" s="29" t="s">
        <v>1129</v>
      </c>
      <c r="AU293" s="25" t="s">
        <v>1139</v>
      </c>
      <c r="AV293" s="25" t="s">
        <v>1135</v>
      </c>
      <c r="AW293" s="25" t="s">
        <v>1140</v>
      </c>
      <c r="AX293" s="1" t="s">
        <v>1135</v>
      </c>
      <c r="BA293" s="25" t="n">
        <v>25</v>
      </c>
      <c r="BB293" s="16" t="str">
        <f aca="false">IF(O293&lt;&gt;"",MAX(16,(O293-M293)+8),"")</f>
        <v/>
      </c>
      <c r="BE293" s="25" t="n">
        <f aca="false">MIN(AE293/150, 1)*30</f>
        <v>30</v>
      </c>
      <c r="BF293" s="25" t="n">
        <f aca="false">MIN(Q293/4000, 1)*20</f>
        <v>20</v>
      </c>
      <c r="BG293" s="25" t="n">
        <f aca="false">MIN(AC293/400,1)*20</f>
        <v>11</v>
      </c>
      <c r="BH293" s="4" t="n">
        <f aca="false">1-(MAX(M293-1900, 0)/750)</f>
        <v>0.877333333333333</v>
      </c>
      <c r="BI293" s="25" t="n">
        <f aca="false">((MAX($P293,1)*MIN($AM293/300,1)))*IF(J293="Wagon",50,10)</f>
        <v>18.6666666666667</v>
      </c>
      <c r="BJ293" s="1" t="n">
        <f aca="false">VLOOKUP($K293,Constants!$I:$K, 2, FALSE())</f>
        <v>0.85</v>
      </c>
      <c r="BK293" s="1" t="n">
        <f aca="false">VLOOKUP($K293,Constants!$I:$K, 3, FALSE())*IF(AND(J293="multiple_unit",AE293&lt;110),0.75,1)</f>
        <v>2.4</v>
      </c>
      <c r="BL293" s="25" t="n">
        <f aca="false">INT(POWER((([1]Constants!$G$2+$BE293+$BF293+$BG293+$BI293)*$BH293)*$BK293, 1.05))+$BD293</f>
        <v>231</v>
      </c>
      <c r="BM293" s="25" t="n">
        <f aca="false">INT(POWER(((([1]Constants!$G$1+$BE293+$BF293+$BG293+$BI293)*($BH293))*$BJ293),IF($J293="wagon",1,1.2)))+$BC293</f>
        <v>165</v>
      </c>
      <c r="BN293" s="17" t="n">
        <f aca="false">BL293*IF($J293="wagon",62.5,781.25)</f>
        <v>180468.75</v>
      </c>
      <c r="BO293" s="17" t="n">
        <f aca="false">BM293*IF($J293="wagon",2.73,81.25)</f>
        <v>13406.25</v>
      </c>
      <c r="BX293" s="25" t="s">
        <v>938</v>
      </c>
      <c r="BY293" s="25" t="n">
        <v>11</v>
      </c>
      <c r="BZ293" s="25" t="n">
        <v>232</v>
      </c>
      <c r="CC293" s="25" t="s">
        <v>327</v>
      </c>
      <c r="CD293" s="25" t="s">
        <v>605</v>
      </c>
      <c r="CE293" s="25" t="s">
        <v>842</v>
      </c>
      <c r="CF293" s="25" t="str">
        <f aca="false">CONCATENATE(CD293,"_",CE293)</f>
        <v>lbr_EMU (Express)</v>
      </c>
      <c r="CG293" s="25" t="str">
        <f aca="false">_xlfn.CONCAT(K293, "_",L293)</f>
        <v>dual_electric_DUAL_POWER</v>
      </c>
      <c r="CH293" s="7" t="str">
        <f aca="false">_xlfn.CONCAT("{BLACK}Length: {GOLD}", TEXT(ROUNDUP(IF(AT293&lt;&gt;"",SUM(VALUE(_xlfn.TEXTSPLIT(AT293, ","))), SUM(VALUE(_xlfn.TEXTSPLIT(AQ293, ",")))*IF(P293, P293, 1))/16, 1), "#,##0.0"), " tiles{}")</f>
        <v>{BLACK}Length: {GOLD}11.8 tiles{}</v>
      </c>
      <c r="CI293" s="1" t="n">
        <f aca="false">VLOOKUP($CG293, Constants!$M:$N, 2, FALSE())</f>
        <v>0</v>
      </c>
      <c r="CJ293" s="1" t="str">
        <f aca="false">IF(P293&gt;1,_xlfn.CONCAT("{BLACK}Cars: {GOLD}", P293),"")</f>
        <v>{BLACK}Cars: {GOLD}16</v>
      </c>
      <c r="CK293" s="25" t="s">
        <v>1133</v>
      </c>
      <c r="CM293" s="25"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{YELLOW}25% bonus for long distance travel{}</v>
      </c>
      <c r="CN293" s="25" t="str">
        <f aca="false">_xlfn.CONCAT(CI293,IF(CI293 &lt;&gt; "", " ", ""),CJ293,IF(OR(CJ293&lt;&gt;"", CI293&lt;&gt;""), "{}",""), CH293, CM293,"{SILVER}", CK293)</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4" s="1" customFormat="true" ht="14.25" hidden="false" customHeight="false" outlineLevel="0" collapsed="false">
      <c r="A294" s="1" t="s">
        <v>1141</v>
      </c>
      <c r="B294" s="26" t="s">
        <v>1142</v>
      </c>
      <c r="C294" s="1" t="n">
        <v>3072</v>
      </c>
      <c r="E294" s="1" t="n">
        <v>373</v>
      </c>
      <c r="G294" s="1" t="str">
        <f aca="false">IF($F294&lt;&gt;"",_xlfn.CONCAT(VLOOKUP($CE294, Constants!$T:$U, 2, FALSE()),",",$F294),VLOOKUP($CE294, Constants!$T:$U, 2, FALSE()))</f>
        <v>role/passenger</v>
      </c>
      <c r="H294" s="1" t="str">
        <f aca="false">IF($G294&lt;&gt;"",_xlfn.CONCAT(VLOOKUP($CG294, Constants!$M:$P, 4, FALSE()),",",$G294),VLOOKUP($CG294, Constants!$M:$P, 4, FALSE()))</f>
        <v>flag/GB,power/electric,role/passenger</v>
      </c>
      <c r="I294" s="1" t="s">
        <v>198</v>
      </c>
      <c r="J294" s="1" t="s">
        <v>423</v>
      </c>
      <c r="K294" s="1" t="s">
        <v>666</v>
      </c>
      <c r="L294" s="25" t="s">
        <v>709</v>
      </c>
      <c r="M294" s="1" t="n">
        <v>1994</v>
      </c>
      <c r="O294" s="1" t="n">
        <v>2022</v>
      </c>
      <c r="P294" s="1" t="n">
        <v>4</v>
      </c>
      <c r="Q294" s="1" t="n">
        <v>1684</v>
      </c>
      <c r="R294" s="2"/>
      <c r="S294" s="3"/>
      <c r="T294" s="3"/>
      <c r="U294" s="3"/>
      <c r="V294" s="3"/>
      <c r="W294" s="3"/>
      <c r="X294" s="3"/>
      <c r="Y294" s="3"/>
      <c r="Z294" s="1" t="n">
        <v>136</v>
      </c>
      <c r="AA294" s="2"/>
      <c r="AB294" s="1" t="n">
        <v>5</v>
      </c>
      <c r="AC294" s="1" t="n">
        <v>165</v>
      </c>
      <c r="AD294" s="4" t="n">
        <f aca="false">IF(AND(Z294&gt;0,AC294&gt;0),(AC294/((Z294+AA294)*10)),"")</f>
        <v>0.121323529411765</v>
      </c>
      <c r="AE294" s="1" t="n">
        <v>100</v>
      </c>
      <c r="AF294" s="1" t="n">
        <f aca="false">ROUND(AE294*1.6, 0)</f>
        <v>160</v>
      </c>
      <c r="AI294" s="1" t="n">
        <v>20.89</v>
      </c>
      <c r="AJ294" s="1" t="n">
        <v>20.89</v>
      </c>
      <c r="AL294" s="1" t="n">
        <v>3.77</v>
      </c>
      <c r="AM294" s="5" t="n">
        <v>66</v>
      </c>
      <c r="AN294" s="1" t="str">
        <f aca="false">CONCATENATE(VLOOKUP(AO294, '[1]Voxel Sizes'!$A$2:$B$18,2,FALSE()),"x",INT(AK294*15), "x", INT(AL294*15))</f>
        <v>198x0x56</v>
      </c>
      <c r="AO294" s="1" t="n">
        <f aca="false">ROUND(15*((AJ294*10)/256),0)</f>
        <v>12</v>
      </c>
      <c r="AQ294" s="1" t="str">
        <f aca="false">CONCATENATE(VLOOKUP(AO294,Constants!$A$2:$C$16,IF(AP294&lt;&gt;"", 3, 2), FALSE()),IF(AP294&lt;&gt;"",CONCATENATE(",",VLOOKUP(AP294,$B:$AQ,42,FALSE())),""))</f>
        <v>4,4,4</v>
      </c>
      <c r="AR294" s="1" t="n">
        <v>7</v>
      </c>
      <c r="AS294" s="6"/>
      <c r="AT294" s="6"/>
      <c r="AU294" s="1" t="s">
        <v>1143</v>
      </c>
      <c r="AV294" s="1" t="s">
        <v>1144</v>
      </c>
      <c r="AW294" s="1" t="s">
        <v>898</v>
      </c>
      <c r="AX294" s="25"/>
      <c r="BA294" s="1" t="n">
        <v>32</v>
      </c>
      <c r="BB294" s="16" t="n">
        <f aca="false">IF(O294&lt;&gt;"",MAX(16,(O294-M294)+8),"")</f>
        <v>36</v>
      </c>
      <c r="BE294" s="1" t="n">
        <f aca="false">MIN(AE294/150, 1)*30</f>
        <v>20</v>
      </c>
      <c r="BF294" s="1" t="n">
        <f aca="false">MIN(Q294/4000, 1)*20</f>
        <v>8.42</v>
      </c>
      <c r="BG294" s="1" t="n">
        <f aca="false">MIN(AC294/400,1)*20</f>
        <v>8.25</v>
      </c>
      <c r="BH294" s="4" t="n">
        <f aca="false">1-(MAX(M294-1900, 0)/750)</f>
        <v>0.874666666666667</v>
      </c>
      <c r="BI294" s="1" t="n">
        <f aca="false">((MAX($P294,1)*MIN($AM294/300,1)))*IF(J294="Wagon",50,10)</f>
        <v>8.8</v>
      </c>
      <c r="BJ294" s="1" t="n">
        <f aca="false">VLOOKUP($K294,Constants!$I:$K, 2, FALSE())</f>
        <v>0.85</v>
      </c>
      <c r="BK294" s="1" t="n">
        <f aca="false">VLOOKUP($K294,Constants!$I:$K, 3, FALSE())*IF(AND(J294="multiple_unit",AE294&lt;110),0.75,1)</f>
        <v>1.8</v>
      </c>
      <c r="BL294" s="1" t="n">
        <v>98</v>
      </c>
      <c r="BM294" s="1" t="n">
        <v>96</v>
      </c>
      <c r="BN294" s="17" t="n">
        <f aca="false">BL294*IF($J294="wagon",62.5,781.25)</f>
        <v>76562.5</v>
      </c>
      <c r="BO294" s="17" t="n">
        <f aca="false">BM294*IF($J294="wagon",2.73,81.25)</f>
        <v>7800</v>
      </c>
      <c r="BY294" s="1" t="n">
        <v>4</v>
      </c>
      <c r="BZ294" s="1" t="n">
        <v>185</v>
      </c>
      <c r="CC294" s="1" t="s">
        <v>327</v>
      </c>
      <c r="CD294" s="1" t="s">
        <v>605</v>
      </c>
      <c r="CE294" s="25" t="s">
        <v>785</v>
      </c>
      <c r="CF294" s="1" t="str">
        <f aca="false">CONCATENATE(CD294,"_",CE294)</f>
        <v>lbr_EMU</v>
      </c>
      <c r="CG294" s="1" t="str">
        <f aca="false">_xlfn.CONCAT(K294, "_",L294)</f>
        <v>dual_electric_DUAL_POWER</v>
      </c>
      <c r="CH294" s="7" t="str">
        <f aca="false">_xlfn.CONCAT("{BLACK}Length: {GOLD}", TEXT(ROUNDUP(IF(AT294&lt;&gt;"",SUM(VALUE(_xlfn.TEXTSPLIT(AT294, ","))), SUM(VALUE(_xlfn.TEXTSPLIT(AQ294, ",")))*IF(P294, P294, 1))/16, 1), "#,##0.0"), " tiles{}")</f>
        <v>{BLACK}Length: {GOLD}3.0 tiles{}</v>
      </c>
      <c r="CI294" s="1" t="n">
        <f aca="false">VLOOKUP($CG294, Constants!$M:$N, 2, FALSE())</f>
        <v>0</v>
      </c>
      <c r="CJ294" s="1" t="str">
        <f aca="false">IF(P294&gt;1,_xlfn.CONCAT("{BLACK}Cars: {GOLD}", P294),"")</f>
        <v>{BLACK}Cars: {GOLD}4</v>
      </c>
      <c r="CK294" s="1" t="s">
        <v>1145</v>
      </c>
      <c r="CM294" s="25"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
      </c>
      <c r="CN294" s="25" t="str">
        <f aca="false">_xlfn.CONCAT(CI294,IF(CI294 &lt;&gt; "", " ", ""),CJ294,IF(OR(CJ294&lt;&gt;"", CI294&lt;&gt;""), "{}",""), CH294, CM294,"{SILVER}", CK294)</f>
        <v>{BLACK}Cars: {GOLD}4{}{BLACK}Length: {GOLD}3.0 tiles{}{SILVER}Amongst the last passenger vehicles built at the former BREL Holgate Road works, the Class 365s began to be delivered at the very end of British Rail operations.</v>
      </c>
    </row>
    <row r="295" s="1" customFormat="true" ht="14.25" hidden="false" customHeight="false" outlineLevel="0" collapsed="false">
      <c r="A295" s="1" t="s">
        <v>1146</v>
      </c>
      <c r="B295" s="26" t="s">
        <v>1147</v>
      </c>
      <c r="C295" s="1" t="n">
        <v>3073</v>
      </c>
      <c r="E295" s="1" t="n">
        <v>374</v>
      </c>
      <c r="G295" s="1" t="str">
        <f aca="false">IF($F295&lt;&gt;"",_xlfn.CONCAT(VLOOKUP($CE295, Constants!$T:$U, 2, FALSE()),",",$F295),VLOOKUP($CE295, Constants!$T:$U, 2, FALSE()))</f>
        <v>role/passenger</v>
      </c>
      <c r="H295" s="1" t="str">
        <f aca="false">IF($G295&lt;&gt;"",_xlfn.CONCAT(VLOOKUP($CG295, Constants!$M:$P, 4, FALSE()),",",$G295),VLOOKUP($CG295, Constants!$M:$P, 4, FALSE()))</f>
        <v>flag/GB,power/electric,role/passenger</v>
      </c>
      <c r="I295" s="1" t="s">
        <v>198</v>
      </c>
      <c r="J295" s="1" t="s">
        <v>423</v>
      </c>
      <c r="K295" s="1" t="s">
        <v>349</v>
      </c>
      <c r="L295" s="1" t="s">
        <v>498</v>
      </c>
      <c r="M295" s="1" t="n">
        <v>1992</v>
      </c>
      <c r="N295" s="1" t="n">
        <v>1994</v>
      </c>
      <c r="P295" s="1" t="n">
        <v>4</v>
      </c>
      <c r="Q295" s="1" t="n">
        <v>1608</v>
      </c>
      <c r="R295" s="2"/>
      <c r="S295" s="3"/>
      <c r="T295" s="3"/>
      <c r="U295" s="3"/>
      <c r="V295" s="3"/>
      <c r="W295" s="3"/>
      <c r="X295" s="3"/>
      <c r="Y295" s="3"/>
      <c r="Z295" s="1" t="n">
        <v>136</v>
      </c>
      <c r="AA295" s="2"/>
      <c r="AB295" s="1" t="n">
        <v>5</v>
      </c>
      <c r="AC295" s="1" t="n">
        <v>165</v>
      </c>
      <c r="AD295" s="4" t="n">
        <f aca="false">IF(AND(Z295&gt;0,AC295&gt;0),(AC295/((Z295+AA295)*10)),"")</f>
        <v>0.121323529411765</v>
      </c>
      <c r="AE295" s="1" t="n">
        <v>75</v>
      </c>
      <c r="AF295" s="1" t="n">
        <f aca="false">ROUND(AE295*1.6, 0)</f>
        <v>120</v>
      </c>
      <c r="AI295" s="1" t="n">
        <v>20.89</v>
      </c>
      <c r="AJ295" s="1" t="n">
        <v>20.89</v>
      </c>
      <c r="AL295" s="1" t="n">
        <v>3.77</v>
      </c>
      <c r="AM295" s="5" t="n">
        <v>81</v>
      </c>
      <c r="AN295" s="1" t="str">
        <f aca="false">CONCATENATE(VLOOKUP(AO295, '[1]Voxel Sizes'!$A$2:$B$18,2,FALSE()),"x",INT(AK295*15), "x", INT(AL295*15))</f>
        <v>198x0x56</v>
      </c>
      <c r="AO295" s="1" t="n">
        <f aca="false">ROUND(15*((AJ295*10)/256),0)</f>
        <v>12</v>
      </c>
      <c r="AQ295" s="1" t="str">
        <f aca="false">CONCATENATE(VLOOKUP(AO295,Constants!$A$2:$C$16,IF(AP295&lt;&gt;"", 3, 2), FALSE()),IF(AP295&lt;&gt;"",CONCATENATE(",",VLOOKUP(AP295,$B:$AQ,42,FALSE())),""))</f>
        <v>4,4,4</v>
      </c>
      <c r="AR295" s="1" t="n">
        <v>0</v>
      </c>
      <c r="AS295" s="6"/>
      <c r="AT295" s="6"/>
      <c r="AU295" s="1" t="s">
        <v>1148</v>
      </c>
      <c r="AW295" s="1" t="s">
        <v>847</v>
      </c>
      <c r="AX295" s="25" t="s">
        <v>1149</v>
      </c>
      <c r="BA295" s="1" t="n">
        <v>32</v>
      </c>
      <c r="BB295" s="16" t="str">
        <f aca="false">IF(O295&lt;&gt;"",MAX(16,(O295-M295)+8),"")</f>
        <v/>
      </c>
      <c r="BC295" s="1" t="n">
        <v>-10</v>
      </c>
      <c r="BD295" s="1" t="n">
        <v>-20</v>
      </c>
      <c r="BE295" s="1" t="n">
        <f aca="false">MIN(AE295/150, 1)*30</f>
        <v>15</v>
      </c>
      <c r="BF295" s="1" t="n">
        <f aca="false">MIN(Q295/4000, 1)*20</f>
        <v>8.04</v>
      </c>
      <c r="BG295" s="1" t="n">
        <f aca="false">MIN(AC295/400,1)*20</f>
        <v>8.25</v>
      </c>
      <c r="BH295" s="4" t="n">
        <f aca="false">1-(MAX(M295-1900, 0)/750)</f>
        <v>0.877333333333333</v>
      </c>
      <c r="BI295" s="1" t="n">
        <f aca="false">((MAX($P295,1)*MIN($AM295/300,1)))*IF(J295="Wagon",50,10)</f>
        <v>10.8</v>
      </c>
      <c r="BJ295" s="1" t="n">
        <f aca="false">VLOOKUP($K295,Constants!$I:$K, 2, FALSE())</f>
        <v>0.85</v>
      </c>
      <c r="BK295" s="1" t="n">
        <f aca="false">VLOOKUP($K295,Constants!$I:$K, 3, FALSE())*IF(AND(J295="multiple_unit",AE295&lt;110),0.75,1)</f>
        <v>1.725</v>
      </c>
      <c r="BL295" s="1" t="n">
        <v>68</v>
      </c>
      <c r="BM295" s="1" t="n">
        <v>80</v>
      </c>
      <c r="BN295" s="17" t="n">
        <f aca="false">BL295*IF($J295="wagon",62.5,781.25)</f>
        <v>53125</v>
      </c>
      <c r="BO295" s="17" t="n">
        <f aca="false">BM295*IF($J295="wagon",2.73,81.25)</f>
        <v>6500</v>
      </c>
      <c r="BU295" s="1" t="s">
        <v>1150</v>
      </c>
      <c r="BY295" s="1" t="n">
        <v>10</v>
      </c>
      <c r="BZ295" s="1" t="n">
        <v>205</v>
      </c>
      <c r="CC295" s="1" t="s">
        <v>327</v>
      </c>
      <c r="CD295" s="1" t="s">
        <v>605</v>
      </c>
      <c r="CE295" s="25" t="s">
        <v>785</v>
      </c>
      <c r="CF295" s="1" t="str">
        <f aca="false">CONCATENATE(CD295,"_",CE295)</f>
        <v>lbr_EMU</v>
      </c>
      <c r="CG295" s="1" t="str">
        <f aca="false">_xlfn.CONCAT(K295, "_",L295)</f>
        <v>electric_THIRD_RAIL</v>
      </c>
      <c r="CH295" s="7" t="str">
        <f aca="false">_xlfn.CONCAT("{BLACK}Length: {GOLD}", TEXT(ROUNDUP(IF(AT295&lt;&gt;"",SUM(VALUE(_xlfn.TEXTSPLIT(AT295, ","))), SUM(VALUE(_xlfn.TEXTSPLIT(AQ295, ",")))*IF(P295, P295, 1))/16, 1), "#,##0.0"), " tiles{}")</f>
        <v>{BLACK}Length: {GOLD}3.0 tiles{}</v>
      </c>
      <c r="CI295" s="1" t="n">
        <f aca="false">VLOOKUP($CG295, Constants!$M:$N, 2, FALSE())</f>
        <v>0</v>
      </c>
      <c r="CJ295" s="1" t="str">
        <f aca="false">IF(P295&gt;1,_xlfn.CONCAT("{BLACK}Cars: {GOLD}", P295),"")</f>
        <v>{BLACK}Cars: {GOLD}4</v>
      </c>
      <c r="CK295" s="1" t="s">
        <v>1151</v>
      </c>
      <c r="CM295" s="25"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{YELLOW}10% bonus for long distance travel{}</v>
      </c>
      <c r="CN295" s="25" t="str">
        <f aca="false">_xlfn.CONCAT(CI295,IF(CI295 &lt;&gt; "", " ", ""),CJ295,IF(OR(CJ295&lt;&gt;"", CI295&lt;&gt;""), "{}",""), CH295, CM295,"{SILVER}", CK295)</f>
        <v>{BLACK}Cars: {GOLD}4{}{BLACK}Length: {GOLD}3.0 tiles{}{YELLOW}10% bonus for long distance travel{}{SILVER}The BREL Networker was built by three different companies (ABB, Metro-Cammell and BREL) with minor detail differences between each manufacturer's output.</v>
      </c>
    </row>
    <row r="296" s="25" customFormat="true" ht="14.25" hidden="false" customHeight="false" outlineLevel="0" collapsed="false">
      <c r="A296" s="25" t="s">
        <v>1152</v>
      </c>
      <c r="B296" s="26" t="s">
        <v>1150</v>
      </c>
      <c r="C296" s="1" t="n">
        <v>3074</v>
      </c>
      <c r="D296" s="25" t="n">
        <v>3073</v>
      </c>
      <c r="E296" s="1" t="n">
        <v>375</v>
      </c>
      <c r="G296" s="1" t="str">
        <f aca="false">IF($F296&lt;&gt;"",_xlfn.CONCAT(VLOOKUP($CE296, Constants!$T:$U, 2, FALSE()),",",$F296),VLOOKUP($CE296, Constants!$T:$U, 2, FALSE()))</f>
        <v>role/express_passenger</v>
      </c>
      <c r="H296" s="1" t="str">
        <f aca="false">IF($G296&lt;&gt;"",_xlfn.CONCAT(VLOOKUP($CG296, Constants!$M:$P, 4, FALSE()),",",$G296),VLOOKUP($CG296, Constants!$M:$P, 4, FALSE()))</f>
        <v>flag/GB,power/electric,role/express_passenger</v>
      </c>
      <c r="I296" s="25" t="s">
        <v>198</v>
      </c>
      <c r="J296" s="25" t="s">
        <v>423</v>
      </c>
      <c r="K296" s="25" t="s">
        <v>349</v>
      </c>
      <c r="L296" s="25" t="s">
        <v>498</v>
      </c>
      <c r="M296" s="25" t="n">
        <v>1993</v>
      </c>
      <c r="N296" s="25" t="n">
        <v>2025</v>
      </c>
      <c r="O296" s="25" t="n">
        <v>2028</v>
      </c>
      <c r="P296" s="25" t="n">
        <v>2</v>
      </c>
      <c r="Q296" s="25" t="n">
        <v>1500</v>
      </c>
      <c r="R296" s="2"/>
      <c r="S296" s="3"/>
      <c r="T296" s="3"/>
      <c r="U296" s="3"/>
      <c r="V296" s="3"/>
      <c r="W296" s="3"/>
      <c r="X296" s="3"/>
      <c r="Y296" s="3"/>
      <c r="Z296" s="25" t="n">
        <v>72</v>
      </c>
      <c r="AA296" s="2"/>
      <c r="AB296" s="25" t="n">
        <v>5</v>
      </c>
      <c r="AC296" s="25" t="n">
        <v>83</v>
      </c>
      <c r="AD296" s="4" t="n">
        <f aca="false">IF(AND(Z296&gt;0,AC296&gt;0),(AC296/((Z296+AA296)*10)),"")</f>
        <v>0.115277777777778</v>
      </c>
      <c r="AE296" s="25" t="n">
        <v>75</v>
      </c>
      <c r="AF296" s="25" t="n">
        <f aca="false">ROUND(AE296*1.6, 0)</f>
        <v>120</v>
      </c>
      <c r="AI296" s="25" t="n">
        <v>20.89</v>
      </c>
      <c r="AJ296" s="25" t="n">
        <v>20.89</v>
      </c>
      <c r="AL296" s="25" t="n">
        <v>3.77</v>
      </c>
      <c r="AM296" s="5" t="n">
        <v>84</v>
      </c>
      <c r="AN296" s="1" t="str">
        <f aca="false">CONCATENATE(VLOOKUP(AO296, '[1]Voxel Sizes'!$A$2:$B$18,2,FALSE()),"x",INT(AK296*15), "x", INT(AL296*15))</f>
        <v>198x0x56</v>
      </c>
      <c r="AO296" s="25" t="n">
        <f aca="false">ROUND(15*((AJ296*10)/256),0)</f>
        <v>12</v>
      </c>
      <c r="AQ296" s="1" t="str">
        <f aca="false">CONCATENATE(VLOOKUP(AO296,Constants!$A$2:$C$16,IF(AP296&lt;&gt;"", 3, 2), FALSE()),IF(AP296&lt;&gt;"",CONCATENATE(",",VLOOKUP(AP296,$B:$AQ,42,FALSE())),""))</f>
        <v>4,4,4</v>
      </c>
      <c r="AR296" s="25" t="n">
        <v>0</v>
      </c>
      <c r="AS296" s="6"/>
      <c r="AT296" s="6"/>
      <c r="AU296" s="25" t="s">
        <v>1153</v>
      </c>
      <c r="AW296" s="25" t="s">
        <v>888</v>
      </c>
      <c r="AX296" s="25" t="s">
        <v>1149</v>
      </c>
      <c r="BA296" s="25" t="n">
        <v>32</v>
      </c>
      <c r="BB296" s="16" t="n">
        <f aca="false">IF(O296&lt;&gt;"",MAX(16,(O296-M296)+8),"")</f>
        <v>43</v>
      </c>
      <c r="BC296" s="25" t="n">
        <v>-10</v>
      </c>
      <c r="BD296" s="25" t="n">
        <v>-20</v>
      </c>
      <c r="BE296" s="25" t="n">
        <f aca="false">MIN(AE296/150, 1)*30</f>
        <v>15</v>
      </c>
      <c r="BF296" s="25" t="n">
        <f aca="false">MIN(Q296/4000, 1)*20</f>
        <v>7.5</v>
      </c>
      <c r="BG296" s="25" t="n">
        <f aca="false">MIN(AC296/400,1)*20</f>
        <v>4.15</v>
      </c>
      <c r="BH296" s="4" t="n">
        <f aca="false">1-(MAX(M296-1900, 0)/750)</f>
        <v>0.876</v>
      </c>
      <c r="BI296" s="25" t="n">
        <f aca="false">((MAX($P296,1)*MIN($AM296/300,1)))*IF(J296="Wagon",50,10)</f>
        <v>5.6</v>
      </c>
      <c r="BJ296" s="1" t="n">
        <f aca="false">VLOOKUP($K296,Constants!$I:$K, 2, FALSE())</f>
        <v>0.85</v>
      </c>
      <c r="BK296" s="1" t="n">
        <f aca="false">VLOOKUP($K296,Constants!$I:$K, 3, FALSE())*IF(AND(J296="multiple_unit",AE296&lt;110),0.75,1)</f>
        <v>1.725</v>
      </c>
      <c r="BL296" s="25" t="n">
        <f aca="false">INT(POWER((([1]Constants!$G$2+$BE296+$BF296+$BG296+$BI296)*$BH296)*$BK296, 1.05))+$BD296</f>
        <v>48</v>
      </c>
      <c r="BM296" s="25" t="n">
        <f aca="false">INT(POWER(((([1]Constants!$G$1+$BE296+$BF296+$BG296+$BI296)*($BH296))*$BJ296),IF($J296="wagon",1,1.2)))+$BC296</f>
        <v>61</v>
      </c>
      <c r="BN296" s="17" t="n">
        <f aca="false">BL296*IF($J296="wagon",62.5,781.25)</f>
        <v>37500</v>
      </c>
      <c r="BO296" s="17" t="n">
        <f aca="false">BM296*IF($J296="wagon",2.73,81.25)</f>
        <v>4956.25</v>
      </c>
      <c r="BU296" s="25" t="s">
        <v>1147</v>
      </c>
      <c r="BY296" s="25" t="n">
        <v>6</v>
      </c>
      <c r="BZ296" s="25" t="n">
        <v>185</v>
      </c>
      <c r="CC296" s="25" t="s">
        <v>327</v>
      </c>
      <c r="CD296" s="25" t="s">
        <v>605</v>
      </c>
      <c r="CE296" s="25" t="s">
        <v>842</v>
      </c>
      <c r="CF296" s="25" t="str">
        <f aca="false">CONCATENATE(CD296,"_",CE296)</f>
        <v>lbr_EMU (Express)</v>
      </c>
      <c r="CG296" s="25" t="str">
        <f aca="false">_xlfn.CONCAT(K296, "_",L296)</f>
        <v>electric_THIRD_RAIL</v>
      </c>
      <c r="CH296" s="7" t="str">
        <f aca="false">_xlfn.CONCAT("{BLACK}Length: {GOLD}", TEXT(ROUNDUP(IF(AT296&lt;&gt;"",SUM(VALUE(_xlfn.TEXTSPLIT(AT296, ","))), SUM(VALUE(_xlfn.TEXTSPLIT(AQ296, ",")))*IF(P296, P296, 1))/16, 1), "#,##0.0"), " tiles{}")</f>
        <v>{BLACK}Length: {GOLD}1.5 tiles{}</v>
      </c>
      <c r="CI296" s="1" t="n">
        <f aca="false">VLOOKUP($CG296, Constants!$M:$N, 2, FALSE())</f>
        <v>0</v>
      </c>
      <c r="CJ296" s="1" t="str">
        <f aca="false">IF(P296&gt;1,_xlfn.CONCAT("{BLACK}Cars: {GOLD}", P296),"")</f>
        <v>{BLACK}Cars: {GOLD}2</v>
      </c>
      <c r="CK296" s="1" t="s">
        <v>1154</v>
      </c>
      <c r="CL296" s="1"/>
      <c r="CM296" s="25"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
      </c>
      <c r="CN296" s="25" t="str">
        <f aca="false">_xlfn.CONCAT(CI296,IF(CI296 &lt;&gt; "", " ", ""),CJ296,IF(OR(CJ296&lt;&gt;"", CI296&lt;&gt;""), "{}",""), CH296, CM296,"{SILVER}", CK296)</f>
        <v>{BLACK}Cars: {GOLD}2{}{BLACK}Length: {GOLD}1.5 tiles{}{SILVER}The Class 466 was a shorter Class 465, used for small branch line service and to strengthen peak services up to 10 cars as needed.</v>
      </c>
    </row>
    <row r="297" s="1" customFormat="true" ht="14.25" hidden="false" customHeight="false" outlineLevel="0" collapsed="false">
      <c r="A297" s="1" t="s">
        <v>1155</v>
      </c>
      <c r="B297" s="26" t="s">
        <v>1156</v>
      </c>
      <c r="C297" s="1" t="n">
        <v>3049</v>
      </c>
      <c r="E297" s="1" t="n">
        <v>376</v>
      </c>
      <c r="G297" s="1" t="str">
        <f aca="false">IF($F297&lt;&gt;"",_xlfn.CONCAT(VLOOKUP($CE297, Constants!$T:$U, 2, FALSE()),",",$F297),VLOOKUP($CE297, Constants!$T:$U, 2, FALSE()))</f>
        <v>role/passenger</v>
      </c>
      <c r="H297" s="1" t="str">
        <f aca="false">IF($G297&lt;&gt;"",_xlfn.CONCAT(VLOOKUP($CG297, Constants!$M:$P, 4, FALSE()),",",$G297),VLOOKUP($CG297, Constants!$M:$P, 4, FALSE()))</f>
        <v>flag/GB,power/diesel,role/passenger</v>
      </c>
      <c r="I297" s="1" t="s">
        <v>198</v>
      </c>
      <c r="J297" s="1" t="s">
        <v>423</v>
      </c>
      <c r="K297" s="1" t="s">
        <v>482</v>
      </c>
      <c r="L297" s="1" t="s">
        <v>149</v>
      </c>
      <c r="M297" s="1" t="n">
        <v>1998</v>
      </c>
      <c r="N297" s="1" t="n">
        <v>2005</v>
      </c>
      <c r="P297" s="1" t="n">
        <v>2</v>
      </c>
      <c r="Q297" s="1" t="n">
        <v>1266</v>
      </c>
      <c r="R297" s="2"/>
      <c r="S297" s="3"/>
      <c r="T297" s="3"/>
      <c r="U297" s="3"/>
      <c r="V297" s="3"/>
      <c r="W297" s="3"/>
      <c r="X297" s="3"/>
      <c r="Y297" s="3"/>
      <c r="Z297" s="1" t="n">
        <v>135</v>
      </c>
      <c r="AA297" s="2"/>
      <c r="AB297" s="1" t="n">
        <v>5</v>
      </c>
      <c r="AC297" s="1" t="n">
        <v>180</v>
      </c>
      <c r="AD297" s="4" t="n">
        <f aca="false">IF(AND(Z297&gt;0,AC297&gt;0),(AC297/((Z297+AA297)*10)),"")</f>
        <v>0.133333333333333</v>
      </c>
      <c r="AE297" s="1" t="n">
        <v>100</v>
      </c>
      <c r="AF297" s="1" t="n">
        <f aca="false">ROUND(AE297*1.6, 0)</f>
        <v>160</v>
      </c>
      <c r="AI297" s="1" t="n">
        <v>23.62</v>
      </c>
      <c r="AJ297" s="1" t="n">
        <v>21</v>
      </c>
      <c r="AK297" s="1" t="n">
        <v>2.69</v>
      </c>
      <c r="AL297" s="1" t="n">
        <v>3.77</v>
      </c>
      <c r="AM297" s="5" t="n">
        <v>63</v>
      </c>
      <c r="AN297" s="1" t="s">
        <v>1157</v>
      </c>
      <c r="AO297" s="1" t="n">
        <f aca="false">ROUND(15*((AJ297*10)/256),0)</f>
        <v>12</v>
      </c>
      <c r="AQ297" s="1" t="str">
        <f aca="false">CONCATENATE(VLOOKUP(AO297,Constants!$A$2:$C$16,IF(AP297&lt;&gt;"", 3, 2), FALSE()),IF(AP297&lt;&gt;"",CONCATENATE(",",VLOOKUP(AP297,$B:$AQ,42,FALSE())),""))</f>
        <v>4,4,4</v>
      </c>
      <c r="AS297" s="6"/>
      <c r="AT297" s="6"/>
      <c r="AU297" s="1" t="s">
        <v>1158</v>
      </c>
      <c r="AW297" s="1" t="s">
        <v>770</v>
      </c>
      <c r="AX297" s="1" t="s">
        <v>1159</v>
      </c>
      <c r="BA297" s="1" t="n">
        <v>29</v>
      </c>
      <c r="BB297" s="16" t="str">
        <f aca="false">IF(O297&lt;&gt;"",MAX(16,(O297-M297)+8),"")</f>
        <v/>
      </c>
      <c r="BC297" s="1" t="n">
        <v>-15</v>
      </c>
      <c r="BD297" s="1" t="n">
        <v>-25</v>
      </c>
      <c r="BE297" s="1" t="n">
        <f aca="false">MIN(AE297/150, 1)*30</f>
        <v>20</v>
      </c>
      <c r="BF297" s="1" t="n">
        <f aca="false">MIN(Q297/4000, 1)*20</f>
        <v>6.33</v>
      </c>
      <c r="BG297" s="1" t="n">
        <f aca="false">MIN(AC297/400,1)*20</f>
        <v>9</v>
      </c>
      <c r="BH297" s="4" t="n">
        <f aca="false">1-(MAX(M297-1900, 0)/750)</f>
        <v>0.869333333333333</v>
      </c>
      <c r="BI297" s="1" t="n">
        <f aca="false">((MAX($P297,1)*MIN($AM297/300,1)))*IF(J297="Wagon",50,10)</f>
        <v>4.2</v>
      </c>
      <c r="BJ297" s="1" t="n">
        <f aca="false">VLOOKUP($K297,Constants!$I:$K, 2, FALSE())</f>
        <v>1</v>
      </c>
      <c r="BK297" s="1" t="n">
        <f aca="false">VLOOKUP($K297,Constants!$I:$K, 3, FALSE())*IF(AND(J297="multiple_unit",AE297&lt;110),0.75,1)</f>
        <v>1.5</v>
      </c>
      <c r="BL297" s="1" t="n">
        <v>46</v>
      </c>
      <c r="BM297" s="1" t="n">
        <v>87</v>
      </c>
      <c r="BN297" s="17" t="n">
        <f aca="false">BL297*IF($J297="wagon",62.5,781.25)</f>
        <v>35937.5</v>
      </c>
      <c r="BO297" s="17" t="n">
        <f aca="false">BM297*IF($J297="wagon",2.73,81.25)</f>
        <v>7068.75</v>
      </c>
      <c r="BU297" s="1" t="s">
        <v>1160</v>
      </c>
      <c r="BY297" s="1" t="n">
        <v>3</v>
      </c>
      <c r="BZ297" s="1" t="n">
        <v>185</v>
      </c>
      <c r="CC297" s="1" t="s">
        <v>327</v>
      </c>
      <c r="CD297" s="1" t="s">
        <v>1161</v>
      </c>
      <c r="CE297" s="25" t="s">
        <v>779</v>
      </c>
      <c r="CF297" s="1" t="str">
        <f aca="false">CONCATENATE(CD297,"_",CE297)</f>
        <v>prv_DMU</v>
      </c>
      <c r="CG297" s="1" t="str">
        <f aca="false">_xlfn.CONCAT(K297, "_",L297)</f>
        <v>diesel_RAIL</v>
      </c>
      <c r="CH297" s="7" t="str">
        <f aca="false">_xlfn.CONCAT("{BLACK}Length: {GOLD}", TEXT(ROUNDUP(IF(AT297&lt;&gt;"",SUM(VALUE(_xlfn.TEXTSPLIT(AT297, ","))), SUM(VALUE(_xlfn.TEXTSPLIT(AQ297, ",")))*IF(P297, P297, 1))/16, 1), "#,##0.0"), " tiles{}")</f>
        <v>{BLACK}Length: {GOLD}1.5 tiles{}</v>
      </c>
      <c r="CI297" s="1" t="n">
        <f aca="false">VLOOKUP($CG297, Constants!$M:$N, 2, FALSE())</f>
        <v>0</v>
      </c>
      <c r="CJ297" s="1" t="str">
        <f aca="false">IF(P297&gt;1,_xlfn.CONCAT("{BLACK}Cars: {GOLD}", P297),"")</f>
        <v>{BLACK}Cars: {GOLD}2</v>
      </c>
      <c r="CK297" s="1" t="s">
        <v>1162</v>
      </c>
      <c r="CM297" s="25"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
      </c>
      <c r="CN297" s="25" t="str">
        <f aca="false">_xlfn.CONCAT(CI297,IF(CI297 &lt;&gt; "", " ", ""),CJ297,IF(OR(CJ297&lt;&gt;"", CI297&lt;&gt;""), "{}",""), CH297, CM297,"{SILVER}", CK297)</f>
        <v>{BLACK}Cars: {GOLD}2{}{BLACK}Length: {GOLD}1.5 tiles{}{SILVER}The Turbostar is a further development of the BR "Networker" units. It is used for regional and long distance services.</v>
      </c>
    </row>
    <row r="298" s="1" customFormat="true" ht="14.25" hidden="false" customHeight="false" outlineLevel="0" collapsed="false">
      <c r="A298" s="1" t="s">
        <v>1155</v>
      </c>
      <c r="B298" s="26" t="s">
        <v>1163</v>
      </c>
      <c r="C298" s="1" t="n">
        <v>3050</v>
      </c>
      <c r="D298" s="1" t="n">
        <v>3049</v>
      </c>
      <c r="E298" s="1" t="n">
        <v>377</v>
      </c>
      <c r="G298" s="1" t="str">
        <f aca="false">IF($F298&lt;&gt;"",_xlfn.CONCAT(VLOOKUP($CE298, Constants!$T:$U, 2, FALSE()),",",$F298),VLOOKUP($CE298, Constants!$T:$U, 2, FALSE()))</f>
        <v>role/passenger</v>
      </c>
      <c r="H298" s="1" t="str">
        <f aca="false">IF($G298&lt;&gt;"",_xlfn.CONCAT(VLOOKUP($CG298, Constants!$M:$P, 4, FALSE()),",",$G298),VLOOKUP($CG298, Constants!$M:$P, 4, FALSE()))</f>
        <v>flag/GB,power/diesel,role/passenger</v>
      </c>
      <c r="I298" s="1" t="s">
        <v>198</v>
      </c>
      <c r="J298" s="1" t="s">
        <v>423</v>
      </c>
      <c r="K298" s="1" t="s">
        <v>482</v>
      </c>
      <c r="L298" s="1" t="s">
        <v>149</v>
      </c>
      <c r="M298" s="1" t="n">
        <v>1998</v>
      </c>
      <c r="N298" s="1" t="n">
        <v>2005</v>
      </c>
      <c r="P298" s="1" t="n">
        <v>3</v>
      </c>
      <c r="Q298" s="1" t="n">
        <v>1266</v>
      </c>
      <c r="R298" s="2"/>
      <c r="S298" s="3"/>
      <c r="T298" s="3"/>
      <c r="U298" s="3"/>
      <c r="V298" s="3"/>
      <c r="W298" s="3"/>
      <c r="X298" s="3"/>
      <c r="Y298" s="3"/>
      <c r="Z298" s="1" t="n">
        <v>135</v>
      </c>
      <c r="AA298" s="2"/>
      <c r="AB298" s="1" t="n">
        <v>5</v>
      </c>
      <c r="AC298" s="1" t="n">
        <v>180</v>
      </c>
      <c r="AD298" s="4" t="n">
        <f aca="false">IF(AND(Z298&gt;0,AC298&gt;0),(AC298/((Z298+AA298)*10)),"")</f>
        <v>0.133333333333333</v>
      </c>
      <c r="AE298" s="1" t="n">
        <v>100</v>
      </c>
      <c r="AF298" s="1" t="n">
        <f aca="false">ROUND(AE298*1.6, 0)</f>
        <v>160</v>
      </c>
      <c r="AI298" s="1" t="n">
        <v>23.62</v>
      </c>
      <c r="AJ298" s="1" t="n">
        <v>21</v>
      </c>
      <c r="AK298" s="1" t="n">
        <v>2.69</v>
      </c>
      <c r="AL298" s="1" t="n">
        <v>3.77</v>
      </c>
      <c r="AM298" s="5" t="n">
        <v>63</v>
      </c>
      <c r="AN298" s="1" t="s">
        <v>1157</v>
      </c>
      <c r="AO298" s="1" t="n">
        <f aca="false">ROUND(15*((AJ298*10)/256),0)</f>
        <v>12</v>
      </c>
      <c r="AQ298" s="1" t="str">
        <f aca="false">CONCATENATE(VLOOKUP(AO298,Constants!$A$2:$C$16,IF(AP298&lt;&gt;"", 3, 2), FALSE()),IF(AP298&lt;&gt;"",CONCATENATE(",",VLOOKUP(AP298,$B:$AQ,42,FALSE())),""))</f>
        <v>4,4,4</v>
      </c>
      <c r="AS298" s="6"/>
      <c r="AT298" s="6"/>
      <c r="AU298" s="1" t="s">
        <v>1164</v>
      </c>
      <c r="AW298" s="1" t="s">
        <v>774</v>
      </c>
      <c r="AX298" s="1" t="s">
        <v>1159</v>
      </c>
      <c r="BA298" s="1" t="n">
        <v>29</v>
      </c>
      <c r="BB298" s="16" t="str">
        <f aca="false">IF(O298&lt;&gt;"",MAX(16,(O298-M298)+8),"")</f>
        <v/>
      </c>
      <c r="BC298" s="1" t="n">
        <v>-15</v>
      </c>
      <c r="BD298" s="1" t="n">
        <v>-25</v>
      </c>
      <c r="BE298" s="1" t="n">
        <f aca="false">MIN(AE298/150, 1)*30</f>
        <v>20</v>
      </c>
      <c r="BF298" s="1" t="n">
        <f aca="false">MIN(Q298/4000, 1)*20</f>
        <v>6.33</v>
      </c>
      <c r="BG298" s="1" t="n">
        <f aca="false">MIN(AC298/400,1)*20</f>
        <v>9</v>
      </c>
      <c r="BH298" s="4" t="n">
        <f aca="false">1-(MAX(M298-1900, 0)/750)</f>
        <v>0.869333333333333</v>
      </c>
      <c r="BI298" s="1" t="n">
        <f aca="false">((MAX($P298,1)*MIN($AM298/300,1)))*IF(J298="Wagon",50,10)</f>
        <v>6.3</v>
      </c>
      <c r="BJ298" s="1" t="n">
        <f aca="false">VLOOKUP($K298,Constants!$I:$K, 2, FALSE())</f>
        <v>1</v>
      </c>
      <c r="BK298" s="1" t="n">
        <f aca="false">VLOOKUP($K298,Constants!$I:$K, 3, FALSE())*IF(AND(J298="multiple_unit",AE298&lt;110),0.75,1)</f>
        <v>1.5</v>
      </c>
      <c r="BL298" s="1" t="n">
        <v>49</v>
      </c>
      <c r="BM298" s="1" t="n">
        <v>92</v>
      </c>
      <c r="BN298" s="17" t="n">
        <f aca="false">BL298*IF($J298="wagon",62.5,781.25)</f>
        <v>38281.25</v>
      </c>
      <c r="BO298" s="17" t="n">
        <f aca="false">BM298*IF($J298="wagon",2.73,81.25)</f>
        <v>7475</v>
      </c>
      <c r="BU298" s="1" t="s">
        <v>1165</v>
      </c>
      <c r="BY298" s="1" t="n">
        <v>3</v>
      </c>
      <c r="BZ298" s="1" t="n">
        <v>185</v>
      </c>
      <c r="CC298" s="1" t="s">
        <v>327</v>
      </c>
      <c r="CD298" s="1" t="s">
        <v>1161</v>
      </c>
      <c r="CE298" s="25" t="s">
        <v>779</v>
      </c>
      <c r="CF298" s="1" t="str">
        <f aca="false">CONCATENATE(CD298,"_",CE298)</f>
        <v>prv_DMU</v>
      </c>
      <c r="CG298" s="1" t="str">
        <f aca="false">_xlfn.CONCAT(K298, "_",L298)</f>
        <v>diesel_RAIL</v>
      </c>
      <c r="CH298" s="7" t="str">
        <f aca="false">_xlfn.CONCAT("{BLACK}Length: {GOLD}", TEXT(ROUNDUP(IF(AT298&lt;&gt;"",SUM(VALUE(_xlfn.TEXTSPLIT(AT298, ","))), SUM(VALUE(_xlfn.TEXTSPLIT(AQ298, ",")))*IF(P298, P298, 1))/16, 1), "#,##0.0"), " tiles{}")</f>
        <v>{BLACK}Length: {GOLD}2.3 tiles{}</v>
      </c>
      <c r="CI298" s="1" t="n">
        <f aca="false">VLOOKUP($CG298, Constants!$M:$N, 2, FALSE())</f>
        <v>0</v>
      </c>
      <c r="CJ298" s="1" t="str">
        <f aca="false">IF(P298&gt;1,_xlfn.CONCAT("{BLACK}Cars: {GOLD}", P298),"")</f>
        <v>{BLACK}Cars: {GOLD}3</v>
      </c>
      <c r="CK298" s="1" t="s">
        <v>1162</v>
      </c>
      <c r="CM298" s="25"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25" t="str">
        <f aca="false">_xlfn.CONCAT(CI298,IF(CI298 &lt;&gt; "", " ", ""),CJ298,IF(OR(CJ298&lt;&gt;"", CI298&lt;&gt;""), "{}",""), CH298, CM298,"{SILVER}", CK298)</f>
        <v>{BLACK}Cars: {GOLD}3{}{BLACK}Length: {GOLD}2.3 tiles{}{SILVER}The Turbostar is a further development of the BR "Networker" units. It is used for regional and long distance services.</v>
      </c>
    </row>
    <row r="299" customFormat="false" ht="14.25" hidden="false" customHeight="false" outlineLevel="0" collapsed="false">
      <c r="A299" s="1" t="s">
        <v>1166</v>
      </c>
      <c r="B299" s="15" t="s">
        <v>1167</v>
      </c>
      <c r="C299" s="1" t="n">
        <v>257</v>
      </c>
      <c r="E299" s="1" t="n">
        <v>378</v>
      </c>
      <c r="G299" s="1" t="str">
        <f aca="false">IF($F299&lt;&gt;"",_xlfn.CONCAT(VLOOKUP($CE299, Constants!$T:$U, 2, FALSE()),",",$F299),VLOOKUP($CE299, Constants!$T:$U, 2, FALSE()))</f>
        <v>role/passenger</v>
      </c>
      <c r="H299" s="1" t="str">
        <f aca="false">IF($G299&lt;&gt;"",_xlfn.CONCAT(VLOOKUP($CG299, Constants!$M:$P, 4, FALSE()),",",$G299),VLOOKUP($CG299, Constants!$M:$P, 4, FALSE()))</f>
        <v>flag/GB,power/diesel,role/passenger</v>
      </c>
      <c r="I299" s="1" t="s">
        <v>198</v>
      </c>
      <c r="J299" s="1" t="s">
        <v>423</v>
      </c>
      <c r="K299" s="1" t="s">
        <v>482</v>
      </c>
      <c r="L299" s="1" t="s">
        <v>149</v>
      </c>
      <c r="M299" s="1" t="n">
        <v>2000</v>
      </c>
      <c r="P299" s="1" t="n">
        <v>2</v>
      </c>
      <c r="Q299" s="1" t="n">
        <f aca="false">450*2</f>
        <v>900</v>
      </c>
      <c r="Z299" s="1" t="n">
        <v>98</v>
      </c>
      <c r="AB299" s="1" t="n">
        <v>5</v>
      </c>
      <c r="AC299" s="1" t="n">
        <v>120</v>
      </c>
      <c r="AD299" s="4" t="n">
        <f aca="false">IF(AND(Z299&gt;0,AC299&gt;0),(AC299/((Z299+AA299)*10)),"")</f>
        <v>0.122448979591837</v>
      </c>
      <c r="AE299" s="1" t="n">
        <v>100</v>
      </c>
      <c r="AF299" s="1" t="n">
        <f aca="false">ROUND(AE299*1.6, 0)</f>
        <v>160</v>
      </c>
      <c r="AI299" s="1" t="n">
        <v>23.71</v>
      </c>
      <c r="AJ299" s="1" t="n">
        <v>23.71</v>
      </c>
      <c r="AM299" s="5" t="n">
        <v>69</v>
      </c>
      <c r="AN299" s="1" t="str">
        <f aca="false">CONCATENATE(VLOOKUP(AO299, 'Voxel Sizes'!$A$2:$B$18,2,FALSE()),"x",INT(AK299*15), "x", INT(AL299*15))</f>
        <v>238x0x0</v>
      </c>
      <c r="AO299" s="1" t="n">
        <f aca="false">ROUND(15*((AJ299*10)/256),0)</f>
        <v>14</v>
      </c>
      <c r="AQ299" s="1" t="str">
        <f aca="false">CONCATENATE(VLOOKUP(AO299,Constants!$A$2:$C$16,IF(AP299&lt;&gt;"", 3, 2), FALSE()),IF(AP299&lt;&gt;"",CONCATENATE(",",VLOOKUP(AP299,$B:$AQ,42,FALSE())),""))</f>
        <v>4,6,4</v>
      </c>
      <c r="AU299" s="1" t="s">
        <v>1168</v>
      </c>
      <c r="AW299" s="1" t="s">
        <v>770</v>
      </c>
      <c r="BA299" s="1" t="n">
        <v>22</v>
      </c>
      <c r="BB299" s="16" t="str">
        <f aca="false">IF(O299&lt;&gt;"",MAX(16,(O299-M299)+8),"")</f>
        <v/>
      </c>
      <c r="BC299" s="1" t="n">
        <v>-6</v>
      </c>
      <c r="BD299" s="1" t="n">
        <v>-25</v>
      </c>
      <c r="BE299" s="1" t="n">
        <f aca="false">MIN(AE299/150, 1)*30</f>
        <v>20</v>
      </c>
      <c r="BF299" s="1" t="n">
        <f aca="false">MIN(Q299/4000, 1)*20</f>
        <v>4.5</v>
      </c>
      <c r="BG299" s="1" t="n">
        <f aca="false">MIN(AC299/400,1)*20</f>
        <v>6</v>
      </c>
      <c r="BH299" s="4" t="n">
        <f aca="false">1-(MAX(M299-1900, 0)/750)</f>
        <v>0.866666666666667</v>
      </c>
      <c r="BI299" s="1" t="n">
        <f aca="false">((MAX($P299,1)*MIN($AM299/300,1)))*IF(J299="Wagon",50,10)</f>
        <v>4.6</v>
      </c>
      <c r="BJ299" s="1" t="n">
        <f aca="false">VLOOKUP($K299,Constants!$I:$K, 2, FALSE())</f>
        <v>1</v>
      </c>
      <c r="BK299" s="1" t="n">
        <f aca="false">VLOOKUP($K299,Constants!$I:$K, 3, FALSE())*IF(AND(J299="multiple_unit",AE299&lt;110),0.75,1)</f>
        <v>1.5</v>
      </c>
      <c r="BL299" s="1" t="n">
        <f aca="false">INT(POWER(((Constants!$G$2+$BE299+$BF299+$BG299+$BI299)*$BH299)*$BK299, 1.05))+$BD299</f>
        <v>38</v>
      </c>
      <c r="BM299" s="1" t="n">
        <f aca="false">INT(POWER((((Constants!$G$1+$BE299+$BF299+$BG299+$BI299)*($BH299))*$BJ299),IF($J299="wagon",1,1.2)))+$BC299</f>
        <v>86</v>
      </c>
      <c r="BN299" s="17" t="n">
        <f aca="false">BL299*IF($J299="wagon",62.5,781.25)</f>
        <v>29687.5</v>
      </c>
      <c r="BO299" s="17" t="n">
        <f aca="false">BM299*IF($J299="wagon",2.73,81.25)</f>
        <v>6987.5</v>
      </c>
      <c r="BY299" s="1" t="n">
        <v>4</v>
      </c>
      <c r="CC299" s="1" t="s">
        <v>327</v>
      </c>
      <c r="CD299" s="1" t="str">
        <f aca="false">VLOOKUP(M299,Eras!$A$2:$C$10, 2, TRUE())</f>
        <v>prv</v>
      </c>
      <c r="CE299" s="1" t="s">
        <v>779</v>
      </c>
      <c r="CF299" s="1" t="str">
        <f aca="false">CONCATENATE(CD299,"_",CE299)</f>
        <v>prv_DMU</v>
      </c>
      <c r="CG299" s="1" t="str">
        <f aca="false">_xlfn.CONCAT(K299, "_",L299)</f>
        <v>diesel_RAIL</v>
      </c>
      <c r="CH299" s="7" t="str">
        <f aca="false">_xlfn.CONCAT("{BLACK}Length: {GOLD}", TEXT(ROUNDUP(IF(AT299&lt;&gt;"",SUM(VALUE(_xlfn.TEXTSPLIT(AT299, ","))), SUM(VALUE(_xlfn.TEXTSPLIT(AQ299, ",")))*IF(P299, P299, 1))/16, 1), "#,##0.0"), " tiles{}")</f>
        <v>{BLACK}Length: {GOLD}1.8 tiles{}</v>
      </c>
      <c r="CI299" s="1" t="n">
        <f aca="false">VLOOKUP($CG299, Constants!$M:$N, 2, FALSE())</f>
        <v>0</v>
      </c>
      <c r="CJ299" s="1" t="str">
        <f aca="false">IF(P299&gt;1,_xlfn.CONCAT("{BLACK}Cars: {GOLD}", P299),"")</f>
        <v>{BLACK}Cars: {GOLD}2</v>
      </c>
      <c r="CK299" s="1" t="s">
        <v>1169</v>
      </c>
      <c r="CL299" s="1" t="str">
        <f aca="false">IF($BX299="!param_no_gameplay_units","{GREEN}Included for gameplay purposes","")</f>
        <v/>
      </c>
      <c r="CM299" s="1" t="str">
        <f aca="false">IF(CA299="buffet","{YELLOW}25% long distance bonus for consist{}",IF(CC299="BRAKE","{YELLOW}Speed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{GOLD}2{}{BLACK}Length: {GOLD}1.8 tiles{}{SILVER}Originally operated by First North Western, the Class 175s were cascaded to services in Wales. They suffered early reliability problems, but work on braking systems and bogies has made a significant improvement.</v>
      </c>
    </row>
    <row r="300" customFormat="false" ht="14.25" hidden="false" customHeight="false" outlineLevel="0" collapsed="false">
      <c r="A300" s="1" t="s">
        <v>1170</v>
      </c>
      <c r="B300" s="15" t="s">
        <v>1171</v>
      </c>
      <c r="C300" s="1" t="n">
        <v>258</v>
      </c>
      <c r="E300" s="1" t="n">
        <v>379</v>
      </c>
      <c r="G300" s="1" t="str">
        <f aca="false">IF($F300&lt;&gt;"",_xlfn.CONCAT(VLOOKUP($CE300, Constants!$T:$U, 2, FALSE()),",",$F300),VLOOKUP($CE300, Constants!$T:$U, 2, FALSE()))</f>
        <v>role/express_passenger</v>
      </c>
      <c r="H300" s="1" t="str">
        <f aca="false">IF($G300&lt;&gt;"",_xlfn.CONCAT(VLOOKUP($CG300, Constants!$M:$P, 4, FALSE()),",",$G300),VLOOKUP($CG300, Constants!$M:$P, 4, FALSE()))</f>
        <v>flag/GB,power/electric,role/express_passenger</v>
      </c>
      <c r="I300" s="1" t="s">
        <v>198</v>
      </c>
      <c r="J300" s="1" t="s">
        <v>423</v>
      </c>
      <c r="K300" s="1" t="s">
        <v>349</v>
      </c>
      <c r="L300" s="1" t="s">
        <v>498</v>
      </c>
      <c r="M300" s="1" t="n">
        <v>2000</v>
      </c>
      <c r="N300" s="1" t="n">
        <v>2001</v>
      </c>
      <c r="O300" s="1" t="n">
        <v>2012</v>
      </c>
      <c r="P300" s="1" t="n">
        <v>8</v>
      </c>
      <c r="Q300" s="1" t="n">
        <v>3620</v>
      </c>
      <c r="Z300" s="1" t="n">
        <v>319</v>
      </c>
      <c r="AB300" s="1" t="n">
        <v>5</v>
      </c>
      <c r="AC300" s="1" t="n">
        <v>240</v>
      </c>
      <c r="AD300" s="4" t="n">
        <f aca="false">IF(AND(Z300&gt;0,AC300&gt;0),(AC300/((Z300+AA300)*10)),"")</f>
        <v>0.0752351097178683</v>
      </c>
      <c r="AE300" s="1" t="n">
        <v>100</v>
      </c>
      <c r="AF300" s="1" t="n">
        <f aca="false">ROUND(AE300*1.6, 0)</f>
        <v>160</v>
      </c>
      <c r="AJ300" s="1" t="n">
        <v>21</v>
      </c>
      <c r="AM300" s="5" t="n">
        <f aca="false">23*3</f>
        <v>69</v>
      </c>
      <c r="AN300" s="1" t="str">
        <f aca="false">CONCATENATE(VLOOKUP(AO300, 'Voxel Sizes'!$A$2:$B$18,2,FALSE()),"x",INT(AK300*15), "x", INT(AL300*15))</f>
        <v>198x0x0</v>
      </c>
      <c r="AO300" s="1" t="n">
        <f aca="false">ROUND(15*((AJ300*10)/256),0)</f>
        <v>12</v>
      </c>
      <c r="AQ300" s="1" t="str">
        <f aca="false">CONCATENATE(VLOOKUP(AO300,Constants!$A$2:$C$16,IF(AP300&lt;&gt;"", 3, 2), FALSE()),IF(AP300&lt;&gt;"",CONCATENATE(",",VLOOKUP(AP300,$B:$AQ,42,FALSE())),""))</f>
        <v>4,4,4</v>
      </c>
      <c r="AU300" s="1" t="s">
        <v>1172</v>
      </c>
      <c r="AW300" s="1" t="s">
        <v>936</v>
      </c>
      <c r="BA300" s="1" t="n">
        <v>27</v>
      </c>
      <c r="BB300" s="16" t="n">
        <f aca="false">IF(O300&lt;&gt;"",MAX(16,(O300-M300)+8),"")</f>
        <v>20</v>
      </c>
      <c r="BC300" s="1" t="n">
        <v>-15</v>
      </c>
      <c r="BD300" s="1" t="n">
        <v>-30</v>
      </c>
      <c r="BE300" s="1" t="n">
        <f aca="false">MIN(AE300/150, 1)*30</f>
        <v>20</v>
      </c>
      <c r="BF300" s="1" t="n">
        <f aca="false">MIN(Q300/4000, 1)*20</f>
        <v>18.1</v>
      </c>
      <c r="BG300" s="1" t="n">
        <f aca="false">MIN(AC300/400,1)*20</f>
        <v>12</v>
      </c>
      <c r="BH300" s="4" t="n">
        <f aca="false">1-(MAX(M300-1900, 0)/750)</f>
        <v>0.866666666666667</v>
      </c>
      <c r="BI300" s="1" t="n">
        <f aca="false">((MAX($P300,1)*MIN($AM300/300,1)))*IF(J300="Wagon",50,10)</f>
        <v>18.4</v>
      </c>
      <c r="BJ300" s="1" t="n">
        <f aca="false">VLOOKUP($K300,Constants!$I:$K, 2, FALSE())</f>
        <v>0.85</v>
      </c>
      <c r="BK300" s="1" t="n">
        <f aca="false">VLOOKUP($K300,Constants!$I:$K, 3, FALSE())*IF(AND(J300="multiple_unit",AE300&lt;110),0.75,1)</f>
        <v>1.725</v>
      </c>
      <c r="BL300" s="1" t="n">
        <f aca="false">INT(POWER(((Constants!$G$2+$BE300+$BF300+$BG300+$BI300)*$BH300)*$BK300, 1.05))+$BD300</f>
        <v>108</v>
      </c>
      <c r="BM300" s="1" t="n">
        <f aca="false">INT(POWER((((Constants!$G$1+$BE300+$BF300+$BG300+$BI300)*($BH300))*$BJ300),IF($J300="wagon",1,1.2)))+$BC300</f>
        <v>125</v>
      </c>
      <c r="BN300" s="17" t="n">
        <f aca="false">BL300*IF($J300="wagon",62.5,781.25)</f>
        <v>84375</v>
      </c>
      <c r="BO300" s="17" t="n">
        <f aca="false">BM300*IF($J300="wagon",2.73,81.25)</f>
        <v>10156.25</v>
      </c>
      <c r="BX300" s="1" t="s">
        <v>1173</v>
      </c>
      <c r="BY300" s="1" t="n">
        <v>4</v>
      </c>
      <c r="BZ300" s="1" t="n">
        <v>205</v>
      </c>
      <c r="CC300" s="1" t="s">
        <v>327</v>
      </c>
      <c r="CD300" s="1" t="str">
        <f aca="false">VLOOKUP(M300,Eras!$A$2:$C$10, 2, TRUE())</f>
        <v>prv</v>
      </c>
      <c r="CE300" s="1" t="s">
        <v>842</v>
      </c>
      <c r="CF300" s="1" t="str">
        <f aca="false">CONCATENATE(CD300,"_",CE300)</f>
        <v>prv_EMU (Express)</v>
      </c>
      <c r="CG300" s="1" t="str">
        <f aca="false">_xlfn.CONCAT(K300, "_",L300)</f>
        <v>electric_THIRD_RAIL</v>
      </c>
      <c r="CH300" s="7" t="str">
        <f aca="false">_xlfn.CONCAT("{BLACK}Length: {GOLD}", TEXT(ROUNDUP(IF(AT300&lt;&gt;"",SUM(VALUE(_xlfn.TEXTSPLIT(AT300, ","))), SUM(VALUE(_xlfn.TEXTSPLIT(AQ300, ",")))*IF(P300, P300, 1))/16, 1), "#,##0.0"), " tiles{}")</f>
        <v>{BLACK}Length: {GOLD}6.0 tiles{}</v>
      </c>
      <c r="CI300" s="1" t="n">
        <f aca="false">VLOOKUP($CG300, Constants!$M:$N, 2, FALSE())</f>
        <v>0</v>
      </c>
      <c r="CJ300" s="1" t="str">
        <f aca="false">IF(P300&gt;1,_xlfn.CONCAT("{BLACK}Cars: {GOLD}", P300),"")</f>
        <v>{BLACK}Cars: {GOLD}8</v>
      </c>
      <c r="CK300" s="1" t="s">
        <v>1174</v>
      </c>
      <c r="CL300" s="1" t="str">
        <f aca="false">IF($BX300="!param_no_gameplay_units","{GREEN}Included for gameplay purposes","")</f>
        <v/>
      </c>
      <c r="CM300" s="1" t="str">
        <f aca="false">IF(CA300="buffet","{YELLOW}25% long distance bonus for consist{}",IF(CC300="BRAKE","{YELLOW}Speed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{BLACK}Cars: {GOLD}8{}{BLACK}Length: {GOLD}6.0 tiles{}{YELLOW}10% bonus for long distance travel{}{SILVER}The Class 460 was built to replace locomotive-hauled services on the Gatwick Express. It had a short service life, with most units converted to Class 458/5 for suburban use.</v>
      </c>
    </row>
    <row r="301" customFormat="false" ht="14.25" hidden="false" customHeight="false" outlineLevel="0" collapsed="false">
      <c r="A301" s="1" t="s">
        <v>1170</v>
      </c>
      <c r="B301" s="15" t="s">
        <v>1175</v>
      </c>
      <c r="C301" s="1" t="n">
        <v>259</v>
      </c>
      <c r="E301" s="1" t="n">
        <v>380</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1" t="s">
        <v>198</v>
      </c>
      <c r="J301" s="1" t="s">
        <v>423</v>
      </c>
      <c r="K301" s="1" t="s">
        <v>349</v>
      </c>
      <c r="L301" s="1" t="s">
        <v>498</v>
      </c>
      <c r="M301" s="1" t="n">
        <v>2000</v>
      </c>
      <c r="N301" s="1" t="n">
        <v>2001</v>
      </c>
      <c r="O301" s="1" t="n">
        <v>2012</v>
      </c>
      <c r="P301" s="1" t="n">
        <v>5</v>
      </c>
      <c r="Q301" s="1" t="n">
        <v>3620</v>
      </c>
      <c r="Z301" s="1" t="n">
        <f aca="false">319/8*5</f>
        <v>199.375</v>
      </c>
      <c r="AB301" s="1" t="n">
        <v>5</v>
      </c>
      <c r="AC301" s="1" t="n">
        <v>240</v>
      </c>
      <c r="AD301" s="4" t="n">
        <f aca="false">IF(AND(Z301&gt;0,AC301&gt;0),(AC301/((Z301+AA301)*10)),"")</f>
        <v>0.120376175548589</v>
      </c>
      <c r="AE301" s="1" t="n">
        <v>100</v>
      </c>
      <c r="AF301" s="1" t="n">
        <f aca="false">ROUND(AE301*1.6, 0)</f>
        <v>160</v>
      </c>
      <c r="AJ301" s="1" t="n">
        <v>21</v>
      </c>
      <c r="AM301" s="5" t="n">
        <f aca="false">23*3</f>
        <v>69</v>
      </c>
      <c r="AN301" s="1" t="str">
        <f aca="false">CONCATENATE(VLOOKUP(AO301, 'Voxel Sizes'!$A$2:$B$18,2,FALSE()),"x",INT(AK301*15), "x", INT(AL301*15))</f>
        <v>198x0x0</v>
      </c>
      <c r="AO301" s="1" t="n">
        <f aca="false">ROUND(15*((AJ301*10)/256),0)</f>
        <v>12</v>
      </c>
      <c r="AQ301" s="1" t="str">
        <f aca="false">CONCATENATE(VLOOKUP(AO301,Constants!$A$2:$C$16,IF(AP301&lt;&gt;"", 3, 2), FALSE()),IF(AP301&lt;&gt;"",CONCATENATE(",",VLOOKUP(AP301,$B:$AQ,42,FALSE())),""))</f>
        <v>4,4,4</v>
      </c>
      <c r="AU301" s="1" t="s">
        <v>1176</v>
      </c>
      <c r="AW301" s="1" t="s">
        <v>817</v>
      </c>
      <c r="AX301" s="1" t="s">
        <v>1171</v>
      </c>
      <c r="BA301" s="1" t="n">
        <v>27</v>
      </c>
      <c r="BB301" s="16" t="n">
        <f aca="false">IF(O301&lt;&gt;"",MAX(16,(O301-M301)+8),"")</f>
        <v>20</v>
      </c>
      <c r="BC301" s="1" t="n">
        <v>-15</v>
      </c>
      <c r="BD301" s="1" t="n">
        <v>-30</v>
      </c>
      <c r="BE301" s="1" t="n">
        <f aca="false">MIN(AE301/150, 1)*30</f>
        <v>20</v>
      </c>
      <c r="BF301" s="1" t="n">
        <f aca="false">MIN(Q301/4000, 1)*20</f>
        <v>18.1</v>
      </c>
      <c r="BG301" s="1" t="n">
        <f aca="false">MIN(AC301/400,1)*20</f>
        <v>12</v>
      </c>
      <c r="BH301" s="4" t="n">
        <f aca="false">1-(MAX(M301-1900, 0)/750)</f>
        <v>0.866666666666667</v>
      </c>
      <c r="BI301" s="1" t="n">
        <f aca="false">((MAX($P301,1)*MIN($AM301/300,1)))*IF(J301="Wagon",50,10)</f>
        <v>11.5</v>
      </c>
      <c r="BJ301" s="1" t="n">
        <f aca="false">VLOOKUP($K301,Constants!$I:$K, 2, FALSE())</f>
        <v>0.85</v>
      </c>
      <c r="BK301" s="1" t="n">
        <f aca="false">VLOOKUP($K301,Constants!$I:$K, 3, FALSE())*IF(AND(J301="multiple_unit",AE301&lt;110),0.75,1)</f>
        <v>1.725</v>
      </c>
      <c r="BL301" s="1" t="n">
        <f aca="false">INT(POWER(((Constants!$G$2+$BE301+$BF301+$BG301+$BI301)*$BH301)*$BK301, 1.05))+$BD301</f>
        <v>95</v>
      </c>
      <c r="BM301" s="1" t="n">
        <f aca="false">INT(POWER((((Constants!$G$1+$BE301+$BF301+$BG301+$BI301)*($BH301))*$BJ301),IF($J301="wagon",1,1.2)))+$BC301</f>
        <v>111</v>
      </c>
      <c r="BN301" s="17" t="n">
        <f aca="false">BL301*IF($J301="wagon",62.5,781.25)</f>
        <v>74218.75</v>
      </c>
      <c r="BO301" s="17" t="n">
        <f aca="false">BM301*IF($J301="wagon",2.73,81.25)</f>
        <v>9018.75</v>
      </c>
      <c r="BU301" s="1" t="s">
        <v>1177</v>
      </c>
      <c r="BX301" s="1" t="s">
        <v>1178</v>
      </c>
      <c r="BY301" s="1" t="n">
        <v>4</v>
      </c>
      <c r="BZ301" s="1" t="n">
        <v>205</v>
      </c>
      <c r="CC301" s="1" t="s">
        <v>327</v>
      </c>
      <c r="CD301" s="1" t="str">
        <f aca="false">VLOOKUP(M301,Eras!$A$2:$C$10, 2, TRUE())</f>
        <v>prv</v>
      </c>
      <c r="CE301" s="1" t="s">
        <v>842</v>
      </c>
      <c r="CF301" s="1" t="str">
        <f aca="false">CONCATENATE(CD301,"_",CE301)</f>
        <v>prv_EMU (Express)</v>
      </c>
      <c r="CG301" s="1" t="str">
        <f aca="false">_xlfn.CONCAT(K301, "_",L301)</f>
        <v>electric_THIRD_RAIL</v>
      </c>
      <c r="CH301" s="7" t="str">
        <f aca="false">_xlfn.CONCAT("{BLACK}Length: {GOLD}", TEXT(ROUNDUP(IF(AT301&lt;&gt;"",SUM(VALUE(_xlfn.TEXTSPLIT(AT301, ","))), SUM(VALUE(_xlfn.TEXTSPLIT(AQ301, ",")))*IF(P301, P301, 1))/16, 1), "#,##0.0"), " tiles{}")</f>
        <v>{BLACK}Length: {GOLD}3.8 tiles{}</v>
      </c>
      <c r="CI301" s="1" t="n">
        <f aca="false">VLOOKUP($CG301, Constants!$M:$N, 2, FALSE())</f>
        <v>0</v>
      </c>
      <c r="CJ301" s="1" t="str">
        <f aca="false">IF(P301&gt;1,_xlfn.CONCAT("{BLACK}Cars: {GOLD}", P301),"")</f>
        <v>{BLACK}Cars: {GOLD}5</v>
      </c>
      <c r="CK301" s="1" t="s">
        <v>1174</v>
      </c>
      <c r="CL301" s="1" t="str">
        <f aca="false">IF($BX301="!param_no_gameplay_units","{GREEN}Included for gameplay purposes","")</f>
        <v/>
      </c>
      <c r="CM301" s="1" t="str">
        <f aca="false">IF(CA301="buffet","{YELLOW}25% long distance bonus for consist{}",IF(CC301="BRAKE","{YELLOW}Speed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{BLACK}Cars: {GOLD}5{}{BLACK}Length: {GOLD}3.8 tiles{}{YELLOW}10% bonus for long distance travel{}{SILVER}The Class 460 was built to replace locomotive-hauled services on the Gatwick Express. It had a short service life, with most units converted to Class 458/5 for suburban use.</v>
      </c>
    </row>
    <row r="302" s="25" customFormat="true" ht="14.25" hidden="false" customHeight="false" outlineLevel="0" collapsed="false">
      <c r="A302" s="25" t="s">
        <v>1179</v>
      </c>
      <c r="B302" s="26" t="s">
        <v>1177</v>
      </c>
      <c r="C302" s="1" t="n">
        <v>3086</v>
      </c>
      <c r="D302" s="25" t="n">
        <v>258</v>
      </c>
      <c r="E302" s="1" t="n">
        <v>381</v>
      </c>
      <c r="F302" s="1"/>
      <c r="G302" s="1" t="str">
        <f aca="false">IF($F302&lt;&gt;"",_xlfn.CONCAT(VLOOKUP($CE302, Constants!$T:$U, 2, FALSE()),",",$F302),VLOOKUP($CE302, Constants!$T:$U, 2, FALSE()))</f>
        <v>role/express_passenger</v>
      </c>
      <c r="H302" s="1" t="str">
        <f aca="false">IF($G302&lt;&gt;"",_xlfn.CONCAT(VLOOKUP($CG302, Constants!$M:$P, 4, FALSE()),",",$G302),VLOOKUP($CG302, Constants!$M:$P, 4, FALSE()))</f>
        <v>flag/GB,power/electric,role/express_passenger</v>
      </c>
      <c r="I302" s="25" t="s">
        <v>198</v>
      </c>
      <c r="J302" s="25" t="s">
        <v>423</v>
      </c>
      <c r="K302" s="25" t="s">
        <v>349</v>
      </c>
      <c r="L302" s="25" t="s">
        <v>498</v>
      </c>
      <c r="M302" s="25" t="n">
        <v>2012</v>
      </c>
      <c r="P302" s="25" t="n">
        <v>5</v>
      </c>
      <c r="Q302" s="25" t="n">
        <v>3620</v>
      </c>
      <c r="R302" s="2"/>
      <c r="S302" s="3"/>
      <c r="T302" s="3"/>
      <c r="U302" s="3"/>
      <c r="V302" s="3"/>
      <c r="W302" s="3"/>
      <c r="X302" s="3"/>
      <c r="Y302" s="3"/>
      <c r="Z302" s="25" t="n">
        <v>200</v>
      </c>
      <c r="AA302" s="2"/>
      <c r="AB302" s="25" t="n">
        <v>5</v>
      </c>
      <c r="AC302" s="25" t="n">
        <v>240</v>
      </c>
      <c r="AD302" s="4" t="n">
        <f aca="false">IF(AND(Z302&gt;0,AC302&gt;0),(AC302/((Z302+AA302)*10)),"")</f>
        <v>0.12</v>
      </c>
      <c r="AE302" s="25" t="n">
        <v>100</v>
      </c>
      <c r="AF302" s="25" t="n">
        <f aca="false">ROUND(AE302*1.6, 0)</f>
        <v>160</v>
      </c>
      <c r="AJ302" s="25" t="n">
        <v>21</v>
      </c>
      <c r="AM302" s="5" t="n">
        <v>54</v>
      </c>
      <c r="AN302" s="1" t="str">
        <f aca="false">CONCATENATE(VLOOKUP(AO302, '[1]Voxel Sizes'!$A$2:$B$18,2,FALSE()),"x",INT(AK302*15), "x", INT(AL302*15))</f>
        <v>198x0x0</v>
      </c>
      <c r="AO302" s="25" t="n">
        <f aca="false">ROUND(15*((AJ302*10)/256),0)</f>
        <v>12</v>
      </c>
      <c r="AQ302" s="1" t="str">
        <f aca="false">CONCATENATE(VLOOKUP(AO302,Constants!$A$2:$C$16,IF(AP302&lt;&gt;"", 3, 2), FALSE()),IF(AP302&lt;&gt;"",CONCATENATE(",",VLOOKUP(AP302,$B:$AQ,42,FALSE())),""))</f>
        <v>4,4,4</v>
      </c>
      <c r="AS302" s="6"/>
      <c r="AT302" s="6"/>
      <c r="AU302" s="25" t="s">
        <v>1180</v>
      </c>
      <c r="AW302" s="25" t="s">
        <v>1181</v>
      </c>
      <c r="AX302" s="25" t="s">
        <v>1182</v>
      </c>
      <c r="BA302" s="25" t="n">
        <v>27</v>
      </c>
      <c r="BB302" s="16" t="str">
        <f aca="false">IF(O302&lt;&gt;"",MAX(16,(O302-M302)+8),"")</f>
        <v/>
      </c>
      <c r="BC302" s="25" t="n">
        <v>-15</v>
      </c>
      <c r="BD302" s="25" t="n">
        <v>-30</v>
      </c>
      <c r="BE302" s="25" t="n">
        <f aca="false">MIN(AE302/150, 1)*30</f>
        <v>20</v>
      </c>
      <c r="BF302" s="25" t="n">
        <f aca="false">MIN(Q302/4000, 1)*20</f>
        <v>18.1</v>
      </c>
      <c r="BG302" s="25" t="n">
        <f aca="false">MIN(AC302/400,1)*20</f>
        <v>12</v>
      </c>
      <c r="BH302" s="4" t="n">
        <f aca="false">1-(MAX(M302-1900, 0)/750)</f>
        <v>0.850666666666667</v>
      </c>
      <c r="BI302" s="25" t="n">
        <f aca="false">((MAX($P302,1)*MIN($AM302/300,1)))*IF(J302="Wagon",50,10)</f>
        <v>9</v>
      </c>
      <c r="BJ302" s="1" t="n">
        <f aca="false">VLOOKUP($K302,Constants!$I:$K, 2, FALSE())</f>
        <v>0.85</v>
      </c>
      <c r="BK302" s="1" t="n">
        <f aca="false">VLOOKUP($K302,Constants!$I:$K, 3, FALSE())*IF(AND(J302="multiple_unit",AE302&lt;110),0.75,1)</f>
        <v>1.725</v>
      </c>
      <c r="BL302" s="25" t="n">
        <f aca="false">INT(POWER((([1]Constants!$G$2+$BE302+$BF302+$BG302+$BI302)*$BH302)*$BK302, 1.05))+$BD302</f>
        <v>88</v>
      </c>
      <c r="BM302" s="25" t="n">
        <f aca="false">INT(POWER(((([1]Constants!$G$1+$BE302+$BF302+$BG302+$BI302)*($BH302))*$BJ302),IF($J302="wagon",1,1.2)))+$BC302</f>
        <v>103</v>
      </c>
      <c r="BN302" s="17" t="n">
        <f aca="false">BL302*IF($J302="wagon",62.5,781.25)</f>
        <v>68750</v>
      </c>
      <c r="BO302" s="17" t="n">
        <f aca="false">BM302*IF($J302="wagon",2.73,81.25)</f>
        <v>8368.75</v>
      </c>
      <c r="BU302" s="25" t="s">
        <v>1183</v>
      </c>
      <c r="BY302" s="25" t="n">
        <v>4</v>
      </c>
      <c r="BZ302" s="25" t="n">
        <v>205</v>
      </c>
      <c r="CC302" s="25" t="s">
        <v>327</v>
      </c>
      <c r="CD302" s="25" t="s">
        <v>754</v>
      </c>
      <c r="CE302" s="25" t="s">
        <v>842</v>
      </c>
      <c r="CF302" s="25" t="str">
        <f aca="false">CONCATENATE(CD302,"_",CE302)</f>
        <v>mod_EMU (Express)</v>
      </c>
      <c r="CG302" s="25" t="str">
        <f aca="false">_xlfn.CONCAT(K302, "_",L302)</f>
        <v>electric_THIRD_RAIL</v>
      </c>
      <c r="CH302" s="7" t="str">
        <f aca="false">_xlfn.CONCAT("{BLACK}Length: {GOLD}", TEXT(ROUNDUP(IF(AT302&lt;&gt;"",SUM(VALUE(_xlfn.TEXTSPLIT(AT302, ","))), SUM(VALUE(_xlfn.TEXTSPLIT(AQ302, ",")))*IF(P302, P302, 1))/16, 1), "#,##0.0"), " tiles{}")</f>
        <v>{BLACK}Length: {GOLD}3.8 tiles{}</v>
      </c>
      <c r="CI302" s="1" t="n">
        <f aca="false">VLOOKUP($CG302, Constants!$M:$N, 2, FALSE())</f>
        <v>0</v>
      </c>
      <c r="CJ302" s="1" t="str">
        <f aca="false">IF(P302&gt;1,_xlfn.CONCAT("{BLACK}Cars: {GOLD}", P302),"")</f>
        <v>{BLACK}Cars: {GOLD}5</v>
      </c>
      <c r="CK302" s="25" t="s">
        <v>1184</v>
      </c>
      <c r="CM302" s="25"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{YELLOW}10% bonus for long distance travel{}</v>
      </c>
      <c r="CN302" s="25" t="str">
        <f aca="false">_xlfn.CONCAT(CI302,IF(CI302 &lt;&gt; "", " ", ""),CJ302,IF(OR(CJ302&lt;&gt;"", CI302&lt;&gt;""), "{}",""), CH302, CM302,"{SILVER}", CK302)</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3" customFormat="false" ht="14.25" hidden="false" customHeight="false" outlineLevel="0" collapsed="false">
      <c r="A303" s="1" t="s">
        <v>1185</v>
      </c>
      <c r="B303" s="15" t="s">
        <v>1186</v>
      </c>
      <c r="C303" s="1" t="n">
        <v>260</v>
      </c>
      <c r="E303" s="1" t="n">
        <v>382</v>
      </c>
      <c r="G303" s="1" t="str">
        <f aca="false">IF($F303&lt;&gt;"",_xlfn.CONCAT(VLOOKUP($CE303, Constants!$T:$U, 2, FALSE()),",",$F303),VLOOKUP($CE303, Constants!$T:$U, 2, FALSE()))</f>
        <v>role/express_passenger</v>
      </c>
      <c r="H303" s="1" t="str">
        <f aca="false">IF($G303&lt;&gt;"",_xlfn.CONCAT(VLOOKUP($CG303, Constants!$M:$P, 4, FALSE()),",",$G303),VLOOKUP($CG303, Constants!$M:$P, 4, FALSE()))</f>
        <v>flag/GB,power/diesel,role/express_passenger</v>
      </c>
      <c r="I303" s="1" t="s">
        <v>198</v>
      </c>
      <c r="J303" s="1" t="s">
        <v>423</v>
      </c>
      <c r="K303" s="1" t="s">
        <v>482</v>
      </c>
      <c r="L303" s="1" t="s">
        <v>149</v>
      </c>
      <c r="M303" s="1" t="n">
        <v>2001</v>
      </c>
      <c r="P303" s="1" t="n">
        <v>5</v>
      </c>
      <c r="Q303" s="1" t="n">
        <f aca="false">750*3</f>
        <v>2250</v>
      </c>
      <c r="Z303" s="1" t="n">
        <v>252.5</v>
      </c>
      <c r="AB303" s="1" t="n">
        <v>4</v>
      </c>
      <c r="AC303" s="1" t="n">
        <v>190</v>
      </c>
      <c r="AD303" s="4" t="n">
        <f aca="false">IF(AND(Z303&gt;0,AC303&gt;0),(AC303/((Z303+AA303)*10)),"")</f>
        <v>0.0752475247524752</v>
      </c>
      <c r="AE303" s="1" t="n">
        <v>125</v>
      </c>
      <c r="AF303" s="1" t="n">
        <f aca="false">ROUND(AE303*1.6, 0)</f>
        <v>200</v>
      </c>
      <c r="AI303" s="1" t="n">
        <v>23.71</v>
      </c>
      <c r="AJ303" s="1" t="n">
        <v>23.71</v>
      </c>
      <c r="AM303" s="5" t="n">
        <v>57</v>
      </c>
      <c r="AN303" s="1" t="str">
        <f aca="false">CONCATENATE(VLOOKUP(AO303, 'Voxel Sizes'!$A$2:$B$18,2,FALSE()),"x",INT(AK303*15), "x", INT(AL303*15))</f>
        <v>238x0x0</v>
      </c>
      <c r="AO303" s="1" t="n">
        <f aca="false">ROUND(15*((AJ303*10)/256),0)</f>
        <v>14</v>
      </c>
      <c r="AQ303" s="1" t="str">
        <f aca="false">CONCATENATE(VLOOKUP(AO303,Constants!$A$2:$C$16,IF(AP303&lt;&gt;"", 3, 2), FALSE()),IF(AP303&lt;&gt;"",CONCATENATE(",",VLOOKUP(AP303,$B:$AQ,42,FALSE())),""))</f>
        <v>4,6,4</v>
      </c>
      <c r="AU303" s="1" t="s">
        <v>1187</v>
      </c>
      <c r="AW303" s="1" t="s">
        <v>841</v>
      </c>
      <c r="BA303" s="1" t="n">
        <v>22</v>
      </c>
      <c r="BB303" s="16" t="str">
        <f aca="false">IF(O303&lt;&gt;"",MAX(16,(O303-M303)+8),"")</f>
        <v/>
      </c>
      <c r="BC303" s="1" t="n">
        <v>-8</v>
      </c>
      <c r="BD303" s="1" t="n">
        <v>-30</v>
      </c>
      <c r="BE303" s="1" t="n">
        <f aca="false">MIN(AE303/150, 1)*30</f>
        <v>25</v>
      </c>
      <c r="BF303" s="1" t="n">
        <f aca="false">MIN(Q303/4000, 1)*20</f>
        <v>11.25</v>
      </c>
      <c r="BG303" s="1" t="n">
        <f aca="false">MIN(AC303/400,1)*20</f>
        <v>9.5</v>
      </c>
      <c r="BH303" s="4" t="n">
        <f aca="false">1-(MAX(M303-1900, 0)/750)</f>
        <v>0.865333333333333</v>
      </c>
      <c r="BI303" s="1" t="n">
        <f aca="false">((MAX($P303,1)*MIN($AM303/300,1)))*IF(J303="Wagon",50,10)</f>
        <v>9.5</v>
      </c>
      <c r="BJ303" s="1" t="n">
        <f aca="false">VLOOKUP($K303,Constants!$I:$K, 2, FALSE())</f>
        <v>1</v>
      </c>
      <c r="BK303" s="1" t="n">
        <f aca="false">VLOOKUP($K303,Constants!$I:$K, 3, FALSE())*IF(AND(J303="multiple_unit",AE303&lt;110),0.75,1)</f>
        <v>2</v>
      </c>
      <c r="BL303" s="1" t="n">
        <f aca="false">INT(POWER(((Constants!$G$2+$BE303+$BF303+$BG303+$BI303)*$BH303)*$BK303, 1.05))+$BD303</f>
        <v>101</v>
      </c>
      <c r="BM303" s="1" t="n">
        <f aca="false">INT(POWER((((Constants!$G$1+$BE303+$BF303+$BG303+$BI303)*($BH303))*$BJ303),IF($J303="wagon",1,1.2)))+$BC303</f>
        <v>130</v>
      </c>
      <c r="BN303" s="17" t="n">
        <f aca="false">BL303*IF($J303="wagon",62.5,781.25)</f>
        <v>78906.25</v>
      </c>
      <c r="BO303" s="17" t="n">
        <f aca="false">BM303*IF($J303="wagon",2.73,81.25)</f>
        <v>10562.5</v>
      </c>
      <c r="BX303" s="1" t="s">
        <v>1173</v>
      </c>
      <c r="BY303" s="1" t="n">
        <v>7</v>
      </c>
      <c r="CC303" s="1" t="s">
        <v>327</v>
      </c>
      <c r="CD303" s="1" t="str">
        <f aca="false">VLOOKUP(M303,Eras!$A$2:$C$10, 2, TRUE())</f>
        <v>prv</v>
      </c>
      <c r="CE303" s="1" t="s">
        <v>939</v>
      </c>
      <c r="CF303" s="1" t="str">
        <f aca="false">CONCATENATE(CD303,"_",CE303)</f>
        <v>prv_DMU (Express)</v>
      </c>
      <c r="CG303" s="1" t="str">
        <f aca="false">_xlfn.CONCAT(K303, "_",L303)</f>
        <v>diesel_RAIL</v>
      </c>
      <c r="CH303" s="7" t="str">
        <f aca="false">_xlfn.CONCAT("{BLACK}Length: {GOLD}", TEXT(ROUNDUP(IF(AT303&lt;&gt;"",SUM(VALUE(_xlfn.TEXTSPLIT(AT303, ","))), SUM(VALUE(_xlfn.TEXTSPLIT(AQ303, ",")))*IF(P303, P303, 1))/16, 1), "#,##0.0"), " tiles{}")</f>
        <v>{BLACK}Length: {GOLD}4.4 tiles{}</v>
      </c>
      <c r="CI303" s="1" t="n">
        <f aca="false">VLOOKUP($CG303, Constants!$M:$N, 2, FALSE())</f>
        <v>0</v>
      </c>
      <c r="CJ303" s="1" t="str">
        <f aca="false">IF(P303&gt;1,_xlfn.CONCAT("{BLACK}Cars: {GOLD}", P303),"")</f>
        <v>{BLACK}Cars: {GOLD}5</v>
      </c>
      <c r="CK303" s="1" t="s">
        <v>1188</v>
      </c>
      <c r="CL303" s="1" t="str">
        <f aca="false">IF($BX303="!param_no_gameplay_units","{GREEN}Included for gameplay purposes","")</f>
        <v/>
      </c>
      <c r="CM303" s="1" t="str">
        <f aca="false">IF(CA303="buffet","{YELLOW}25% long distance bonus for consist{}",IF(CC303="BRAKE","{YELLOW}Speed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{GOLD}5{}{BLACK}Length: {GOLD}4.4 tiles{}{SILVER}Unusually for a high speed unit, the Class 180 uses a diesel-hydraulic transmission. Unfortunately the units suffered reliability problems both before and after launch.</v>
      </c>
    </row>
    <row r="304" customFormat="false" ht="14.25" hidden="false" customHeight="false" outlineLevel="0" collapsed="false">
      <c r="A304" s="1" t="s">
        <v>1185</v>
      </c>
      <c r="B304" s="15" t="s">
        <v>1189</v>
      </c>
      <c r="C304" s="1" t="n">
        <v>261</v>
      </c>
      <c r="E304" s="1" t="n">
        <v>383</v>
      </c>
      <c r="G304" s="1" t="str">
        <f aca="false">IF($F304&lt;&gt;"",_xlfn.CONCAT(VLOOKUP($CE304, Constants!$T:$U, 2, FALSE()),",",$F304),VLOOKUP($CE304, Constants!$T:$U, 2, FALSE()))</f>
        <v>role/express_passenger</v>
      </c>
      <c r="H304" s="1" t="str">
        <f aca="false">IF($G304&lt;&gt;"",_xlfn.CONCAT(VLOOKUP($CG304, Constants!$M:$P, 4, FALSE()),",",$G304),VLOOKUP($CG304, Constants!$M:$P, 4, FALSE()))</f>
        <v>flag/GB,power/diesel,role/express_passenger</v>
      </c>
      <c r="I304" s="1" t="s">
        <v>198</v>
      </c>
      <c r="J304" s="1" t="s">
        <v>423</v>
      </c>
      <c r="K304" s="1" t="s">
        <v>482</v>
      </c>
      <c r="L304" s="1" t="s">
        <v>149</v>
      </c>
      <c r="M304" s="1" t="n">
        <v>2001</v>
      </c>
      <c r="P304" s="1" t="n">
        <v>4</v>
      </c>
      <c r="Q304" s="1" t="n">
        <f aca="false">750*3</f>
        <v>2250</v>
      </c>
      <c r="Z304" s="1" t="n">
        <v>203</v>
      </c>
      <c r="AB304" s="1" t="n">
        <v>4</v>
      </c>
      <c r="AC304" s="1" t="n">
        <v>190</v>
      </c>
      <c r="AD304" s="4" t="n">
        <f aca="false">IF(AND(Z304&gt;0,AC304&gt;0),(AC304/((Z304+AA304)*10)),"")</f>
        <v>0.0935960591133005</v>
      </c>
      <c r="AE304" s="1" t="n">
        <v>125</v>
      </c>
      <c r="AF304" s="1" t="n">
        <f aca="false">ROUND(AE304*1.6, 0)</f>
        <v>200</v>
      </c>
      <c r="AI304" s="1" t="n">
        <v>23.71</v>
      </c>
      <c r="AJ304" s="1" t="n">
        <v>23.71</v>
      </c>
      <c r="AM304" s="5" t="n">
        <v>57</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1190</v>
      </c>
      <c r="AW304" s="1" t="s">
        <v>812</v>
      </c>
      <c r="AX304" s="1" t="s">
        <v>1186</v>
      </c>
      <c r="BA304" s="1" t="n">
        <v>22</v>
      </c>
      <c r="BB304" s="16" t="str">
        <f aca="false">IF(O304&lt;&gt;"",MAX(16,(O304-M304)+8),"")</f>
        <v/>
      </c>
      <c r="BC304" s="1" t="n">
        <v>-8</v>
      </c>
      <c r="BD304" s="1" t="n">
        <v>-30</v>
      </c>
      <c r="BE304" s="1" t="n">
        <f aca="false">MIN(AE304/150, 1)*30</f>
        <v>25</v>
      </c>
      <c r="BF304" s="1" t="n">
        <f aca="false">MIN(Q304/4000, 1)*20</f>
        <v>11.25</v>
      </c>
      <c r="BG304" s="1" t="n">
        <f aca="false">MIN(AC304/400,1)*20</f>
        <v>9.5</v>
      </c>
      <c r="BH304" s="4" t="n">
        <f aca="false">1-(MAX(M304-1900, 0)/750)</f>
        <v>0.865333333333333</v>
      </c>
      <c r="BI304" s="1" t="n">
        <f aca="false">((MAX($P304,1)*MIN($AM304/300,1)))*IF(J304="Wagon",50,10)</f>
        <v>7.6</v>
      </c>
      <c r="BJ304" s="1" t="n">
        <f aca="false">VLOOKUP($K304,Constants!$I:$K, 2, FALSE())</f>
        <v>1</v>
      </c>
      <c r="BK304" s="1" t="n">
        <f aca="false">VLOOKUP($K304,Constants!$I:$K, 3, FALSE())*IF(AND(J304="multiple_unit",AE304&lt;110),0.75,1)</f>
        <v>2</v>
      </c>
      <c r="BL304" s="1" t="n">
        <f aca="false">INT(POWER(((Constants!$G$2+$BE304+$BF304+$BG304+$BI304)*$BH304)*$BK304, 1.05))+$BD304</f>
        <v>97</v>
      </c>
      <c r="BM304" s="1" t="n">
        <f aca="false">INT(POWER((((Constants!$G$1+$BE304+$BF304+$BG304+$BI304)*($BH304))*$BJ304),IF($J304="wagon",1,1.2)))+$BC304</f>
        <v>125</v>
      </c>
      <c r="BN304" s="17" t="n">
        <f aca="false">BL304*IF($J304="wagon",62.5,781.25)</f>
        <v>75781.25</v>
      </c>
      <c r="BO304" s="17" t="n">
        <f aca="false">BM304*IF($J304="wagon",2.73,81.25)</f>
        <v>10156.25</v>
      </c>
      <c r="BX304" s="1" t="s">
        <v>1178</v>
      </c>
      <c r="BY304" s="1" t="n">
        <v>7</v>
      </c>
      <c r="CC304" s="1" t="s">
        <v>327</v>
      </c>
      <c r="CD304" s="1" t="str">
        <f aca="false">VLOOKUP(M304,Eras!$A$2:$C$10, 2, TRUE())</f>
        <v>prv</v>
      </c>
      <c r="CE304" s="1" t="s">
        <v>939</v>
      </c>
      <c r="CF304" s="1" t="str">
        <f aca="false">CONCATENATE(CD304,"_",CE304)</f>
        <v>prv_DMU (Express)</v>
      </c>
      <c r="CG304" s="1" t="str">
        <f aca="false">_xlfn.CONCAT(K304, "_",L304)</f>
        <v>diesel_RAIL</v>
      </c>
      <c r="CH304" s="7" t="str">
        <f aca="false">_xlfn.CONCAT("{BLACK}Length: {GOLD}", TEXT(ROUNDUP(IF(AT304&lt;&gt;"",SUM(VALUE(_xlfn.TEXTSPLIT(AT304, ","))), SUM(VALUE(_xlfn.TEXTSPLIT(AQ304, ",")))*IF(P304, P304, 1))/16, 1), "#,##0.0"), " tiles{}")</f>
        <v>{BLACK}Length: {GOLD}3.5 tiles{}</v>
      </c>
      <c r="CI304" s="1" t="n">
        <f aca="false">VLOOKUP($CG304, Constants!$M:$N, 2, FALSE())</f>
        <v>0</v>
      </c>
      <c r="CJ304" s="1" t="str">
        <f aca="false">IF(P304&gt;1,_xlfn.CONCAT("{BLACK}Cars: {GOLD}", P304),"")</f>
        <v>{BLACK}Cars: {GOLD}4</v>
      </c>
      <c r="CK304" s="1" t="s">
        <v>1188</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{GOLD}4{}{BLACK}Length: {GOLD}3.5 tiles{}{SILVER}Unusually for a high speed unit, the Class 180 uses a diesel-hydraulic transmission. Unfortunately the units suffered reliability problems both before and after launch.</v>
      </c>
    </row>
    <row r="305" customFormat="false" ht="14.25" hidden="false" customHeight="false" outlineLevel="0" collapsed="false">
      <c r="A305" s="1" t="s">
        <v>1191</v>
      </c>
      <c r="B305" s="15" t="s">
        <v>1192</v>
      </c>
      <c r="C305" s="1" t="n">
        <v>262</v>
      </c>
      <c r="E305" s="1" t="n">
        <v>384</v>
      </c>
      <c r="G305" s="1" t="str">
        <f aca="false">IF($F305&lt;&gt;"",_xlfn.CONCAT(VLOOKUP($CE305, Constants!$T:$U, 2, FALSE()),",",$F305),VLOOKUP($CE305, Constants!$T:$U, 2, FALSE()))</f>
        <v>role/express_passenger</v>
      </c>
      <c r="H305" s="1" t="str">
        <f aca="false">IF($G305&lt;&gt;"",_xlfn.CONCAT(VLOOKUP($CG305, Constants!$M:$P, 4, FALSE()),",",$G305),VLOOKUP($CG305, Constants!$M:$P, 4, FALSE()))</f>
        <v>flag/GB,power/electric,role/express_passenger</v>
      </c>
      <c r="I305" s="1" t="s">
        <v>198</v>
      </c>
      <c r="J305" s="1" t="s">
        <v>423</v>
      </c>
      <c r="K305" s="1" t="s">
        <v>349</v>
      </c>
      <c r="L305" s="1" t="s">
        <v>350</v>
      </c>
      <c r="M305" s="1" t="n">
        <v>2002</v>
      </c>
      <c r="P305" s="1" t="n">
        <v>8</v>
      </c>
      <c r="Q305" s="1" t="n">
        <v>6920</v>
      </c>
      <c r="Z305" s="1" t="n">
        <v>422</v>
      </c>
      <c r="AB305" s="1" t="n">
        <v>4</v>
      </c>
      <c r="AC305" s="1" t="n">
        <v>325</v>
      </c>
      <c r="AD305" s="4" t="n">
        <f aca="false">IF(AND(Z305&gt;0,AC305&gt;0),(AC305/((Z305+AA305)*10)),"")</f>
        <v>0.0770142180094787</v>
      </c>
      <c r="AE305" s="1" t="n">
        <v>140</v>
      </c>
      <c r="AF305" s="1" t="n">
        <f aca="false">ROUND(AE305*1.6, 0)</f>
        <v>224</v>
      </c>
      <c r="AI305" s="1" t="n">
        <v>23.9</v>
      </c>
      <c r="AJ305" s="1" t="n">
        <v>23.9</v>
      </c>
      <c r="AK305" s="1" t="n">
        <v>2.73</v>
      </c>
      <c r="AL305" s="1" t="n">
        <v>3.56</v>
      </c>
      <c r="AM305" s="5" t="n">
        <v>60</v>
      </c>
      <c r="AN305" s="1" t="str">
        <f aca="false">CONCATENATE(VLOOKUP(AO305, 'Voxel Sizes'!$A$2:$B$18,2,FALSE()),"x",INT(AK305*15), "x", INT(AL305*15))</f>
        <v>238x40x53</v>
      </c>
      <c r="AO305" s="1" t="n">
        <f aca="false">ROUND(15*((AJ305*10)/256),0)</f>
        <v>14</v>
      </c>
      <c r="AQ305" s="1" t="str">
        <f aca="false">CONCATENATE(VLOOKUP(AO305,Constants!$A$2:$C$16,IF(AP305&lt;&gt;"", 3, 2), FALSE()),IF(AP305&lt;&gt;"",CONCATENATE(",",VLOOKUP(AP305,$B:$AQ,42,FALSE())),""))</f>
        <v>4,6,4</v>
      </c>
      <c r="AU305" s="1" t="s">
        <v>1193</v>
      </c>
      <c r="AW305" s="1" t="s">
        <v>1194</v>
      </c>
      <c r="AX305" s="1" t="s">
        <v>1195</v>
      </c>
      <c r="BA305" s="1" t="n">
        <v>29</v>
      </c>
      <c r="BB305" s="16" t="str">
        <f aca="false">IF(O305&lt;&gt;"",MAX(16,(O305-M305)+8),"")</f>
        <v/>
      </c>
      <c r="BC305" s="1" t="n">
        <v>-15</v>
      </c>
      <c r="BD305" s="1" t="n">
        <v>-35</v>
      </c>
      <c r="BE305" s="1" t="n">
        <f aca="false">MIN(AE305/150, 1)*30</f>
        <v>28</v>
      </c>
      <c r="BF305" s="1" t="n">
        <f aca="false">MIN(Q305/4000, 1)*20</f>
        <v>20</v>
      </c>
      <c r="BG305" s="1" t="n">
        <f aca="false">MIN(AC305/400,1)*20</f>
        <v>16.25</v>
      </c>
      <c r="BH305" s="4" t="n">
        <f aca="false">1-(MAX(M305-1900, 0)/750)</f>
        <v>0.864</v>
      </c>
      <c r="BI305" s="1" t="n">
        <f aca="false">((MAX($P305,1)*MIN($AM305/300,1)))*IF(J305="Wagon",50,10)</f>
        <v>16</v>
      </c>
      <c r="BJ305" s="1" t="n">
        <f aca="false">VLOOKUP($K305,Constants!$I:$K, 2, FALSE())</f>
        <v>0.85</v>
      </c>
      <c r="BK305" s="1" t="n">
        <f aca="false">VLOOKUP($K305,Constants!$I:$K, 3, FALSE())*IF(AND(J305="multiple_unit",AE305&lt;110),0.75,1)</f>
        <v>2.3</v>
      </c>
      <c r="BL305" s="1" t="n">
        <f aca="false">INT(POWER(((Constants!$G$2+$BE305+$BF305+$BG305+$BI305)*$BH305)*$BK305, 1.05))+$BD305</f>
        <v>183</v>
      </c>
      <c r="BM305" s="1" t="n">
        <f aca="false">INT(POWER((((Constants!$G$1+$BE305+$BF305+$BG305+$BI305)*($BH305))*$BJ305),IF($J305="wagon",1,1.2)))+$BC305</f>
        <v>148</v>
      </c>
      <c r="BN305" s="17" t="n">
        <f aca="false">BL305*IF($J305="wagon",62.5,781.25)</f>
        <v>142968.75</v>
      </c>
      <c r="BO305" s="17" t="n">
        <f aca="false">BM305*IF($J305="wagon",2.73,81.25)</f>
        <v>12025</v>
      </c>
      <c r="BT305" s="1" t="n">
        <v>1</v>
      </c>
      <c r="BX305" s="1" t="s">
        <v>938</v>
      </c>
      <c r="BY305" s="1" t="n">
        <v>6</v>
      </c>
      <c r="BZ305" s="1" t="n">
        <v>205</v>
      </c>
      <c r="CC305" s="1" t="s">
        <v>327</v>
      </c>
      <c r="CD305" s="1" t="str">
        <f aca="false">VLOOKUP(M305,Eras!$A$2:$C$10, 2, TRUE())</f>
        <v>prv</v>
      </c>
      <c r="CE305" s="1" t="s">
        <v>842</v>
      </c>
      <c r="CF305" s="1" t="str">
        <f aca="false">CONCATENATE(CD305,"_",CE305)</f>
        <v>prv_EMU (Express)</v>
      </c>
      <c r="CG305" s="1" t="str">
        <f aca="false">_xlfn.CONCAT(K305, "_",L305)</f>
        <v>electric_ELRL</v>
      </c>
      <c r="CH305" s="7" t="str">
        <f aca="false">_xlfn.CONCAT("{BLACK}Length: {GOLD}", TEXT(ROUNDUP(IF(AT305&lt;&gt;"",SUM(VALUE(_xlfn.TEXTSPLIT(AT305, ","))), SUM(VALUE(_xlfn.TEXTSPLIT(AQ305, ",")))*IF(P305, P305, 1))/16, 1), "#,##0.0"), " tiles{}")</f>
        <v>{BLACK}Length: {GOLD}7.0 tiles{}</v>
      </c>
      <c r="CI305" s="1" t="n">
        <f aca="false">VLOOKUP($CG305, Constants!$M:$N, 2, FALSE())</f>
        <v>0</v>
      </c>
      <c r="CJ305" s="1" t="str">
        <f aca="false">IF(P305&gt;1,_xlfn.CONCAT("{BLACK}Cars: {GOLD}", P305),"")</f>
        <v>{BLACK}Cars: {GOLD}8</v>
      </c>
      <c r="CK305" s="1" t="s">
        <v>1196</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{YELLOW}10% bonus for long distance travel{}</v>
      </c>
      <c r="CN305" s="1" t="str">
        <f aca="false">_xlfn.CONCAT(CI305,IF(CI305&lt;&gt;""," ",""),CJ305,IF(OR(CJ305&lt;&gt;"",CI305&lt;&gt;""),"{}",""),CH305,CM305,"{SILVER}",CK305,IF(CL305&lt;&gt;"","{}{}",""),CL305)</f>
        <v>{BLACK}Cars: {GOLD}8{}{BLACK}Length: {GOLD}7.0 tiles{}{YELLOW}10% bonus for long distance travel{}{SILVER}The Pendolino is a tilting multiple unit with a design speed of 140mph.  The tilt system is supplied by Fiat Ferroviaria.</v>
      </c>
    </row>
    <row r="306" customFormat="false" ht="14.25" hidden="false" customHeight="false" outlineLevel="0" collapsed="false">
      <c r="A306" s="1" t="s">
        <v>1191</v>
      </c>
      <c r="B306" s="30" t="s">
        <v>1197</v>
      </c>
      <c r="C306" s="1" t="n">
        <v>4263</v>
      </c>
      <c r="D306" s="1" t="n">
        <v>262</v>
      </c>
      <c r="E306" s="1" t="n">
        <v>385</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198</v>
      </c>
      <c r="J306" s="1" t="s">
        <v>423</v>
      </c>
      <c r="K306" s="1" t="s">
        <v>349</v>
      </c>
      <c r="L306" s="1" t="s">
        <v>350</v>
      </c>
      <c r="M306" s="1" t="n">
        <v>2002</v>
      </c>
      <c r="P306" s="1" t="n">
        <v>9</v>
      </c>
      <c r="Q306" s="1" t="n">
        <v>8070</v>
      </c>
      <c r="Z306" s="1" t="n">
        <v>466</v>
      </c>
      <c r="AB306" s="1" t="n">
        <v>4</v>
      </c>
      <c r="AC306" s="1" t="n">
        <v>325</v>
      </c>
      <c r="AD306" s="4" t="n">
        <f aca="false">IF(AND(Z306&gt;0,AC306&gt;0),(AC306/((Z306+AA306)*10)),"")</f>
        <v>0.0697424892703863</v>
      </c>
      <c r="AE306" s="1" t="n">
        <v>140</v>
      </c>
      <c r="AF306" s="1" t="n">
        <f aca="false">ROUND(AE306*1.6, 0)</f>
        <v>224</v>
      </c>
      <c r="AI306" s="1" t="n">
        <v>23.9</v>
      </c>
      <c r="AJ306" s="1" t="n">
        <v>23.9</v>
      </c>
      <c r="AK306" s="1" t="n">
        <v>2.73</v>
      </c>
      <c r="AL306" s="1" t="n">
        <v>3.56</v>
      </c>
      <c r="AM306" s="5" t="n">
        <v>60</v>
      </c>
      <c r="AN306" s="1" t="str">
        <f aca="false">CONCATENATE(VLOOKUP(AO306, 'Voxel Sizes'!$A$2:$B$18,2,FALSE()),"x",INT(AK306*15), "x", INT(AL306*15))</f>
        <v>238x40x53</v>
      </c>
      <c r="AO306" s="1" t="n">
        <f aca="false">ROUND(15*((AJ306*10)/256),0)</f>
        <v>14</v>
      </c>
      <c r="AQ306" s="1" t="str">
        <f aca="false">CONCATENATE(VLOOKUP(AO306,Constants!$A$2:$C$16,IF(AP306&lt;&gt;"", 3, 2), FALSE()),IF(AP306&lt;&gt;"",CONCATENATE(",",VLOOKUP(AP306,$B:$AQ,42,FALSE())),""))</f>
        <v>4,6,4</v>
      </c>
      <c r="AU306" s="1" t="s">
        <v>1198</v>
      </c>
      <c r="AW306" s="1" t="s">
        <v>1199</v>
      </c>
      <c r="AX306" s="1" t="s">
        <v>1195</v>
      </c>
      <c r="BA306" s="1" t="n">
        <v>29</v>
      </c>
      <c r="BB306" s="16" t="str">
        <f aca="false">IF(O306&lt;&gt;"",MAX(16,(O306-M306)+8),"")</f>
        <v/>
      </c>
      <c r="BC306" s="1" t="n">
        <v>-15</v>
      </c>
      <c r="BD306" s="1" t="n">
        <v>-35</v>
      </c>
      <c r="BE306" s="1" t="n">
        <f aca="false">MIN(AE306/150, 1)*30</f>
        <v>28</v>
      </c>
      <c r="BF306" s="1" t="n">
        <f aca="false">MIN(Q306/4000, 1)*20</f>
        <v>20</v>
      </c>
      <c r="BG306" s="1" t="n">
        <f aca="false">MIN(AC306/400,1)*20</f>
        <v>16.25</v>
      </c>
      <c r="BH306" s="4" t="n">
        <f aca="false">1-(MAX(M306-1900, 0)/750)</f>
        <v>0.864</v>
      </c>
      <c r="BI306" s="1" t="n">
        <f aca="false">((MAX($P306,1)*MIN($AM306/300,1)))*IF(J306="Wagon",50,10)</f>
        <v>18</v>
      </c>
      <c r="BJ306" s="1" t="n">
        <f aca="false">VLOOKUP($K306,Constants!$I:$K, 2, FALSE())</f>
        <v>0.85</v>
      </c>
      <c r="BK306" s="1" t="n">
        <f aca="false">VLOOKUP($K306,Constants!$I:$K, 3, FALSE())*IF(AND(J306="multiple_unit",AE306&lt;110),0.75,1)</f>
        <v>2.3</v>
      </c>
      <c r="BL306" s="1" t="n">
        <f aca="false">INT(POWER(((Constants!$G$2+$BE306+$BF306+$BG306+$BI306)*$BH306)*$BK306, 1.05))+$BD306</f>
        <v>189</v>
      </c>
      <c r="BM306" s="1" t="n">
        <f aca="false">INT(POWER((((Constants!$G$1+$BE306+$BF306+$BG306+$BI306)*($BH306))*$BJ306),IF($J306="wagon",1,1.2)))+$BC306</f>
        <v>152</v>
      </c>
      <c r="BN306" s="17" t="n">
        <f aca="false">BL306*IF($J306="wagon",62.5,781.25)</f>
        <v>147656.25</v>
      </c>
      <c r="BO306" s="17" t="n">
        <f aca="false">BM306*IF($J306="wagon",2.73,81.25)</f>
        <v>12350</v>
      </c>
      <c r="BT306" s="1" t="n">
        <v>1</v>
      </c>
      <c r="BX306" s="1" t="s">
        <v>938</v>
      </c>
      <c r="BY306" s="1" t="n">
        <v>6</v>
      </c>
      <c r="BZ306" s="1" t="n">
        <v>205</v>
      </c>
      <c r="CC306" s="1" t="s">
        <v>327</v>
      </c>
      <c r="CD306" s="1" t="str">
        <f aca="false">VLOOKUP(M306,Eras!$A$2:$C$10, 2, TRUE())</f>
        <v>prv</v>
      </c>
      <c r="CE306" s="1" t="s">
        <v>842</v>
      </c>
      <c r="CF306" s="1" t="str">
        <f aca="false">CONCATENATE(CD306,"_",CE306)</f>
        <v>prv_EMU (Express)</v>
      </c>
      <c r="CG306" s="1" t="str">
        <f aca="false">_xlfn.CONCAT(K306, "_",L306)</f>
        <v>electric_ELRL</v>
      </c>
      <c r="CH306" s="7" t="str">
        <f aca="false">_xlfn.CONCAT("{BLACK}Length: {GOLD}", TEXT(ROUNDUP(IF(AT306&lt;&gt;"",SUM(VALUE(_xlfn.TEXTSPLIT(AT306, ","))), SUM(VALUE(_xlfn.TEXTSPLIT(AQ306, ",")))*IF(P306, P306, 1))/16, 1), "#,##0.0"), " tiles{}")</f>
        <v>{BLACK}Length: {GOLD}7.9 tiles{}</v>
      </c>
      <c r="CI306" s="1" t="n">
        <f aca="false">VLOOKUP($CG306, Constants!$M:$N, 2, FALSE())</f>
        <v>0</v>
      </c>
      <c r="CJ306" s="1" t="str">
        <f aca="false">IF(P306&gt;1,_xlfn.CONCAT("{BLACK}Cars: {GOLD}", P306),"")</f>
        <v>{BLACK}Cars: {GOLD}9</v>
      </c>
      <c r="CK306" s="1" t="s">
        <v>1196</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{GOLD}9{}{BLACK}Length: {GOLD}7.9 tiles{}{YELLOW}10% bonus for long distance travel{}{SILVER}The Pendolino is a tilting multiple unit with a design speed of 140mph.  The tilt system is supplied by Fiat Ferroviaria.</v>
      </c>
    </row>
    <row r="307" customFormat="false" ht="14.25" hidden="false" customHeight="false" outlineLevel="0" collapsed="false">
      <c r="A307" s="1" t="s">
        <v>1191</v>
      </c>
      <c r="B307" s="30" t="s">
        <v>1200</v>
      </c>
      <c r="C307" s="1" t="n">
        <v>4264</v>
      </c>
      <c r="D307" s="1" t="n">
        <v>262</v>
      </c>
      <c r="E307" s="1" t="n">
        <v>386</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198</v>
      </c>
      <c r="J307" s="1" t="s">
        <v>423</v>
      </c>
      <c r="K307" s="1" t="s">
        <v>349</v>
      </c>
      <c r="L307" s="1" t="s">
        <v>350</v>
      </c>
      <c r="M307" s="1" t="n">
        <v>2002</v>
      </c>
      <c r="P307" s="1" t="n">
        <v>11</v>
      </c>
      <c r="Q307" s="1" t="n">
        <v>8070</v>
      </c>
      <c r="Z307" s="1" t="n">
        <v>567</v>
      </c>
      <c r="AB307" s="1" t="n">
        <v>4</v>
      </c>
      <c r="AC307" s="1" t="n">
        <v>380</v>
      </c>
      <c r="AD307" s="4" t="n">
        <f aca="false">IF(AND(Z307&gt;0,AC307&gt;0),(AC307/((Z307+AA307)*10)),"")</f>
        <v>0.0670194003527337</v>
      </c>
      <c r="AE307" s="1" t="n">
        <v>140</v>
      </c>
      <c r="AF307" s="1" t="n">
        <f aca="false">ROUND(AE307*1.6, 0)</f>
        <v>224</v>
      </c>
      <c r="AI307" s="1" t="n">
        <v>23.9</v>
      </c>
      <c r="AJ307" s="1" t="n">
        <v>23.9</v>
      </c>
      <c r="AK307" s="1" t="n">
        <v>2.73</v>
      </c>
      <c r="AL307" s="1" t="n">
        <v>3.56</v>
      </c>
      <c r="AM307" s="5" t="n">
        <v>60</v>
      </c>
      <c r="AN307" s="1" t="str">
        <f aca="false">CONCATENATE(VLOOKUP(AO307, 'Voxel Sizes'!$A$2:$B$18,2,FALSE()),"x",INT(AK307*15), "x", INT(AL307*15))</f>
        <v>238x40x53</v>
      </c>
      <c r="AO307" s="1" t="n">
        <f aca="false">ROUND(15*((AJ307*10)/256),0)</f>
        <v>14</v>
      </c>
      <c r="AQ307" s="1" t="str">
        <f aca="false">CONCATENATE(VLOOKUP(AO307,Constants!$A$2:$C$16,IF(AP307&lt;&gt;"", 3, 2), FALSE()),IF(AP307&lt;&gt;"",CONCATENATE(",",VLOOKUP(AP307,$B:$AQ,42,FALSE())),""))</f>
        <v>4,6,4</v>
      </c>
      <c r="AU307" s="1" t="s">
        <v>1201</v>
      </c>
      <c r="AW307" s="25" t="s">
        <v>1202</v>
      </c>
      <c r="AX307" s="1" t="s">
        <v>1195</v>
      </c>
      <c r="BA307" s="1" t="n">
        <v>29</v>
      </c>
      <c r="BB307" s="16" t="str">
        <f aca="false">IF(O307&lt;&gt;"",MAX(16,(O307-M307)+8),"")</f>
        <v/>
      </c>
      <c r="BC307" s="1" t="n">
        <v>-15</v>
      </c>
      <c r="BD307" s="1" t="n">
        <v>-35</v>
      </c>
      <c r="BE307" s="1" t="n">
        <f aca="false">MIN(AE307/150, 1)*30</f>
        <v>28</v>
      </c>
      <c r="BF307" s="1" t="n">
        <f aca="false">MIN(Q307/4000, 1)*20</f>
        <v>20</v>
      </c>
      <c r="BG307" s="1" t="n">
        <f aca="false">MIN(AC307/400,1)*20</f>
        <v>19</v>
      </c>
      <c r="BH307" s="4" t="n">
        <f aca="false">1-(MAX(M307-1900, 0)/750)</f>
        <v>0.864</v>
      </c>
      <c r="BI307" s="1" t="n">
        <f aca="false">((MAX($P307,1)*MIN($AM307/300,1)))*IF(J307="Wagon",50,10)</f>
        <v>22</v>
      </c>
      <c r="BJ307" s="1" t="n">
        <f aca="false">VLOOKUP($K307,Constants!$I:$K, 2, FALSE())</f>
        <v>0.85</v>
      </c>
      <c r="BK307" s="1" t="n">
        <f aca="false">VLOOKUP($K307,Constants!$I:$K, 3, FALSE())*IF(AND(J307="multiple_unit",AE307&lt;110),0.75,1)</f>
        <v>2.3</v>
      </c>
      <c r="BL307" s="1" t="n">
        <f aca="false">INT(POWER(((Constants!$G$2+$BE307+$BF307+$BG307+$BI307)*$BH307)*$BK307, 1.05))+$BD307</f>
        <v>207</v>
      </c>
      <c r="BM307" s="1" t="n">
        <f aca="false">INT(POWER((((Constants!$G$1+$BE307+$BF307+$BG307+$BI307)*($BH307))*$BJ307),IF($J307="wagon",1,1.2)))+$BC307</f>
        <v>166</v>
      </c>
      <c r="BN307" s="17" t="n">
        <f aca="false">BL307*IF($J307="wagon",62.5,781.25)</f>
        <v>161718.75</v>
      </c>
      <c r="BO307" s="17" t="n">
        <f aca="false">BM307*IF($J307="wagon",2.73,81.25)</f>
        <v>13487.5</v>
      </c>
      <c r="BT307" s="1" t="n">
        <v>1</v>
      </c>
      <c r="BX307" s="1" t="s">
        <v>938</v>
      </c>
      <c r="BY307" s="1" t="n">
        <v>6</v>
      </c>
      <c r="BZ307" s="1" t="n">
        <v>205</v>
      </c>
      <c r="CC307" s="1" t="s">
        <v>327</v>
      </c>
      <c r="CD307" s="1" t="str">
        <f aca="false">VLOOKUP(M307,Eras!$A$2:$C$10, 2, TRUE())</f>
        <v>prv</v>
      </c>
      <c r="CE307" s="1" t="s">
        <v>842</v>
      </c>
      <c r="CF307" s="1" t="str">
        <f aca="false">CONCATENATE(CD307,"_",CE307)</f>
        <v>prv_EMU (Express)</v>
      </c>
      <c r="CG307" s="1" t="str">
        <f aca="false">_xlfn.CONCAT(K307, "_",L307)</f>
        <v>electric_ELRL</v>
      </c>
      <c r="CH307" s="7" t="str">
        <f aca="false">_xlfn.CONCAT("{BLACK}Length: {GOLD}", TEXT(ROUNDUP(IF(AT307&lt;&gt;"",SUM(VALUE(_xlfn.TEXTSPLIT(AT307, ","))), SUM(VALUE(_xlfn.TEXTSPLIT(AQ307, ",")))*IF(P307, P307, 1))/16, 1), "#,##0.0"), " tiles{}")</f>
        <v>{BLACK}Length: {GOLD}9.7 tiles{}</v>
      </c>
      <c r="CI307" s="1" t="n">
        <f aca="false">VLOOKUP($CG307, Constants!$M:$N, 2, FALSE())</f>
        <v>0</v>
      </c>
      <c r="CJ307" s="1" t="str">
        <f aca="false">IF(P307&gt;1,_xlfn.CONCAT("{BLACK}Cars: {GOLD}", P307),"")</f>
        <v>{BLACK}Cars: {GOLD}11</v>
      </c>
      <c r="CK307" s="1" t="s">
        <v>1196</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{GOLD}11{}{BLACK}Length: {GOLD}9.7 tiles{}{YELLOW}10% bonus for long distance travel{}{SILVER}The Pendolino is a tilting multiple unit with a design speed of 140mph.  The tilt system is supplied by Fiat Ferroviaria.</v>
      </c>
    </row>
    <row r="308" customFormat="false" ht="14.25" hidden="false" customHeight="false" outlineLevel="0" collapsed="false">
      <c r="A308" s="1" t="s">
        <v>1191</v>
      </c>
      <c r="B308" s="15" t="s">
        <v>1203</v>
      </c>
      <c r="C308" s="1" t="n">
        <v>263</v>
      </c>
      <c r="E308" s="1" t="n">
        <v>387</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198</v>
      </c>
      <c r="J308" s="1" t="s">
        <v>423</v>
      </c>
      <c r="K308" s="1" t="s">
        <v>349</v>
      </c>
      <c r="L308" s="1" t="s">
        <v>350</v>
      </c>
      <c r="M308" s="1" t="n">
        <v>2002</v>
      </c>
      <c r="P308" s="1" t="n">
        <v>6</v>
      </c>
      <c r="Q308" s="1" t="n">
        <v>6840</v>
      </c>
      <c r="Z308" s="1" t="n">
        <f aca="false">(466/8)*6</f>
        <v>349.5</v>
      </c>
      <c r="AB308" s="1" t="n">
        <v>4</v>
      </c>
      <c r="AC308" s="1" t="n">
        <v>325</v>
      </c>
      <c r="AD308" s="4" t="n">
        <f aca="false">IF(AND(Z308&gt;0,AC308&gt;0),(AC308/((Z308+AA308)*10)),"")</f>
        <v>0.0929899856938484</v>
      </c>
      <c r="AE308" s="1" t="n">
        <v>140</v>
      </c>
      <c r="AF308" s="1" t="n">
        <f aca="false">ROUND(AE308*1.6, 0)</f>
        <v>224</v>
      </c>
      <c r="AI308" s="1" t="n">
        <v>23.9</v>
      </c>
      <c r="AJ308" s="1" t="n">
        <v>23.9</v>
      </c>
      <c r="AK308" s="1" t="n">
        <v>2.73</v>
      </c>
      <c r="AL308" s="1" t="n">
        <v>3.56</v>
      </c>
      <c r="AM308" s="5" t="n">
        <v>60</v>
      </c>
      <c r="AN308" s="1" t="str">
        <f aca="false">CONCATENATE(VLOOKUP(AO308, 'Voxel Sizes'!$A$2:$B$18,2,FALSE()),"x",INT(AK308*15), "x", INT(AL308*15))</f>
        <v>238x40x53</v>
      </c>
      <c r="AO308" s="1" t="n">
        <f aca="false">ROUND(15*((AJ308*10)/256),0)</f>
        <v>14</v>
      </c>
      <c r="AQ308" s="1" t="str">
        <f aca="false">CONCATENATE(VLOOKUP(AO308,Constants!$A$2:$C$16,IF(AP308&lt;&gt;"", 3, 2), FALSE()),IF(AP308&lt;&gt;"",CONCATENATE(",",VLOOKUP(AP308,$B:$AQ,42,FALSE())),""))</f>
        <v>4,6,4</v>
      </c>
      <c r="AU308" s="1" t="s">
        <v>1204</v>
      </c>
      <c r="AW308" s="1" t="s">
        <v>822</v>
      </c>
      <c r="AX308" s="1" t="s">
        <v>1195</v>
      </c>
      <c r="BA308" s="1" t="n">
        <v>29</v>
      </c>
      <c r="BB308" s="16" t="str">
        <f aca="false">IF(O308&lt;&gt;"",MAX(16,(O308-M308)+8),"")</f>
        <v/>
      </c>
      <c r="BC308" s="1" t="n">
        <v>-15</v>
      </c>
      <c r="BD308" s="1" t="n">
        <v>-35</v>
      </c>
      <c r="BE308" s="1" t="n">
        <f aca="false">MIN(AE308/150, 1)*30</f>
        <v>28</v>
      </c>
      <c r="BF308" s="1" t="n">
        <f aca="false">MIN(Q308/4000, 1)*20</f>
        <v>20</v>
      </c>
      <c r="BG308" s="1" t="n">
        <f aca="false">MIN(AC308/400,1)*20</f>
        <v>16.25</v>
      </c>
      <c r="BH308" s="4" t="n">
        <f aca="false">1-(MAX(M308-1900, 0)/750)</f>
        <v>0.864</v>
      </c>
      <c r="BI308" s="1" t="n">
        <f aca="false">((MAX($P308,1)*MIN($AM308/300,1)))*IF(J308="Wagon",50,10)</f>
        <v>12</v>
      </c>
      <c r="BJ308" s="1" t="n">
        <f aca="false">VLOOKUP($K308,Constants!$I:$K, 2, FALSE())</f>
        <v>0.85</v>
      </c>
      <c r="BK308" s="1" t="n">
        <f aca="false">VLOOKUP($K308,Constants!$I:$K, 3, FALSE())*IF(AND(J308="multiple_unit",AE308&lt;110),0.75,1)</f>
        <v>2.3</v>
      </c>
      <c r="BL308" s="1" t="n">
        <f aca="false">INT(POWER(((Constants!$G$2+$BE308+$BF308+$BG308+$BI308)*$BH308)*$BK308, 1.05))+$BD308</f>
        <v>173</v>
      </c>
      <c r="BM308" s="1" t="n">
        <f aca="false">INT(POWER((((Constants!$G$1+$BE308+$BF308+$BG308+$BI308)*($BH308))*$BJ308),IF($J308="wagon",1,1.2)))+$BC308</f>
        <v>140</v>
      </c>
      <c r="BN308" s="17" t="n">
        <f aca="false">BL308*IF($J308="wagon",62.5,781.25)</f>
        <v>135156.25</v>
      </c>
      <c r="BO308" s="17" t="n">
        <f aca="false">BM308*IF($J308="wagon",2.73,81.25)</f>
        <v>11375</v>
      </c>
      <c r="BT308" s="1" t="n">
        <v>1</v>
      </c>
      <c r="BX308" s="1" t="s">
        <v>1205</v>
      </c>
      <c r="BY308" s="1" t="n">
        <v>6</v>
      </c>
      <c r="BZ308" s="1" t="n">
        <v>205</v>
      </c>
      <c r="CC308" s="1" t="s">
        <v>327</v>
      </c>
      <c r="CD308" s="1" t="str">
        <f aca="false">VLOOKUP(M308,Eras!$A$2:$C$10, 2, TRUE())</f>
        <v>prv</v>
      </c>
      <c r="CE308" s="1" t="s">
        <v>842</v>
      </c>
      <c r="CF308" s="1" t="str">
        <f aca="false">CONCATENATE(CD308,"_",CE308)</f>
        <v>prv_EMU (Express)</v>
      </c>
      <c r="CG308" s="1" t="str">
        <f aca="false">_xlfn.CONCAT(K308, "_",L308)</f>
        <v>electric_ELRL</v>
      </c>
      <c r="CH308" s="7" t="str">
        <f aca="false">_xlfn.CONCAT("{BLACK}Length: {GOLD}", TEXT(ROUNDUP(IF(AT308&lt;&gt;"",SUM(VALUE(_xlfn.TEXTSPLIT(AT308, ","))), SUM(VALUE(_xlfn.TEXTSPLIT(AQ308, ",")))*IF(P308, P308, 1))/16, 1), "#,##0.0"), " tiles{}")</f>
        <v>{BLACK}Length: {GOLD}5.3 tiles{}</v>
      </c>
      <c r="CI308" s="1" t="n">
        <f aca="false">VLOOKUP($CG308, Constants!$M:$N, 2, FALSE())</f>
        <v>0</v>
      </c>
      <c r="CJ308" s="1" t="str">
        <f aca="false">IF(P308&gt;1,_xlfn.CONCAT("{BLACK}Cars: {GOLD}", P308),"")</f>
        <v>{BLACK}Cars: {GOLD}6</v>
      </c>
      <c r="CK308" s="1" t="s">
        <v>1196</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{BLACK}Cars: {GOLD}6{}{BLACK}Length: {GOLD}5.3 tiles{}{YELLOW}10% bonus for long distance travel{}{SILVER}The Pendolino is a tilting multiple unit with a design speed of 140mph.  The tilt system is supplied by Fiat Ferroviaria.</v>
      </c>
    </row>
    <row r="309" customFormat="false" ht="14.25" hidden="false" customHeight="false" outlineLevel="0" collapsed="false">
      <c r="A309" s="1" t="s">
        <v>1191</v>
      </c>
      <c r="B309" s="15" t="s">
        <v>1206</v>
      </c>
      <c r="C309" s="1" t="n">
        <v>264</v>
      </c>
      <c r="E309" s="1" t="n">
        <v>388</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1" t="s">
        <v>198</v>
      </c>
      <c r="J309" s="1" t="s">
        <v>423</v>
      </c>
      <c r="K309" s="1" t="s">
        <v>349</v>
      </c>
      <c r="L309" s="1" t="s">
        <v>350</v>
      </c>
      <c r="M309" s="1" t="n">
        <v>2002</v>
      </c>
      <c r="P309" s="1" t="n">
        <v>4</v>
      </c>
      <c r="Q309" s="1" t="n">
        <v>6840</v>
      </c>
      <c r="Z309" s="1" t="n">
        <f aca="false">(466/8)*4</f>
        <v>233</v>
      </c>
      <c r="AB309" s="1" t="n">
        <v>4</v>
      </c>
      <c r="AC309" s="1" t="n">
        <v>325</v>
      </c>
      <c r="AD309" s="4" t="n">
        <f aca="false">IF(AND(Z309&gt;0,AC309&gt;0),(AC309/((Z309+AA309)*10)),"")</f>
        <v>0.139484978540773</v>
      </c>
      <c r="AE309" s="1" t="n">
        <v>140</v>
      </c>
      <c r="AF309" s="1" t="n">
        <f aca="false">ROUND(AE309*1.6, 0)</f>
        <v>224</v>
      </c>
      <c r="AI309" s="1" t="n">
        <v>23.9</v>
      </c>
      <c r="AJ309" s="1" t="n">
        <v>23.9</v>
      </c>
      <c r="AK309" s="1" t="n">
        <v>2.73</v>
      </c>
      <c r="AL309" s="1" t="n">
        <v>3.56</v>
      </c>
      <c r="AM309" s="5" t="n">
        <v>60</v>
      </c>
      <c r="AN309" s="1" t="str">
        <f aca="false">CONCATENATE(VLOOKUP(AO309, 'Voxel Sizes'!$A$2:$B$18,2,FALSE()),"x",INT(AK309*15), "x", INT(AL309*15))</f>
        <v>238x40x53</v>
      </c>
      <c r="AO309" s="1" t="n">
        <f aca="false">ROUND(15*((AJ309*10)/256),0)</f>
        <v>14</v>
      </c>
      <c r="AQ309" s="1" t="str">
        <f aca="false">CONCATENATE(VLOOKUP(AO309,Constants!$A$2:$C$16,IF(AP309&lt;&gt;"", 3, 2), FALSE()),IF(AP309&lt;&gt;"",CONCATENATE(",",VLOOKUP(AP309,$B:$AQ,42,FALSE())),""))</f>
        <v>4,6,4</v>
      </c>
      <c r="AU309" s="1" t="s">
        <v>1207</v>
      </c>
      <c r="AW309" s="1" t="s">
        <v>812</v>
      </c>
      <c r="AX309" s="1" t="s">
        <v>1195</v>
      </c>
      <c r="BA309" s="1" t="n">
        <v>29</v>
      </c>
      <c r="BB309" s="16" t="str">
        <f aca="false">IF(O309&lt;&gt;"",MAX(16,(O309-M309)+8),"")</f>
        <v/>
      </c>
      <c r="BC309" s="1" t="n">
        <v>-15</v>
      </c>
      <c r="BD309" s="1" t="n">
        <v>-35</v>
      </c>
      <c r="BE309" s="1" t="n">
        <f aca="false">MIN(AE309/150, 1)*30</f>
        <v>28</v>
      </c>
      <c r="BF309" s="1" t="n">
        <f aca="false">MIN(Q309/4000, 1)*20</f>
        <v>20</v>
      </c>
      <c r="BG309" s="1" t="n">
        <f aca="false">MIN(AC309/400,1)*20</f>
        <v>16.25</v>
      </c>
      <c r="BH309" s="4" t="n">
        <f aca="false">1-(MAX(M309-1900, 0)/750)</f>
        <v>0.864</v>
      </c>
      <c r="BI309" s="1" t="n">
        <f aca="false">((MAX($P309,1)*MIN($AM309/300,1)))*IF(J309="Wagon",50,10)</f>
        <v>8</v>
      </c>
      <c r="BJ309" s="1" t="n">
        <f aca="false">VLOOKUP($K309,Constants!$I:$K, 2, FALSE())</f>
        <v>0.85</v>
      </c>
      <c r="BK309" s="1" t="n">
        <f aca="false">VLOOKUP($K309,Constants!$I:$K, 3, FALSE())*IF(AND(J309="multiple_unit",AE309&lt;110),0.75,1)</f>
        <v>2.3</v>
      </c>
      <c r="BL309" s="1" t="n">
        <f aca="false">INT(POWER(((Constants!$G$2+$BE309+$BF309+$BG309+$BI309)*$BH309)*$BK309, 1.05))+$BD309</f>
        <v>162</v>
      </c>
      <c r="BM309" s="1" t="n">
        <f aca="false">INT(POWER((((Constants!$G$1+$BE309+$BF309+$BG309+$BI309)*($BH309))*$BJ309),IF($J309="wagon",1,1.2)))+$BC309</f>
        <v>132</v>
      </c>
      <c r="BN309" s="17" t="n">
        <f aca="false">BL309*IF($J309="wagon",62.5,781.25)</f>
        <v>126562.5</v>
      </c>
      <c r="BO309" s="17" t="n">
        <f aca="false">BM309*IF($J309="wagon",2.73,81.25)</f>
        <v>10725</v>
      </c>
      <c r="BT309" s="1" t="n">
        <v>1</v>
      </c>
      <c r="BX309" s="1" t="s">
        <v>1178</v>
      </c>
      <c r="BY309" s="1" t="n">
        <v>6</v>
      </c>
      <c r="BZ309" s="1" t="n">
        <v>205</v>
      </c>
      <c r="CC309" s="1" t="s">
        <v>327</v>
      </c>
      <c r="CD309" s="1" t="str">
        <f aca="false">VLOOKUP(M309,Eras!$A$2:$C$10, 2, TRUE())</f>
        <v>prv</v>
      </c>
      <c r="CE309" s="1" t="s">
        <v>842</v>
      </c>
      <c r="CF309" s="1" t="str">
        <f aca="false">CONCATENATE(CD309,"_",CE309)</f>
        <v>prv_EMU (Express)</v>
      </c>
      <c r="CG309" s="1" t="str">
        <f aca="false">_xlfn.CONCAT(K309, "_",L309)</f>
        <v>electric_ELRL</v>
      </c>
      <c r="CH309" s="7" t="str">
        <f aca="false">_xlfn.CONCAT("{BLACK}Length: {GOLD}", TEXT(ROUNDUP(IF(AT309&lt;&gt;"",SUM(VALUE(_xlfn.TEXTSPLIT(AT309, ","))), SUM(VALUE(_xlfn.TEXTSPLIT(AQ309, ",")))*IF(P309, P309, 1))/16, 1), "#,##0.0"), " tiles{}")</f>
        <v>{BLACK}Length: {GOLD}3.5 tiles{}</v>
      </c>
      <c r="CI309" s="1" t="n">
        <f aca="false">VLOOKUP($CG309, Constants!$M:$N, 2, FALSE())</f>
        <v>0</v>
      </c>
      <c r="CJ309" s="1" t="str">
        <f aca="false">IF(P309&gt;1,_xlfn.CONCAT("{BLACK}Cars: {GOLD}", P309),"")</f>
        <v>{BLACK}Cars: {GOLD}4</v>
      </c>
      <c r="CK309" s="1" t="s">
        <v>1196</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{YELLOW}10% bonus for long distance travel{}</v>
      </c>
      <c r="CN309" s="1" t="str">
        <f aca="false">_xlfn.CONCAT(CI309,IF(CI309&lt;&gt;""," ",""),CJ309,IF(OR(CJ309&lt;&gt;"",CI309&lt;&gt;""),"{}",""),CH309,CM309,"{SILVER}",CK309,IF(CL309&lt;&gt;"","{}{}",""),CL309)</f>
        <v>{BLACK}Cars: {GOLD}4{}{BLACK}Length: {GOLD}3.5 tiles{}{YELLOW}10% bonus for long distance travel{}{SILVER}The Pendolino is a tilting multiple unit with a design speed of 140mph.  The tilt system is supplied by Fiat Ferroviaria.</v>
      </c>
    </row>
    <row r="310" customFormat="false" ht="14.25" hidden="false" customHeight="false" outlineLevel="0" collapsed="false">
      <c r="A310" s="1" t="s">
        <v>1208</v>
      </c>
      <c r="B310" s="15" t="s">
        <v>1209</v>
      </c>
      <c r="C310" s="1" t="n">
        <v>265</v>
      </c>
      <c r="E310" s="1" t="n">
        <v>389</v>
      </c>
      <c r="G310" s="1" t="str">
        <f aca="false">IF($F310&lt;&gt;"",_xlfn.CONCAT(VLOOKUP($CE310, Constants!$T:$U, 2, FALSE()),",",$F310),VLOOKUP($CE310, Constants!$T:$U, 2, FALSE()))</f>
        <v>role/express_passenger</v>
      </c>
      <c r="H310" s="1" t="str">
        <f aca="false">IF($G310&lt;&gt;"",_xlfn.CONCAT(VLOOKUP($CG310, Constants!$M:$P, 4, FALSE()),",",$G310),VLOOKUP($CG310, Constants!$M:$P, 4, FALSE()))</f>
        <v>flag/GB,power/diesel,role/express_passenger</v>
      </c>
      <c r="I310" s="1" t="s">
        <v>198</v>
      </c>
      <c r="J310" s="1" t="s">
        <v>423</v>
      </c>
      <c r="K310" s="1" t="s">
        <v>482</v>
      </c>
      <c r="L310" s="1" t="s">
        <v>149</v>
      </c>
      <c r="M310" s="1" t="n">
        <v>2002</v>
      </c>
      <c r="P310" s="1" t="n">
        <v>4</v>
      </c>
      <c r="Q310" s="1" t="n">
        <v>3000</v>
      </c>
      <c r="Z310" s="1" t="n">
        <v>185.6</v>
      </c>
      <c r="AB310" s="1" t="n">
        <v>5</v>
      </c>
      <c r="AC310" s="1" t="n">
        <v>185</v>
      </c>
      <c r="AD310" s="4" t="n">
        <f aca="false">IF(AND(Z310&gt;0,AC310&gt;0),(AC310/((Z310+AA310)*10)),"")</f>
        <v>0.099676724137931</v>
      </c>
      <c r="AE310" s="1" t="n">
        <v>125</v>
      </c>
      <c r="AF310" s="1" t="n">
        <f aca="false">ROUND(AE310*1.6, 0)</f>
        <v>200</v>
      </c>
      <c r="AI310" s="1" t="n">
        <v>23.8</v>
      </c>
      <c r="AJ310" s="1" t="n">
        <v>23.8</v>
      </c>
      <c r="AK310" s="1" t="n">
        <v>2.73</v>
      </c>
      <c r="AM310" s="5" t="n">
        <v>51</v>
      </c>
      <c r="AN310" s="1" t="str">
        <f aca="false">CONCATENATE(VLOOKUP(AO310, 'Voxel Sizes'!$A$2:$B$18,2,FALSE()),"x",INT(AK310*15), "x", INT(AL310*15))</f>
        <v>238x40x0</v>
      </c>
      <c r="AO310" s="1" t="n">
        <f aca="false">ROUND(15*((AJ310*10)/256),0)</f>
        <v>14</v>
      </c>
      <c r="AQ310" s="1" t="str">
        <f aca="false">CONCATENATE(VLOOKUP(AO310,Constants!$A$2:$C$16,IF(AP310&lt;&gt;"", 3, 2), FALSE()),IF(AP310&lt;&gt;"",CONCATENATE(",",VLOOKUP(AP310,$B:$AQ,42,FALSE())),""))</f>
        <v>4,6,4</v>
      </c>
      <c r="AU310" s="1" t="s">
        <v>1210</v>
      </c>
      <c r="AW310" s="1" t="s">
        <v>847</v>
      </c>
      <c r="BA310" s="1" t="n">
        <v>29</v>
      </c>
      <c r="BB310" s="16" t="str">
        <f aca="false">IF(O310&lt;&gt;"",MAX(16,(O310-M310)+8),"")</f>
        <v/>
      </c>
      <c r="BC310" s="1" t="n">
        <v>-15</v>
      </c>
      <c r="BD310" s="1" t="n">
        <v>-35</v>
      </c>
      <c r="BE310" s="1" t="n">
        <f aca="false">MIN(AE310/150, 1)*30</f>
        <v>25</v>
      </c>
      <c r="BF310" s="1" t="n">
        <f aca="false">MIN(Q310/4000, 1)*20</f>
        <v>15</v>
      </c>
      <c r="BG310" s="1" t="n">
        <f aca="false">MIN(AC310/400,1)*20</f>
        <v>9.25</v>
      </c>
      <c r="BH310" s="4" t="n">
        <f aca="false">1-(MAX(M310-1900, 0)/750)</f>
        <v>0.864</v>
      </c>
      <c r="BI310" s="1" t="n">
        <f aca="false">((MAX($P310,1)*MIN($AM310/300,1)))*IF(J310="Wagon",50,10)</f>
        <v>6.8</v>
      </c>
      <c r="BJ310" s="1" t="n">
        <f aca="false">VLOOKUP($K310,Constants!$I:$K, 2, FALSE())</f>
        <v>1</v>
      </c>
      <c r="BK310" s="1" t="n">
        <f aca="false">VLOOKUP($K310,Constants!$I:$K, 3, FALSE())*IF(AND(J310="multiple_unit",AE310&lt;110),0.75,1)</f>
        <v>2</v>
      </c>
      <c r="BL310" s="1" t="n">
        <f aca="false">INT(POWER(((Constants!$G$2+$BE310+$BF310+$BG310+$BI310)*$BH310)*$BK310, 1.05))+$BD310</f>
        <v>98</v>
      </c>
      <c r="BM310" s="1" t="n">
        <f aca="false">INT(POWER((((Constants!$G$1+$BE310+$BF310+$BG310+$BI310)*($BH310))*$BJ310),IF($J310="wagon",1,1.2)))+$BC310</f>
        <v>124</v>
      </c>
      <c r="BN310" s="17" t="n">
        <f aca="false">BL310*IF($J310="wagon",62.5,781.25)</f>
        <v>76562.5</v>
      </c>
      <c r="BO310" s="17" t="n">
        <f aca="false">BM310*IF($J310="wagon",2.73,81.25)</f>
        <v>10075</v>
      </c>
      <c r="BY310" s="1" t="n">
        <v>9</v>
      </c>
      <c r="BZ310" s="1" t="n">
        <v>205</v>
      </c>
      <c r="CC310" s="1" t="s">
        <v>327</v>
      </c>
      <c r="CD310" s="1" t="str">
        <f aca="false">VLOOKUP(M310,Eras!$A$2:$C$10, 2, TRUE())</f>
        <v>prv</v>
      </c>
      <c r="CE310" s="1" t="s">
        <v>939</v>
      </c>
      <c r="CF310" s="1" t="str">
        <f aca="false">CONCATENATE(CD310,"_",CE310)</f>
        <v>prv_DMU (Express)</v>
      </c>
      <c r="CG310" s="1" t="str">
        <f aca="false">_xlfn.CONCAT(K310, "_",L310)</f>
        <v>diesel_RAIL</v>
      </c>
      <c r="CH310" s="7" t="str">
        <f aca="false">_xlfn.CONCAT("{BLACK}Length: {GOLD}", TEXT(ROUNDUP(IF(AT310&lt;&gt;"",SUM(VALUE(_xlfn.TEXTSPLIT(AT310, ","))), SUM(VALUE(_xlfn.TEXTSPLIT(AQ310, ",")))*IF(P310, P310, 1))/16, 1), "#,##0.0"), " tiles{}")</f>
        <v>{BLACK}Length: {GOLD}3.5 tiles{}</v>
      </c>
      <c r="CI310" s="1" t="n">
        <f aca="false">VLOOKUP($CG310, Constants!$M:$N, 2, FALSE())</f>
        <v>0</v>
      </c>
      <c r="CJ310" s="1" t="str">
        <f aca="false">IF(P310&gt;1,_xlfn.CONCAT("{BLACK}Cars: {GOLD}", P310),"")</f>
        <v>{BLACK}Cars: {GOLD}4</v>
      </c>
      <c r="CK310" s="1" t="s">
        <v>1211</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{GOLD}4{}{BLACK}Length: {GOLD}3.5 tiles{}{YELLOW}10% bonus for long distance travel{}{SILVER}The Voyager is a high speed diesel multiple unit, built to replace both the HST and locomotive-hauled passenger services on the Cross Country route.</v>
      </c>
    </row>
    <row r="311" customFormat="false" ht="14.25" hidden="false" customHeight="false" outlineLevel="0" collapsed="false">
      <c r="A311" s="1" t="s">
        <v>1212</v>
      </c>
      <c r="B311" s="15" t="s">
        <v>1213</v>
      </c>
      <c r="C311" s="1" t="n">
        <v>266</v>
      </c>
      <c r="E311" s="1" t="n">
        <v>390</v>
      </c>
      <c r="G311" s="1" t="str">
        <f aca="false">IF($F311&lt;&gt;"",_xlfn.CONCAT(VLOOKUP($CE311, Constants!$T:$U, 2, FALSE()),",",$F311),VLOOKUP($CE311, Constants!$T:$U, 2, FALSE()))</f>
        <v>role/express_passenger</v>
      </c>
      <c r="H311" s="1" t="str">
        <f aca="false">IF($G311&lt;&gt;"",_xlfn.CONCAT(VLOOKUP($CG311, Constants!$M:$P, 4, FALSE()),",",$G311),VLOOKUP($CG311, Constants!$M:$P, 4, FALSE()))</f>
        <v>flag/GB,power/diesel,role/express_passenger</v>
      </c>
      <c r="I311" s="1" t="s">
        <v>198</v>
      </c>
      <c r="J311" s="1" t="s">
        <v>423</v>
      </c>
      <c r="K311" s="1" t="s">
        <v>482</v>
      </c>
      <c r="L311" s="1" t="s">
        <v>149</v>
      </c>
      <c r="M311" s="1" t="n">
        <v>2002</v>
      </c>
      <c r="P311" s="1" t="n">
        <v>5</v>
      </c>
      <c r="Q311" s="1" t="n">
        <f aca="false">750*5</f>
        <v>3750</v>
      </c>
      <c r="Z311" s="1" t="n">
        <v>282</v>
      </c>
      <c r="AB311" s="1" t="n">
        <v>5</v>
      </c>
      <c r="AC311" s="1" t="n">
        <v>270</v>
      </c>
      <c r="AD311" s="4" t="n">
        <f aca="false">IF(AND(Z311&gt;0,AC311&gt;0),(AC311/((Z311+AA311)*10)),"")</f>
        <v>0.0957446808510638</v>
      </c>
      <c r="AE311" s="1" t="n">
        <v>125</v>
      </c>
      <c r="AF311" s="1" t="n">
        <f aca="false">ROUND(AE311*1.6, 0)</f>
        <v>200</v>
      </c>
      <c r="AI311" s="1" t="n">
        <v>23.8</v>
      </c>
      <c r="AJ311" s="1" t="n">
        <v>23.8</v>
      </c>
      <c r="AK311" s="1" t="n">
        <v>2.73</v>
      </c>
      <c r="AM311" s="5" t="n">
        <v>51</v>
      </c>
      <c r="AN311" s="1" t="str">
        <f aca="false">CONCATENATE(VLOOKUP(AO311, 'Voxel Sizes'!$A$2:$B$18,2,FALSE()),"x",INT(AK311*15), "x", INT(AL311*15))</f>
        <v>238x40x0</v>
      </c>
      <c r="AO311" s="1" t="n">
        <f aca="false">ROUND(15*((AJ311*10)/256),0)</f>
        <v>14</v>
      </c>
      <c r="AQ311" s="1" t="str">
        <f aca="false">CONCATENATE(VLOOKUP(AO311,Constants!$A$2:$C$16,IF(AP311&lt;&gt;"", 3, 2), FALSE()),IF(AP311&lt;&gt;"",CONCATENATE(",",VLOOKUP(AP311,$B:$AQ,42,FALSE())),""))</f>
        <v>4,6,4</v>
      </c>
      <c r="AU311" s="1" t="s">
        <v>1214</v>
      </c>
      <c r="AW311" s="1" t="s">
        <v>817</v>
      </c>
      <c r="AX311" s="1" t="s">
        <v>1209</v>
      </c>
      <c r="BA311" s="1" t="n">
        <v>29</v>
      </c>
      <c r="BB311" s="16" t="str">
        <f aca="false">IF(O311&lt;&gt;"",MAX(16,(O311-M311)+8),"")</f>
        <v/>
      </c>
      <c r="BC311" s="1" t="n">
        <v>-15</v>
      </c>
      <c r="BD311" s="1" t="n">
        <v>-35</v>
      </c>
      <c r="BE311" s="1" t="n">
        <f aca="false">MIN(AE311/150, 1)*30</f>
        <v>25</v>
      </c>
      <c r="BF311" s="1" t="n">
        <f aca="false">MIN(Q311/4000, 1)*20</f>
        <v>18.75</v>
      </c>
      <c r="BG311" s="1" t="n">
        <f aca="false">MIN(AC311/400,1)*20</f>
        <v>13.5</v>
      </c>
      <c r="BH311" s="4" t="n">
        <f aca="false">1-(MAX(M311-1900, 0)/750)</f>
        <v>0.864</v>
      </c>
      <c r="BI311" s="1" t="n">
        <f aca="false">((MAX($P311,1)*MIN($AM311/300,1)))*IF(J311="Wagon",50,10)</f>
        <v>8.5</v>
      </c>
      <c r="BJ311" s="1" t="n">
        <f aca="false">VLOOKUP($K311,Constants!$I:$K, 2, FALSE())</f>
        <v>1</v>
      </c>
      <c r="BK311" s="1" t="n">
        <f aca="false">VLOOKUP($K311,Constants!$I:$K, 3, FALSE())*IF(AND(J311="multiple_unit",AE311&lt;110),0.75,1)</f>
        <v>2</v>
      </c>
      <c r="BL311" s="1" t="n">
        <f aca="false">INT(POWER(((Constants!$G$2+$BE311+$BF311+$BG311+$BI311)*$BH311)*$BK311, 1.05))+$BD311</f>
        <v>120</v>
      </c>
      <c r="BM311" s="1" t="n">
        <f aca="false">INT(POWER((((Constants!$G$1+$BE311+$BF311+$BG311+$BI311)*($BH311))*$BJ311),IF($J311="wagon",1,1.2)))+$BC311</f>
        <v>148</v>
      </c>
      <c r="BN311" s="17" t="n">
        <f aca="false">BL311*IF($J311="wagon",62.5,781.25)</f>
        <v>93750</v>
      </c>
      <c r="BO311" s="17" t="n">
        <f aca="false">BM311*IF($J311="wagon",2.73,81.25)</f>
        <v>12025</v>
      </c>
      <c r="BT311" s="1" t="n">
        <v>1</v>
      </c>
      <c r="BX311" s="1" t="s">
        <v>1173</v>
      </c>
      <c r="BY311" s="1" t="n">
        <v>10</v>
      </c>
      <c r="BZ311" s="1" t="n">
        <v>205</v>
      </c>
      <c r="CC311" s="1" t="s">
        <v>327</v>
      </c>
      <c r="CD311" s="1" t="str">
        <f aca="false">VLOOKUP(M311,Eras!$A$2:$C$10, 2, TRUE())</f>
        <v>prv</v>
      </c>
      <c r="CE311" s="1" t="s">
        <v>939</v>
      </c>
      <c r="CF311" s="1" t="str">
        <f aca="false">CONCATENATE(CD311,"_",CE311)</f>
        <v>prv_DMU (Express)</v>
      </c>
      <c r="CG311" s="1" t="str">
        <f aca="false">_xlfn.CONCAT(K311, "_",L311)</f>
        <v>diesel_RAIL</v>
      </c>
      <c r="CH311" s="7" t="str">
        <f aca="false">_xlfn.CONCAT("{BLACK}Length: {GOLD}", TEXT(ROUNDUP(IF(AT311&lt;&gt;"",SUM(VALUE(_xlfn.TEXTSPLIT(AT311, ","))), SUM(VALUE(_xlfn.TEXTSPLIT(AQ311, ",")))*IF(P311, P311, 1))/16, 1), "#,##0.0"), " tiles{}")</f>
        <v>{BLACK}Length: {GOLD}4.4 tiles{}</v>
      </c>
      <c r="CI311" s="1" t="n">
        <f aca="false">VLOOKUP($CG311, Constants!$M:$N, 2, FALSE())</f>
        <v>0</v>
      </c>
      <c r="CJ311" s="1" t="str">
        <f aca="false">IF(P311&gt;1,_xlfn.CONCAT("{BLACK}Cars: {GOLD}", P311),"")</f>
        <v>{BLACK}Cars: {GOLD}5</v>
      </c>
      <c r="CK311" s="1" t="s">
        <v>1215</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{GOLD}5{}{BLACK}Length: {GOLD}4.4 tiles{}{YELLOW}10% bonus for long distance travel{}{SILVER}The Class 221 is outwardly very similar to the Class 220, but internally it has different bogies and features a tilt mechanism for faster cornering.</v>
      </c>
    </row>
    <row r="312" customFormat="false" ht="14.25" hidden="false" customHeight="false" outlineLevel="0" collapsed="false">
      <c r="A312" s="1" t="s">
        <v>1212</v>
      </c>
      <c r="B312" s="15" t="s">
        <v>1216</v>
      </c>
      <c r="C312" s="1" t="n">
        <v>267</v>
      </c>
      <c r="E312" s="1" t="n">
        <v>391</v>
      </c>
      <c r="G312" s="1" t="str">
        <f aca="false">IF($F312&lt;&gt;"",_xlfn.CONCAT(VLOOKUP($CE312, Constants!$T:$U, 2, FALSE()),",",$F312),VLOOKUP($CE312, Constants!$T:$U, 2, FALSE()))</f>
        <v>role/express_passenger</v>
      </c>
      <c r="H312" s="1" t="str">
        <f aca="false">IF($G312&lt;&gt;"",_xlfn.CONCAT(VLOOKUP($CG312, Constants!$M:$P, 4, FALSE()),",",$G312),VLOOKUP($CG312, Constants!$M:$P, 4, FALSE()))</f>
        <v>flag/GB,power/diesel,role/express_passenger</v>
      </c>
      <c r="I312" s="1" t="s">
        <v>198</v>
      </c>
      <c r="J312" s="1" t="s">
        <v>423</v>
      </c>
      <c r="K312" s="1" t="s">
        <v>482</v>
      </c>
      <c r="L312" s="1" t="s">
        <v>149</v>
      </c>
      <c r="M312" s="1" t="n">
        <v>2002</v>
      </c>
      <c r="P312" s="1" t="n">
        <v>4</v>
      </c>
      <c r="Q312" s="1" t="n">
        <f aca="false">750*5</f>
        <v>3750</v>
      </c>
      <c r="Z312" s="1" t="n">
        <f aca="false">282/5*4</f>
        <v>225.6</v>
      </c>
      <c r="AB312" s="1" t="n">
        <v>5</v>
      </c>
      <c r="AC312" s="1" t="n">
        <v>270</v>
      </c>
      <c r="AD312" s="4" t="n">
        <f aca="false">IF(AND(Z312&gt;0,AC312&gt;0),(AC312/((Z312+AA312)*10)),"")</f>
        <v>0.11968085106383</v>
      </c>
      <c r="AE312" s="1" t="n">
        <v>125</v>
      </c>
      <c r="AF312" s="1" t="n">
        <f aca="false">ROUND(AE312*1.6, 0)</f>
        <v>200</v>
      </c>
      <c r="AI312" s="1" t="n">
        <v>23.8</v>
      </c>
      <c r="AJ312" s="1" t="n">
        <v>23.8</v>
      </c>
      <c r="AK312" s="1" t="n">
        <v>2.73</v>
      </c>
      <c r="AM312" s="5" t="n">
        <v>51</v>
      </c>
      <c r="AN312" s="1" t="str">
        <f aca="false">CONCATENATE(VLOOKUP(AO312, 'Voxel Sizes'!$A$2:$B$18,2,FALSE()),"x",INT(AK312*15), "x", INT(AL312*15))</f>
        <v>238x40x0</v>
      </c>
      <c r="AO312" s="1" t="n">
        <f aca="false">ROUND(15*((AJ312*10)/256),0)</f>
        <v>14</v>
      </c>
      <c r="AQ312" s="1" t="str">
        <f aca="false">CONCATENATE(VLOOKUP(AO312,Constants!$A$2:$C$16,IF(AP312&lt;&gt;"", 3, 2), FALSE()),IF(AP312&lt;&gt;"",CONCATENATE(",",VLOOKUP(AP312,$B:$AQ,42,FALSE())),""))</f>
        <v>4,6,4</v>
      </c>
      <c r="AU312" s="1" t="s">
        <v>1210</v>
      </c>
      <c r="AW312" s="1" t="s">
        <v>812</v>
      </c>
      <c r="AX312" s="1" t="s">
        <v>1209</v>
      </c>
      <c r="BA312" s="1" t="n">
        <v>29</v>
      </c>
      <c r="BB312" s="16" t="str">
        <f aca="false">IF(O312&lt;&gt;"",MAX(16,(O312-M312)+8),"")</f>
        <v/>
      </c>
      <c r="BC312" s="1" t="n">
        <v>-15</v>
      </c>
      <c r="BD312" s="1" t="n">
        <v>-35</v>
      </c>
      <c r="BE312" s="1" t="n">
        <f aca="false">MIN(AE312/150, 1)*30</f>
        <v>25</v>
      </c>
      <c r="BF312" s="1" t="n">
        <f aca="false">MIN(Q312/4000, 1)*20</f>
        <v>18.75</v>
      </c>
      <c r="BG312" s="1" t="n">
        <f aca="false">MIN(AC312/400,1)*20</f>
        <v>13.5</v>
      </c>
      <c r="BH312" s="4" t="n">
        <f aca="false">1-(MAX(M312-1900, 0)/750)</f>
        <v>0.864</v>
      </c>
      <c r="BI312" s="1" t="n">
        <f aca="false">((MAX($P312,1)*MIN($AM312/300,1)))*IF(J312="Wagon",50,10)</f>
        <v>6.8</v>
      </c>
      <c r="BJ312" s="1" t="n">
        <f aca="false">VLOOKUP($K312,Constants!$I:$K, 2, FALSE())</f>
        <v>1</v>
      </c>
      <c r="BK312" s="1" t="n">
        <f aca="false">VLOOKUP($K312,Constants!$I:$K, 3, FALSE())*IF(AND(J312="multiple_unit",AE312&lt;110),0.75,1)</f>
        <v>2</v>
      </c>
      <c r="BL312" s="1" t="n">
        <f aca="false">INT(POWER(((Constants!$G$2+$BE312+$BF312+$BG312+$BI312)*$BH312)*$BK312, 1.05))+$BD312</f>
        <v>116</v>
      </c>
      <c r="BM312" s="1" t="n">
        <f aca="false">INT(POWER((((Constants!$G$1+$BE312+$BF312+$BG312+$BI312)*($BH312))*$BJ312),IF($J312="wagon",1,1.2)))+$BC312</f>
        <v>143</v>
      </c>
      <c r="BN312" s="17" t="n">
        <f aca="false">BL312*IF($J312="wagon",62.5,781.25)</f>
        <v>90625</v>
      </c>
      <c r="BO312" s="17" t="n">
        <f aca="false">BM312*IF($J312="wagon",2.73,81.25)</f>
        <v>11618.75</v>
      </c>
      <c r="BT312" s="1" t="n">
        <v>1</v>
      </c>
      <c r="BX312" s="1" t="s">
        <v>1178</v>
      </c>
      <c r="BY312" s="1" t="n">
        <v>10</v>
      </c>
      <c r="BZ312" s="1" t="n">
        <v>205</v>
      </c>
      <c r="CC312" s="1" t="s">
        <v>327</v>
      </c>
      <c r="CD312" s="1" t="str">
        <f aca="false">VLOOKUP(M312,Eras!$A$2:$C$10, 2, TRUE())</f>
        <v>prv</v>
      </c>
      <c r="CE312" s="1" t="s">
        <v>939</v>
      </c>
      <c r="CF312" s="1" t="str">
        <f aca="false">CONCATENATE(CD312,"_",CE312)</f>
        <v>prv_DMU (Express)</v>
      </c>
      <c r="CG312" s="1" t="str">
        <f aca="false">_xlfn.CONCAT(K312, "_",L312)</f>
        <v>diesel_RAIL</v>
      </c>
      <c r="CH312" s="7" t="str">
        <f aca="false">_xlfn.CONCAT("{BLACK}Length: {GOLD}", TEXT(ROUNDUP(IF(AT312&lt;&gt;"",SUM(VALUE(_xlfn.TEXTSPLIT(AT312, ","))), SUM(VALUE(_xlfn.TEXTSPLIT(AQ312, ",")))*IF(P312, P312, 1))/16, 1), "#,##0.0"), " tiles{}")</f>
        <v>{BLACK}Length: {GOLD}3.5 tiles{}</v>
      </c>
      <c r="CI312" s="1" t="n">
        <f aca="false">VLOOKUP($CG312, Constants!$M:$N, 2, FALSE())</f>
        <v>0</v>
      </c>
      <c r="CJ312" s="1" t="str">
        <f aca="false">IF(P312&gt;1,_xlfn.CONCAT("{BLACK}Cars: {GOLD}", P312),"")</f>
        <v>{BLACK}Cars: {GOLD}4</v>
      </c>
      <c r="CK312" s="1" t="s">
        <v>1215</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{GOLD}4{}{BLACK}Length: {GOLD}3.5 tiles{}{YELLOW}10% bonus for long distance travel{}{SILVER}The Class 221 is outwardly very similar to the Class 220, but internally it has different bogies and features a tilt mechanism for faster cornering.</v>
      </c>
    </row>
    <row r="313" s="1" customFormat="true" ht="14.25" hidden="false" customHeight="false" outlineLevel="0" collapsed="false">
      <c r="A313" s="1" t="s">
        <v>1217</v>
      </c>
      <c r="B313" s="26" t="s">
        <v>1218</v>
      </c>
      <c r="C313" s="1" t="n">
        <v>3081</v>
      </c>
      <c r="E313" s="1" t="n">
        <v>392</v>
      </c>
      <c r="G313" s="1" t="str">
        <f aca="false">IF($F313&lt;&gt;"",_xlfn.CONCAT(VLOOKUP($CE313, Constants!$T:$U, 2, FALSE()),",",$F313),VLOOKUP($CE313, Constants!$T:$U, 2, FALSE()))</f>
        <v>role/express_passenger</v>
      </c>
      <c r="H313" s="1" t="str">
        <f aca="false">IF($G313&lt;&gt;"",_xlfn.CONCAT(VLOOKUP($CG313, Constants!$M:$P, 4, FALSE()),",",$G313),VLOOKUP($CG313, Constants!$M:$P, 4, FALSE()))</f>
        <v>flag/GB,power/diesel,role/express_passenger</v>
      </c>
      <c r="I313" s="1" t="s">
        <v>198</v>
      </c>
      <c r="J313" s="1" t="s">
        <v>423</v>
      </c>
      <c r="K313" s="1" t="s">
        <v>482</v>
      </c>
      <c r="L313" s="1" t="s">
        <v>149</v>
      </c>
      <c r="M313" s="1" t="n">
        <v>2003</v>
      </c>
      <c r="P313" s="1" t="n">
        <v>4</v>
      </c>
      <c r="Q313" s="1" t="n">
        <f aca="false">750*P313</f>
        <v>3000</v>
      </c>
      <c r="R313" s="2"/>
      <c r="S313" s="3"/>
      <c r="T313" s="3"/>
      <c r="U313" s="3"/>
      <c r="V313" s="3"/>
      <c r="W313" s="3"/>
      <c r="X313" s="3"/>
      <c r="Y313" s="3"/>
      <c r="Z313" s="1" t="n">
        <v>186.5</v>
      </c>
      <c r="AA313" s="2"/>
      <c r="AB313" s="1" t="n">
        <v>5</v>
      </c>
      <c r="AC313" s="1" t="n">
        <f aca="false">54*P313</f>
        <v>216</v>
      </c>
      <c r="AD313" s="4" t="n">
        <f aca="false">IF(AND(Z313&gt;0,AC313&gt;0),(AC313/((Z313+AA313)*10)),"")</f>
        <v>0.115817694369973</v>
      </c>
      <c r="AE313" s="1" t="n">
        <v>125</v>
      </c>
      <c r="AF313" s="1" t="n">
        <f aca="false">ROUND(AE313*1.6, 0)</f>
        <v>200</v>
      </c>
      <c r="AI313" s="1" t="n">
        <v>23.8</v>
      </c>
      <c r="AJ313" s="1" t="n">
        <v>23.8</v>
      </c>
      <c r="AK313" s="1" t="n">
        <v>2.73</v>
      </c>
      <c r="AM313" s="5" t="n">
        <v>51</v>
      </c>
      <c r="AN313" s="1" t="str">
        <f aca="false">CONCATENATE(VLOOKUP(AO313, '[1]Voxel Sizes'!$A$2:$B$18,2,FALSE()),"x",INT(AK313*15), "x", INT(AL313*15))</f>
        <v>238x40x0</v>
      </c>
      <c r="AO313" s="1" t="n">
        <f aca="false">ROUND(15*((AJ313*10)/256),0)</f>
        <v>14</v>
      </c>
      <c r="AQ313" s="1" t="str">
        <f aca="false">CONCATENATE(VLOOKUP(AO313,Constants!$A$2:$C$16,IF(AP313&lt;&gt;"", 3, 2), FALSE()),IF(AP313&lt;&gt;"",CONCATENATE(",",VLOOKUP(AP313,$B:$AQ,42,FALSE())),""))</f>
        <v>4,6,4</v>
      </c>
      <c r="AS313" s="6"/>
      <c r="AT313" s="6"/>
      <c r="AU313" s="1" t="s">
        <v>1219</v>
      </c>
      <c r="AW313" s="1" t="s">
        <v>847</v>
      </c>
      <c r="AX313" s="1" t="s">
        <v>1220</v>
      </c>
      <c r="BA313" s="1" t="n">
        <v>29</v>
      </c>
      <c r="BB313" s="16" t="str">
        <f aca="false">IF(O313&lt;&gt;"",MAX(16,(O313-M313)+8),"")</f>
        <v/>
      </c>
      <c r="BC313" s="1" t="n">
        <v>-15</v>
      </c>
      <c r="BD313" s="1" t="n">
        <v>-35</v>
      </c>
      <c r="BE313" s="1" t="n">
        <f aca="false">MIN(AE313/150, 1)*30</f>
        <v>25</v>
      </c>
      <c r="BF313" s="1" t="n">
        <f aca="false">MIN(Q313/4000, 1)*20</f>
        <v>15</v>
      </c>
      <c r="BG313" s="1" t="n">
        <f aca="false">MIN(AC313/400,1)*20</f>
        <v>10.8</v>
      </c>
      <c r="BH313" s="4" t="n">
        <f aca="false">1-(MAX(M313-1900, 0)/750)</f>
        <v>0.862666666666667</v>
      </c>
      <c r="BI313" s="1" t="n">
        <f aca="false">((MAX($P313,1)*MIN($AM313/300,1)))*IF(J313="Wagon",50,10)</f>
        <v>6.8</v>
      </c>
      <c r="BJ313" s="1" t="n">
        <f aca="false">VLOOKUP($K313,Constants!$I:$K, 2, FALSE())</f>
        <v>1</v>
      </c>
      <c r="BK313" s="1" t="n">
        <f aca="false">VLOOKUP($K313,Constants!$I:$K, 3, FALSE())*IF(AND(J313="multiple_unit",AE313&lt;110),0.75,1)</f>
        <v>2</v>
      </c>
      <c r="BL313" s="25" t="n">
        <f aca="false">INT(POWER((([1]Constants!$G$2+$BE313+$BF313+$BG313+$BI313)*$BH313)*$BK313, 1.05))+$BD313</f>
        <v>101</v>
      </c>
      <c r="BM313" s="25" t="n">
        <f aca="false">INT(POWER(((([1]Constants!$G$1+$BE313+$BF313+$BG313+$BI313)*($BH313))*$BJ313),IF($J313="wagon",1,1.2)))+$BC313</f>
        <v>128</v>
      </c>
      <c r="BN313" s="17" t="n">
        <f aca="false">BL313*IF($J313="wagon",62.5,781.25)</f>
        <v>78906.25</v>
      </c>
      <c r="BO313" s="17" t="n">
        <f aca="false">BM313*IF($J313="wagon",2.73,81.25)</f>
        <v>10400</v>
      </c>
      <c r="BU313" s="1" t="s">
        <v>1221</v>
      </c>
      <c r="BY313" s="1" t="n">
        <v>10</v>
      </c>
      <c r="BZ313" s="1" t="n">
        <v>205</v>
      </c>
      <c r="CC313" s="1" t="s">
        <v>327</v>
      </c>
      <c r="CD313" s="25" t="s">
        <v>1161</v>
      </c>
      <c r="CE313" s="25" t="s">
        <v>939</v>
      </c>
      <c r="CF313" s="1" t="str">
        <f aca="false">CONCATENATE(CD313,"_",CE313)</f>
        <v>prv_DMU (Express)</v>
      </c>
      <c r="CG313" s="1" t="str">
        <f aca="false">_xlfn.CONCAT(K313, "_",L313)</f>
        <v>diesel_RAIL</v>
      </c>
      <c r="CH313" s="7" t="str">
        <f aca="false">_xlfn.CONCAT("{BLACK}Length: {GOLD}", TEXT(ROUNDUP(IF(AT313&lt;&gt;"",SUM(VALUE(_xlfn.TEXTSPLIT(AT313, ","))), SUM(VALUE(_xlfn.TEXTSPLIT(AQ313, ",")))*IF(P313, P313, 1))/16, 1), "#,##0.0"), " tiles{}")</f>
        <v>{BLACK}Length: {GOLD}3.5 tiles{}</v>
      </c>
      <c r="CI313" s="1" t="n">
        <f aca="false">VLOOKUP($CG313, Constants!$M:$N, 2, FALSE())</f>
        <v>0</v>
      </c>
      <c r="CJ313" s="1" t="str">
        <f aca="false">IF(P313&gt;1,_xlfn.CONCAT("{BLACK}Cars: {GOLD}", P313),"")</f>
        <v>{BLACK}Cars: {GOLD}4</v>
      </c>
      <c r="CK313" s="1" t="s">
        <v>1222</v>
      </c>
      <c r="CM313" s="25"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{YELLOW}10% bonus for long distance travel{}</v>
      </c>
      <c r="CN313" s="25" t="str">
        <f aca="false">_xlfn.CONCAT(CI313,IF(CI313 &lt;&gt; "", " ", ""),CJ313,IF(OR(CJ313&lt;&gt;"", CI313&lt;&gt;""), "{}",""), CH313, CM313,"{SILVER}", CK313)</f>
        <v>{BLACK}Cars: {GOLD}4{}{BLACK}Length: {GOLD}3.5 tiles{}{YELLOW}10% bonus for long distance travel{}{SILVER}The Class 222 is the final development of the Bombardier DEMU series, built first for the Midland Main Line and later seeing service in Scotland and with Open-Access operators.</v>
      </c>
    </row>
    <row r="314" s="1" customFormat="true" ht="14.25" hidden="false" customHeight="false" outlineLevel="0" collapsed="false">
      <c r="A314" s="1" t="s">
        <v>1217</v>
      </c>
      <c r="B314" s="26" t="s">
        <v>1223</v>
      </c>
      <c r="C314" s="1" t="n">
        <v>3082</v>
      </c>
      <c r="D314" s="1" t="n">
        <v>3081</v>
      </c>
      <c r="E314" s="1" t="n">
        <v>393</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198</v>
      </c>
      <c r="J314" s="1" t="s">
        <v>423</v>
      </c>
      <c r="K314" s="1" t="s">
        <v>482</v>
      </c>
      <c r="L314" s="1" t="s">
        <v>149</v>
      </c>
      <c r="M314" s="1" t="n">
        <v>2003</v>
      </c>
      <c r="P314" s="1" t="n">
        <v>5</v>
      </c>
      <c r="Q314" s="1" t="n">
        <f aca="false">750*P314</f>
        <v>3750</v>
      </c>
      <c r="R314" s="2"/>
      <c r="S314" s="3"/>
      <c r="T314" s="3"/>
      <c r="U314" s="3"/>
      <c r="V314" s="3"/>
      <c r="W314" s="3"/>
      <c r="X314" s="3"/>
      <c r="Y314" s="3"/>
      <c r="Z314" s="1" t="n">
        <f aca="false">Z313+37.3</f>
        <v>223.8</v>
      </c>
      <c r="AA314" s="2"/>
      <c r="AB314" s="1" t="n">
        <v>5</v>
      </c>
      <c r="AC314" s="1" t="n">
        <f aca="false">54*P314</f>
        <v>270</v>
      </c>
      <c r="AD314" s="4" t="n">
        <f aca="false">IF(AND(Z314&gt;0,AC314&gt;0),(AC314/((Z314+AA314)*10)),"")</f>
        <v>0.120643431635389</v>
      </c>
      <c r="AE314" s="1" t="n">
        <v>125</v>
      </c>
      <c r="AF314" s="1" t="n">
        <f aca="false">ROUND(AE314*1.6, 0)</f>
        <v>200</v>
      </c>
      <c r="AI314" s="1" t="n">
        <v>23.8</v>
      </c>
      <c r="AJ314" s="1" t="n">
        <v>23.8</v>
      </c>
      <c r="AK314" s="1" t="n">
        <v>2.73</v>
      </c>
      <c r="AM314" s="5" t="n">
        <v>51</v>
      </c>
      <c r="AN314" s="1" t="str">
        <f aca="false">CONCATENATE(VLOOKUP(AO314, '[1]Voxel Sizes'!$A$2:$B$18,2,FALSE()),"x",INT(AK314*15), "x", INT(AL314*15))</f>
        <v>238x40x0</v>
      </c>
      <c r="AO314" s="1" t="n">
        <f aca="false">ROUND(15*((AJ314*10)/256),0)</f>
        <v>14</v>
      </c>
      <c r="AQ314" s="1" t="str">
        <f aca="false">CONCATENATE(VLOOKUP(AO314,Constants!$A$2:$C$16,IF(AP314&lt;&gt;"", 3, 2), FALSE()),IF(AP314&lt;&gt;"",CONCATENATE(",",VLOOKUP(AP314,$B:$AQ,42,FALSE())),""))</f>
        <v>4,6,4</v>
      </c>
      <c r="AS314" s="6"/>
      <c r="AT314" s="6"/>
      <c r="AU314" s="1" t="s">
        <v>1224</v>
      </c>
      <c r="AW314" s="1" t="s">
        <v>817</v>
      </c>
      <c r="AX314" s="1" t="s">
        <v>1220</v>
      </c>
      <c r="BA314" s="1" t="n">
        <v>29</v>
      </c>
      <c r="BB314" s="16" t="str">
        <f aca="false">IF(O314&lt;&gt;"",MAX(16,(O314-M314)+8),"")</f>
        <v/>
      </c>
      <c r="BC314" s="1" t="n">
        <v>-15</v>
      </c>
      <c r="BD314" s="1" t="n">
        <v>-35</v>
      </c>
      <c r="BE314" s="1" t="n">
        <f aca="false">MIN(AE314/150, 1)*30</f>
        <v>25</v>
      </c>
      <c r="BF314" s="1" t="n">
        <f aca="false">MIN(Q314/4000, 1)*20</f>
        <v>18.75</v>
      </c>
      <c r="BG314" s="1" t="n">
        <f aca="false">MIN(AC314/400,1)*20</f>
        <v>13.5</v>
      </c>
      <c r="BH314" s="4" t="n">
        <f aca="false">1-(MAX(M314-1900, 0)/750)</f>
        <v>0.862666666666667</v>
      </c>
      <c r="BI314" s="1" t="n">
        <f aca="false">((MAX($P314,1)*MIN($AM314/300,1)))*IF(J314="Wagon",50,10)</f>
        <v>8.5</v>
      </c>
      <c r="BJ314" s="1" t="n">
        <f aca="false">VLOOKUP($K314,Constants!$I:$K, 2, FALSE())</f>
        <v>1</v>
      </c>
      <c r="BK314" s="1" t="n">
        <f aca="false">VLOOKUP($K314,Constants!$I:$K, 3, FALSE())*IF(AND(J314="multiple_unit",AE314&lt;110),0.75,1)</f>
        <v>2</v>
      </c>
      <c r="BL314" s="25" t="n">
        <f aca="false">INT(POWER((([1]Constants!$G$2+$BE314+$BF314+$BG314+$BI314)*$BH314)*$BK314, 1.05))+$BD314</f>
        <v>120</v>
      </c>
      <c r="BM314" s="25" t="n">
        <f aca="false">INT(POWER(((([1]Constants!$G$1+$BE314+$BF314+$BG314+$BI314)*($BH314))*$BJ314),IF($J314="wagon",1,1.2)))+$BC314</f>
        <v>147</v>
      </c>
      <c r="BN314" s="17" t="n">
        <f aca="false">BL314*IF($J314="wagon",62.5,781.25)</f>
        <v>93750</v>
      </c>
      <c r="BO314" s="17" t="n">
        <f aca="false">BM314*IF($J314="wagon",2.73,81.25)</f>
        <v>11943.75</v>
      </c>
      <c r="BU314" s="1" t="s">
        <v>1225</v>
      </c>
      <c r="BX314" s="25" t="s">
        <v>1173</v>
      </c>
      <c r="BY314" s="1" t="n">
        <v>10</v>
      </c>
      <c r="BZ314" s="1" t="n">
        <v>205</v>
      </c>
      <c r="CC314" s="1" t="s">
        <v>327</v>
      </c>
      <c r="CD314" s="25" t="s">
        <v>1161</v>
      </c>
      <c r="CE314" s="25" t="s">
        <v>939</v>
      </c>
      <c r="CF314" s="1" t="str">
        <f aca="false">CONCATENATE(CD314,"_",CE314)</f>
        <v>prv_DMU (Express)</v>
      </c>
      <c r="CG314" s="1" t="str">
        <f aca="false">_xlfn.CONCAT(K314, "_",L314)</f>
        <v>diesel_RAIL</v>
      </c>
      <c r="CH314" s="7" t="str">
        <f aca="false">_xlfn.CONCAT("{BLACK}Length: {GOLD}", TEXT(ROUNDUP(IF(AT314&lt;&gt;"",SUM(VALUE(_xlfn.TEXTSPLIT(AT314, ","))), SUM(VALUE(_xlfn.TEXTSPLIT(AQ314, ",")))*IF(P314, P314, 1))/16, 1), "#,##0.0"), " tiles{}")</f>
        <v>{BLACK}Length: {GOLD}4.4 tiles{}</v>
      </c>
      <c r="CI314" s="1" t="n">
        <f aca="false">VLOOKUP($CG314, Constants!$M:$N, 2, FALSE())</f>
        <v>0</v>
      </c>
      <c r="CJ314" s="1" t="str">
        <f aca="false">IF(P314&gt;1,_xlfn.CONCAT("{BLACK}Cars: {GOLD}", P314),"")</f>
        <v>{BLACK}Cars: {GOLD}5</v>
      </c>
      <c r="CK314" s="1" t="s">
        <v>1222</v>
      </c>
      <c r="CM314" s="25"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25" t="str">
        <f aca="false">_xlfn.CONCAT(CI314,IF(CI314 &lt;&gt; "", " ", ""),CJ314,IF(OR(CJ314&lt;&gt;"", CI314&lt;&gt;""), "{}",""), CH314, CM314,"{SILVER}", CK314)</f>
        <v>{BLACK}Cars: {GOLD}5{}{BLACK}Length: {GOLD}4.4 tiles{}{YELLOW}10% bonus for long distance travel{}{SILVER}The Class 222 is the final development of the Bombardier DEMU series, built first for the Midland Main Line and later seeing service in Scotland and with Open-Access operators.</v>
      </c>
    </row>
    <row r="315" s="1" customFormat="true" ht="14.25" hidden="false" customHeight="false" outlineLevel="0" collapsed="false">
      <c r="A315" s="1" t="s">
        <v>1217</v>
      </c>
      <c r="B315" s="26" t="s">
        <v>1226</v>
      </c>
      <c r="C315" s="1" t="n">
        <v>3083</v>
      </c>
      <c r="D315" s="1" t="n">
        <v>3081</v>
      </c>
      <c r="E315" s="1" t="n">
        <v>394</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198</v>
      </c>
      <c r="J315" s="1" t="s">
        <v>423</v>
      </c>
      <c r="K315" s="1" t="s">
        <v>482</v>
      </c>
      <c r="L315" s="1" t="s">
        <v>149</v>
      </c>
      <c r="M315" s="1" t="n">
        <v>2003</v>
      </c>
      <c r="P315" s="1" t="n">
        <v>7</v>
      </c>
      <c r="Q315" s="1" t="n">
        <f aca="false">750*P315</f>
        <v>5250</v>
      </c>
      <c r="R315" s="2"/>
      <c r="S315" s="3"/>
      <c r="T315" s="3"/>
      <c r="U315" s="3"/>
      <c r="V315" s="3"/>
      <c r="W315" s="3"/>
      <c r="X315" s="3"/>
      <c r="Y315" s="3"/>
      <c r="Z315" s="1" t="n">
        <f aca="false">Z314+(37.3*2)</f>
        <v>298.4</v>
      </c>
      <c r="AA315" s="2"/>
      <c r="AB315" s="1" t="n">
        <v>5</v>
      </c>
      <c r="AC315" s="1" t="n">
        <f aca="false">54*P315</f>
        <v>378</v>
      </c>
      <c r="AD315" s="4" t="n">
        <f aca="false">IF(AND(Z315&gt;0,AC315&gt;0),(AC315/((Z315+AA315)*10)),"")</f>
        <v>0.126675603217158</v>
      </c>
      <c r="AE315" s="1" t="n">
        <v>125</v>
      </c>
      <c r="AF315" s="1" t="n">
        <f aca="false">ROUND(AE315*1.6, 0)</f>
        <v>200</v>
      </c>
      <c r="AI315" s="1" t="n">
        <v>23.8</v>
      </c>
      <c r="AJ315" s="1" t="n">
        <v>23.8</v>
      </c>
      <c r="AK315" s="1" t="n">
        <v>2.73</v>
      </c>
      <c r="AM315" s="5" t="n">
        <v>51</v>
      </c>
      <c r="AN315" s="1" t="str">
        <f aca="false">CONCATENATE(VLOOKUP(AO315, '[1]Voxel Sizes'!$A$2:$B$18,2,FALSE()),"x",INT(AK315*15), "x", INT(AL315*15))</f>
        <v>238x40x0</v>
      </c>
      <c r="AO315" s="1" t="n">
        <f aca="false">ROUND(15*((AJ315*10)/256),0)</f>
        <v>14</v>
      </c>
      <c r="AQ315" s="1" t="str">
        <f aca="false">CONCATENATE(VLOOKUP(AO315,Constants!$A$2:$C$16,IF(AP315&lt;&gt;"", 3, 2), FALSE()),IF(AP315&lt;&gt;"",CONCATENATE(",",VLOOKUP(AP315,$B:$AQ,42,FALSE())),""))</f>
        <v>4,6,4</v>
      </c>
      <c r="AS315" s="6"/>
      <c r="AT315" s="6"/>
      <c r="AU315" s="1" t="s">
        <v>1227</v>
      </c>
      <c r="AW315" s="1" t="s">
        <v>1228</v>
      </c>
      <c r="AX315" s="1" t="s">
        <v>1220</v>
      </c>
      <c r="BA315" s="1" t="n">
        <v>29</v>
      </c>
      <c r="BB315" s="16" t="str">
        <f aca="false">IF(O315&lt;&gt;"",MAX(16,(O315-M315)+8),"")</f>
        <v/>
      </c>
      <c r="BC315" s="1" t="n">
        <v>-15</v>
      </c>
      <c r="BD315" s="1" t="n">
        <v>-35</v>
      </c>
      <c r="BE315" s="1" t="n">
        <f aca="false">MIN(AE315/150, 1)*30</f>
        <v>25</v>
      </c>
      <c r="BF315" s="1" t="n">
        <f aca="false">MIN(Q315/4000, 1)*20</f>
        <v>20</v>
      </c>
      <c r="BG315" s="1" t="n">
        <f aca="false">MIN(AC315/400,1)*20</f>
        <v>18.9</v>
      </c>
      <c r="BH315" s="4" t="n">
        <f aca="false">1-(MAX(M315-1900, 0)/750)</f>
        <v>0.862666666666667</v>
      </c>
      <c r="BI315" s="1" t="n">
        <f aca="false">((MAX($P315,1)*MIN($AM315/300,1)))*IF(J315="Wagon",50,10)</f>
        <v>11.9</v>
      </c>
      <c r="BJ315" s="1" t="n">
        <f aca="false">VLOOKUP($K315,Constants!$I:$K, 2, FALSE())</f>
        <v>1</v>
      </c>
      <c r="BK315" s="1" t="n">
        <f aca="false">VLOOKUP($K315,Constants!$I:$K, 3, FALSE())*IF(AND(J315="multiple_unit",AE315&lt;110),0.75,1)</f>
        <v>2</v>
      </c>
      <c r="BL315" s="25" t="n">
        <f aca="false">INT(POWER((([1]Constants!$G$2+$BE315+$BF315+$BG315+$BI315)*$BH315)*$BK315, 1.05))+$BD315</f>
        <v>143</v>
      </c>
      <c r="BM315" s="25" t="n">
        <f aca="false">INT(POWER(((([1]Constants!$G$1+$BE315+$BF315+$BG315+$BI315)*($BH315))*$BJ315),IF($J315="wagon",1,1.2)))+$BC315</f>
        <v>172</v>
      </c>
      <c r="BN315" s="17" t="n">
        <f aca="false">BL315*IF($J315="wagon",62.5,781.25)</f>
        <v>111718.75</v>
      </c>
      <c r="BO315" s="17" t="n">
        <f aca="false">BM315*IF($J315="wagon",2.73,81.25)</f>
        <v>13975</v>
      </c>
      <c r="BU315" s="1" t="s">
        <v>1229</v>
      </c>
      <c r="BX315" s="25" t="s">
        <v>1230</v>
      </c>
      <c r="BY315" s="1" t="n">
        <v>10</v>
      </c>
      <c r="BZ315" s="1" t="n">
        <v>205</v>
      </c>
      <c r="CC315" s="1" t="s">
        <v>327</v>
      </c>
      <c r="CD315" s="25" t="s">
        <v>1161</v>
      </c>
      <c r="CE315" s="25" t="s">
        <v>939</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{GOLD}6.2 tiles{}</v>
      </c>
      <c r="CI315" s="1" t="n">
        <f aca="false">VLOOKUP($CG315, Constants!$M:$N, 2, FALSE())</f>
        <v>0</v>
      </c>
      <c r="CJ315" s="1" t="str">
        <f aca="false">IF(P315&gt;1,_xlfn.CONCAT("{BLACK}Cars: {GOLD}", P315),"")</f>
        <v>{BLACK}Cars: {GOLD}7</v>
      </c>
      <c r="CK315" s="1" t="s">
        <v>1222</v>
      </c>
      <c r="CM315" s="25"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25" t="str">
        <f aca="false">_xlfn.CONCAT(CI315,IF(CI315 &lt;&gt; "", " ", ""),CJ315,IF(OR(CJ315&lt;&gt;"", CI315&lt;&gt;""), "{}",""), CH315, CM315,"{SILVER}", CK315)</f>
        <v>{BLACK}Cars: {GOLD}7{}{BLACK}Length: {GOLD}6.2 tiles{}{YELLOW}10% bonus for long distance travel{}{SILVER}The Class 222 is the final development of the Bombardier DEMU series, built first for the Midland Main Line and later seeing service in Scotland and with Open-Access operators.</v>
      </c>
    </row>
    <row r="316" s="1" customFormat="true" ht="14.25" hidden="false" customHeight="false" outlineLevel="0" collapsed="false">
      <c r="A316" s="1" t="s">
        <v>1217</v>
      </c>
      <c r="B316" s="26" t="s">
        <v>1231</v>
      </c>
      <c r="C316" s="1" t="n">
        <v>3084</v>
      </c>
      <c r="D316" s="1" t="n">
        <v>3081</v>
      </c>
      <c r="E316" s="1" t="n">
        <v>395</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198</v>
      </c>
      <c r="J316" s="1" t="s">
        <v>423</v>
      </c>
      <c r="K316" s="1" t="s">
        <v>482</v>
      </c>
      <c r="L316" s="1" t="s">
        <v>149</v>
      </c>
      <c r="M316" s="1" t="n">
        <v>2003</v>
      </c>
      <c r="P316" s="1" t="n">
        <v>9</v>
      </c>
      <c r="Q316" s="1" t="n">
        <f aca="false">750*P316</f>
        <v>6750</v>
      </c>
      <c r="R316" s="2"/>
      <c r="S316" s="3"/>
      <c r="T316" s="3"/>
      <c r="U316" s="3"/>
      <c r="V316" s="3"/>
      <c r="W316" s="3"/>
      <c r="X316" s="3"/>
      <c r="Y316" s="3"/>
      <c r="Z316" s="1" t="n">
        <f aca="false">Z315+(37.3*2)</f>
        <v>373</v>
      </c>
      <c r="AA316" s="2"/>
      <c r="AB316" s="1" t="n">
        <v>5</v>
      </c>
      <c r="AC316" s="1" t="n">
        <f aca="false">54*P316</f>
        <v>486</v>
      </c>
      <c r="AD316" s="4" t="n">
        <f aca="false">IF(AND(Z316&gt;0,AC316&gt;0),(AC316/((Z316+AA316)*10)),"")</f>
        <v>0.13029490616622</v>
      </c>
      <c r="AE316" s="1" t="n">
        <v>125</v>
      </c>
      <c r="AF316" s="1" t="n">
        <f aca="false">ROUND(AE316*1.6, 0)</f>
        <v>200</v>
      </c>
      <c r="AI316" s="1" t="n">
        <v>23.8</v>
      </c>
      <c r="AJ316" s="1" t="n">
        <v>23.8</v>
      </c>
      <c r="AK316" s="1" t="n">
        <v>2.73</v>
      </c>
      <c r="AM316" s="5" t="n">
        <v>51</v>
      </c>
      <c r="AN316" s="1" t="str">
        <f aca="false">CONCATENATE(VLOOKUP(AO316, '[1]Voxel Sizes'!$A$2:$B$18,2,FALSE()),"x",INT(AK316*15), "x", INT(AL316*15))</f>
        <v>238x40x0</v>
      </c>
      <c r="AO316" s="1" t="n">
        <f aca="false">ROUND(15*((AJ316*10)/256),0)</f>
        <v>14</v>
      </c>
      <c r="AQ316" s="1" t="str">
        <f aca="false">CONCATENATE(VLOOKUP(AO316,Constants!$A$2:$C$16,IF(AP316&lt;&gt;"", 3, 2), FALSE()),IF(AP316&lt;&gt;"",CONCATENATE(",",VLOOKUP(AP316,$B:$AQ,42,FALSE())),""))</f>
        <v>4,6,4</v>
      </c>
      <c r="AS316" s="6"/>
      <c r="AT316" s="6"/>
      <c r="AU316" s="1" t="s">
        <v>1232</v>
      </c>
      <c r="AW316" s="1" t="s">
        <v>1199</v>
      </c>
      <c r="AX316" s="1" t="s">
        <v>1220</v>
      </c>
      <c r="BA316" s="1" t="n">
        <v>29</v>
      </c>
      <c r="BB316" s="16" t="str">
        <f aca="false">IF(O316&lt;&gt;"",MAX(16,(O316-M316)+8),"")</f>
        <v/>
      </c>
      <c r="BC316" s="1" t="n">
        <v>-15</v>
      </c>
      <c r="BD316" s="1" t="n">
        <v>-35</v>
      </c>
      <c r="BE316" s="1" t="n">
        <f aca="false">MIN(AE316/150, 1)*30</f>
        <v>25</v>
      </c>
      <c r="BF316" s="1" t="n">
        <f aca="false">MIN(Q316/4000, 1)*20</f>
        <v>20</v>
      </c>
      <c r="BG316" s="1" t="n">
        <f aca="false">MIN(AC316/400,1)*20</f>
        <v>20</v>
      </c>
      <c r="BH316" s="4" t="n">
        <f aca="false">1-(MAX(M316-1900, 0)/750)</f>
        <v>0.862666666666667</v>
      </c>
      <c r="BI316" s="1" t="n">
        <f aca="false">((MAX($P316,1)*MIN($AM316/300,1)))*IF(J316="Wagon",50,10)</f>
        <v>15.3</v>
      </c>
      <c r="BJ316" s="1" t="n">
        <f aca="false">VLOOKUP($K316,Constants!$I:$K, 2, FALSE())</f>
        <v>1</v>
      </c>
      <c r="BK316" s="1" t="n">
        <f aca="false">VLOOKUP($K316,Constants!$I:$K, 3, FALSE())*IF(AND(J316="multiple_unit",AE316&lt;110),0.75,1)</f>
        <v>2</v>
      </c>
      <c r="BL316" s="25" t="n">
        <f aca="false">INT(POWER((([1]Constants!$G$2+$BE316+$BF316+$BG316+$BI316)*$BH316)*$BK316, 1.05))+$BD316</f>
        <v>153</v>
      </c>
      <c r="BM316" s="25" t="n">
        <f aca="false">INT(POWER(((([1]Constants!$G$1+$BE316+$BF316+$BG316+$BI316)*($BH316))*$BJ316),IF($J316="wagon",1,1.2)))+$BC316</f>
        <v>183</v>
      </c>
      <c r="BN316" s="17" t="n">
        <f aca="false">BL316*IF($J316="wagon",62.5,781.25)</f>
        <v>119531.25</v>
      </c>
      <c r="BO316" s="17" t="n">
        <f aca="false">BM316*IF($J316="wagon",2.73,81.25)</f>
        <v>14868.75</v>
      </c>
      <c r="BU316" s="1" t="s">
        <v>1233</v>
      </c>
      <c r="BX316" s="25" t="s">
        <v>1230</v>
      </c>
      <c r="BY316" s="1" t="n">
        <v>10</v>
      </c>
      <c r="BZ316" s="1" t="n">
        <v>205</v>
      </c>
      <c r="CC316" s="1" t="s">
        <v>327</v>
      </c>
      <c r="CD316" s="25" t="s">
        <v>1161</v>
      </c>
      <c r="CE316" s="25" t="s">
        <v>939</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{GOLD}7.9 tiles{}</v>
      </c>
      <c r="CI316" s="1" t="n">
        <f aca="false">VLOOKUP($CG316, Constants!$M:$N, 2, FALSE())</f>
        <v>0</v>
      </c>
      <c r="CJ316" s="1" t="str">
        <f aca="false">IF(P316&gt;1,_xlfn.CONCAT("{BLACK}Cars: {GOLD}", P316),"")</f>
        <v>{BLACK}Cars: {GOLD}9</v>
      </c>
      <c r="CK316" s="1" t="s">
        <v>1222</v>
      </c>
      <c r="CM316" s="25"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{YELLOW}10% bonus for long distance travel{}</v>
      </c>
      <c r="CN316" s="25" t="str">
        <f aca="false">_xlfn.CONCAT(CI316,IF(CI316 &lt;&gt; "", " ", ""),CJ316,IF(OR(CJ316&lt;&gt;"", CI316&lt;&gt;""), "{}",""), CH316, CM316,"{SILVER}", CK316)</f>
        <v>{BLACK}Cars: {GOLD}9{}{BLACK}Length: {GOLD}7.9 tiles{}{YELLOW}10% bonus for long distance travel{}{SILVER}The Class 222 is the final development of the Bombardier DEMU series, built first for the Midland Main Line and later seeing service in Scotland and with Open-Access operators.</v>
      </c>
    </row>
    <row r="317" customFormat="false" ht="14.25" hidden="false" customHeight="false" outlineLevel="0" collapsed="false">
      <c r="A317" s="1" t="s">
        <v>1234</v>
      </c>
      <c r="B317" s="15" t="s">
        <v>1235</v>
      </c>
      <c r="C317" s="1" t="n">
        <v>268</v>
      </c>
      <c r="E317" s="1" t="n">
        <v>396</v>
      </c>
      <c r="G317" s="1" t="str">
        <f aca="false">IF($F317&lt;&gt;"",_xlfn.CONCAT(VLOOKUP($CE317, Constants!$T:$U, 2, FALSE()),",",$F317),VLOOKUP($CE317, Constants!$T:$U, 2, FALSE()))</f>
        <v>role/passenger</v>
      </c>
      <c r="H317" s="1" t="str">
        <f aca="false">IF($G317&lt;&gt;"",_xlfn.CONCAT(VLOOKUP($CG317, Constants!$M:$P, 4, FALSE()),",",$G317),VLOOKUP($CG317, Constants!$M:$P, 4, FALSE()))</f>
        <v>flag/GB,power/electric,role/passenger</v>
      </c>
      <c r="I317" s="1" t="s">
        <v>198</v>
      </c>
      <c r="J317" s="1" t="s">
        <v>423</v>
      </c>
      <c r="K317" s="1" t="s">
        <v>349</v>
      </c>
      <c r="L317" s="1" t="s">
        <v>350</v>
      </c>
      <c r="M317" s="1" t="n">
        <v>2002</v>
      </c>
      <c r="N317" s="1" t="n">
        <v>2006</v>
      </c>
      <c r="P317" s="1" t="n">
        <v>4</v>
      </c>
      <c r="Q317" s="1" t="n">
        <v>2080</v>
      </c>
      <c r="Z317" s="1" t="n">
        <v>170</v>
      </c>
      <c r="AB317" s="1" t="n">
        <v>5</v>
      </c>
      <c r="AC317" s="1" t="n">
        <v>180</v>
      </c>
      <c r="AD317" s="4" t="n">
        <f aca="false">IF(AND(Z317&gt;0,AC317&gt;0),(AC317/((Z317+AA317)*10)),"")</f>
        <v>0.105882352941176</v>
      </c>
      <c r="AE317" s="1" t="n">
        <v>100</v>
      </c>
      <c r="AF317" s="1" t="n">
        <f aca="false">ROUND(AE317*1.6, 0)</f>
        <v>160</v>
      </c>
      <c r="AI317" s="1" t="n">
        <v>20.4</v>
      </c>
      <c r="AJ317" s="1" t="n">
        <v>20.4</v>
      </c>
      <c r="AK317" s="1" t="n">
        <v>2.8</v>
      </c>
      <c r="AM317" s="5" t="n">
        <v>69</v>
      </c>
      <c r="AN317" s="1" t="str">
        <f aca="false">CONCATENATE(VLOOKUP(AO317, 'Voxel Sizes'!$A$2:$B$18,2,FALSE()),"x",INT(AK317*15), "x", INT(AL317*15))</f>
        <v>198x42x0</v>
      </c>
      <c r="AO317" s="1" t="n">
        <f aca="false">ROUND(15*((AJ317*10)/256),0)</f>
        <v>12</v>
      </c>
      <c r="AQ317" s="1" t="str">
        <f aca="false">CONCATENATE(VLOOKUP(AO317,Constants!$A$2:$C$16,IF(AP317&lt;&gt;"", 3, 2), FALSE()),IF(AP317&lt;&gt;"",CONCATENATE(",",VLOOKUP(AP317,$B:$AQ,42,FALSE())),""))</f>
        <v>4,4,4</v>
      </c>
      <c r="AU317" s="1" t="s">
        <v>1236</v>
      </c>
      <c r="AW317" s="1" t="s">
        <v>898</v>
      </c>
      <c r="BA317" s="1" t="n">
        <v>28</v>
      </c>
      <c r="BB317" s="16" t="str">
        <f aca="false">IF(O317&lt;&gt;"",MAX(16,(O317-M317)+8),"")</f>
        <v/>
      </c>
      <c r="BC317" s="1" t="n">
        <v>-15</v>
      </c>
      <c r="BD317" s="1" t="n">
        <v>-30</v>
      </c>
      <c r="BE317" s="1" t="n">
        <f aca="false">MIN(AE317/150, 1)*30</f>
        <v>20</v>
      </c>
      <c r="BF317" s="1" t="n">
        <f aca="false">MIN(Q317/4000, 1)*20</f>
        <v>10.4</v>
      </c>
      <c r="BG317" s="1" t="n">
        <f aca="false">MIN(AC317/400,1)*20</f>
        <v>9</v>
      </c>
      <c r="BH317" s="4" t="n">
        <f aca="false">1-(MAX(M317-1900, 0)/750)</f>
        <v>0.864</v>
      </c>
      <c r="BI317" s="1" t="n">
        <f aca="false">((MAX($P317,1)*MIN($AM317/300,1)))*IF(J317="Wagon",50,10)</f>
        <v>9.2</v>
      </c>
      <c r="BJ317" s="1" t="n">
        <f aca="false">VLOOKUP($K317,Constants!$I:$K, 2, FALSE())</f>
        <v>0.85</v>
      </c>
      <c r="BK317" s="1" t="n">
        <f aca="false">VLOOKUP($K317,Constants!$I:$K, 3, FALSE())*IF(AND(J317="multiple_unit",AE317&lt;110),0.75,1)</f>
        <v>1.725</v>
      </c>
      <c r="BL317" s="1" t="n">
        <f aca="false">INT(POWER(((Constants!$G$2+$BE317+$BF317+$BG317+$BI317)*$BH317)*$BK317, 1.05))+$BD317</f>
        <v>69</v>
      </c>
      <c r="BM317" s="1" t="n">
        <f aca="false">INT(POWER((((Constants!$G$1+$BE317+$BF317+$BG317+$BI317)*($BH317))*$BJ317),IF($J317="wagon",1,1.2)))+$BC317</f>
        <v>85</v>
      </c>
      <c r="BN317" s="17" t="n">
        <f aca="false">BL317*IF($J317="wagon",62.5,781.25)</f>
        <v>53906.25</v>
      </c>
      <c r="BO317" s="17" t="n">
        <f aca="false">BM317*IF($J317="wagon",2.73,81.25)</f>
        <v>6906.25</v>
      </c>
      <c r="BY317" s="1" t="n">
        <v>3</v>
      </c>
      <c r="BZ317" s="1" t="n">
        <v>185</v>
      </c>
      <c r="CC317" s="1" t="s">
        <v>327</v>
      </c>
      <c r="CD317" s="1" t="str">
        <f aca="false">VLOOKUP(M317,Eras!$A$2:$C$10, 2, TRUE())</f>
        <v>prv</v>
      </c>
      <c r="CE317" s="1" t="s">
        <v>785</v>
      </c>
      <c r="CF317" s="1" t="str">
        <f aca="false">CONCATENATE(CD317,"_",CE317)</f>
        <v>prv_EMU</v>
      </c>
      <c r="CG317" s="1" t="str">
        <f aca="false">_xlfn.CONCAT(K317, "_",L317)</f>
        <v>electric_ELRL</v>
      </c>
      <c r="CH317" s="7" t="str">
        <f aca="false">_xlfn.CONCAT("{BLACK}Length: {GOLD}", TEXT(ROUNDUP(IF(AT317&lt;&gt;"",SUM(VALUE(_xlfn.TEXTSPLIT(AT317, ","))), SUM(VALUE(_xlfn.TEXTSPLIT(AQ317, ",")))*IF(P317, P317, 1))/16, 1), "#,##0.0"), " tiles{}")</f>
        <v>{BLACK}Length: {GOLD}3.0 tiles{}</v>
      </c>
      <c r="CI317" s="1" t="n">
        <f aca="false">VLOOKUP($CG317, Constants!$M:$N, 2, FALSE())</f>
        <v>0</v>
      </c>
      <c r="CJ317" s="1" t="str">
        <f aca="false">IF(P317&gt;1,_xlfn.CONCAT("{BLACK}Cars: {GOLD}", P317),"")</f>
        <v>{BLACK}Cars: {GOLD}4</v>
      </c>
      <c r="CK317" s="1" t="s">
        <v>1237</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{BLACK}Cars: {GOLD}4{}{BLACK}Length: {GOLD}3.0 tiles{}{SILVER}The Class 360 is an AC version of the Desiro family of units, ordered to replace slam-door stock on the Great Eastern Main Line.</v>
      </c>
    </row>
    <row r="318" customFormat="false" ht="14.25" hidden="false" customHeight="false" outlineLevel="0" collapsed="false">
      <c r="A318" s="1" t="s">
        <v>1238</v>
      </c>
      <c r="B318" s="15" t="s">
        <v>1239</v>
      </c>
      <c r="C318" s="1" t="n">
        <v>270</v>
      </c>
      <c r="E318" s="1" t="n">
        <v>397</v>
      </c>
      <c r="G318" s="1" t="str">
        <f aca="false">IF($F318&lt;&gt;"",_xlfn.CONCAT(VLOOKUP($CE318, Constants!$T:$U, 2, FALSE()),",",$F318),VLOOKUP($CE318, Constants!$T:$U, 2, FALSE()))</f>
        <v>role/passenger</v>
      </c>
      <c r="H318" s="1" t="str">
        <f aca="false">IF($G318&lt;&gt;"",_xlfn.CONCAT(VLOOKUP($CG318, Constants!$M:$P, 4, FALSE()),",",$G318),VLOOKUP($CG318, Constants!$M:$P, 4, FALSE()))</f>
        <v>flag/GB,power/electric,role/passenger</v>
      </c>
      <c r="I318" s="1" t="s">
        <v>198</v>
      </c>
      <c r="J318" s="1" t="s">
        <v>423</v>
      </c>
      <c r="K318" s="1" t="s">
        <v>349</v>
      </c>
      <c r="L318" s="1" t="s">
        <v>498</v>
      </c>
      <c r="M318" s="1" t="n">
        <v>2003</v>
      </c>
      <c r="N318" s="1" t="n">
        <v>2006</v>
      </c>
      <c r="P318" s="1" t="n">
        <v>4</v>
      </c>
      <c r="Q318" s="1" t="n">
        <v>2010</v>
      </c>
      <c r="Z318" s="1" t="n">
        <v>170</v>
      </c>
      <c r="AB318" s="1" t="n">
        <v>5</v>
      </c>
      <c r="AC318" s="1" t="n">
        <v>180</v>
      </c>
      <c r="AD318" s="4" t="n">
        <f aca="false">IF(AND(Z318&gt;0,AC318&gt;0),(AC318/((Z318+AA318)*10)),"")</f>
        <v>0.105882352941176</v>
      </c>
      <c r="AE318" s="1" t="n">
        <v>100</v>
      </c>
      <c r="AF318" s="1" t="n">
        <f aca="false">ROUND(AE318*1.6, 0)</f>
        <v>160</v>
      </c>
      <c r="AI318" s="1" t="n">
        <v>20.4</v>
      </c>
      <c r="AJ318" s="1" t="n">
        <v>20.4</v>
      </c>
      <c r="AK318" s="1" t="n">
        <v>2.8</v>
      </c>
      <c r="AM318" s="5" t="n">
        <v>66</v>
      </c>
      <c r="AN318" s="1" t="str">
        <f aca="false">CONCATENATE(VLOOKUP(AO318, 'Voxel Sizes'!$A$2:$B$18,2,FALSE()),"x",INT(AK318*15), "x", INT(AL318*15))</f>
        <v>198x42x0</v>
      </c>
      <c r="AO318" s="1" t="n">
        <f aca="false">ROUND(15*((AJ318*10)/256),0)</f>
        <v>12</v>
      </c>
      <c r="AQ318" s="1" t="str">
        <f aca="false">CONCATENATE(VLOOKUP(AO318,Constants!$A$2:$C$16,IF(AP318&lt;&gt;"", 3, 2), FALSE()),IF(AP318&lt;&gt;"",CONCATENATE(",",VLOOKUP(AP318,$B:$AQ,42,FALSE())),""))</f>
        <v>4,4,4</v>
      </c>
      <c r="AU318" s="1" t="s">
        <v>1240</v>
      </c>
      <c r="AW318" s="1" t="s">
        <v>898</v>
      </c>
      <c r="BA318" s="1" t="n">
        <v>28</v>
      </c>
      <c r="BB318" s="16" t="str">
        <f aca="false">IF(O318&lt;&gt;"",MAX(16,(O318-M318)+8),"")</f>
        <v/>
      </c>
      <c r="BC318" s="1" t="n">
        <v>-16</v>
      </c>
      <c r="BD318" s="1" t="n">
        <v>-28</v>
      </c>
      <c r="BE318" s="1" t="n">
        <f aca="false">MIN(AE318/150, 1)*30</f>
        <v>20</v>
      </c>
      <c r="BF318" s="1" t="n">
        <f aca="false">MIN(Q318/4000, 1)*20</f>
        <v>10.05</v>
      </c>
      <c r="BG318" s="1" t="n">
        <f aca="false">MIN(AC318/400,1)*20</f>
        <v>9</v>
      </c>
      <c r="BH318" s="4" t="n">
        <f aca="false">1-(MAX(M318-1900, 0)/750)</f>
        <v>0.862666666666667</v>
      </c>
      <c r="BI318" s="1" t="n">
        <f aca="false">((MAX($P318,1)*MIN($AM318/300,1)))*IF(J318="Wagon",50,10)</f>
        <v>8.8</v>
      </c>
      <c r="BJ318" s="1" t="n">
        <f aca="false">VLOOKUP($K318,Constants!$I:$K, 2, FALSE())</f>
        <v>0.85</v>
      </c>
      <c r="BK318" s="1" t="n">
        <f aca="false">VLOOKUP($K318,Constants!$I:$K, 3, FALSE())*IF(AND(J318="multiple_unit",AE318&lt;110),0.75,1)</f>
        <v>1.725</v>
      </c>
      <c r="BL318" s="1" t="n">
        <f aca="false">INT(POWER(((Constants!$G$2+$BE318+$BF318+$BG318+$BI318)*$BH318)*$BK318, 1.05))+$BD318</f>
        <v>69</v>
      </c>
      <c r="BM318" s="1" t="n">
        <f aca="false">INT(POWER((((Constants!$G$1+$BE318+$BF318+$BG318+$BI318)*($BH318))*$BJ318),IF($J318="wagon",1,1.2)))+$BC318</f>
        <v>83</v>
      </c>
      <c r="BN318" s="17" t="n">
        <f aca="false">BL318*IF($J318="wagon",62.5,781.25)</f>
        <v>53906.25</v>
      </c>
      <c r="BO318" s="17" t="n">
        <f aca="false">BM318*IF($J318="wagon",2.73,81.25)</f>
        <v>6743.75</v>
      </c>
      <c r="BU318" s="1" t="s">
        <v>1241</v>
      </c>
      <c r="BY318" s="1" t="n">
        <v>1</v>
      </c>
      <c r="BZ318" s="1" t="n">
        <v>185</v>
      </c>
      <c r="CC318" s="1" t="s">
        <v>327</v>
      </c>
      <c r="CD318" s="1" t="str">
        <f aca="false">VLOOKUP(M318,Eras!$A$2:$C$10, 2, TRUE())</f>
        <v>prv</v>
      </c>
      <c r="CE318" s="1" t="s">
        <v>785</v>
      </c>
      <c r="CF318" s="1" t="str">
        <f aca="false">CONCATENATE(CD318,"_",CE318)</f>
        <v>prv_EMU</v>
      </c>
      <c r="CG318" s="1" t="str">
        <f aca="false">_xlfn.CONCAT(K318, "_",L318)</f>
        <v>electric_THIRD_RAIL</v>
      </c>
      <c r="CH318" s="7" t="str">
        <f aca="false">_xlfn.CONCAT("{BLACK}Length: {GOLD}", TEXT(ROUNDUP(IF(AT318&lt;&gt;"",SUM(VALUE(_xlfn.TEXTSPLIT(AT318, ","))), SUM(VALUE(_xlfn.TEXTSPLIT(AQ318, ",")))*IF(P318, P318, 1))/16, 1), "#,##0.0"), " tiles{}")</f>
        <v>{BLACK}Length: {GOLD}3.0 tiles{}</v>
      </c>
      <c r="CI318" s="1" t="n">
        <f aca="false">VLOOKUP($CG318, Constants!$M:$N, 2, FALSE())</f>
        <v>0</v>
      </c>
      <c r="CJ318" s="1" t="str">
        <f aca="false">IF(P318&gt;1,_xlfn.CONCAT("{BLACK}Cars: {GOLD}", P318),"")</f>
        <v>{BLACK}Cars: {GOLD}4</v>
      </c>
      <c r="CK318" s="1" t="s">
        <v>1242</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{GOLD}4{}{BLACK}Length: {GOLD}3.0 tiles{}{SILVER}The Class 450 was designed for South West Trains to replace all slam-door stock. The large order meant the Class 450 became the most numerous type of Desiro unit in the UK.</v>
      </c>
    </row>
    <row r="319" customFormat="false" ht="14.25" hidden="false" customHeight="false" outlineLevel="0" collapsed="false">
      <c r="A319" s="1" t="s">
        <v>1243</v>
      </c>
      <c r="B319" s="15" t="s">
        <v>1241</v>
      </c>
      <c r="C319" s="1" t="n">
        <v>271</v>
      </c>
      <c r="E319" s="1" t="n">
        <v>398</v>
      </c>
      <c r="G319" s="1" t="str">
        <f aca="false">IF($F319&lt;&gt;"",_xlfn.CONCAT(VLOOKUP($CE319, Constants!$T:$U, 2, FALSE()),",",$F319),VLOOKUP($CE319, Constants!$T:$U, 2, FALSE()))</f>
        <v>role/express_passenger</v>
      </c>
      <c r="H319" s="1" t="str">
        <f aca="false">IF($G319&lt;&gt;"",_xlfn.CONCAT(VLOOKUP($CG319, Constants!$M:$P, 4, FALSE()),",",$G319),VLOOKUP($CG319, Constants!$M:$P, 4, FALSE()))</f>
        <v>flag/GB,power/electric,role/express_passenger</v>
      </c>
      <c r="I319" s="1" t="s">
        <v>198</v>
      </c>
      <c r="J319" s="1" t="s">
        <v>423</v>
      </c>
      <c r="K319" s="1" t="s">
        <v>349</v>
      </c>
      <c r="L319" s="1" t="s">
        <v>498</v>
      </c>
      <c r="M319" s="1" t="n">
        <v>2004</v>
      </c>
      <c r="P319" s="1" t="n">
        <v>5</v>
      </c>
      <c r="Q319" s="1" t="n">
        <v>2680</v>
      </c>
      <c r="Z319" s="1" t="n">
        <v>227</v>
      </c>
      <c r="AB319" s="1" t="n">
        <v>5</v>
      </c>
      <c r="AC319" s="1" t="n">
        <v>210</v>
      </c>
      <c r="AD319" s="4" t="n">
        <f aca="false">IF(AND(Z319&gt;0,AC319&gt;0),(AC319/((Z319+AA319)*10)),"")</f>
        <v>0.092511013215859</v>
      </c>
      <c r="AE319" s="1" t="n">
        <v>100</v>
      </c>
      <c r="AF319" s="1" t="n">
        <f aca="false">ROUND(AE319*1.6, 0)</f>
        <v>160</v>
      </c>
      <c r="AI319" s="1" t="n">
        <v>23</v>
      </c>
      <c r="AJ319" s="1" t="n">
        <v>23</v>
      </c>
      <c r="AK319" s="1" t="n">
        <v>2.8</v>
      </c>
      <c r="AM319" s="5" t="n">
        <v>66</v>
      </c>
      <c r="AN319" s="1" t="str">
        <f aca="false">CONCATENATE(VLOOKUP(AO319, 'Voxel Sizes'!$A$2:$B$18,2,FALSE()),"x",INT(AK319*15), "x", INT(AL319*15))</f>
        <v>214x42x0</v>
      </c>
      <c r="AO319" s="1" t="n">
        <f aca="false">ROUND(15*((AJ319*10)/256),0)</f>
        <v>13</v>
      </c>
      <c r="AQ319" s="1" t="str">
        <f aca="false">CONCATENATE(VLOOKUP(AO319,Constants!$A$2:$C$16,IF(AP319&lt;&gt;"", 3, 2), FALSE()),IF(AP319&lt;&gt;"",CONCATENATE(",",VLOOKUP(AP319,$B:$AQ,42,FALSE())),""))</f>
        <v>4,5,4</v>
      </c>
      <c r="AU319" s="1" t="s">
        <v>1244</v>
      </c>
      <c r="AW319" s="1" t="s">
        <v>841</v>
      </c>
      <c r="BA319" s="1" t="n">
        <v>28</v>
      </c>
      <c r="BB319" s="16" t="str">
        <f aca="false">IF(O319&lt;&gt;"",MAX(16,(O319-M319)+8),"")</f>
        <v/>
      </c>
      <c r="BC319" s="1" t="n">
        <v>-15</v>
      </c>
      <c r="BD319" s="1" t="n">
        <v>-35</v>
      </c>
      <c r="BE319" s="1" t="n">
        <f aca="false">MIN(AE319/150, 1)*30</f>
        <v>20</v>
      </c>
      <c r="BF319" s="1" t="n">
        <f aca="false">MIN(Q319/4000, 1)*20</f>
        <v>13.4</v>
      </c>
      <c r="BG319" s="1" t="n">
        <f aca="false">MIN(AC319/400,1)*20</f>
        <v>10.5</v>
      </c>
      <c r="BH319" s="4" t="n">
        <f aca="false">1-(MAX(M319-1900, 0)/750)</f>
        <v>0.861333333333333</v>
      </c>
      <c r="BI319" s="1" t="n">
        <f aca="false">((MAX($P319,1)*MIN($AM319/300,1)))*IF(J319="Wagon",50,10)</f>
        <v>11</v>
      </c>
      <c r="BJ319" s="1" t="n">
        <f aca="false">VLOOKUP($K319,Constants!$I:$K, 2, FALSE())</f>
        <v>0.85</v>
      </c>
      <c r="BK319" s="1" t="n">
        <f aca="false">VLOOKUP($K319,Constants!$I:$K, 3, FALSE())*IF(AND(J319="multiple_unit",AE319&lt;110),0.75,1)</f>
        <v>1.725</v>
      </c>
      <c r="BL319" s="1" t="n">
        <f aca="false">INT(POWER(((Constants!$G$2+$BE319+$BF319+$BG319+$BI319)*$BH319)*$BK319, 1.05))+$BD319</f>
        <v>76</v>
      </c>
      <c r="BM319" s="1" t="n">
        <f aca="false">INT(POWER((((Constants!$G$1+$BE319+$BF319+$BG319+$BI319)*($BH319))*$BJ319),IF($J319="wagon",1,1.2)))+$BC319</f>
        <v>97</v>
      </c>
      <c r="BN319" s="17" t="n">
        <f aca="false">BL319*IF($J319="wagon",62.5,781.25)</f>
        <v>59375</v>
      </c>
      <c r="BO319" s="17" t="n">
        <f aca="false">BM319*IF($J319="wagon",2.73,81.25)</f>
        <v>7881.25</v>
      </c>
      <c r="BU319" s="1" t="s">
        <v>1239</v>
      </c>
      <c r="BX319" s="1" t="s">
        <v>1173</v>
      </c>
      <c r="BY319" s="1" t="n">
        <v>3</v>
      </c>
      <c r="BZ319" s="1" t="n">
        <v>205</v>
      </c>
      <c r="CC319" s="1" t="s">
        <v>327</v>
      </c>
      <c r="CD319" s="1" t="str">
        <f aca="false">VLOOKUP(M319,Eras!$A$2:$C$10, 2, TRUE())</f>
        <v>prv</v>
      </c>
      <c r="CE319" s="1" t="s">
        <v>842</v>
      </c>
      <c r="CF319" s="1" t="str">
        <f aca="false">CONCATENATE(CD319,"_",CE319)</f>
        <v>prv_EMU (Express)</v>
      </c>
      <c r="CG319" s="1" t="str">
        <f aca="false">_xlfn.CONCAT(K319, "_",L319)</f>
        <v>electric_THIRD_RAIL</v>
      </c>
      <c r="CH319" s="7" t="str">
        <f aca="false">_xlfn.CONCAT("{BLACK}Length: {GOLD}", TEXT(ROUNDUP(IF(AT319&lt;&gt;"",SUM(VALUE(_xlfn.TEXTSPLIT(AT319, ","))), SUM(VALUE(_xlfn.TEXTSPLIT(AQ319, ",")))*IF(P319, P319, 1))/16, 1), "#,##0.0"), " tiles{}")</f>
        <v>{BLACK}Length: {GOLD}4.1 tiles{}</v>
      </c>
      <c r="CI319" s="1" t="n">
        <f aca="false">VLOOKUP($CG319, Constants!$M:$N, 2, FALSE())</f>
        <v>0</v>
      </c>
      <c r="CJ319" s="1" t="str">
        <f aca="false">IF(P319&gt;1,_xlfn.CONCAT("{BLACK}Cars: {GOLD}", P319),"")</f>
        <v>{BLACK}Cars: {GOLD}5</v>
      </c>
      <c r="CK319" s="1" t="s">
        <v>1245</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0" customFormat="false" ht="14.25" hidden="false" customHeight="false" outlineLevel="0" collapsed="false">
      <c r="A320" s="1" t="s">
        <v>1243</v>
      </c>
      <c r="B320" s="15" t="s">
        <v>1246</v>
      </c>
      <c r="C320" s="1" t="n">
        <v>272</v>
      </c>
      <c r="E320" s="1" t="n">
        <v>399</v>
      </c>
      <c r="G320" s="1" t="str">
        <f aca="false">IF($F320&lt;&gt;"",_xlfn.CONCAT(VLOOKUP($CE320, Constants!$T:$U, 2, FALSE()),",",$F320),VLOOKUP($CE320, Constants!$T:$U, 2, FALSE()))</f>
        <v>role/express_passenger</v>
      </c>
      <c r="H320" s="1" t="str">
        <f aca="false">IF($G320&lt;&gt;"",_xlfn.CONCAT(VLOOKUP($CG320, Constants!$M:$P, 4, FALSE()),",",$G320),VLOOKUP($CG320, Constants!$M:$P, 4, FALSE()))</f>
        <v>flag/GB,power/electric,role/express_passenger</v>
      </c>
      <c r="I320" s="1" t="s">
        <v>198</v>
      </c>
      <c r="J320" s="1" t="s">
        <v>423</v>
      </c>
      <c r="K320" s="1" t="s">
        <v>349</v>
      </c>
      <c r="L320" s="1" t="s">
        <v>498</v>
      </c>
      <c r="M320" s="1" t="n">
        <v>2004</v>
      </c>
      <c r="P320" s="1" t="n">
        <v>4</v>
      </c>
      <c r="Q320" s="1" t="n">
        <v>2680</v>
      </c>
      <c r="Z320" s="1" t="n">
        <f aca="false">227/5*4</f>
        <v>181.6</v>
      </c>
      <c r="AB320" s="1" t="n">
        <v>5</v>
      </c>
      <c r="AC320" s="1" t="n">
        <v>210</v>
      </c>
      <c r="AD320" s="4" t="n">
        <f aca="false">IF(AND(Z320&gt;0,AC320&gt;0),(AC320/((Z320+AA320)*10)),"")</f>
        <v>0.115638766519824</v>
      </c>
      <c r="AE320" s="1" t="n">
        <v>100</v>
      </c>
      <c r="AF320" s="1" t="n">
        <f aca="false">ROUND(AE320*1.6, 0)</f>
        <v>160</v>
      </c>
      <c r="AI320" s="1" t="n">
        <v>23</v>
      </c>
      <c r="AJ320" s="1" t="n">
        <v>23</v>
      </c>
      <c r="AK320" s="1" t="n">
        <v>2.8</v>
      </c>
      <c r="AM320" s="5" t="n">
        <v>66</v>
      </c>
      <c r="AN320" s="1" t="str">
        <f aca="false">CONCATENATE(VLOOKUP(AO320, 'Voxel Sizes'!$A$2:$B$18,2,FALSE()),"x",INT(AK320*15), "x", INT(AL320*15))</f>
        <v>214x42x0</v>
      </c>
      <c r="AO320" s="1" t="n">
        <f aca="false">ROUND(15*((AJ320*10)/256),0)</f>
        <v>13</v>
      </c>
      <c r="AQ320" s="1" t="str">
        <f aca="false">CONCATENATE(VLOOKUP(AO320,Constants!$A$2:$C$16,IF(AP320&lt;&gt;"", 3, 2), FALSE()),IF(AP320&lt;&gt;"",CONCATENATE(",",VLOOKUP(AP320,$B:$AQ,42,FALSE())),""))</f>
        <v>4,5,4</v>
      </c>
      <c r="AU320" s="1" t="s">
        <v>1247</v>
      </c>
      <c r="AW320" s="1" t="s">
        <v>812</v>
      </c>
      <c r="AX320" s="1" t="s">
        <v>1241</v>
      </c>
      <c r="BA320" s="1" t="n">
        <v>28</v>
      </c>
      <c r="BB320" s="16" t="str">
        <f aca="false">IF(O320&lt;&gt;"",MAX(16,(O320-M320)+8),"")</f>
        <v/>
      </c>
      <c r="BC320" s="1" t="n">
        <v>-15</v>
      </c>
      <c r="BD320" s="1" t="n">
        <v>-35</v>
      </c>
      <c r="BE320" s="1" t="n">
        <f aca="false">MIN(AE320/150, 1)*30</f>
        <v>20</v>
      </c>
      <c r="BF320" s="1" t="n">
        <f aca="false">MIN(Q320/4000, 1)*20</f>
        <v>13.4</v>
      </c>
      <c r="BG320" s="1" t="n">
        <f aca="false">MIN(AC320/400,1)*20</f>
        <v>10.5</v>
      </c>
      <c r="BH320" s="4" t="n">
        <f aca="false">1-(MAX(M320-1900, 0)/750)</f>
        <v>0.861333333333333</v>
      </c>
      <c r="BI320" s="1" t="n">
        <f aca="false">((MAX($P320,1)*MIN($AM320/300,1)))*IF(J320="Wagon",50,10)</f>
        <v>8.8</v>
      </c>
      <c r="BJ320" s="1" t="n">
        <f aca="false">VLOOKUP($K320,Constants!$I:$K, 2, FALSE())</f>
        <v>0.85</v>
      </c>
      <c r="BK320" s="1" t="n">
        <f aca="false">VLOOKUP($K320,Constants!$I:$K, 3, FALSE())*IF(AND(J320="multiple_unit",AE320&lt;110),0.75,1)</f>
        <v>1.725</v>
      </c>
      <c r="BL320" s="1" t="n">
        <f aca="false">INT(POWER(((Constants!$G$2+$BE320+$BF320+$BG320+$BI320)*$BH320)*$BK320, 1.05))+$BD320</f>
        <v>72</v>
      </c>
      <c r="BM320" s="1" t="n">
        <f aca="false">INT(POWER((((Constants!$G$1+$BE320+$BF320+$BG320+$BI320)*($BH320))*$BJ320),IF($J320="wagon",1,1.2)))+$BC320</f>
        <v>93</v>
      </c>
      <c r="BN320" s="17" t="n">
        <f aca="false">BL320*IF($J320="wagon",62.5,781.25)</f>
        <v>56250</v>
      </c>
      <c r="BO320" s="17" t="n">
        <f aca="false">BM320*IF($J320="wagon",2.73,81.25)</f>
        <v>7556.25</v>
      </c>
      <c r="BU320" s="1" t="s">
        <v>1239</v>
      </c>
      <c r="BX320" s="1" t="s">
        <v>1178</v>
      </c>
      <c r="BY320" s="1" t="n">
        <v>4</v>
      </c>
      <c r="BZ320" s="1" t="n">
        <v>205</v>
      </c>
      <c r="CC320" s="1" t="s">
        <v>327</v>
      </c>
      <c r="CD320" s="1" t="str">
        <f aca="false">VLOOKUP(M320,Eras!$A$2:$C$10, 2, TRUE())</f>
        <v>prv</v>
      </c>
      <c r="CE320" s="1" t="s">
        <v>842</v>
      </c>
      <c r="CF320" s="1" t="str">
        <f aca="false">CONCATENATE(CD320,"_",CE320)</f>
        <v>prv_EMU (Express)</v>
      </c>
      <c r="CG320" s="1" t="str">
        <f aca="false">_xlfn.CONCAT(K320, "_",L320)</f>
        <v>electric_THIRD_RAIL</v>
      </c>
      <c r="CH320" s="7" t="str">
        <f aca="false">_xlfn.CONCAT("{BLACK}Length: {GOLD}", TEXT(ROUNDUP(IF(AT320&lt;&gt;"",SUM(VALUE(_xlfn.TEXTSPLIT(AT320, ","))), SUM(VALUE(_xlfn.TEXTSPLIT(AQ320, ",")))*IF(P320, P320, 1))/16, 1), "#,##0.0"), " tiles{}")</f>
        <v>{BLACK}Length: {GOLD}3.3 tiles{}</v>
      </c>
      <c r="CI320" s="1" t="n">
        <f aca="false">VLOOKUP($CG320, Constants!$M:$N, 2, FALSE())</f>
        <v>0</v>
      </c>
      <c r="CJ320" s="1" t="str">
        <f aca="false">IF(P320&gt;1,_xlfn.CONCAT("{BLACK}Cars: {GOLD}", P320),"")</f>
        <v>{BLACK}Cars: {GOLD}4</v>
      </c>
      <c r="CK320" s="1" t="s">
        <v>1245</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1" customFormat="false" ht="14.25" hidden="false" customHeight="false" outlineLevel="0" collapsed="false">
      <c r="A321" s="1" t="s">
        <v>1248</v>
      </c>
      <c r="B321" s="19" t="s">
        <v>1249</v>
      </c>
      <c r="C321" s="1" t="n">
        <v>1053</v>
      </c>
      <c r="E321" s="1" t="n">
        <v>400</v>
      </c>
      <c r="G321" s="1" t="str">
        <f aca="false">IF($F321&lt;&gt;"",_xlfn.CONCAT(VLOOKUP($CE321, Constants!$T:$U, 2, FALSE()),",",$F321),VLOOKUP($CE321, Constants!$T:$U, 2, FALSE()))</f>
        <v>role/passenger</v>
      </c>
      <c r="H321" s="1" t="str">
        <f aca="false">IF($G321&lt;&gt;"",_xlfn.CONCAT(VLOOKUP($CG321, Constants!$M:$P, 4, FALSE()),",",$G321),VLOOKUP($CG321, Constants!$M:$P, 4, FALSE()))</f>
        <v>flag/GB,power/diesel,role/passenger</v>
      </c>
      <c r="I321" s="1" t="s">
        <v>198</v>
      </c>
      <c r="J321" s="1" t="s">
        <v>423</v>
      </c>
      <c r="K321" s="1" t="s">
        <v>482</v>
      </c>
      <c r="L321" s="1" t="s">
        <v>149</v>
      </c>
      <c r="M321" s="1" t="n">
        <v>2005</v>
      </c>
      <c r="N321" s="1" t="n">
        <v>2006</v>
      </c>
      <c r="P321" s="1" t="n">
        <v>3</v>
      </c>
      <c r="Q321" s="1" t="n">
        <f aca="false">750*3</f>
        <v>2250</v>
      </c>
      <c r="Z321" s="1" t="n">
        <v>169</v>
      </c>
      <c r="AB321" s="1" t="n">
        <v>5</v>
      </c>
      <c r="AC321" s="1" t="n">
        <v>185</v>
      </c>
      <c r="AD321" s="4" t="n">
        <f aca="false">IF(AND(Z321&gt;0,AC321&gt;0),(AC321/((Z321+AA321)*10)),"")</f>
        <v>0.109467455621302</v>
      </c>
      <c r="AE321" s="1" t="n">
        <v>100</v>
      </c>
      <c r="AF321" s="1" t="n">
        <f aca="false">ROUND(AE321*1.6, 0)</f>
        <v>160</v>
      </c>
      <c r="AI321" s="1" t="n">
        <v>20.4</v>
      </c>
      <c r="AJ321" s="1" t="n">
        <v>20.4</v>
      </c>
      <c r="AK321" s="1" t="n">
        <v>2.8</v>
      </c>
      <c r="AM321" s="5" t="n">
        <v>60</v>
      </c>
      <c r="AN321" s="16" t="s">
        <v>1250</v>
      </c>
      <c r="AO321" s="16" t="n">
        <f aca="false">ROUND(15*((AJ321*10)/256),0)</f>
        <v>12</v>
      </c>
      <c r="AQ321" s="1" t="str">
        <f aca="false">CONCATENATE(VLOOKUP(AO321,Constants!$A$2:$C$16,IF(AP321&lt;&gt;"", 3, 2), FALSE()),IF(AP321&lt;&gt;"",CONCATENATE(",",VLOOKUP(AP321,$B:$AQ,42,FALSE())),""))</f>
        <v>4,4,4</v>
      </c>
      <c r="AR321" s="1" t="n">
        <v>4</v>
      </c>
      <c r="AU321" s="1" t="s">
        <v>1251</v>
      </c>
      <c r="AW321" s="1" t="s">
        <v>425</v>
      </c>
      <c r="BA321" s="1" t="n">
        <v>28</v>
      </c>
      <c r="BB321" s="16" t="str">
        <f aca="false">IF(O321&lt;&gt;"",MAX(16,(O321-M321)+8),"")</f>
        <v/>
      </c>
      <c r="BC321" s="1" t="n">
        <v>-12</v>
      </c>
      <c r="BD321" s="1" t="n">
        <v>-30</v>
      </c>
      <c r="BE321" s="20" t="n">
        <f aca="false">MIN(AE321/150, 1)*30</f>
        <v>20</v>
      </c>
      <c r="BF321" s="20" t="n">
        <f aca="false">MIN(Q321/4000, 1)*20</f>
        <v>11.25</v>
      </c>
      <c r="BG321" s="20" t="n">
        <f aca="false">MIN(AC321/400,1)*20</f>
        <v>9.25</v>
      </c>
      <c r="BH321" s="21" t="n">
        <f aca="false">1-(MAX(M321-1900, 0)/750)</f>
        <v>0.86</v>
      </c>
      <c r="BI321" s="20" t="n">
        <f aca="false">((MAX($P321,1)*MIN($AM321/300,1)))*IF(J321="Wagon",50,10)</f>
        <v>6</v>
      </c>
      <c r="BJ321" s="1" t="n">
        <f aca="false">VLOOKUP($K321,Constants!$I:$K, 2, FALSE())</f>
        <v>1</v>
      </c>
      <c r="BK321" s="1" t="n">
        <f aca="false">VLOOKUP($K321,Constants!$I:$K, 3, FALSE())*IF(AND(J321="multiple_unit",AE321&lt;110),0.75,1)</f>
        <v>1.5</v>
      </c>
      <c r="BL321" s="20" t="n">
        <v>51</v>
      </c>
      <c r="BM321" s="20" t="n">
        <v>104</v>
      </c>
      <c r="BN321" s="22" t="n">
        <f aca="false">BL321*IF($J321="wagon",62.5,781.25)</f>
        <v>39843.75</v>
      </c>
      <c r="BO321" s="22" t="n">
        <f aca="false">BM321*IF($J321="wagon",2.73,81.25)</f>
        <v>8450</v>
      </c>
      <c r="BY321" s="1" t="n">
        <v>3</v>
      </c>
      <c r="BZ321" s="1" t="n">
        <v>185</v>
      </c>
      <c r="CB321" s="1" t="s">
        <v>326</v>
      </c>
      <c r="CC321" s="1" t="s">
        <v>327</v>
      </c>
      <c r="CD321" s="23" t="s">
        <v>754</v>
      </c>
      <c r="CE321" s="1" t="s">
        <v>785</v>
      </c>
      <c r="CF321" s="23" t="str">
        <f aca="false">CONCATENATE(CD321,"_",CE321)</f>
        <v>mod_EMU</v>
      </c>
      <c r="CG321" s="23" t="str">
        <f aca="false">_xlfn.CONCAT(K321, "_",L321)</f>
        <v>diesel_RAIL</v>
      </c>
      <c r="CH321" s="7" t="str">
        <f aca="false">_xlfn.CONCAT("{BLACK}Length: {GOLD}", TEXT(ROUNDUP(IF(AT321&lt;&gt;"",SUM(VALUE(_xlfn.TEXTSPLIT(AT321, ","))), SUM(VALUE(_xlfn.TEXTSPLIT(AQ321, ",")))*IF(P321, P321, 1))/16, 1), "#,##0.0"), " tiles{}")</f>
        <v>{BLACK}Length: {GOLD}2.3 tiles{}</v>
      </c>
      <c r="CI321" s="1" t="n">
        <f aca="false">VLOOKUP($CG321, Constants!$M:$N, 2, FALSE())</f>
        <v>0</v>
      </c>
      <c r="CJ321" s="1" t="str">
        <f aca="false">IF(P321&gt;1,_xlfn.CONCAT("{BLACK}Cars: {GOLD}", P321),"")</f>
        <v>{BLACK}Cars: {GOLD}3</v>
      </c>
      <c r="CK321" s="1" t="s">
        <v>1252</v>
      </c>
      <c r="CL321" s="1" t="str">
        <f aca="false">IF($BX321="!param_no_gameplay_units","{GREEN}Included for gameplay purposes","")</f>
        <v/>
      </c>
      <c r="CM321" s="1" t="str">
        <f aca="false">IF(CA321="buffet","{YELLOW}25% long distance bonus for consist{}",IF(CB321="DANDY","{YELLOW}Faster downhill speeds for horse-drawn trains (1 required per 2 horses){}",IF(CB321="BRAKE","{YELLOW}Speed bonus for slow wagons{}",IF(CB321="NGPassengers","{YELLOW}Preserved railway bonus: passengers pay more when hauled by old locomotives{}",IF(AND(BZ321&gt;190,NOT(AND(L321="NARROW_GAUGE",CB321&lt;&gt;"PASS"))),CONCATENATE("{YELLOW}",INT((BZ321-185)/1.85),"%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{BLACK}Cars: {GOLD}3{}{BLACK}Length: {GOLD}2.3 tiles{}{SILVER}The Class 185 is a diesel version of the Siemens Desiro family. Each car has its own 6 cylinder engine, giving the unit high acceleration.</v>
      </c>
    </row>
    <row r="322" customFormat="false" ht="14.25" hidden="false" customHeight="false" outlineLevel="0" collapsed="false">
      <c r="A322" s="1" t="s">
        <v>1253</v>
      </c>
      <c r="B322" s="15" t="s">
        <v>1254</v>
      </c>
      <c r="C322" s="1" t="n">
        <v>273</v>
      </c>
      <c r="E322" s="1" t="n">
        <v>401</v>
      </c>
      <c r="G322" s="1" t="str">
        <f aca="false">IF($F322&lt;&gt;"",_xlfn.CONCAT(VLOOKUP($CE322, Constants!$T:$U, 2, FALSE()),",",$F322),VLOOKUP($CE322, Constants!$T:$U, 2, FALSE()))</f>
        <v>role/passenger</v>
      </c>
      <c r="H322" s="1" t="str">
        <f aca="false">IF($G322&lt;&gt;"",_xlfn.CONCAT(VLOOKUP($CG322, Constants!$M:$P, 4, FALSE()),",",$G322),VLOOKUP($CG322, Constants!$M:$P, 4, FALSE()))</f>
        <v>flag/GB,power/diesel,role/passenger</v>
      </c>
      <c r="I322" s="1" t="s">
        <v>198</v>
      </c>
      <c r="J322" s="1" t="s">
        <v>423</v>
      </c>
      <c r="K322" s="1" t="s">
        <v>1255</v>
      </c>
      <c r="L322" s="1" t="s">
        <v>149</v>
      </c>
      <c r="M322" s="1" t="n">
        <v>2009</v>
      </c>
      <c r="P322" s="1" t="n">
        <v>1</v>
      </c>
      <c r="Q322" s="1" t="n">
        <v>86</v>
      </c>
      <c r="Z322" s="1" t="n">
        <v>12</v>
      </c>
      <c r="AB322" s="1" t="n">
        <v>5</v>
      </c>
      <c r="AC322" s="1" t="n">
        <v>35</v>
      </c>
      <c r="AD322" s="4" t="n">
        <f aca="false">IF(AND(Z322&gt;0,AC322&gt;0),(AC322/((Z322+AA322)*10)),"")</f>
        <v>0.291666666666667</v>
      </c>
      <c r="AE322" s="1" t="n">
        <v>35</v>
      </c>
      <c r="AF322" s="1" t="n">
        <f aca="false">ROUND(AE322*1.6, 0)</f>
        <v>56</v>
      </c>
      <c r="AI322" s="1" t="n">
        <v>9.6</v>
      </c>
      <c r="AJ322" s="1" t="n">
        <v>9.6</v>
      </c>
      <c r="AK322" s="1" t="n">
        <v>2.4</v>
      </c>
      <c r="AL322" s="1" t="n">
        <v>3.2</v>
      </c>
      <c r="AM322" s="5" t="n">
        <v>42</v>
      </c>
      <c r="AN322" s="1" t="str">
        <f aca="false">CONCATENATE(VLOOKUP(AO322, 'Voxel Sizes'!$A$2:$B$18,2,FALSE()),"x",INT(AK322*15), "x", INT(AL322*15))</f>
        <v>102x36x48</v>
      </c>
      <c r="AO322" s="1" t="n">
        <f aca="false">ROUND(15*((AJ322*10)/256),0)</f>
        <v>6</v>
      </c>
      <c r="AQ322" s="1" t="str">
        <f aca="false">CONCATENATE(VLOOKUP(AO322,Constants!$A$2:$C$16,IF(AP322&lt;&gt;"", 3, 2), FALSE()),IF(AP322&lt;&gt;"",CONCATENATE(",",VLOOKUP(AP322,$B:$AQ,42,FALSE())),""))</f>
        <v>2,2,2</v>
      </c>
      <c r="AU322" s="1" t="s">
        <v>1254</v>
      </c>
      <c r="AW322" s="1" t="n">
        <v>1</v>
      </c>
      <c r="BA322" s="1" t="n">
        <v>28</v>
      </c>
      <c r="BB322" s="16" t="str">
        <f aca="false">IF(O322&lt;&gt;"",MAX(16,(O322-M322)+8),"")</f>
        <v/>
      </c>
      <c r="BE322" s="1" t="n">
        <f aca="false">MIN(AE322/150, 1)*30</f>
        <v>7</v>
      </c>
      <c r="BF322" s="1" t="n">
        <f aca="false">MIN(Q322/4000, 1)*20</f>
        <v>0.43</v>
      </c>
      <c r="BG322" s="1" t="n">
        <f aca="false">MIN(AC322/400,1)*20</f>
        <v>1.75</v>
      </c>
      <c r="BH322" s="4" t="n">
        <f aca="false">1-(MAX(M322-1900, 0)/750)</f>
        <v>0.854666666666667</v>
      </c>
      <c r="BI322" s="1" t="n">
        <f aca="false">((MAX($P322,1)*MIN($AM322/300,1)))*IF(J322="Wagon",50,10)</f>
        <v>1.4</v>
      </c>
      <c r="BJ322" s="1" t="n">
        <f aca="false">VLOOKUP($K322,Constants!$I:$K, 2, FALSE())</f>
        <v>0.98</v>
      </c>
      <c r="BK322" s="1" t="n">
        <f aca="false">VLOOKUP($K322,Constants!$I:$K, 3, FALSE())*IF(AND(J322="multiple_unit",AE322&lt;110),0.75,1)</f>
        <v>1.41</v>
      </c>
      <c r="BL322" s="1" t="n">
        <f aca="false">INT(POWER(((Constants!$G$2+$BE322+$BF322+$BG322+$BI322)*$BH322)*$BK322, 1.05))+$BD322</f>
        <v>21</v>
      </c>
      <c r="BM322" s="1" t="n">
        <f aca="false">INT(POWER((((Constants!$G$1+$BE322+$BF322+$BG322+$BI322)*($BH322))*$BJ322),IF($J322="wagon",1,1.2)))+$BC322</f>
        <v>39</v>
      </c>
      <c r="BN322" s="17" t="n">
        <f aca="false">BL322*IF($J322="wagon",62.5,781.25)</f>
        <v>16406.25</v>
      </c>
      <c r="BO322" s="17" t="n">
        <f aca="false">BM322*IF($J322="wagon",2.73,81.25)</f>
        <v>3168.75</v>
      </c>
      <c r="BY322" s="1" t="n">
        <v>6</v>
      </c>
      <c r="CC322" s="1" t="s">
        <v>327</v>
      </c>
      <c r="CD322" s="1" t="str">
        <f aca="false">VLOOKUP(M322,Eras!$A$2:$C$10, 2, TRUE())</f>
        <v>mod</v>
      </c>
      <c r="CE322" s="1" t="s">
        <v>760</v>
      </c>
      <c r="CF322" s="1" t="str">
        <f aca="false">CONCATENATE(CD322,"_",CE322)</f>
        <v>mod_DMU (Cheap)</v>
      </c>
      <c r="CG322" s="1" t="str">
        <f aca="false">_xlfn.CONCAT(K322, "_",L322)</f>
        <v>lpgflywheel_RAIL</v>
      </c>
      <c r="CH322" s="7" t="str">
        <f aca="false">_xlfn.CONCAT("{BLACK}Length: {GOLD}", TEXT(ROUNDUP(IF(AT322&lt;&gt;"",SUM(VALUE(_xlfn.TEXTSPLIT(AT322, ","))), SUM(VALUE(_xlfn.TEXTSPLIT(AQ322, ",")))*IF(P322, P322, 1))/16, 1), "#,##0.0"), " tiles{}")</f>
        <v>{BLACK}Length: {GOLD}0.4 tiles{}</v>
      </c>
      <c r="CI322" s="1" t="n">
        <f aca="false">VLOOKUP($CG322, Constants!$M:$N, 2, FALSE())</f>
        <v>0</v>
      </c>
      <c r="CJ322" s="1" t="str">
        <f aca="false">IF(P322&gt;1,_xlfn.CONCAT("{BLACK}Cars: {GOLD}", P322),"")</f>
        <v/>
      </c>
      <c r="CK322" s="1" t="s">
        <v>1256</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{BLACK}Length: {GOLD}0.4 tiles{}{SILVER}The Parry People Mover PPM60 uses a small LPG engine with a flywheel to capture energy from braking. The units are currently used on the Stourbridge Town Branch Line, where they are limited to 20mph.</v>
      </c>
    </row>
    <row r="323" customFormat="false" ht="14.25" hidden="false" customHeight="false" outlineLevel="0" collapsed="false">
      <c r="A323" s="1" t="s">
        <v>1257</v>
      </c>
      <c r="B323" s="15" t="s">
        <v>1258</v>
      </c>
      <c r="C323" s="1" t="n">
        <v>274</v>
      </c>
      <c r="E323" s="1" t="n">
        <v>402</v>
      </c>
      <c r="G323" s="1" t="str">
        <f aca="false">IF($F323&lt;&gt;"",_xlfn.CONCAT(VLOOKUP($CE323, Constants!$T:$U, 2, FALSE()),",",$F323),VLOOKUP($CE323, Constants!$T:$U, 2, FALSE()))</f>
        <v>role/express_passenger</v>
      </c>
      <c r="H323" s="1" t="str">
        <f aca="false">IF($G323&lt;&gt;"",_xlfn.CONCAT(VLOOKUP($CG323, Constants!$M:$P, 4, FALSE()),",",$G323),VLOOKUP($CG323, Constants!$M:$P, 4, FALSE()))</f>
        <v>flag/GB,power/electric,role/express_passenger</v>
      </c>
      <c r="I323" s="1" t="s">
        <v>198</v>
      </c>
      <c r="J323" s="1" t="s">
        <v>423</v>
      </c>
      <c r="K323" s="1" t="s">
        <v>666</v>
      </c>
      <c r="L323" s="1" t="s">
        <v>709</v>
      </c>
      <c r="M323" s="1" t="n">
        <v>2007</v>
      </c>
      <c r="N323" s="1" t="n">
        <v>2009</v>
      </c>
      <c r="P323" s="1" t="n">
        <v>6</v>
      </c>
      <c r="Q323" s="1" t="n">
        <f aca="false">16*280</f>
        <v>4480</v>
      </c>
      <c r="R323" s="2" t="n">
        <v>2800</v>
      </c>
      <c r="Z323" s="1" t="n">
        <v>265</v>
      </c>
      <c r="AB323" s="1" t="n">
        <v>4</v>
      </c>
      <c r="AC323" s="1" t="n">
        <v>210</v>
      </c>
      <c r="AD323" s="4" t="n">
        <f aca="false">IF(AND(Z323&gt;0,AC323&gt;0),(AC323/((Z323+AA323)*10)),"")</f>
        <v>0.0792452830188679</v>
      </c>
      <c r="AE323" s="1" t="n">
        <v>157</v>
      </c>
      <c r="AF323" s="1" t="n">
        <f aca="false">ROUND(AE323*1.6, 0)</f>
        <v>251</v>
      </c>
      <c r="AI323" s="1" t="n">
        <v>20.88</v>
      </c>
      <c r="AJ323" s="1" t="n">
        <v>20.88</v>
      </c>
      <c r="AL323" s="1" t="n">
        <v>3.82</v>
      </c>
      <c r="AM323" s="5" t="n">
        <v>57</v>
      </c>
      <c r="AN323" s="1" t="str">
        <f aca="false">CONCATENATE(VLOOKUP(AO323, 'Voxel Sizes'!$A$2:$B$18,2,FALSE()),"x",INT(AK323*15), "x", INT(AL323*15))</f>
        <v>198x0x57</v>
      </c>
      <c r="AO323" s="1" t="n">
        <f aca="false">ROUND(15*((AJ323*10)/256),0)</f>
        <v>12</v>
      </c>
      <c r="AQ323" s="1" t="str">
        <f aca="false">CONCATENATE(VLOOKUP(AO323,Constants!$A$2:$C$16,IF(AP323&lt;&gt;"", 3, 2), FALSE()),IF(AP323&lt;&gt;"",CONCATENATE(",",VLOOKUP(AP323,$B:$AQ,42,FALSE())),""))</f>
        <v>4,4,4</v>
      </c>
      <c r="AU323" s="1" t="s">
        <v>1259</v>
      </c>
      <c r="AW323" s="1" t="s">
        <v>992</v>
      </c>
      <c r="BA323" s="1" t="n">
        <v>30</v>
      </c>
      <c r="BB323" s="16" t="str">
        <f aca="false">IF(O323&lt;&gt;"",MAX(16,(O323-M323)+8),"")</f>
        <v/>
      </c>
      <c r="BC323" s="1" t="n">
        <v>-15</v>
      </c>
      <c r="BD323" s="1" t="n">
        <v>-30</v>
      </c>
      <c r="BE323" s="1" t="n">
        <f aca="false">MIN(AE323/150, 1)*30</f>
        <v>30</v>
      </c>
      <c r="BF323" s="1" t="n">
        <f aca="false">MIN(Q323/4000, 1)*20</f>
        <v>20</v>
      </c>
      <c r="BG323" s="1" t="n">
        <f aca="false">MIN(AC323/400,1)*20</f>
        <v>10.5</v>
      </c>
      <c r="BH323" s="4" t="n">
        <f aca="false">1-(MAX(M323-1900, 0)/750)</f>
        <v>0.857333333333333</v>
      </c>
      <c r="BI323" s="1" t="n">
        <f aca="false">((MAX($P323,1)*MIN($AM323/300,1)))*IF(J323="Wagon",50,10)</f>
        <v>11.4</v>
      </c>
      <c r="BJ323" s="1" t="n">
        <f aca="false">VLOOKUP($K323,Constants!$I:$K, 2, FALSE())</f>
        <v>0.85</v>
      </c>
      <c r="BK323" s="1" t="n">
        <f aca="false">VLOOKUP($K323,Constants!$I:$K, 3, FALSE())*IF(AND(J323="multiple_unit",AE323&lt;110),0.75,1)</f>
        <v>2.4</v>
      </c>
      <c r="BL323" s="1" t="n">
        <f aca="false">INT(POWER(((Constants!$G$2+$BE323+$BF323+$BG323+$BI323)*$BH323)*$BK323, 1.05))+$BD323</f>
        <v>173</v>
      </c>
      <c r="BM323" s="1" t="n">
        <f aca="false">INT(POWER((((Constants!$G$1+$BE323+$BF323+$BG323+$BI323)*($BH323))*$BJ323),IF($J323="wagon",1,1.2)))+$BC323</f>
        <v>130</v>
      </c>
      <c r="BN323" s="17" t="n">
        <f aca="false">BL323*IF($J323="wagon",62.5,781.25)</f>
        <v>135156.25</v>
      </c>
      <c r="BO323" s="17" t="n">
        <f aca="false">BM323*IF($J323="wagon",2.73,81.25)</f>
        <v>10562.5</v>
      </c>
      <c r="BX323" s="1" t="s">
        <v>1173</v>
      </c>
      <c r="BY323" s="1" t="n">
        <v>5</v>
      </c>
      <c r="BZ323" s="1" t="n">
        <v>205</v>
      </c>
      <c r="CC323" s="1" t="s">
        <v>327</v>
      </c>
      <c r="CD323" s="1" t="str">
        <f aca="false">VLOOKUP(M323,Eras!$A$2:$C$10, 2, TRUE())</f>
        <v>mod</v>
      </c>
      <c r="CE323" s="1" t="s">
        <v>842</v>
      </c>
      <c r="CF323" s="1" t="str">
        <f aca="false">CONCATENATE(CD323,"_",CE323)</f>
        <v>mod_EMU (Express)</v>
      </c>
      <c r="CG323" s="1" t="str">
        <f aca="false">_xlfn.CONCAT(K323, "_",L323)</f>
        <v>dual_electric_DUAL_POWER</v>
      </c>
      <c r="CH323" s="7" t="str">
        <f aca="false">_xlfn.CONCAT("{BLACK}Length: {GOLD}", TEXT(ROUNDUP(IF(AT323&lt;&gt;"",SUM(VALUE(_xlfn.TEXTSPLIT(AT323, ","))), SUM(VALUE(_xlfn.TEXTSPLIT(AQ323, ",")))*IF(P323, P323, 1))/16, 1), "#,##0.0"), " tiles{}")</f>
        <v>{BLACK}Length: {GOLD}4.5 tiles{}</v>
      </c>
      <c r="CI323" s="1" t="n">
        <f aca="false">VLOOKUP($CG323, Constants!$M:$N, 2, FALSE())</f>
        <v>0</v>
      </c>
      <c r="CJ323" s="1" t="str">
        <f aca="false">IF(P323&gt;1,_xlfn.CONCAT("{BLACK}Cars: {GOLD}", P323),"")</f>
        <v>{BLACK}Cars: {GOLD}6</v>
      </c>
      <c r="CK323" s="1" t="s">
        <v>1260</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{YELLOW}10% bonus for long distance travel{}</v>
      </c>
      <c r="CN323" s="1" t="str">
        <f aca="false">_xlfn.CONCAT(CI323,IF(CI323&lt;&gt;""," ",""),CJ323,IF(OR(CJ323&lt;&gt;"",CI323&lt;&gt;""),"{}",""),CH323,CM323,"{SILVER}",CK323,IF(CL323&lt;&gt;"","{}{}",""),CL323)</f>
        <v>{BLACK}Cars: {GOLD}6{}{BLACK}Length: {GOLD}4.5 tiles{}{YELLOW}10% bonus for long distance travel{}{SILVER}The Class 395 is a dedicated high speed unit built for the HS1 high speed route. It is part of Hitachi's AT300 series.</v>
      </c>
    </row>
    <row r="324" customFormat="false" ht="14.25" hidden="false" customHeight="false" outlineLevel="0" collapsed="false">
      <c r="A324" s="1" t="s">
        <v>1257</v>
      </c>
      <c r="B324" s="15" t="s">
        <v>1261</v>
      </c>
      <c r="C324" s="1" t="n">
        <v>275</v>
      </c>
      <c r="E324" s="1" t="n">
        <v>403</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198</v>
      </c>
      <c r="J324" s="1" t="s">
        <v>423</v>
      </c>
      <c r="K324" s="1" t="s">
        <v>666</v>
      </c>
      <c r="L324" s="1" t="s">
        <v>709</v>
      </c>
      <c r="M324" s="1" t="n">
        <v>2007</v>
      </c>
      <c r="N324" s="1" t="n">
        <v>2009</v>
      </c>
      <c r="P324" s="1" t="n">
        <v>5</v>
      </c>
      <c r="Q324" s="1" t="n">
        <f aca="false">16*280</f>
        <v>4480</v>
      </c>
      <c r="R324" s="2" t="n">
        <v>2800</v>
      </c>
      <c r="Z324" s="1" t="n">
        <v>265</v>
      </c>
      <c r="AB324" s="1" t="n">
        <v>4</v>
      </c>
      <c r="AC324" s="1" t="n">
        <v>210</v>
      </c>
      <c r="AD324" s="4" t="n">
        <f aca="false">IF(AND(Z324&gt;0,AC324&gt;0),(AC324/((Z324+AA324)*10)),"")</f>
        <v>0.0792452830188679</v>
      </c>
      <c r="AE324" s="1" t="n">
        <v>157</v>
      </c>
      <c r="AF324" s="1" t="n">
        <f aca="false">ROUND(AE324*1.6, 0)</f>
        <v>251</v>
      </c>
      <c r="AI324" s="1" t="n">
        <v>20.88</v>
      </c>
      <c r="AJ324" s="1" t="n">
        <v>20.88</v>
      </c>
      <c r="AL324" s="1" t="n">
        <v>3.82</v>
      </c>
      <c r="AM324" s="5" t="n">
        <v>57</v>
      </c>
      <c r="AN324" s="1" t="str">
        <f aca="false">CONCATENATE(VLOOKUP(AO324, 'Voxel Sizes'!$A$2:$B$18,2,FALSE()),"x",INT(AK324*15), "x", INT(AL324*15))</f>
        <v>198x0x57</v>
      </c>
      <c r="AO324" s="1" t="n">
        <f aca="false">ROUND(15*((AJ324*10)/256),0)</f>
        <v>12</v>
      </c>
      <c r="AQ324" s="1" t="str">
        <f aca="false">CONCATENATE(VLOOKUP(AO324,Constants!$A$2:$C$16,IF(AP324&lt;&gt;"", 3, 2), FALSE()),IF(AP324&lt;&gt;"",CONCATENATE(",",VLOOKUP(AP324,$B:$AQ,42,FALSE())),""))</f>
        <v>4,4,4</v>
      </c>
      <c r="AU324" s="1" t="s">
        <v>1262</v>
      </c>
      <c r="AW324" s="1" t="s">
        <v>817</v>
      </c>
      <c r="AX324" s="1" t="s">
        <v>1258</v>
      </c>
      <c r="BA324" s="1" t="n">
        <v>30</v>
      </c>
      <c r="BB324" s="16" t="str">
        <f aca="false">IF(O324&lt;&gt;"",MAX(16,(O324-M324)+8),"")</f>
        <v/>
      </c>
      <c r="BC324" s="1" t="n">
        <v>-15</v>
      </c>
      <c r="BD324" s="1" t="n">
        <v>-30</v>
      </c>
      <c r="BE324" s="1" t="n">
        <f aca="false">MIN(AE324/150, 1)*30</f>
        <v>30</v>
      </c>
      <c r="BF324" s="1" t="n">
        <f aca="false">MIN(Q324/4000, 1)*20</f>
        <v>20</v>
      </c>
      <c r="BG324" s="1" t="n">
        <f aca="false">MIN(AC324/400,1)*20</f>
        <v>10.5</v>
      </c>
      <c r="BH324" s="4" t="n">
        <f aca="false">1-(MAX(M324-1900, 0)/750)</f>
        <v>0.857333333333333</v>
      </c>
      <c r="BI324" s="1" t="n">
        <f aca="false">((MAX($P324,1)*MIN($AM324/300,1)))*IF(J324="Wagon",50,10)</f>
        <v>9.5</v>
      </c>
      <c r="BJ324" s="1" t="n">
        <f aca="false">VLOOKUP($K324,Constants!$I:$K, 2, FALSE())</f>
        <v>0.85</v>
      </c>
      <c r="BK324" s="1" t="n">
        <f aca="false">VLOOKUP($K324,Constants!$I:$K, 3, FALSE())*IF(AND(J324="multiple_unit",AE324&lt;110),0.75,1)</f>
        <v>2.4</v>
      </c>
      <c r="BL324" s="1" t="n">
        <f aca="false">INT(POWER(((Constants!$G$2+$BE324+$BF324+$BG324+$BI324)*$BH324)*$BK324, 1.05))+$BD324</f>
        <v>168</v>
      </c>
      <c r="BM324" s="1" t="n">
        <f aca="false">INT(POWER((((Constants!$G$1+$BE324+$BF324+$BG324+$BI324)*($BH324))*$BJ324),IF($J324="wagon",1,1.2)))+$BC324</f>
        <v>126</v>
      </c>
      <c r="BN324" s="17" t="n">
        <f aca="false">BL324*IF($J324="wagon",62.5,781.25)</f>
        <v>131250</v>
      </c>
      <c r="BO324" s="17" t="n">
        <f aca="false">BM324*IF($J324="wagon",2.73,81.25)</f>
        <v>10237.5</v>
      </c>
      <c r="BX324" s="1" t="s">
        <v>1178</v>
      </c>
      <c r="BY324" s="1" t="n">
        <v>5</v>
      </c>
      <c r="BZ324" s="1" t="n">
        <v>205</v>
      </c>
      <c r="CC324" s="1" t="s">
        <v>327</v>
      </c>
      <c r="CD324" s="1" t="str">
        <f aca="false">VLOOKUP(M324,Eras!$A$2:$C$10, 2, TRUE())</f>
        <v>mod</v>
      </c>
      <c r="CE324" s="1" t="s">
        <v>842</v>
      </c>
      <c r="CF324" s="1" t="str">
        <f aca="false">CONCATENATE(CD324,"_",CE324)</f>
        <v>mod_EMU (Express)</v>
      </c>
      <c r="CG324" s="1" t="str">
        <f aca="false">_xlfn.CONCAT(K324, "_",L324)</f>
        <v>dual_electric_DUAL_POWER</v>
      </c>
      <c r="CH324" s="7" t="str">
        <f aca="false">_xlfn.CONCAT("{BLACK}Length: {GOLD}", TEXT(ROUNDUP(IF(AT324&lt;&gt;"",SUM(VALUE(_xlfn.TEXTSPLIT(AT324, ","))), SUM(VALUE(_xlfn.TEXTSPLIT(AQ324, ",")))*IF(P324, P324, 1))/16, 1), "#,##0.0"), " tiles{}")</f>
        <v>{BLACK}Length: {GOLD}3.8 tiles{}</v>
      </c>
      <c r="CI324" s="1" t="n">
        <f aca="false">VLOOKUP($CG324, Constants!$M:$N, 2, FALSE())</f>
        <v>0</v>
      </c>
      <c r="CJ324" s="1" t="str">
        <f aca="false">IF(P324&gt;1,_xlfn.CONCAT("{BLACK}Cars: {GOLD}", P324),"")</f>
        <v>{BLACK}Cars: {GOLD}5</v>
      </c>
      <c r="CK324" s="1" t="s">
        <v>1260</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{GOLD}5{}{BLACK}Length: {GOLD}3.8 tiles{}{YELLOW}10% bonus for long distance travel{}{SILVER}The Class 395 is a dedicated high speed unit built for the HS1 high speed route. It is part of Hitachi's AT300 series.</v>
      </c>
    </row>
    <row r="325" customFormat="false" ht="14.25" hidden="false" customHeight="false" outlineLevel="0" collapsed="false">
      <c r="A325" s="1" t="s">
        <v>1263</v>
      </c>
      <c r="B325" s="15" t="s">
        <v>1264</v>
      </c>
      <c r="C325" s="1" t="n">
        <v>269</v>
      </c>
      <c r="E325" s="1" t="n">
        <v>404</v>
      </c>
      <c r="G325" s="1" t="str">
        <f aca="false">IF($F325&lt;&gt;"",_xlfn.CONCAT(VLOOKUP($CE325, Constants!$T:$U, 2, FALSE()),",",$F325),VLOOKUP($CE325, Constants!$T:$U, 2, FALSE()))</f>
        <v>role/passenger</v>
      </c>
      <c r="H325" s="1" t="str">
        <f aca="false">IF($G325&lt;&gt;"",_xlfn.CONCAT(VLOOKUP($CG325, Constants!$M:$P, 4, FALSE()),",",$G325),VLOOKUP($CG325, Constants!$M:$P, 4, FALSE()))</f>
        <v>flag/GB,power/electric,role/passenger</v>
      </c>
      <c r="I325" s="1" t="s">
        <v>198</v>
      </c>
      <c r="J325" s="1" t="s">
        <v>423</v>
      </c>
      <c r="K325" s="1" t="s">
        <v>666</v>
      </c>
      <c r="L325" s="1" t="s">
        <v>709</v>
      </c>
      <c r="M325" s="1" t="n">
        <v>2003</v>
      </c>
      <c r="P325" s="1" t="n">
        <v>4</v>
      </c>
      <c r="Q325" s="1" t="n">
        <v>1600</v>
      </c>
      <c r="Z325" s="1" t="n">
        <v>173.6</v>
      </c>
      <c r="AB325" s="1" t="n">
        <v>5</v>
      </c>
      <c r="AC325" s="1" t="n">
        <v>175</v>
      </c>
      <c r="AD325" s="4" t="n">
        <f aca="false">IF(AND(Z325&gt;0,AC325&gt;0),(AC325/((Z325+AA325)*10)),"")</f>
        <v>0.100806451612903</v>
      </c>
      <c r="AE325" s="1" t="n">
        <v>100</v>
      </c>
      <c r="AF325" s="1" t="n">
        <f aca="false">ROUND(AE325*1.6, 0)</f>
        <v>160</v>
      </c>
      <c r="AI325" s="1" t="n">
        <v>20.4</v>
      </c>
      <c r="AJ325" s="1" t="n">
        <v>20.4</v>
      </c>
      <c r="AL325" s="1" t="n">
        <v>3.78</v>
      </c>
      <c r="AM325" s="5" t="n">
        <v>60</v>
      </c>
      <c r="AN325" s="1" t="str">
        <f aca="false">CONCATENATE(VLOOKUP(AO325, 'Voxel Sizes'!$A$2:$B$18,2,FALSE()),"x",INT(AK325*15), "x", INT(AL325*15))</f>
        <v>198x0x56</v>
      </c>
      <c r="AO325" s="1" t="n">
        <f aca="false">ROUND(15*((AJ325*10)/256),0)</f>
        <v>12</v>
      </c>
      <c r="AQ325" s="1" t="str">
        <f aca="false">CONCATENATE(VLOOKUP(AO325,Constants!$A$2:$C$16,IF(AP325&lt;&gt;"", 3, 2), FALSE()),IF(AP325&lt;&gt;"",CONCATENATE(",",VLOOKUP(AP325,$B:$AQ,42,FALSE())),""))</f>
        <v>4,4,4</v>
      </c>
      <c r="AU325" s="1" t="s">
        <v>1265</v>
      </c>
      <c r="AV325" s="1" t="s">
        <v>1266</v>
      </c>
      <c r="AW325" s="1" t="s">
        <v>898</v>
      </c>
      <c r="BA325" s="1" t="n">
        <v>29</v>
      </c>
      <c r="BB325" s="16" t="str">
        <f aca="false">IF(O325&lt;&gt;"",MAX(16,(O325-M325)+8),"")</f>
        <v/>
      </c>
      <c r="BC325" s="1" t="n">
        <v>-15</v>
      </c>
      <c r="BD325" s="1" t="n">
        <v>-30</v>
      </c>
      <c r="BE325" s="1" t="n">
        <f aca="false">MIN(AE325/150, 1)*30</f>
        <v>20</v>
      </c>
      <c r="BF325" s="1" t="n">
        <f aca="false">MIN(Q325/4000, 1)*20</f>
        <v>8</v>
      </c>
      <c r="BG325" s="1" t="n">
        <f aca="false">MIN(AC325/400,1)*20</f>
        <v>8.75</v>
      </c>
      <c r="BH325" s="4" t="n">
        <f aca="false">1-(MAX(M325-1900, 0)/750)</f>
        <v>0.862666666666667</v>
      </c>
      <c r="BI325" s="1" t="n">
        <f aca="false">((MAX($P325,1)*MIN($AM325/300,1)))*IF(J325="Wagon",50,10)</f>
        <v>8</v>
      </c>
      <c r="BJ325" s="1" t="n">
        <f aca="false">VLOOKUP($K325,Constants!$I:$K, 2, FALSE())</f>
        <v>0.85</v>
      </c>
      <c r="BK325" s="1" t="n">
        <f aca="false">VLOOKUP($K325,Constants!$I:$K, 3, FALSE())*IF(AND(J325="multiple_unit",AE325&lt;110),0.75,1)</f>
        <v>1.8</v>
      </c>
      <c r="BL325" s="1" t="n">
        <f aca="false">INT(POWER(((Constants!$G$2+$BE325+$BF325+$BG325+$BI325)*$BH325)*$BK325, 1.05))+$BD325</f>
        <v>66</v>
      </c>
      <c r="BM325" s="1" t="n">
        <f aca="false">INT(POWER((((Constants!$G$1+$BE325+$BF325+$BG325+$BI325)*($BH325))*$BJ325),IF($J325="wagon",1,1.2)))+$BC325</f>
        <v>78</v>
      </c>
      <c r="BN325" s="17" t="n">
        <f aca="false">BL325*IF($J325="wagon",62.5,781.25)</f>
        <v>51562.5</v>
      </c>
      <c r="BO325" s="17" t="n">
        <f aca="false">BM325*IF($J325="wagon",2.73,81.25)</f>
        <v>6337.5</v>
      </c>
      <c r="BY325" s="1" t="n">
        <v>12</v>
      </c>
      <c r="BZ325" s="1" t="n">
        <v>185</v>
      </c>
      <c r="CC325" s="1" t="s">
        <v>327</v>
      </c>
      <c r="CD325" s="1" t="str">
        <f aca="false">VLOOKUP(M325,Eras!$A$2:$C$10, 2, TRUE())</f>
        <v>prv</v>
      </c>
      <c r="CE325" s="1" t="s">
        <v>785</v>
      </c>
      <c r="CF325" s="1" t="str">
        <f aca="false">CONCATENATE(CD325,"_",CE325)</f>
        <v>prv_EMU</v>
      </c>
      <c r="CG325" s="1" t="str">
        <f aca="false">_xlfn.CONCAT(K325, "_",L325)</f>
        <v>dual_electric_DUAL_POWER</v>
      </c>
      <c r="CH325" s="7" t="str">
        <f aca="false">_xlfn.CONCAT("{BLACK}Length: {GOLD}", TEXT(ROUNDUP(IF(AT325&lt;&gt;"",SUM(VALUE(_xlfn.TEXTSPLIT(AT325, ","))), SUM(VALUE(_xlfn.TEXTSPLIT(AQ325, ",")))*IF(P325, P325, 1))/16, 1), "#,##0.0"), " tiles{}")</f>
        <v>{BLACK}Length: {GOLD}3.0 tiles{}</v>
      </c>
      <c r="CI325" s="1" t="n">
        <f aca="false">VLOOKUP($CG325, Constants!$M:$N, 2, FALSE())</f>
        <v>0</v>
      </c>
      <c r="CJ325" s="1" t="str">
        <f aca="false">IF(P325&gt;1,_xlfn.CONCAT("{BLACK}Cars: {GOLD}", P325),"")</f>
        <v>{BLACK}Cars: {GOLD}4</v>
      </c>
      <c r="CK325" s="1" t="s">
        <v>1267</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
      </c>
      <c r="CN325" s="1" t="str">
        <f aca="false">_xlfn.CONCAT(CI325,IF(CI325&lt;&gt;""," ",""),CJ325,IF(OR(CJ325&lt;&gt;"",CI325&lt;&gt;""),"{}",""),CH325,CM325,"{SILVER}",CK325,IF(CL325&lt;&gt;"","{}{}",""),CL325)</f>
        <v>{BLACK}Cars: {GOLD}4{}{BLACK}Length: {GOLD}3.0 tiles{}{SILVER}The Class 377 is a dual-voltage EMU, and is a common sight around London and South East England.</v>
      </c>
    </row>
    <row r="326" customFormat="false" ht="14.25" hidden="false" customHeight="false" outlineLevel="0" collapsed="false">
      <c r="A326" s="1" t="s">
        <v>1268</v>
      </c>
      <c r="B326" s="15" t="s">
        <v>1269</v>
      </c>
      <c r="C326" s="1" t="n">
        <v>276</v>
      </c>
      <c r="E326" s="1" t="n">
        <v>405</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198</v>
      </c>
      <c r="J326" s="1" t="s">
        <v>423</v>
      </c>
      <c r="K326" s="1" t="s">
        <v>666</v>
      </c>
      <c r="L326" s="1" t="s">
        <v>709</v>
      </c>
      <c r="M326" s="1" t="n">
        <v>2009</v>
      </c>
      <c r="P326" s="1" t="n">
        <v>5</v>
      </c>
      <c r="Q326" s="1" t="n">
        <f aca="false">800*2</f>
        <v>1600</v>
      </c>
      <c r="Z326" s="1" t="n">
        <v>212.8</v>
      </c>
      <c r="AB326" s="1" t="n">
        <v>7</v>
      </c>
      <c r="AC326" s="1" t="n">
        <v>180</v>
      </c>
      <c r="AD326" s="4" t="n">
        <f aca="false">IF(AND(Z326&gt;0,AC326&gt;0),(AC326/((Z326+AA326)*10)),"")</f>
        <v>0.0845864661654135</v>
      </c>
      <c r="AE326" s="1" t="n">
        <v>75</v>
      </c>
      <c r="AF326" s="1" t="n">
        <f aca="false">ROUND(AE326*1.6, 0)</f>
        <v>120</v>
      </c>
      <c r="AI326" s="1" t="n">
        <v>20.4</v>
      </c>
      <c r="AJ326" s="1" t="n">
        <v>20.4</v>
      </c>
      <c r="AK326" s="1" t="n">
        <v>2.8</v>
      </c>
      <c r="AL326" s="1" t="n">
        <v>3.78</v>
      </c>
      <c r="AM326" s="5" t="n">
        <v>90</v>
      </c>
      <c r="AN326" s="1" t="str">
        <f aca="false">CONCATENATE(VLOOKUP(AO326, 'Voxel Sizes'!$A$2:$B$18,2,FALSE()),"x",INT(AK326*15), "x", INT(AL326*15))</f>
        <v>198x42x56</v>
      </c>
      <c r="AO326" s="1" t="n">
        <f aca="false">ROUND(15*((AJ326*10)/256),0)</f>
        <v>12</v>
      </c>
      <c r="AQ326" s="1" t="str">
        <f aca="false">CONCATENATE(VLOOKUP(AO326,Constants!$A$2:$C$16,IF(AP326&lt;&gt;"", 3, 2), FALSE()),IF(AP326&lt;&gt;"",CONCATENATE(",",VLOOKUP(AP326,$B:$AQ,42,FALSE())),""))</f>
        <v>4,4,4</v>
      </c>
      <c r="AU326" s="1" t="s">
        <v>1270</v>
      </c>
      <c r="AV326" s="1" t="s">
        <v>1271</v>
      </c>
      <c r="AW326" s="1" t="s">
        <v>1068</v>
      </c>
      <c r="BA326" s="1" t="n">
        <v>30</v>
      </c>
      <c r="BB326" s="16" t="str">
        <f aca="false">IF(O326&lt;&gt;"",MAX(16,(O326-M326)+8),"")</f>
        <v/>
      </c>
      <c r="BC326" s="1" t="n">
        <v>-15</v>
      </c>
      <c r="BD326" s="1" t="n">
        <v>-35</v>
      </c>
      <c r="BE326" s="1" t="n">
        <f aca="false">MIN(AE326/150, 1)*30</f>
        <v>15</v>
      </c>
      <c r="BF326" s="1" t="n">
        <f aca="false">MIN(Q326/4000, 1)*20</f>
        <v>8</v>
      </c>
      <c r="BG326" s="1" t="n">
        <f aca="false">MIN(AC326/400,1)*20</f>
        <v>9</v>
      </c>
      <c r="BH326" s="4" t="n">
        <f aca="false">1-(MAX(M326-1900, 0)/750)</f>
        <v>0.854666666666667</v>
      </c>
      <c r="BI326" s="1" t="n">
        <f aca="false">((MAX($P326,1)*MIN($AM326/300,1)))*IF(J326="Wagon",50,10)</f>
        <v>15</v>
      </c>
      <c r="BJ326" s="1" t="n">
        <f aca="false">VLOOKUP($K326,Constants!$I:$K, 2, FALSE())</f>
        <v>0.85</v>
      </c>
      <c r="BK326" s="1" t="n">
        <f aca="false">VLOOKUP($K326,Constants!$I:$K, 3, FALSE())*IF(AND(J326="multiple_unit",AE326&lt;110),0.75,1)</f>
        <v>1.8</v>
      </c>
      <c r="BL326" s="1" t="n">
        <f aca="false">INT(POWER(((Constants!$G$2+$BE326+$BF326+$BG326+$BI326)*$BH326)*$BK326, 1.05))+$BD326</f>
        <v>64</v>
      </c>
      <c r="BM326" s="1" t="n">
        <f aca="false">INT(POWER((((Constants!$G$1+$BE326+$BF326+$BG326+$BI326)*($BH326))*$BJ326),IF($J326="wagon",1,1.2)))+$BC326</f>
        <v>81</v>
      </c>
      <c r="BN326" s="17" t="n">
        <f aca="false">BL326*IF($J326="wagon",62.5,781.25)</f>
        <v>50000</v>
      </c>
      <c r="BO326" s="17" t="n">
        <f aca="false">BM326*IF($J326="wagon",2.73,81.25)</f>
        <v>6581.25</v>
      </c>
      <c r="BY326" s="1" t="n">
        <v>6</v>
      </c>
      <c r="BZ326" s="1" t="n">
        <v>165</v>
      </c>
      <c r="CC326" s="1" t="s">
        <v>327</v>
      </c>
      <c r="CD326" s="1" t="str">
        <f aca="false">VLOOKUP(M326,Eras!$A$2:$C$10, 2, TRUE())</f>
        <v>mod</v>
      </c>
      <c r="CE326" s="1" t="s">
        <v>785</v>
      </c>
      <c r="CF326" s="1" t="str">
        <f aca="false">CONCATENATE(CD326,"_",CE326)</f>
        <v>mod_EMU</v>
      </c>
      <c r="CG326" s="1" t="str">
        <f aca="false">_xlfn.CONCAT(K326, "_",L326)</f>
        <v>dual_electric_DUAL_POWER</v>
      </c>
      <c r="CH326" s="7" t="str">
        <f aca="false">_xlfn.CONCAT("{BLACK}Length: {GOLD}", TEXT(ROUNDUP(IF(AT326&lt;&gt;"",SUM(VALUE(_xlfn.TEXTSPLIT(AT326, ","))), SUM(VALUE(_xlfn.TEXTSPLIT(AQ326, ",")))*IF(P326, P326, 1))/16, 1), "#,##0.0"), " tiles{}")</f>
        <v>{BLACK}Length: {GOLD}3.8 tiles{}</v>
      </c>
      <c r="CI326" s="1" t="n">
        <f aca="false">VLOOKUP($CG326, Constants!$M:$N, 2, FALSE())</f>
        <v>0</v>
      </c>
      <c r="CJ326" s="1" t="str">
        <f aca="false">IF(P326&gt;1,_xlfn.CONCAT("{BLACK}Cars: {GOLD}", P326),"")</f>
        <v>{BLACK}Cars: {GOLD}5</v>
      </c>
      <c r="CK326" s="1" t="s">
        <v>1272</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{YELLOW}10% penalty for long distance travel{}</v>
      </c>
      <c r="CN326" s="1" t="str">
        <f aca="false">_xlfn.CONCAT(CI326,IF(CI326&lt;&gt;""," ",""),CJ326,IF(OR(CJ326&lt;&gt;"",CI326&lt;&gt;""),"{}",""),CH326,CM326,"{SILVER}",CK326,IF(CL326&lt;&gt;"","{}{}",""),CL326)</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27" s="25" customFormat="true" ht="14.25" hidden="false" customHeight="false" outlineLevel="0" collapsed="false">
      <c r="A327" s="25" t="s">
        <v>1273</v>
      </c>
      <c r="B327" s="26" t="s">
        <v>1274</v>
      </c>
      <c r="C327" s="1" t="n">
        <v>3087</v>
      </c>
      <c r="E327" s="1" t="n">
        <v>406</v>
      </c>
      <c r="G327" s="1" t="str">
        <f aca="false">IF($F327&lt;&gt;"",_xlfn.CONCAT(VLOOKUP($CE327, Constants!$T:$U, 2, FALSE()),",",$F327),VLOOKUP($CE327, Constants!$T:$U, 2, FALSE()))</f>
        <v>role/express_passenger</v>
      </c>
      <c r="H327" s="1" t="str">
        <f aca="false">IF($G327&lt;&gt;"",_xlfn.CONCAT(VLOOKUP($CG327, Constants!$M:$P, 4, FALSE()),",",$G327),VLOOKUP($CG327, Constants!$M:$P, 4, FALSE()))</f>
        <v>flag/GB,power/electric,role/express_passenger</v>
      </c>
      <c r="I327" s="25" t="s">
        <v>198</v>
      </c>
      <c r="J327" s="25" t="s">
        <v>423</v>
      </c>
      <c r="K327" s="25" t="s">
        <v>349</v>
      </c>
      <c r="L327" s="25" t="s">
        <v>350</v>
      </c>
      <c r="M327" s="25" t="n">
        <v>2014</v>
      </c>
      <c r="P327" s="25" t="n">
        <v>16</v>
      </c>
      <c r="Q327" s="25" t="n">
        <v>21000</v>
      </c>
      <c r="R327" s="2"/>
      <c r="S327" s="3"/>
      <c r="T327" s="3"/>
      <c r="U327" s="3"/>
      <c r="V327" s="3"/>
      <c r="W327" s="3"/>
      <c r="X327" s="3"/>
      <c r="Y327" s="3"/>
      <c r="Z327" s="25" t="n">
        <v>171</v>
      </c>
      <c r="AA327" s="2"/>
      <c r="AB327" s="25" t="n">
        <v>5</v>
      </c>
      <c r="AC327" s="25" t="n">
        <v>480</v>
      </c>
      <c r="AD327" s="4" t="n">
        <f aca="false">IF(AND(Z327&gt;0,AC327&gt;0),(AC327/((Z327+AA327)*10)),"")</f>
        <v>0.280701754385965</v>
      </c>
      <c r="AE327" s="25" t="n">
        <v>200</v>
      </c>
      <c r="AF327" s="25" t="n">
        <f aca="false">ROUND(AE327*1.6, 0)</f>
        <v>320</v>
      </c>
      <c r="AI327" s="25" t="n">
        <v>25.7</v>
      </c>
      <c r="AJ327" s="25" t="n">
        <v>25.7</v>
      </c>
      <c r="AK327" s="25" t="n">
        <v>2.92</v>
      </c>
      <c r="AL327" s="25" t="n">
        <v>4.3</v>
      </c>
      <c r="AM327" s="5" t="n">
        <v>56</v>
      </c>
      <c r="AN327" s="1" t="str">
        <f aca="false">CONCATENATE(VLOOKUP(AO327, '[1]Voxel Sizes'!$A$2:$B$18,2,FALSE()),"x",INT(AK327*15), "x", INT(AL327*15))</f>
        <v>256x43x64</v>
      </c>
      <c r="AO327" s="25" t="n">
        <f aca="false">ROUND(15*((AJ327*10)/256),0)</f>
        <v>15</v>
      </c>
      <c r="AQ327" s="1" t="str">
        <f aca="false">CONCATENATE(VLOOKUP(AO327,Constants!$A$2:$C$16,IF(AP327&lt;&gt;"", 3, 2), FALSE()),IF(AP327&lt;&gt;"",CONCATENATE(",",VLOOKUP(AP327,$B:$AQ,42,FALSE())),""))</f>
        <v>4,7,4</v>
      </c>
      <c r="AR327" s="25" t="s">
        <v>1275</v>
      </c>
      <c r="AS327" s="6" t="str">
        <f aca="false">E320_16_ULEN</f>
        <v>4,7,4,4,6,4,4,6,4,4,6,4,4,6,4,4,6,4,4,6,4,4,6,4,4,6,4,4,6,4,4,6,4,4,6,4,4,6,4,4,6,4,4,6,4,4,7,4</v>
      </c>
      <c r="AT327" s="6" t="str">
        <f aca="false">E320_16_VLEN</f>
        <v>15,14,14,14,14,14,14,14,14,14,14,14,14,14,14,15</v>
      </c>
      <c r="AU327" s="25"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27" s="25" t="str">
        <f aca="false">E320_16_NV</f>
        <v>1,1,1,1,0,0,0,1,0,1,1,0,0,0,1,1</v>
      </c>
      <c r="AX327" s="25" t="s">
        <v>1276</v>
      </c>
      <c r="BA327" s="25" t="n">
        <v>35</v>
      </c>
      <c r="BB327" s="16" t="str">
        <f aca="false">IF(O327&lt;&gt;"",MAX(16,(O327-M327)+8),"")</f>
        <v/>
      </c>
      <c r="BC327" s="25" t="n">
        <v>25</v>
      </c>
      <c r="BD327" s="25" t="n">
        <v>-15</v>
      </c>
      <c r="BE327" s="25" t="n">
        <f aca="false">MIN(AE327/150, 1)*30</f>
        <v>30</v>
      </c>
      <c r="BF327" s="25" t="n">
        <f aca="false">MIN(Q327/4000, 1)*20</f>
        <v>20</v>
      </c>
      <c r="BG327" s="25" t="n">
        <f aca="false">MIN(AC327/400,1)*20</f>
        <v>20</v>
      </c>
      <c r="BH327" s="4" t="n">
        <f aca="false">1-(MAX(M327-1900, 0)/750)</f>
        <v>0.848</v>
      </c>
      <c r="BI327" s="25" t="n">
        <f aca="false">((MAX($P327,1)*MIN($AM327/300,1)))*IF(J327="Wagon",50,10)</f>
        <v>29.8666666666667</v>
      </c>
      <c r="BJ327" s="1" t="n">
        <f aca="false">VLOOKUP($K327,Constants!$I:$K, 2, FALSE())</f>
        <v>0.85</v>
      </c>
      <c r="BK327" s="1" t="n">
        <f aca="false">VLOOKUP($K327,Constants!$I:$K, 3, FALSE())*IF(AND(J327="multiple_unit",AE327&lt;110),0.75,1)</f>
        <v>2.3</v>
      </c>
      <c r="BL327" s="25" t="n">
        <f aca="false">INT(POWER((([1]Constants!$G$2+$BE327+$BF327+$BG327+$BI327)*$BH327)*$BK327, 1.05))+$BD327</f>
        <v>251</v>
      </c>
      <c r="BM327" s="25" t="n">
        <f aca="false">INT(POWER(((([1]Constants!$G$1+$BE327+$BF327+$BG327+$BI327)*($BH327))*$BJ327),IF($J327="wagon",1,1.2)))+$BC327</f>
        <v>225</v>
      </c>
      <c r="BN327" s="17" t="n">
        <f aca="false">BL327*IF($J327="wagon",62.5,781.25)</f>
        <v>196093.75</v>
      </c>
      <c r="BO327" s="17" t="n">
        <f aca="false">BM327*IF($J327="wagon",2.73,81.25)</f>
        <v>18281.25</v>
      </c>
      <c r="BY327" s="25" t="n">
        <v>6</v>
      </c>
      <c r="BZ327" s="25" t="n">
        <v>185</v>
      </c>
      <c r="CA327" s="25" t="s">
        <v>960</v>
      </c>
      <c r="CB327" s="25" t="s">
        <v>326</v>
      </c>
      <c r="CC327" s="25" t="s">
        <v>327</v>
      </c>
      <c r="CD327" s="25" t="s">
        <v>754</v>
      </c>
      <c r="CE327" s="25" t="s">
        <v>842</v>
      </c>
      <c r="CF327" s="25" t="str">
        <f aca="false">CONCATENATE(CD327,"_",CE327)</f>
        <v>mod_EMU (Express)</v>
      </c>
      <c r="CG327" s="25" t="str">
        <f aca="false">_xlfn.CONCAT(K327, "_",L327)</f>
        <v>electric_ELRL</v>
      </c>
      <c r="CH327" s="7" t="str">
        <f aca="false">_xlfn.CONCAT("{BLACK}Length: {GOLD}", TEXT(ROUNDUP(IF(AT327&lt;&gt;"",SUM(VALUE(_xlfn.TEXTSPLIT(AT327, ","))), SUM(VALUE(_xlfn.TEXTSPLIT(AQ327, ",")))*IF(P327, P327, 1))/16, 1), "#,##0.0"), " tiles{}")</f>
        <v>{BLACK}Length: {GOLD}14.2 tiles{}</v>
      </c>
      <c r="CI327" s="1" t="n">
        <f aca="false">VLOOKUP($CG327, Constants!$M:$N, 2, FALSE())</f>
        <v>0</v>
      </c>
      <c r="CJ327" s="1" t="str">
        <f aca="false">IF(P327&gt;1,_xlfn.CONCAT("{BLACK}Cars: {GOLD}", P327),"")</f>
        <v>{BLACK}Cars: {GOLD}16</v>
      </c>
      <c r="CK327" s="25" t="s">
        <v>1277</v>
      </c>
      <c r="CM327" s="25"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{YELLOW}25% long distance bonus for consist{}</v>
      </c>
      <c r="CN327" s="25" t="str">
        <f aca="false">_xlfn.CONCAT(CI327,IF(CI327 &lt;&gt; "", " ", ""),CJ327,IF(OR(CJ327&lt;&gt;"", CI327&lt;&gt;""), "{}",""), CH327, CM327,"{SILVER}", CK327)</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28" s="25" customFormat="true" ht="14.25" hidden="false" customHeight="false" outlineLevel="0" collapsed="false">
      <c r="A328" s="25" t="s">
        <v>1273</v>
      </c>
      <c r="B328" s="26" t="s">
        <v>1278</v>
      </c>
      <c r="C328" s="1" t="n">
        <v>3088</v>
      </c>
      <c r="D328" s="25" t="n">
        <v>3087</v>
      </c>
      <c r="E328" s="1" t="n">
        <v>407</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25" t="s">
        <v>198</v>
      </c>
      <c r="J328" s="25" t="s">
        <v>423</v>
      </c>
      <c r="K328" s="25" t="s">
        <v>349</v>
      </c>
      <c r="L328" s="25" t="s">
        <v>350</v>
      </c>
      <c r="M328" s="25" t="n">
        <v>2014</v>
      </c>
      <c r="P328" s="25" t="n">
        <v>12</v>
      </c>
      <c r="Q328" s="25" t="n">
        <v>15750</v>
      </c>
      <c r="R328" s="2"/>
      <c r="S328" s="3"/>
      <c r="T328" s="3"/>
      <c r="U328" s="3"/>
      <c r="V328" s="3"/>
      <c r="W328" s="3"/>
      <c r="X328" s="3"/>
      <c r="Y328" s="3"/>
      <c r="Z328" s="25" t="n">
        <v>170</v>
      </c>
      <c r="AA328" s="2"/>
      <c r="AB328" s="25" t="n">
        <v>5</v>
      </c>
      <c r="AC328" s="25" t="n">
        <v>360</v>
      </c>
      <c r="AD328" s="4" t="n">
        <f aca="false">IF(AND(Z328&gt;0,AC328&gt;0),(AC328/((Z328+AA328)*10)),"")</f>
        <v>0.211764705882353</v>
      </c>
      <c r="AE328" s="25" t="n">
        <v>200</v>
      </c>
      <c r="AF328" s="25" t="n">
        <f aca="false">ROUND(AE328*1.6, 0)</f>
        <v>320</v>
      </c>
      <c r="AI328" s="25" t="n">
        <v>25.7</v>
      </c>
      <c r="AJ328" s="25" t="n">
        <v>25.7</v>
      </c>
      <c r="AK328" s="25" t="n">
        <v>2.92</v>
      </c>
      <c r="AL328" s="25" t="n">
        <v>4.3</v>
      </c>
      <c r="AM328" s="5" t="n">
        <v>53</v>
      </c>
      <c r="AN328" s="1" t="str">
        <f aca="false">CONCATENATE(VLOOKUP(AO328, '[1]Voxel Sizes'!$A$2:$B$18,2,FALSE()),"x",INT(AK328*15), "x", INT(AL328*15))</f>
        <v>256x43x64</v>
      </c>
      <c r="AO328" s="25" t="n">
        <f aca="false">ROUND(15*((AJ328*10)/256),0)</f>
        <v>15</v>
      </c>
      <c r="AQ328" s="1" t="str">
        <f aca="false">CONCATENATE(VLOOKUP(AO328,Constants!$A$2:$C$16,IF(AP328&lt;&gt;"", 3, 2), FALSE()),IF(AP328&lt;&gt;"",CONCATENATE(",",VLOOKUP(AP328,$B:$AQ,42,FALSE())),""))</f>
        <v>4,7,4</v>
      </c>
      <c r="AR328" s="25" t="s">
        <v>1279</v>
      </c>
      <c r="AS328" s="6" t="str">
        <f aca="false">E320_12_ULEN</f>
        <v>4,7,4,4,6,4,4,6,4,4,6,4,4,6,4,4,6,4,4,6,4,4,6,4,4,6,4,4,6,4,4,6,4,4,7,4</v>
      </c>
      <c r="AT328" s="6" t="str">
        <f aca="false">E320_12_VLEN</f>
        <v>15,14,14,14,14,14,14,14,14,14,14,15</v>
      </c>
      <c r="AU328" s="25" t="str">
        <f aca="false">E320_12_VEH</f>
        <v>eurostar_e320_front,eurostar_e320_p,eurostar_e320_pd,eurostar_e320_m,eurostar_e320_pd,eurostar_e320_mc,eurostar_e320_mc,eurostar_e320_pdr,eurostar_e320_mr,eurostar_e320_pdr,eurostar_e320_pr,eurostar_e320_rear</v>
      </c>
      <c r="AW328" s="25" t="str">
        <f aca="false">E320_12_NV</f>
        <v>0,0,0,0,0,0,0,0,0,0,0,0</v>
      </c>
      <c r="AX328" s="25" t="s">
        <v>1276</v>
      </c>
      <c r="BA328" s="25" t="n">
        <v>35</v>
      </c>
      <c r="BB328" s="16" t="str">
        <f aca="false">IF(O328&lt;&gt;"",MAX(16,(O328-M328)+8),"")</f>
        <v/>
      </c>
      <c r="BC328" s="25" t="n">
        <v>-10</v>
      </c>
      <c r="BD328" s="25" t="n">
        <v>-30</v>
      </c>
      <c r="BE328" s="25" t="n">
        <f aca="false">MIN(AE328/150, 1)*30</f>
        <v>30</v>
      </c>
      <c r="BF328" s="25" t="n">
        <f aca="false">MIN(Q328/4000, 1)*20</f>
        <v>20</v>
      </c>
      <c r="BG328" s="25" t="n">
        <f aca="false">MIN(AC328/400,1)*20</f>
        <v>18</v>
      </c>
      <c r="BH328" s="4" t="n">
        <f aca="false">1-(MAX(M328-1900, 0)/750)</f>
        <v>0.848</v>
      </c>
      <c r="BI328" s="25" t="n">
        <f aca="false">((MAX($P328,1)*MIN($AM328/300,1)))*IF(J328="Wagon",50,10)</f>
        <v>21.2</v>
      </c>
      <c r="BJ328" s="1" t="n">
        <f aca="false">VLOOKUP($K328,Constants!$I:$K, 2, FALSE())</f>
        <v>0.85</v>
      </c>
      <c r="BK328" s="1" t="n">
        <f aca="false">VLOOKUP($K328,Constants!$I:$K, 3, FALSE())*IF(AND(J328="multiple_unit",AE328&lt;110),0.75,1)</f>
        <v>2.3</v>
      </c>
      <c r="BL328" s="25" t="n">
        <f aca="false">INT(POWER((([1]Constants!$G$2+$BE328+$BF328+$BG328+$BI328)*$BH328)*$BK328, 1.05))+$BD328</f>
        <v>208</v>
      </c>
      <c r="BM328" s="25" t="n">
        <f aca="false">INT(POWER(((([1]Constants!$G$1+$BE328+$BF328+$BG328+$BI328)*($BH328))*$BJ328),IF($J328="wagon",1,1.2)))+$BC328</f>
        <v>168</v>
      </c>
      <c r="BN328" s="17" t="n">
        <f aca="false">BL328*IF($J328="wagon",62.5,781.25)</f>
        <v>162500</v>
      </c>
      <c r="BO328" s="17" t="n">
        <f aca="false">BM328*IF($J328="wagon",2.73,81.25)</f>
        <v>13650</v>
      </c>
      <c r="BY328" s="25" t="n">
        <v>6</v>
      </c>
      <c r="BZ328" s="25" t="n">
        <v>185</v>
      </c>
      <c r="CB328" s="25" t="s">
        <v>326</v>
      </c>
      <c r="CC328" s="25" t="s">
        <v>327</v>
      </c>
      <c r="CD328" s="25" t="s">
        <v>754</v>
      </c>
      <c r="CE328" s="25" t="s">
        <v>842</v>
      </c>
      <c r="CF328" s="25" t="str">
        <f aca="false">CONCATENATE(CD328,"_",CE328)</f>
        <v>mod_EMU (Express)</v>
      </c>
      <c r="CG328" s="25" t="str">
        <f aca="false">_xlfn.CONCAT(K328, "_",L328)</f>
        <v>electric_ELRL</v>
      </c>
      <c r="CH328" s="7" t="str">
        <f aca="false">_xlfn.CONCAT("{BLACK}Length: {GOLD}", TEXT(ROUNDUP(IF(AT328&lt;&gt;"",SUM(VALUE(_xlfn.TEXTSPLIT(AT328, ","))), SUM(VALUE(_xlfn.TEXTSPLIT(AQ328, ",")))*IF(P328, P328, 1))/16, 1), "#,##0.0"), " tiles{}")</f>
        <v>{BLACK}Length: {GOLD}10.7 tiles{}</v>
      </c>
      <c r="CI328" s="1" t="n">
        <f aca="false">VLOOKUP($CG328, Constants!$M:$N, 2, FALSE())</f>
        <v>0</v>
      </c>
      <c r="CJ328" s="1" t="str">
        <f aca="false">IF(P328&gt;1,_xlfn.CONCAT("{BLACK}Cars: {GOLD}", P328),"")</f>
        <v>{BLACK}Cars: {GOLD}12</v>
      </c>
      <c r="CK328" s="25" t="s">
        <v>1280</v>
      </c>
      <c r="CM328" s="25"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
      </c>
      <c r="CN328" s="25" t="str">
        <f aca="false">_xlfn.CONCAT(CI328,IF(CI328 &lt;&gt; "", " ", ""),CJ328,IF(OR(CJ328&lt;&gt;"", CI328&lt;&gt;""), "{}",""), CH328, CM328,"{SILVER}", CK328)</f>
        <v>{BLACK}Cars: {GOLD}12{}{BLACK}Length: {GOLD}10.7 tiles{}{SILVER}A fictional shorter Class 374 variant…</v>
      </c>
    </row>
    <row r="329" customFormat="false" ht="14.25" hidden="false" customHeight="false" outlineLevel="0" collapsed="false">
      <c r="A329" s="1" t="s">
        <v>1281</v>
      </c>
      <c r="B329" s="15" t="s">
        <v>1282</v>
      </c>
      <c r="C329" s="1" t="n">
        <v>278</v>
      </c>
      <c r="E329" s="1" t="n">
        <v>408</v>
      </c>
      <c r="G329" s="1" t="str">
        <f aca="false">IF($F329&lt;&gt;"",_xlfn.CONCAT(VLOOKUP($CE329, Constants!$T:$U, 2, FALSE()),",",$F329),VLOOKUP($CE329, Constants!$T:$U, 2, FALSE()))</f>
        <v>role/passenger</v>
      </c>
      <c r="H329" s="1" t="str">
        <f aca="false">IF($G329&lt;&gt;"",_xlfn.CONCAT(VLOOKUP($CG329, Constants!$M:$P, 4, FALSE()),",",$G329),VLOOKUP($CG329, Constants!$M:$P, 4, FALSE()))</f>
        <v>flag/GB,power/diesel,role/passenger</v>
      </c>
      <c r="I329" s="1" t="s">
        <v>198</v>
      </c>
      <c r="J329" s="1" t="s">
        <v>423</v>
      </c>
      <c r="K329" s="1" t="s">
        <v>482</v>
      </c>
      <c r="L329" s="1" t="s">
        <v>149</v>
      </c>
      <c r="M329" s="1" t="n">
        <v>2019</v>
      </c>
      <c r="P329" s="1" t="n">
        <v>2</v>
      </c>
      <c r="Q329" s="1" t="n">
        <f aca="false">523*2</f>
        <v>1046</v>
      </c>
      <c r="Z329" s="1" t="n">
        <v>80</v>
      </c>
      <c r="AB329" s="1" t="n">
        <v>5</v>
      </c>
      <c r="AC329" s="1" t="n">
        <v>145</v>
      </c>
      <c r="AD329" s="4" t="n">
        <f aca="false">IF(AND(Z329&gt;0,AC329&gt;0),(AC329/((Z329+AA329)*10)),"")</f>
        <v>0.18125</v>
      </c>
      <c r="AE329" s="1" t="n">
        <v>100</v>
      </c>
      <c r="AF329" s="1" t="n">
        <f aca="false">ROUND(AE329*1.6, 0)</f>
        <v>160</v>
      </c>
      <c r="AI329" s="1" t="n">
        <v>24</v>
      </c>
      <c r="AJ329" s="1" t="n">
        <v>24</v>
      </c>
      <c r="AK329" s="1" t="n">
        <v>2.7</v>
      </c>
      <c r="AL329" s="1" t="n">
        <v>3.85</v>
      </c>
      <c r="AM329" s="5" t="n">
        <v>63</v>
      </c>
      <c r="AN329" s="1" t="str">
        <f aca="false">CONCATENATE(VLOOKUP(AO329, 'Voxel Sizes'!$A$2:$B$18,2,FALSE()),"x",INT(AK329*15), "x", INT(AL329*15))</f>
        <v>238x40x57</v>
      </c>
      <c r="AO329" s="1" t="n">
        <f aca="false">ROUND(15*((AJ329*10)/256),0)</f>
        <v>14</v>
      </c>
      <c r="AQ329" s="1" t="str">
        <f aca="false">CONCATENATE(VLOOKUP(AO329,Constants!$A$2:$C$16,IF(AP329&lt;&gt;"", 3, 2), FALSE()),IF(AP329&lt;&gt;"",CONCATENATE(",",VLOOKUP(AP329,$B:$AQ,42,FALSE())),""))</f>
        <v>4,6,4</v>
      </c>
      <c r="AU329" s="1" t="s">
        <v>1283</v>
      </c>
      <c r="AW329" s="1" t="s">
        <v>770</v>
      </c>
      <c r="BA329" s="1" t="n">
        <v>30</v>
      </c>
      <c r="BB329" s="16" t="str">
        <f aca="false">IF(O329&lt;&gt;"",MAX(16,(O329-M329)+8),"")</f>
        <v/>
      </c>
      <c r="BC329" s="1" t="n">
        <v>-15</v>
      </c>
      <c r="BD329" s="1" t="n">
        <v>-25</v>
      </c>
      <c r="BE329" s="1" t="n">
        <f aca="false">MIN(AE329/150, 1)*30</f>
        <v>20</v>
      </c>
      <c r="BF329" s="1" t="n">
        <f aca="false">MIN(Q329/4000, 1)*20</f>
        <v>5.23</v>
      </c>
      <c r="BG329" s="1" t="n">
        <f aca="false">MIN(AC329/400,1)*20</f>
        <v>7.25</v>
      </c>
      <c r="BH329" s="4" t="n">
        <f aca="false">1-(MAX(M329-1900, 0)/750)</f>
        <v>0.841333333333333</v>
      </c>
      <c r="BI329" s="1" t="n">
        <f aca="false">((MAX($P329,1)*MIN($AM329/300,1)))*IF(J329="Wagon",50,10)</f>
        <v>4.2</v>
      </c>
      <c r="BJ329" s="1" t="n">
        <f aca="false">VLOOKUP($K329,Constants!$I:$K, 2, FALSE())</f>
        <v>1</v>
      </c>
      <c r="BK329" s="1" t="n">
        <f aca="false">VLOOKUP($K329,Constants!$I:$K, 3, FALSE())*IF(AND(J329="multiple_unit",AE329&lt;110),0.75,1)</f>
        <v>1.5</v>
      </c>
      <c r="BL329" s="1" t="n">
        <f aca="false">INT(POWER(((Constants!$G$2+$BE329+$BF329+$BG329+$BI329)*$BH329)*$BK329, 1.05))+$BD329</f>
        <v>39</v>
      </c>
      <c r="BM329" s="1" t="n">
        <f aca="false">INT(POWER((((Constants!$G$1+$BE329+$BF329+$BG329+$BI329)*($BH329))*$BJ329),IF($J329="wagon",1,1.2)))+$BC329</f>
        <v>77</v>
      </c>
      <c r="BN329" s="17" t="n">
        <f aca="false">BL329*IF($J329="wagon",62.5,781.25)</f>
        <v>30468.75</v>
      </c>
      <c r="BO329" s="17" t="n">
        <f aca="false">BM329*IF($J329="wagon",2.73,81.25)</f>
        <v>6256.25</v>
      </c>
      <c r="BY329" s="1" t="n">
        <v>2</v>
      </c>
      <c r="BZ329" s="1" t="n">
        <v>185</v>
      </c>
      <c r="CC329" s="1" t="s">
        <v>327</v>
      </c>
      <c r="CD329" s="1" t="str">
        <f aca="false">VLOOKUP(M329,Eras!$A$2:$C$10, 2, TRUE())</f>
        <v>mod</v>
      </c>
      <c r="CE329" s="1" t="s">
        <v>779</v>
      </c>
      <c r="CF329" s="1" t="str">
        <f aca="false">CONCATENATE(CD329,"_",CE329)</f>
        <v>mod_DMU</v>
      </c>
      <c r="CG329" s="1" t="str">
        <f aca="false">_xlfn.CONCAT(K329, "_",L329)</f>
        <v>diesel_RAIL</v>
      </c>
      <c r="CH329" s="7" t="str">
        <f aca="false">_xlfn.CONCAT("{BLACK}Length: {GOLD}", TEXT(ROUNDUP(IF(AT329&lt;&gt;"",SUM(VALUE(_xlfn.TEXTSPLIT(AT329, ","))), SUM(VALUE(_xlfn.TEXTSPLIT(AQ329, ",")))*IF(P329, P329, 1))/16, 1), "#,##0.0"), " tiles{}")</f>
        <v>{BLACK}Length: {GOLD}1.8 tiles{}</v>
      </c>
      <c r="CI329" s="1" t="n">
        <f aca="false">VLOOKUP($CG329, Constants!$M:$N, 2, FALSE())</f>
        <v>0</v>
      </c>
      <c r="CJ329" s="1" t="str">
        <f aca="false">IF(P329&gt;1,_xlfn.CONCAT("{BLACK}Cars: {GOLD}", P329),"")</f>
        <v>{BLACK}Cars: {GOLD}2</v>
      </c>
      <c r="CK329" s="1" t="s">
        <v>1284</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{GOLD}2{}{BLACK}Length: {GOLD}1.8 tiles{}{SILVER}The Class 195 is designed to replace Sprinter and Pacer units with a multiple unit of far higher quality and passenger comfort.</v>
      </c>
    </row>
    <row r="330" customFormat="false" ht="14.25" hidden="false" customHeight="false" outlineLevel="0" collapsed="false">
      <c r="A330" s="1" t="s">
        <v>1285</v>
      </c>
      <c r="B330" s="15" t="s">
        <v>1286</v>
      </c>
      <c r="C330" s="1" t="n">
        <v>279</v>
      </c>
      <c r="E330" s="1" t="n">
        <v>409</v>
      </c>
      <c r="G330" s="1" t="str">
        <f aca="false">IF($F330&lt;&gt;"",_xlfn.CONCAT(VLOOKUP($CE330, Constants!$T:$U, 2, FALSE()),",",$F330),VLOOKUP($CE330, Constants!$T:$U, 2, FALSE()))</f>
        <v>role/passenger</v>
      </c>
      <c r="H330" s="1" t="str">
        <f aca="false">IF($G330&lt;&gt;"",_xlfn.CONCAT(VLOOKUP($CG330, Constants!$M:$P, 4, FALSE()),",",$G330),VLOOKUP($CG330, Constants!$M:$P, 4, FALSE()))</f>
        <v>flag/GB,role/passenger</v>
      </c>
      <c r="I330" s="1" t="s">
        <v>198</v>
      </c>
      <c r="J330" s="1" t="s">
        <v>423</v>
      </c>
      <c r="K330" s="1" t="s">
        <v>637</v>
      </c>
      <c r="L330" s="1" t="s">
        <v>350</v>
      </c>
      <c r="M330" s="1" t="n">
        <v>2019</v>
      </c>
      <c r="P330" s="1" t="n">
        <v>5</v>
      </c>
      <c r="Q330" s="1" t="n">
        <v>3500</v>
      </c>
      <c r="R330" s="2" t="n">
        <v>2570</v>
      </c>
      <c r="Z330" s="1" t="n">
        <v>163</v>
      </c>
      <c r="AB330" s="1" t="n">
        <v>5</v>
      </c>
      <c r="AC330" s="1" t="n">
        <v>185</v>
      </c>
      <c r="AD330" s="4" t="n">
        <f aca="false">IF(AND(Z330&gt;0,AC330&gt;0),(AC330/((Z330+AA330)*10)),"")</f>
        <v>0.113496932515337</v>
      </c>
      <c r="AE330" s="1" t="n">
        <v>100</v>
      </c>
      <c r="AF330" s="1" t="n">
        <f aca="false">ROUND(AE330*1.6, 0)</f>
        <v>160</v>
      </c>
      <c r="AI330" s="1" t="n">
        <v>20.1</v>
      </c>
      <c r="AJ330" s="1" t="n">
        <v>20.1</v>
      </c>
      <c r="AK330" s="1" t="n">
        <v>2.72</v>
      </c>
      <c r="AL330" s="1" t="n">
        <v>3.95</v>
      </c>
      <c r="AM330" s="5" t="n">
        <v>45</v>
      </c>
      <c r="AN330" s="1" t="str">
        <f aca="false">CONCATENATE(VLOOKUP(AO330, 'Voxel Sizes'!$A$2:$B$18,2,FALSE()),"x",INT(AK330*15), "x", INT(AL330*15))</f>
        <v>198x40x59</v>
      </c>
      <c r="AO330" s="1" t="n">
        <f aca="false">ROUND(15*((AJ330*10)/256),0)</f>
        <v>12</v>
      </c>
      <c r="AQ330" s="1" t="str">
        <f aca="false">CONCATENATE(VLOOKUP(AO330,Constants!$A$2:$C$16,IF(AP330&lt;&gt;"", 3, 2), FALSE()),IF(AP330&lt;&gt;"",CONCATENATE(",",VLOOKUP(AP330,$B:$AQ,42,FALSE())),""))</f>
        <v>4,4,4</v>
      </c>
      <c r="AR330" s="1" t="n">
        <v>6</v>
      </c>
      <c r="AS330" s="6" t="s">
        <v>1287</v>
      </c>
      <c r="AT330" s="6" t="s">
        <v>1288</v>
      </c>
      <c r="AU330" s="1" t="s">
        <v>1289</v>
      </c>
      <c r="AV330" s="1" t="s">
        <v>1290</v>
      </c>
      <c r="AW330" s="1" t="s">
        <v>1291</v>
      </c>
      <c r="BA330" s="1" t="n">
        <v>30</v>
      </c>
      <c r="BB330" s="16" t="str">
        <f aca="false">IF(O330&lt;&gt;"",MAX(16,(O330-M330)+8),"")</f>
        <v/>
      </c>
      <c r="BC330" s="1" t="n">
        <v>-15</v>
      </c>
      <c r="BD330" s="1" t="n">
        <v>-30</v>
      </c>
      <c r="BE330" s="1" t="n">
        <f aca="false">MIN(AE330/150, 1)*30</f>
        <v>20</v>
      </c>
      <c r="BF330" s="1" t="n">
        <f aca="false">MIN(Q330/4000, 1)*20</f>
        <v>17.5</v>
      </c>
      <c r="BG330" s="1" t="n">
        <f aca="false">MIN(AC330/400,1)*20</f>
        <v>9.25</v>
      </c>
      <c r="BH330" s="4" t="n">
        <f aca="false">1-(MAX(M330-1900, 0)/750)</f>
        <v>0.841333333333333</v>
      </c>
      <c r="BI330" s="1" t="n">
        <f aca="false">((MAX($P330,1)*MIN($AM330/300,1)))*IF(J330="Wagon",50,10)</f>
        <v>7.5</v>
      </c>
      <c r="BJ330" s="1" t="n">
        <f aca="false">VLOOKUP($K330,Constants!$I:$K, 2, FALSE())</f>
        <v>0.9</v>
      </c>
      <c r="BK330" s="1" t="n">
        <f aca="false">VLOOKUP($K330,Constants!$I:$K, 3, FALSE())*IF(AND(J330="multiple_unit",AE330&lt;110),0.75,1)</f>
        <v>1.875</v>
      </c>
      <c r="BL330" s="1" t="n">
        <f aca="false">INT(POWER(((Constants!$G$2+$BE330+$BF330+$BG330+$BI330)*$BH330)*$BK330, 1.05))+$BD330</f>
        <v>87</v>
      </c>
      <c r="BM330" s="1" t="n">
        <f aca="false">INT(POWER((((Constants!$G$1+$BE330+$BF330+$BG330+$BI330)*($BH330))*$BJ330),IF($J330="wagon",1,1.2)))+$BC330</f>
        <v>100</v>
      </c>
      <c r="BN330" s="17" t="n">
        <f aca="false">BL330*IF($J330="wagon",62.5,781.25)</f>
        <v>67968.75</v>
      </c>
      <c r="BO330" s="17" t="n">
        <f aca="false">BM330*IF($J330="wagon",2.73,81.25)</f>
        <v>8125</v>
      </c>
      <c r="BY330" s="1" t="n">
        <v>9</v>
      </c>
      <c r="CC330" s="1" t="s">
        <v>327</v>
      </c>
      <c r="CD330" s="1" t="str">
        <f aca="false">VLOOKUP(M330,Eras!$A$2:$C$10, 2, TRUE())</f>
        <v>mod</v>
      </c>
      <c r="CE330" s="1" t="s">
        <v>785</v>
      </c>
      <c r="CF330" s="1" t="str">
        <f aca="false">CONCATENATE(CD330,"_",CE330)</f>
        <v>mod_EMU</v>
      </c>
      <c r="CG330" s="1" t="str">
        <f aca="false">_xlfn.CONCAT(K330, "_",L330)</f>
        <v>dual_power_ELRL</v>
      </c>
      <c r="CH330" s="7" t="str">
        <f aca="false">_xlfn.CONCAT("{BLACK}Length: {GOLD}", TEXT(ROUNDUP(IF(AT330&lt;&gt;"",SUM(VALUE(_xlfn.TEXTSPLIT(AT330, ","))), SUM(VALUE(_xlfn.TEXTSPLIT(AQ330, ",")))*IF(P330, P330, 1))/16, 1), "#,##0.0"), " tiles{}")</f>
        <v>{BLACK}Length: {GOLD}3.0 tiles{}</v>
      </c>
      <c r="CI330" s="1" t="n">
        <f aca="false">VLOOKUP($CG330, Constants!$M:$N, 2, FALSE())</f>
        <v>0</v>
      </c>
      <c r="CJ330" s="1" t="str">
        <f aca="false">IF(P330&gt;1,_xlfn.CONCAT("{BLACK}Cars: {GOLD}", P330),"")</f>
        <v>{BLACK}Cars: {GOLD}5</v>
      </c>
      <c r="CK330" s="1" t="s">
        <v>1292</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{GOLD}5{}{BLACK}Length: {GOLD}3.0 tiles{}{SILVER}The Class 755 was designed to modernise services on the East Anglia franchise. The design features a distinctive "power pack" containing the diesel engines used for bi-mode operation.</v>
      </c>
    </row>
    <row r="331" s="1" customFormat="true" ht="14.25" hidden="false" customHeight="false" outlineLevel="0" collapsed="false">
      <c r="A331" s="1" t="s">
        <v>1293</v>
      </c>
      <c r="B331" s="26" t="s">
        <v>1294</v>
      </c>
      <c r="C331" s="1" t="n">
        <v>3096</v>
      </c>
      <c r="E331" s="1" t="n">
        <v>410</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198</v>
      </c>
      <c r="J331" s="1" t="s">
        <v>423</v>
      </c>
      <c r="K331" s="1" t="s">
        <v>349</v>
      </c>
      <c r="L331" s="1" t="s">
        <v>350</v>
      </c>
      <c r="M331" s="1" t="n">
        <v>2020</v>
      </c>
      <c r="P331" s="1" t="n">
        <v>12</v>
      </c>
      <c r="Q331" s="1" t="n">
        <v>7000</v>
      </c>
      <c r="R331" s="2" t="n">
        <v>2700</v>
      </c>
      <c r="S331" s="3"/>
      <c r="T331" s="3"/>
      <c r="U331" s="3"/>
      <c r="V331" s="3"/>
      <c r="W331" s="3"/>
      <c r="X331" s="3"/>
      <c r="Y331" s="3"/>
      <c r="Z331" s="1" t="n">
        <v>204</v>
      </c>
      <c r="AA331" s="2"/>
      <c r="AB331" s="1" t="n">
        <v>5</v>
      </c>
      <c r="AC331" s="1" t="n">
        <v>400</v>
      </c>
      <c r="AD331" s="4" t="n">
        <f aca="false">IF(AND(Z331&gt;0,AC331&gt;0),(AC331/((Z331+AA331)*10)),"")</f>
        <v>0.196078431372549</v>
      </c>
      <c r="AE331" s="1" t="n">
        <v>100</v>
      </c>
      <c r="AF331" s="1" t="n">
        <f aca="false">ROUND(AE331*1.6, 0)</f>
        <v>160</v>
      </c>
      <c r="AI331" s="1" t="n">
        <v>19.7</v>
      </c>
      <c r="AJ331" s="1" t="n">
        <v>20</v>
      </c>
      <c r="AM331" s="5" t="n">
        <v>60</v>
      </c>
      <c r="AN331" s="1" t="str">
        <f aca="false">CONCATENATE(VLOOKUP(AO331, '[1]Voxel Sizes'!$A$2:$B$18,2,FALSE()),"x",INT(AK331*15), "x", INT(AL331*15))</f>
        <v>198x0x0</v>
      </c>
      <c r="AO331" s="1" t="n">
        <f aca="false">ROUND(15*((AJ331*10)/256),0)</f>
        <v>12</v>
      </c>
      <c r="AQ331" s="1" t="str">
        <f aca="false">CONCATENATE(VLOOKUP(AO331,Constants!$A$2:$C$16,IF(AP331&lt;&gt;"", 3, 2), FALSE()),IF(AP331&lt;&gt;"",CONCATENATE(",",VLOOKUP(AP331,$B:$AQ,42,FALSE())),""))</f>
        <v>4,4,4</v>
      </c>
      <c r="AR331" s="1" t="s">
        <v>1295</v>
      </c>
      <c r="AS331" s="6"/>
      <c r="AT331" s="6"/>
      <c r="AU331" s="1" t="s">
        <v>1296</v>
      </c>
      <c r="AW331" s="1" t="str">
        <f aca="false">STAD_745_NS</f>
        <v>0,1,1,1,0,0,0,0,0,0,1,0</v>
      </c>
      <c r="AX331" s="1" t="s">
        <v>1286</v>
      </c>
      <c r="BA331" s="1" t="n">
        <v>30</v>
      </c>
      <c r="BB331" s="16" t="str">
        <f aca="false">IF(O331&lt;&gt;"",MAX(16,(O331-M331)+8),"")</f>
        <v/>
      </c>
      <c r="BC331" s="1" t="n">
        <v>-15</v>
      </c>
      <c r="BD331" s="1" t="n">
        <v>-30</v>
      </c>
      <c r="BE331" s="1" t="n">
        <f aca="false">MIN(AE331/150, 1)*30</f>
        <v>20</v>
      </c>
      <c r="BF331" s="1" t="n">
        <f aca="false">MIN(Q331/4000, 1)*20</f>
        <v>20</v>
      </c>
      <c r="BG331" s="1" t="n">
        <f aca="false">MIN(AC331/400,1)*20</f>
        <v>20</v>
      </c>
      <c r="BH331" s="4" t="n">
        <f aca="false">1-(MAX(M331-1900, 0)/750)</f>
        <v>0.84</v>
      </c>
      <c r="BI331" s="1" t="n">
        <f aca="false">((MAX($P331,1)*MIN($AM331/300,1)))*IF(J331="Wagon",50,10)</f>
        <v>24</v>
      </c>
      <c r="BJ331" s="1" t="n">
        <f aca="false">VLOOKUP($K331,Constants!$I:$K, 2, FALSE())</f>
        <v>0.85</v>
      </c>
      <c r="BK331" s="1" t="n">
        <f aca="false">VLOOKUP($K331,Constants!$I:$K, 3, FALSE())*IF(AND(J331="multiple_unit",AE331&lt;110),0.75,1)</f>
        <v>1.725</v>
      </c>
      <c r="BL331" s="25" t="n">
        <f aca="false">INT(POWER((([1]Constants!$G$2+$BE331+$BF331+$BG331+$BI331)*$BH331)*$BK331, 1.05))+$BD331</f>
        <v>134</v>
      </c>
      <c r="BM331" s="25" t="n">
        <f aca="false">INT(POWER(((([1]Constants!$G$1+$BE331+$BF331+$BG331+$BI331)*($BH331))*$BJ331),IF($J331="wagon",1,1.2)))+$BC331</f>
        <v>150</v>
      </c>
      <c r="BN331" s="17" t="n">
        <f aca="false">BL331*IF($J331="wagon",62.5,781.25)</f>
        <v>104687.5</v>
      </c>
      <c r="BO331" s="17" t="n">
        <f aca="false">BM331*IF($J331="wagon",2.73,81.25)</f>
        <v>12187.5</v>
      </c>
      <c r="BX331" s="1" t="s">
        <v>938</v>
      </c>
      <c r="BY331" s="1" t="n">
        <v>2</v>
      </c>
      <c r="CC331" s="1" t="s">
        <v>327</v>
      </c>
      <c r="CD331" s="25" t="s">
        <v>754</v>
      </c>
      <c r="CE331" s="25" t="s">
        <v>785</v>
      </c>
      <c r="CF331" s="1" t="str">
        <f aca="false">CONCATENATE(CD331,"_",CE331)</f>
        <v>mod_EMU</v>
      </c>
      <c r="CG331" s="1" t="str">
        <f aca="false">_xlfn.CONCAT(K331, "_",L331)</f>
        <v>electric_ELRL</v>
      </c>
      <c r="CH331" s="7" t="str">
        <f aca="false">_xlfn.CONCAT("{BLACK}Length: {GOLD}", TEXT(ROUNDUP(IF(AT331&lt;&gt;"",SUM(VALUE(_xlfn.TEXTSPLIT(AT331, ","))), SUM(VALUE(_xlfn.TEXTSPLIT(AQ331, ",")))*IF(P331, P331, 1))/16, 1), "#,##0.0"), " tiles{}")</f>
        <v>{BLACK}Length: {GOLD}9.0 tiles{}</v>
      </c>
      <c r="CI331" s="1" t="n">
        <f aca="false">VLOOKUP($CG331, Constants!$M:$N, 2, FALSE())</f>
        <v>0</v>
      </c>
      <c r="CJ331" s="1" t="str">
        <f aca="false">IF(P331&gt;1,_xlfn.CONCAT("{BLACK}Cars: {GOLD}", P331),"")</f>
        <v>{BLACK}Cars: {GOLD}12</v>
      </c>
      <c r="CK331" s="1" t="s">
        <v>1297</v>
      </c>
      <c r="CM331" s="25" t="str">
        <f aca="false">IF(CA331="buffet","{YELLOW}25% long distance bonus for consist{}",IF(CD331="BRAKE","{YELLOW}Speed bonus for slow wagons{}",IF(BZ331&gt;190,CONCATENATE("{YELLOW}",INT((BZ331-185)/1.85),"% bonus for long distance travel{}"),IF(AND(BZ331&lt;180,BZ331&lt;&gt;0),CONCATENATE("{YELLOW}",INT((185-BZ331)/1.85),"% penalty for long distance travel{}"),""))))</f>
        <v/>
      </c>
      <c r="CN331" s="25" t="str">
        <f aca="false">_xlfn.CONCAT(CI331,IF(CI331 &lt;&gt; "", " ", ""),CJ331,IF(OR(CJ331&lt;&gt;"", CI331&lt;&gt;""), "{}",""), CH331, CM331,"{SILVER}", CK331)</f>
        <v>{BLACK}Cars: {GOLD}12{}{BLACK}Length: {GOLD}9.0 tiles{}{SILVER}Stadler’s Class 745 units replaced Class 90 hauled trains on the GEML. The semi-articulated design was required to meet crashworthiness specifications.</v>
      </c>
    </row>
    <row r="332" customFormat="false" ht="14.25" hidden="false" customHeight="false" outlineLevel="0" collapsed="false">
      <c r="A332" s="1" t="s">
        <v>1298</v>
      </c>
      <c r="B332" s="15" t="s">
        <v>1299</v>
      </c>
      <c r="C332" s="1" t="n">
        <v>280</v>
      </c>
      <c r="E332" s="1" t="n">
        <v>411</v>
      </c>
      <c r="G332" s="1" t="str">
        <f aca="false">IF($F332&lt;&gt;"",_xlfn.CONCAT(VLOOKUP($CE332, Constants!$T:$U, 2, FALSE()),",",$F332),VLOOKUP($CE332, Constants!$T:$U, 2, FALSE()))</f>
        <v>role/passenger</v>
      </c>
      <c r="H332" s="1" t="str">
        <f aca="false">IF($G332&lt;&gt;"",_xlfn.CONCAT(VLOOKUP($CG332, Constants!$M:$P, 4, FALSE()),",",$G332),VLOOKUP($CG332, Constants!$M:$P, 4, FALSE()))</f>
        <v>flag/GB,power/electric,role/passenger</v>
      </c>
      <c r="I332" s="1" t="s">
        <v>198</v>
      </c>
      <c r="J332" s="1" t="s">
        <v>423</v>
      </c>
      <c r="K332" s="1" t="s">
        <v>349</v>
      </c>
      <c r="L332" s="1" t="s">
        <v>350</v>
      </c>
      <c r="M332" s="1" t="n">
        <v>2018</v>
      </c>
      <c r="P332" s="1" t="n">
        <v>3</v>
      </c>
      <c r="Q332" s="1" t="n">
        <f aca="false">335*6</f>
        <v>2010</v>
      </c>
      <c r="Z332" s="1" t="n">
        <v>130</v>
      </c>
      <c r="AB332" s="1" t="n">
        <v>5</v>
      </c>
      <c r="AC332" s="1" t="n">
        <v>150</v>
      </c>
      <c r="AD332" s="4" t="n">
        <f aca="false">IF(AND(Z332&gt;0,AC332&gt;0),(AC332/((Z332+AA332)*10)),"")</f>
        <v>0.115384615384615</v>
      </c>
      <c r="AE332" s="1" t="n">
        <v>100</v>
      </c>
      <c r="AF332" s="1" t="n">
        <f aca="false">ROUND(AE332*1.6, 0)</f>
        <v>160</v>
      </c>
      <c r="AI332" s="1" t="n">
        <v>23</v>
      </c>
      <c r="AJ332" s="1" t="n">
        <v>23</v>
      </c>
      <c r="AM332" s="5" t="n">
        <v>69</v>
      </c>
      <c r="AN332" s="1" t="str">
        <f aca="false">CONCATENATE(VLOOKUP(AO332, 'Voxel Sizes'!$A$2:$B$18,2,FALSE()),"x",INT(AK332*15), "x", INT(AL332*15))</f>
        <v>214x0x0</v>
      </c>
      <c r="AO332" s="1" t="n">
        <f aca="false">ROUND(15*((AJ332*10)/256),0)</f>
        <v>13</v>
      </c>
      <c r="AQ332" s="1" t="str">
        <f aca="false">CONCATENATE(VLOOKUP(AO332,Constants!$A$2:$C$16,IF(AP332&lt;&gt;"", 3, 2), FALSE()),IF(AP332&lt;&gt;"",CONCATENATE(",",VLOOKUP(AP332,$B:$AQ,42,FALSE())),""))</f>
        <v>4,5,4</v>
      </c>
      <c r="AU332" s="1" t="s">
        <v>1300</v>
      </c>
      <c r="AW332" s="1" t="s">
        <v>425</v>
      </c>
      <c r="BA332" s="1" t="n">
        <v>32</v>
      </c>
      <c r="BB332" s="16" t="str">
        <f aca="false">IF(O332&lt;&gt;"",MAX(16,(O332-M332)+8),"")</f>
        <v/>
      </c>
      <c r="BC332" s="1" t="n">
        <v>-15</v>
      </c>
      <c r="BD332" s="1" t="n">
        <v>-32</v>
      </c>
      <c r="BE332" s="1" t="n">
        <f aca="false">MIN(AE332/150, 1)*30</f>
        <v>20</v>
      </c>
      <c r="BF332" s="1" t="n">
        <f aca="false">MIN(Q332/4000, 1)*20</f>
        <v>10.05</v>
      </c>
      <c r="BG332" s="1" t="n">
        <f aca="false">MIN(AC332/400,1)*20</f>
        <v>7.5</v>
      </c>
      <c r="BH332" s="4" t="n">
        <f aca="false">1-(MAX(M332-1900, 0)/750)</f>
        <v>0.842666666666667</v>
      </c>
      <c r="BI332" s="1" t="n">
        <f aca="false">((MAX($P332,1)*MIN($AM332/300,1)))*IF(J332="Wagon",50,10)</f>
        <v>6.9</v>
      </c>
      <c r="BJ332" s="1" t="n">
        <f aca="false">VLOOKUP($K332,Constants!$I:$K, 2, FALSE())</f>
        <v>0.85</v>
      </c>
      <c r="BK332" s="1" t="n">
        <f aca="false">VLOOKUP($K332,Constants!$I:$K, 3, FALSE())*IF(AND(J332="multiple_unit",AE332&lt;110),0.75,1)</f>
        <v>1.725</v>
      </c>
      <c r="BL332" s="1" t="n">
        <f aca="false">INT(POWER(((Constants!$G$2+$BE332+$BF332+$BG332+$BI332)*$BH332)*$BK332, 1.05))+$BD332</f>
        <v>57</v>
      </c>
      <c r="BM332" s="1" t="n">
        <f aca="false">INT(POWER((((Constants!$G$1+$BE332+$BF332+$BG332+$BI332)*($BH332))*$BJ332),IF($J332="wagon",1,1.2)))+$BC332</f>
        <v>75</v>
      </c>
      <c r="BN332" s="17" t="n">
        <f aca="false">BL332*IF($J332="wagon",62.5,781.25)</f>
        <v>44531.25</v>
      </c>
      <c r="BO332" s="17" t="n">
        <f aca="false">BM332*IF($J332="wagon",2.73,81.25)</f>
        <v>6093.75</v>
      </c>
      <c r="BY332" s="1" t="n">
        <v>11</v>
      </c>
      <c r="BZ332" s="1" t="n">
        <v>185</v>
      </c>
      <c r="CC332" s="1" t="s">
        <v>327</v>
      </c>
      <c r="CD332" s="1" t="str">
        <f aca="false">VLOOKUP(M332,Eras!$A$2:$C$10, 2, TRUE())</f>
        <v>mod</v>
      </c>
      <c r="CE332" s="1" t="s">
        <v>785</v>
      </c>
      <c r="CF332" s="1" t="str">
        <f aca="false">CONCATENATE(CD332,"_",CE332)</f>
        <v>mod_EMU</v>
      </c>
      <c r="CG332" s="1" t="str">
        <f aca="false">_xlfn.CONCAT(K332, "_",L332)</f>
        <v>electric_ELRL</v>
      </c>
      <c r="CH332" s="7" t="str">
        <f aca="false">_xlfn.CONCAT("{BLACK}Length: {GOLD}", TEXT(ROUNDUP(IF(AT332&lt;&gt;"",SUM(VALUE(_xlfn.TEXTSPLIT(AT332, ","))), SUM(VALUE(_xlfn.TEXTSPLIT(AQ332, ",")))*IF(P332, P332, 1))/16, 1), "#,##0.0"), " tiles{}")</f>
        <v>{BLACK}Length: {GOLD}2.5 tiles{}</v>
      </c>
      <c r="CI332" s="1" t="n">
        <f aca="false">VLOOKUP($CG332, Constants!$M:$N, 2, FALSE())</f>
        <v>0</v>
      </c>
      <c r="CJ332" s="1" t="str">
        <f aca="false">IF(P332&gt;1,_xlfn.CONCAT("{BLACK}Cars: {GOLD}", P332),"")</f>
        <v>{BLACK}Cars: {GOLD}3</v>
      </c>
      <c r="CK332" s="1" t="s">
        <v>1301</v>
      </c>
      <c r="CL332" s="1" t="str">
        <f aca="fals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{GOLD}3{}{BLACK}Length: {GOLD}2.5 tiles{}{SILVER}The Class 385 was built for use on newly electrified lines in Scotland. Unlike most AT200 variants, it has cab end doors to allow for trolley services throughout the train.</v>
      </c>
    </row>
    <row r="333" customFormat="false" ht="14.25" hidden="false" customHeight="false" outlineLevel="0" collapsed="false">
      <c r="A333" s="1" t="s">
        <v>1302</v>
      </c>
      <c r="B333" s="15" t="s">
        <v>1303</v>
      </c>
      <c r="C333" s="1" t="n">
        <v>281</v>
      </c>
      <c r="E333" s="1" t="n">
        <v>412</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198</v>
      </c>
      <c r="J333" s="1" t="s">
        <v>423</v>
      </c>
      <c r="K333" s="1" t="s">
        <v>666</v>
      </c>
      <c r="L333" s="1" t="s">
        <v>709</v>
      </c>
      <c r="M333" s="1" t="n">
        <v>2016</v>
      </c>
      <c r="P333" s="1" t="n">
        <v>8</v>
      </c>
      <c r="Q333" s="1" t="n">
        <v>4400</v>
      </c>
      <c r="R333" s="2" t="n">
        <v>2560</v>
      </c>
      <c r="Z333" s="1" t="n">
        <v>278</v>
      </c>
      <c r="AB333" s="1" t="n">
        <v>6</v>
      </c>
      <c r="AC333" s="1" t="n">
        <v>225</v>
      </c>
      <c r="AD333" s="4" t="n">
        <f aca="false">IF(AND(Z333&gt;0,AC333&gt;0),(AC333/((Z333+AA333)*10)),"")</f>
        <v>0.0809352517985612</v>
      </c>
      <c r="AE333" s="1" t="n">
        <v>100</v>
      </c>
      <c r="AF333" s="1" t="n">
        <f aca="false">ROUND(AE333*1.6, 0)</f>
        <v>160</v>
      </c>
      <c r="AI333" s="1" t="n">
        <v>20.2</v>
      </c>
      <c r="AJ333" s="1" t="n">
        <v>20.2</v>
      </c>
      <c r="AM333" s="5" t="n">
        <v>69</v>
      </c>
      <c r="AN333" s="1" t="str">
        <f aca="false">CONCATENATE(VLOOKUP(AO333, 'Voxel Sizes'!$A$2:$B$18,2,FALSE()),"x",INT(AK333*15), "x", INT(AL333*15))</f>
        <v>198x0x0</v>
      </c>
      <c r="AO333" s="1" t="n">
        <f aca="false">ROUND(15*((AJ333*10)/256),0)</f>
        <v>12</v>
      </c>
      <c r="AQ333" s="1" t="str">
        <f aca="false">CONCATENATE(VLOOKUP(AO333,Constants!$A$2:$C$16,IF(AP333&lt;&gt;"", 3, 2), FALSE()),IF(AP333&lt;&gt;"",CONCATENATE(",",VLOOKUP(AP333,$B:$AQ,42,FALSE())),""))</f>
        <v>4,4,4</v>
      </c>
      <c r="AU333" s="1" t="s">
        <v>1304</v>
      </c>
      <c r="AV333" s="1" t="s">
        <v>1305</v>
      </c>
      <c r="AW333" s="1" t="s">
        <v>1306</v>
      </c>
      <c r="BA333" s="1" t="n">
        <v>30</v>
      </c>
      <c r="BB333" s="16" t="str">
        <f aca="false">IF(O333&lt;&gt;"",MAX(16,(O333-M333)+8),"")</f>
        <v/>
      </c>
      <c r="BC333" s="1" t="n">
        <v>-15</v>
      </c>
      <c r="BD333" s="1" t="n">
        <v>-30</v>
      </c>
      <c r="BE333" s="1" t="n">
        <f aca="false">MIN(AE333/150, 1)*30</f>
        <v>20</v>
      </c>
      <c r="BF333" s="1" t="n">
        <f aca="false">MIN(Q333/4000, 1)*20</f>
        <v>20</v>
      </c>
      <c r="BG333" s="1" t="n">
        <f aca="false">MIN(AC333/400,1)*20</f>
        <v>11.25</v>
      </c>
      <c r="BH333" s="4" t="n">
        <f aca="false">1-(MAX(M333-1900, 0)/750)</f>
        <v>0.845333333333333</v>
      </c>
      <c r="BI333" s="1" t="n">
        <f aca="false">((MAX($P333,1)*MIN($AM333/300,1)))*IF(J333="Wagon",50,10)</f>
        <v>18.4</v>
      </c>
      <c r="BJ333" s="1" t="n">
        <f aca="false">VLOOKUP($K333,Constants!$I:$K, 2, FALSE())</f>
        <v>0.85</v>
      </c>
      <c r="BK333" s="1" t="n">
        <f aca="false">VLOOKUP($K333,Constants!$I:$K, 3, FALSE())*IF(AND(J333="multiple_unit",AE333&lt;110),0.75,1)</f>
        <v>1.8</v>
      </c>
      <c r="BL333" s="1" t="n">
        <f aca="false">INT(POWER(((Constants!$G$2+$BE333+$BF333+$BG333+$BI333)*$BH333)*$BK333, 1.05))+$BD333</f>
        <v>113</v>
      </c>
      <c r="BM333" s="1" t="n">
        <f aca="false">INT(POWER((((Constants!$G$1+$BE333+$BF333+$BG333+$BI333)*($BH333))*$BJ333),IF($J333="wagon",1,1.2)))+$BC333</f>
        <v>123</v>
      </c>
      <c r="BN333" s="17" t="n">
        <f aca="false">BL333*IF($J333="wagon",62.5,781.25)</f>
        <v>88281.25</v>
      </c>
      <c r="BO333" s="17" t="n">
        <f aca="false">BM333*IF($J333="wagon",2.73,81.25)</f>
        <v>9993.75</v>
      </c>
      <c r="BX333" s="1" t="s">
        <v>1173</v>
      </c>
      <c r="BY333" s="1" t="n">
        <v>3</v>
      </c>
      <c r="CC333" s="1" t="s">
        <v>327</v>
      </c>
      <c r="CD333" s="1" t="str">
        <f aca="false">VLOOKUP(M333,Eras!$A$2:$C$10, 2, TRUE())</f>
        <v>mod</v>
      </c>
      <c r="CE333" s="1" t="s">
        <v>785</v>
      </c>
      <c r="CF333" s="1" t="str">
        <f aca="false">CONCATENATE(CD333,"_",CE333)</f>
        <v>mod_EMU</v>
      </c>
      <c r="CG333" s="1" t="str">
        <f aca="false">_xlfn.CONCAT(K333, "_",L333)</f>
        <v>dual_electric_DUAL_POWER</v>
      </c>
      <c r="CH333" s="7" t="str">
        <f aca="false">_xlfn.CONCAT("{BLACK}Length: {GOLD}", TEXT(ROUNDUP(IF(AT333&lt;&gt;"",SUM(VALUE(_xlfn.TEXTSPLIT(AT333, ","))), SUM(VALUE(_xlfn.TEXTSPLIT(AQ333, ",")))*IF(P333, P333, 1))/16, 1), "#,##0.0"), " tiles{}")</f>
        <v>{BLACK}Length: {GOLD}6.0 tiles{}</v>
      </c>
      <c r="CI333" s="1" t="n">
        <f aca="false">VLOOKUP($CG333, Constants!$M:$N, 2, FALSE())</f>
        <v>0</v>
      </c>
      <c r="CJ333" s="1" t="str">
        <f aca="false">IF(P333&gt;1,_xlfn.CONCAT("{BLACK}Cars: {GOLD}", P333),"")</f>
        <v>{BLACK}Cars: {GOLD}8</v>
      </c>
      <c r="CK333" s="1" t="s">
        <v>1307</v>
      </c>
      <c r="CL333" s="1" t="str">
        <f aca="fals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{GOLD}8{}{BLACK}Length: {GOLD}6.0 tiles{}{SILVER}The Class 700 was one of multiple designs evaluated for the Thameslink programme. Although one of the more conventional designs, it offered good capacity and passenger comfort with a relatively low axle load.</v>
      </c>
    </row>
    <row r="334" customFormat="false" ht="14.25" hidden="false" customHeight="false" outlineLevel="0" collapsed="false">
      <c r="A334" s="1" t="s">
        <v>1302</v>
      </c>
      <c r="B334" s="15" t="s">
        <v>1308</v>
      </c>
      <c r="C334" s="1" t="n">
        <v>287</v>
      </c>
      <c r="E334" s="1" t="n">
        <v>413</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198</v>
      </c>
      <c r="J334" s="1" t="s">
        <v>423</v>
      </c>
      <c r="K334" s="1" t="s">
        <v>666</v>
      </c>
      <c r="L334" s="1" t="s">
        <v>709</v>
      </c>
      <c r="M334" s="1" t="n">
        <v>2016</v>
      </c>
      <c r="P334" s="1" t="n">
        <v>5</v>
      </c>
      <c r="Q334" s="1" t="n">
        <v>4400</v>
      </c>
      <c r="R334" s="2" t="n">
        <v>2560</v>
      </c>
      <c r="Z334" s="1" t="n">
        <v>278</v>
      </c>
      <c r="AB334" s="1" t="n">
        <v>6</v>
      </c>
      <c r="AC334" s="1" t="n">
        <v>225</v>
      </c>
      <c r="AD334" s="4" t="n">
        <f aca="false">IF(AND(Z334&gt;0,AC334&gt;0),(AC334/((Z334+AA334)*10)),"")</f>
        <v>0.0809352517985612</v>
      </c>
      <c r="AE334" s="1" t="n">
        <v>100</v>
      </c>
      <c r="AF334" s="1" t="n">
        <f aca="false">ROUND(AE334*1.6, 0)</f>
        <v>160</v>
      </c>
      <c r="AI334" s="1" t="n">
        <v>20.2</v>
      </c>
      <c r="AJ334" s="1" t="n">
        <v>20.2</v>
      </c>
      <c r="AM334" s="5" t="n">
        <v>69</v>
      </c>
      <c r="AN334" s="1" t="str">
        <f aca="false">CONCATENATE(VLOOKUP(AO334, 'Voxel Sizes'!$A$2:$B$18,2,FALSE()),"x",INT(AK334*15), "x", INT(AL334*15))</f>
        <v>198x0x0</v>
      </c>
      <c r="AO334" s="1" t="n">
        <f aca="false">ROUND(15*((AJ334*10)/256),0)</f>
        <v>12</v>
      </c>
      <c r="AQ334" s="1" t="str">
        <f aca="false">CONCATENATE(VLOOKUP(AO334,Constants!$A$2:$C$16,IF(AP334&lt;&gt;"", 3, 2), FALSE()),IF(AP334&lt;&gt;"",CONCATENATE(",",VLOOKUP(AP334,$B:$AQ,42,FALSE())),""))</f>
        <v>4,4,4</v>
      </c>
      <c r="AU334" s="1" t="s">
        <v>1309</v>
      </c>
      <c r="AV334" s="1" t="s">
        <v>1305</v>
      </c>
      <c r="AW334" s="1" t="s">
        <v>817</v>
      </c>
      <c r="AX334" s="1" t="s">
        <v>1303</v>
      </c>
      <c r="BA334" s="1" t="n">
        <v>30</v>
      </c>
      <c r="BB334" s="16" t="str">
        <f aca="false">IF(O334&lt;&gt;"",MAX(16,(O334-M334)+8),"")</f>
        <v/>
      </c>
      <c r="BC334" s="1" t="n">
        <v>-15</v>
      </c>
      <c r="BD334" s="1" t="n">
        <v>-30</v>
      </c>
      <c r="BE334" s="1" t="n">
        <f aca="false">MIN(AE334/150, 1)*30</f>
        <v>20</v>
      </c>
      <c r="BF334" s="1" t="n">
        <f aca="false">MIN(Q334/4000, 1)*20</f>
        <v>20</v>
      </c>
      <c r="BG334" s="1" t="n">
        <f aca="false">MIN(AC334/400,1)*20</f>
        <v>11.25</v>
      </c>
      <c r="BH334" s="4" t="n">
        <f aca="false">1-(MAX(M334-1900, 0)/750)</f>
        <v>0.845333333333333</v>
      </c>
      <c r="BI334" s="1" t="n">
        <f aca="false">((MAX($P334,1)*MIN($AM334/300,1)))*IF(J334="Wagon",50,10)</f>
        <v>11.5</v>
      </c>
      <c r="BJ334" s="1" t="n">
        <f aca="false">VLOOKUP($K334,Constants!$I:$K, 2, FALSE())</f>
        <v>0.85</v>
      </c>
      <c r="BK334" s="1" t="n">
        <f aca="false">VLOOKUP($K334,Constants!$I:$K, 3, FALSE())*IF(AND(J334="multiple_unit",AE334&lt;110),0.75,1)</f>
        <v>1.8</v>
      </c>
      <c r="BL334" s="1" t="n">
        <f aca="false">INT(POWER(((Constants!$G$2+$BE334+$BF334+$BG334+$BI334)*$BH334)*$BK334, 1.05))+$BD334</f>
        <v>99</v>
      </c>
      <c r="BM334" s="1" t="n">
        <f aca="false">INT(POWER((((Constants!$G$1+$BE334+$BF334+$BG334+$BI334)*($BH334))*$BJ334),IF($J334="wagon",1,1.2)))+$BC334</f>
        <v>109</v>
      </c>
      <c r="BN334" s="17" t="n">
        <f aca="false">BL334*IF($J334="wagon",62.5,781.25)</f>
        <v>77343.75</v>
      </c>
      <c r="BO334" s="17" t="n">
        <f aca="false">BM334*IF($J334="wagon",2.73,81.25)</f>
        <v>8856.25</v>
      </c>
      <c r="BX334" s="1" t="s">
        <v>1178</v>
      </c>
      <c r="BY334" s="1" t="n">
        <v>3</v>
      </c>
      <c r="CC334" s="1" t="s">
        <v>327</v>
      </c>
      <c r="CD334" s="1" t="str">
        <f aca="false">VLOOKUP(M334,Eras!$A$2:$C$10, 2, TRUE())</f>
        <v>mod</v>
      </c>
      <c r="CE334" s="1" t="s">
        <v>785</v>
      </c>
      <c r="CF334" s="1" t="str">
        <f aca="false">CONCATENATE(CD334,"_",CE334)</f>
        <v>mod_EMU</v>
      </c>
      <c r="CG334" s="1" t="str">
        <f aca="false">_xlfn.CONCAT(K334, "_",L334)</f>
        <v>dual_electric_DUAL_POWER</v>
      </c>
      <c r="CH334" s="7" t="str">
        <f aca="false">_xlfn.CONCAT("{BLACK}Length: {GOLD}", TEXT(ROUNDUP(IF(AT334&lt;&gt;"",SUM(VALUE(_xlfn.TEXTSPLIT(AT334, ","))), SUM(VALUE(_xlfn.TEXTSPLIT(AQ334, ",")))*IF(P334, P334, 1))/16, 1), "#,##0.0"), " tiles{}")</f>
        <v>{BLACK}Length: {GOLD}3.8 tiles{}</v>
      </c>
      <c r="CI334" s="1" t="n">
        <f aca="false">VLOOKUP($CG334, Constants!$M:$N, 2, FALSE())</f>
        <v>0</v>
      </c>
      <c r="CJ334" s="1" t="str">
        <f aca="false">IF(P334&gt;1,_xlfn.CONCAT("{BLACK}Cars: {GOLD}", P334),"")</f>
        <v>{BLACK}Cars: {GOLD}5</v>
      </c>
      <c r="CK334" s="1" t="s">
        <v>1307</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{GOLD}5{}{BLACK}Length: {GOLD}3.8 tiles{}{SILVER}The Class 700 was one of multiple designs evaluated for the Thameslink programme. Although one of the more conventional designs, it offered good capacity and passenger comfort with a relatively low axle load.</v>
      </c>
    </row>
    <row r="335" customFormat="false" ht="14.25" hidden="false" customHeight="false" outlineLevel="0" collapsed="false">
      <c r="A335" s="1" t="s">
        <v>1310</v>
      </c>
      <c r="B335" s="15" t="s">
        <v>1311</v>
      </c>
      <c r="C335" s="1" t="n">
        <v>283</v>
      </c>
      <c r="E335" s="1" t="n">
        <v>414</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198</v>
      </c>
      <c r="J335" s="1" t="s">
        <v>423</v>
      </c>
      <c r="K335" s="1" t="s">
        <v>349</v>
      </c>
      <c r="L335" s="1" t="s">
        <v>498</v>
      </c>
      <c r="M335" s="1" t="n">
        <v>2017</v>
      </c>
      <c r="P335" s="1" t="n">
        <v>5</v>
      </c>
      <c r="Q335" s="1" t="n">
        <v>1600</v>
      </c>
      <c r="Z335" s="1" t="n">
        <v>173</v>
      </c>
      <c r="AB335" s="1" t="n">
        <v>6</v>
      </c>
      <c r="AC335" s="1" t="n">
        <v>175</v>
      </c>
      <c r="AD335" s="4" t="n">
        <f aca="false">IF(AND(Z335&gt;0,AC335&gt;0),(AC335/((Z335+AA335)*10)),"")</f>
        <v>0.101156069364162</v>
      </c>
      <c r="AE335" s="1" t="n">
        <v>100</v>
      </c>
      <c r="AF335" s="1" t="n">
        <f aca="false">ROUND(AE335*1.6, 0)</f>
        <v>160</v>
      </c>
      <c r="AI335" s="1" t="n">
        <v>20</v>
      </c>
      <c r="AJ335" s="1" t="n">
        <v>20</v>
      </c>
      <c r="AK335" s="1" t="n">
        <v>2.8</v>
      </c>
      <c r="AM335" s="5" t="n">
        <v>69</v>
      </c>
      <c r="AN335" s="1" t="str">
        <f aca="false">CONCATENATE(VLOOKUP(AO335, 'Voxel Sizes'!$A$2:$B$18,2,FALSE()),"x",INT(AK335*15), "x", INT(AL335*15))</f>
        <v>198x42x0</v>
      </c>
      <c r="AO335" s="1" t="n">
        <f aca="false">ROUND(15*((AJ335*10)/256),0)</f>
        <v>12</v>
      </c>
      <c r="AQ335" s="1" t="str">
        <f aca="false">CONCATENATE(VLOOKUP(AO335,Constants!$A$2:$C$16,IF(AP335&lt;&gt;"", 3, 2), FALSE()),IF(AP335&lt;&gt;"",CONCATENATE(",",VLOOKUP(AP335,$B:$AQ,42,FALSE())),""))</f>
        <v>4,4,4</v>
      </c>
      <c r="AU335" s="1" t="s">
        <v>1312</v>
      </c>
      <c r="AW335" s="1" t="s">
        <v>1313</v>
      </c>
      <c r="BA335" s="1" t="n">
        <v>30</v>
      </c>
      <c r="BB335" s="16" t="str">
        <f aca="false">IF(O335&lt;&gt;"",MAX(16,(O335-M335)+8),"")</f>
        <v/>
      </c>
      <c r="BC335" s="1" t="n">
        <v>-15</v>
      </c>
      <c r="BD335" s="1" t="n">
        <v>-30</v>
      </c>
      <c r="BE335" s="1" t="n">
        <f aca="false">MIN(AE335/150, 1)*30</f>
        <v>20</v>
      </c>
      <c r="BF335" s="1" t="n">
        <f aca="false">MIN(Q335/4000, 1)*20</f>
        <v>8</v>
      </c>
      <c r="BG335" s="1" t="n">
        <f aca="false">MIN(AC335/400,1)*20</f>
        <v>8.75</v>
      </c>
      <c r="BH335" s="4" t="n">
        <f aca="false">1-(MAX(M335-1900, 0)/750)</f>
        <v>0.844</v>
      </c>
      <c r="BI335" s="1" t="n">
        <f aca="false">((MAX($P335,1)*MIN($AM335/300,1)))*IF(J335="Wagon",50,10)</f>
        <v>11.5</v>
      </c>
      <c r="BJ335" s="1" t="n">
        <f aca="false">VLOOKUP($K335,Constants!$I:$K, 2, FALSE())</f>
        <v>0.85</v>
      </c>
      <c r="BK335" s="1" t="n">
        <f aca="false">VLOOKUP($K335,Constants!$I:$K, 3, FALSE())*IF(AND(J335="multiple_unit",AE335&lt;110),0.75,1)</f>
        <v>1.725</v>
      </c>
      <c r="BL335" s="1" t="n">
        <f aca="false">INT(POWER(((Constants!$G$2+$BE335+$BF335+$BG335+$BI335)*$BH335)*$BK335, 1.05))+$BD335</f>
        <v>66</v>
      </c>
      <c r="BM335" s="1" t="n">
        <f aca="false">INT(POWER((((Constants!$G$1+$BE335+$BF335+$BG335+$BI335)*($BH335))*$BJ335),IF($J335="wagon",1,1.2)))+$BC335</f>
        <v>82</v>
      </c>
      <c r="BN335" s="17" t="n">
        <f aca="false">BL335*IF($J335="wagon",62.5,781.25)</f>
        <v>51562.5</v>
      </c>
      <c r="BO335" s="17" t="n">
        <f aca="false">BM335*IF($J335="wagon",2.73,81.25)</f>
        <v>6662.5</v>
      </c>
      <c r="BY335" s="1" t="n">
        <v>4</v>
      </c>
      <c r="CC335" s="1" t="s">
        <v>327</v>
      </c>
      <c r="CD335" s="1" t="str">
        <f aca="false">VLOOKUP(M335,Eras!$A$2:$C$10, 2, TRUE())</f>
        <v>mod</v>
      </c>
      <c r="CE335" s="1" t="s">
        <v>785</v>
      </c>
      <c r="CF335" s="1" t="str">
        <f aca="false">CONCATENATE(CD335,"_",CE335)</f>
        <v>mod_EMU</v>
      </c>
      <c r="CG335" s="1" t="str">
        <f aca="false">_xlfn.CONCAT(K335, "_",L335)</f>
        <v>electric_THIRD_RAIL</v>
      </c>
      <c r="CH335" s="7" t="str">
        <f aca="false">_xlfn.CONCAT("{BLACK}Length: {GOLD}", TEXT(ROUNDUP(IF(AT335&lt;&gt;"",SUM(VALUE(_xlfn.TEXTSPLIT(AT335, ","))), SUM(VALUE(_xlfn.TEXTSPLIT(AQ335, ",")))*IF(P335, P335, 1))/16, 1), "#,##0.0"), " tiles{}")</f>
        <v>{BLACK}Length: {GOLD}3.8 tiles{}</v>
      </c>
      <c r="CI335" s="1" t="n">
        <f aca="false">VLOOKUP($CG335, Constants!$M:$N, 2, FALSE())</f>
        <v>0</v>
      </c>
      <c r="CJ335" s="1" t="str">
        <f aca="false">IF(P335&gt;1,_xlfn.CONCAT("{BLACK}Cars: {GOLD}", P335),"")</f>
        <v>{BLACK}Cars: {GOLD}5</v>
      </c>
      <c r="CK335" s="1" t="s">
        <v>1314</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{GOLD}3.8 tiles{}{SILVER}South West Trains procured the Class 707 as part of capacity improvements for routes out of London Waterloo.</v>
      </c>
    </row>
    <row r="336" s="1" customFormat="true" ht="14.25" hidden="false" customHeight="false" outlineLevel="0" collapsed="false">
      <c r="A336" s="1" t="s">
        <v>1315</v>
      </c>
      <c r="B336" s="26" t="s">
        <v>1316</v>
      </c>
      <c r="C336" s="1" t="n">
        <v>3095</v>
      </c>
      <c r="E336" s="1" t="n">
        <v>415</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198</v>
      </c>
      <c r="J336" s="1" t="s">
        <v>423</v>
      </c>
      <c r="K336" s="1" t="s">
        <v>666</v>
      </c>
      <c r="L336" s="1" t="s">
        <v>709</v>
      </c>
      <c r="M336" s="1" t="n">
        <v>2018</v>
      </c>
      <c r="P336" s="1" t="n">
        <v>6</v>
      </c>
      <c r="Q336" s="1" t="n">
        <v>4800</v>
      </c>
      <c r="R336" s="2" t="n">
        <v>2700</v>
      </c>
      <c r="S336" s="3"/>
      <c r="T336" s="3"/>
      <c r="U336" s="3"/>
      <c r="V336" s="3"/>
      <c r="W336" s="3"/>
      <c r="X336" s="3"/>
      <c r="Y336" s="3"/>
      <c r="Z336" s="1" t="n">
        <v>204</v>
      </c>
      <c r="AA336" s="2"/>
      <c r="AB336" s="1" t="n">
        <v>6</v>
      </c>
      <c r="AC336" s="1" t="n">
        <v>225</v>
      </c>
      <c r="AD336" s="4" t="n">
        <f aca="false">IF(AND(Z336&gt;0,AC336&gt;0),(AC336/((Z336+AA336)*10)),"")</f>
        <v>0.110294117647059</v>
      </c>
      <c r="AE336" s="1" t="n">
        <v>85</v>
      </c>
      <c r="AF336" s="1" t="n">
        <f aca="false">ROUND(AE336*1.6, 0)</f>
        <v>136</v>
      </c>
      <c r="AI336" s="1" t="n">
        <v>20.2</v>
      </c>
      <c r="AJ336" s="1" t="n">
        <v>20.2</v>
      </c>
      <c r="AM336" s="5" t="n">
        <v>60</v>
      </c>
      <c r="AN336" s="1" t="str">
        <f aca="false">CONCATENATE(VLOOKUP(AO336, '[1]Voxel Sizes'!$A$2:$B$18,2,FALSE()),"x",INT(AK336*15), "x", INT(AL336*15))</f>
        <v>198x0x0</v>
      </c>
      <c r="AO336" s="1" t="n">
        <f aca="false">ROUND(15*((AJ336*10)/256),0)</f>
        <v>12</v>
      </c>
      <c r="AQ336" s="1" t="str">
        <f aca="false">CONCATENATE(VLOOKUP(AO336,Constants!$A$2:$C$16,IF(AP336&lt;&gt;"", 3, 2), FALSE()),IF(AP336&lt;&gt;"",CONCATENATE(",",VLOOKUP(AP336,$B:$AQ,42,FALSE())),""))</f>
        <v>4,4,4</v>
      </c>
      <c r="AS336" s="6"/>
      <c r="AT336" s="6"/>
      <c r="AU336" s="1" t="s">
        <v>1317</v>
      </c>
      <c r="AV336" s="1" t="s">
        <v>1318</v>
      </c>
      <c r="AW336" s="1" t="s">
        <v>1319</v>
      </c>
      <c r="BA336" s="1" t="n">
        <v>30</v>
      </c>
      <c r="BB336" s="16" t="str">
        <f aca="false">IF(O336&lt;&gt;"",MAX(16,(O336-M336)+8),"")</f>
        <v/>
      </c>
      <c r="BC336" s="1" t="n">
        <v>-15</v>
      </c>
      <c r="BD336" s="1" t="n">
        <v>-30</v>
      </c>
      <c r="BE336" s="1" t="n">
        <f aca="false">MIN(AE336/150, 1)*30</f>
        <v>17</v>
      </c>
      <c r="BF336" s="1" t="n">
        <f aca="false">MIN(Q336/4000, 1)*20</f>
        <v>20</v>
      </c>
      <c r="BG336" s="1" t="n">
        <f aca="false">MIN(AC336/400,1)*20</f>
        <v>11.25</v>
      </c>
      <c r="BH336" s="4" t="n">
        <f aca="false">1-(MAX(M336-1900, 0)/750)</f>
        <v>0.842666666666667</v>
      </c>
      <c r="BI336" s="1" t="n">
        <f aca="false">((MAX($P336,1)*MIN($AM336/300,1)))*IF(J336="Wagon",50,10)</f>
        <v>12</v>
      </c>
      <c r="BJ336" s="1" t="n">
        <f aca="false">VLOOKUP($K336,Constants!$I:$K, 2, FALSE())</f>
        <v>0.85</v>
      </c>
      <c r="BK336" s="1" t="n">
        <f aca="false">VLOOKUP($K336,Constants!$I:$K, 3, FALSE())*IF(AND(J336="multiple_unit",AE336&lt;110),0.75,1)</f>
        <v>1.8</v>
      </c>
      <c r="BL336" s="25" t="n">
        <f aca="false">INT(POWER((([1]Constants!$G$2+$BE336+$BF336+$BG336+$BI336)*$BH336)*$BK336, 1.05))+$BD336</f>
        <v>94</v>
      </c>
      <c r="BM336" s="25" t="n">
        <f aca="false">INT(POWER(((([1]Constants!$G$1+$BE336+$BF336+$BG336+$BI336)*($BH336))*$BJ336),IF($J336="wagon",1,1.2)))+$BC336</f>
        <v>104</v>
      </c>
      <c r="BN336" s="17" t="n">
        <f aca="false">BL336*IF($J336="wagon",62.5,781.25)</f>
        <v>73437.5</v>
      </c>
      <c r="BO336" s="17" t="n">
        <f aca="false">BM336*IF($J336="wagon",2.73,81.25)</f>
        <v>8450</v>
      </c>
      <c r="BX336" s="1" t="s">
        <v>1173</v>
      </c>
      <c r="BY336" s="1" t="n">
        <v>3</v>
      </c>
      <c r="CC336" s="1" t="s">
        <v>327</v>
      </c>
      <c r="CD336" s="25" t="s">
        <v>754</v>
      </c>
      <c r="CE336" s="25" t="s">
        <v>785</v>
      </c>
      <c r="CF336" s="1" t="str">
        <f aca="false">CONCATENATE(CD336,"_",CE336)</f>
        <v>mod_EMU</v>
      </c>
      <c r="CG336" s="1" t="str">
        <f aca="false">_xlfn.CONCAT(K336, "_",L336)</f>
        <v>dual_electric_DUAL_POWER</v>
      </c>
      <c r="CH336" s="7" t="str">
        <f aca="false">_xlfn.CONCAT("{BLACK}Length: {GOLD}", TEXT(ROUNDUP(IF(AT336&lt;&gt;"",SUM(VALUE(_xlfn.TEXTSPLIT(AT336, ","))), SUM(VALUE(_xlfn.TEXTSPLIT(AQ336, ",")))*IF(P336, P336, 1))/16, 1), "#,##0.0"), " tiles{}")</f>
        <v>{BLACK}Length: {GOLD}4.5 tiles{}</v>
      </c>
      <c r="CI336" s="1" t="n">
        <f aca="false">VLOOKUP($CG336, Constants!$M:$N, 2, FALSE())</f>
        <v>0</v>
      </c>
      <c r="CJ336" s="1" t="str">
        <f aca="false">IF(P336&gt;1,_xlfn.CONCAT("{BLACK}Cars: {GOLD}", P336),"")</f>
        <v>{BLACK}Cars: {GOLD}6</v>
      </c>
      <c r="CK336" s="1" t="s">
        <v>1320</v>
      </c>
      <c r="CM336" s="25"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25" t="str">
        <f aca="false">_xlfn.CONCAT(CI336,IF(CI336 &lt;&gt; "", " ", ""),CJ336,IF(OR(CJ336&lt;&gt;"", CI336&lt;&gt;""), "{}",""), CH336, CM336,"{SILVER}", CK336)</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37" customFormat="false" ht="14.25" hidden="false" customHeight="false" outlineLevel="0" collapsed="false">
      <c r="A337" s="1" t="s">
        <v>1321</v>
      </c>
      <c r="B337" s="15" t="s">
        <v>1322</v>
      </c>
      <c r="C337" s="1" t="n">
        <v>284</v>
      </c>
      <c r="E337" s="1" t="n">
        <v>416</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198</v>
      </c>
      <c r="J337" s="1" t="s">
        <v>423</v>
      </c>
      <c r="K337" s="1" t="s">
        <v>666</v>
      </c>
      <c r="L337" s="1" t="s">
        <v>709</v>
      </c>
      <c r="M337" s="1" t="n">
        <v>2019</v>
      </c>
      <c r="P337" s="1" t="n">
        <v>4</v>
      </c>
      <c r="Q337" s="1" t="n">
        <v>1800</v>
      </c>
      <c r="R337" s="2" t="n">
        <v>1600</v>
      </c>
      <c r="Z337" s="1" t="n">
        <v>151</v>
      </c>
      <c r="AB337" s="1" t="n">
        <v>6</v>
      </c>
      <c r="AC337" s="1" t="n">
        <v>160</v>
      </c>
      <c r="AD337" s="4" t="n">
        <f aca="false">IF(AND(Z337&gt;0,AC337&gt;0),(AC337/((Z337+AA337)*10)),"")</f>
        <v>0.105960264900662</v>
      </c>
      <c r="AE337" s="1" t="n">
        <v>75</v>
      </c>
      <c r="AF337" s="1" t="n">
        <f aca="false">ROUND(AE337*1.6, 0)</f>
        <v>120</v>
      </c>
      <c r="AI337" s="1" t="n">
        <v>21.44</v>
      </c>
      <c r="AJ337" s="1" t="n">
        <v>21.4</v>
      </c>
      <c r="AM337" s="5" t="n">
        <v>78</v>
      </c>
      <c r="AN337" s="1" t="str">
        <f aca="false">CONCATENATE(VLOOKUP(AO337, 'Voxel Sizes'!$A$2:$B$18,2,FALSE()),"x",INT(AK337*15), "x", INT(AL337*15))</f>
        <v>214x0x0</v>
      </c>
      <c r="AO337" s="1" t="n">
        <f aca="false">ROUND(15*((AJ337*10)/256),0)</f>
        <v>13</v>
      </c>
      <c r="AQ337" s="1" t="str">
        <f aca="false">CONCATENATE(VLOOKUP(AO337,Constants!$A$2:$C$16,IF(AP337&lt;&gt;"", 3, 2), FALSE()),IF(AP337&lt;&gt;"",CONCATENATE(",",VLOOKUP(AP337,$B:$AQ,42,FALSE())),""))</f>
        <v>4,5,4</v>
      </c>
      <c r="AU337" s="1" t="s">
        <v>1323</v>
      </c>
      <c r="AV337" s="1" t="s">
        <v>1324</v>
      </c>
      <c r="AW337" s="1" t="s">
        <v>898</v>
      </c>
      <c r="BA337" s="1" t="n">
        <v>30</v>
      </c>
      <c r="BB337" s="16" t="str">
        <f aca="false">IF(O337&lt;&gt;"",MAX(16,(O337-M337)+8),"")</f>
        <v/>
      </c>
      <c r="BC337" s="1" t="n">
        <v>-19</v>
      </c>
      <c r="BD337" s="1" t="n">
        <v>-25</v>
      </c>
      <c r="BE337" s="1" t="n">
        <f aca="false">MIN(AE337/150, 1)*30</f>
        <v>15</v>
      </c>
      <c r="BF337" s="1" t="n">
        <f aca="false">MIN(Q337/4000, 1)*20</f>
        <v>9</v>
      </c>
      <c r="BG337" s="1" t="n">
        <f aca="false">MIN(AC337/400,1)*20</f>
        <v>8</v>
      </c>
      <c r="BH337" s="4" t="n">
        <f aca="false">1-(MAX(M337-1900, 0)/750)</f>
        <v>0.841333333333333</v>
      </c>
      <c r="BI337" s="1" t="n">
        <f aca="false">((MAX($P337,1)*MIN($AM337/300,1)))*IF(J337="Wagon",50,10)</f>
        <v>10.4</v>
      </c>
      <c r="BJ337" s="1" t="n">
        <f aca="false">VLOOKUP($K337,Constants!$I:$K, 2, FALSE())</f>
        <v>0.85</v>
      </c>
      <c r="BK337" s="1" t="n">
        <f aca="false">VLOOKUP($K337,Constants!$I:$K, 3, FALSE())*IF(AND(J337="multiple_unit",AE337&lt;110),0.75,1)</f>
        <v>1.8</v>
      </c>
      <c r="BL337" s="1" t="n">
        <f aca="false">INT(POWER(((Constants!$G$2+$BE337+$BF337+$BG337+$BI337)*$BH337)*$BK337, 1.05))+$BD337</f>
        <v>63</v>
      </c>
      <c r="BM337" s="1" t="n">
        <f aca="false">INT(POWER((((Constants!$G$1+$BE337+$BF337+$BG337+$BI337)*($BH337))*$BJ337),IF($J337="wagon",1,1.2)))+$BC337</f>
        <v>67</v>
      </c>
      <c r="BN337" s="17" t="n">
        <f aca="false">BL337*IF($J337="wagon",62.5,781.25)</f>
        <v>49218.75</v>
      </c>
      <c r="BO337" s="17" t="n">
        <f aca="false">BM337*IF($J337="wagon",2.73,81.25)</f>
        <v>5443.75</v>
      </c>
      <c r="BY337" s="1" t="n">
        <v>2</v>
      </c>
      <c r="BZ337" s="1" t="n">
        <v>165</v>
      </c>
      <c r="CC337" s="1" t="s">
        <v>327</v>
      </c>
      <c r="CD337" s="1" t="str">
        <f aca="false">VLOOKUP(M337,Eras!$A$2:$C$10, 2, TRUE())</f>
        <v>mod</v>
      </c>
      <c r="CE337" s="1" t="s">
        <v>785</v>
      </c>
      <c r="CF337" s="1" t="str">
        <f aca="false">CONCATENATE(CD337,"_",CE337)</f>
        <v>mod_EMU</v>
      </c>
      <c r="CG337" s="1" t="str">
        <f aca="false">_xlfn.CONCAT(K337, "_",L337)</f>
        <v>dual_electric_DUAL_POWER</v>
      </c>
      <c r="CH337" s="7" t="str">
        <f aca="false">_xlfn.CONCAT("{BLACK}Length: {GOLD}", TEXT(ROUNDUP(IF(AT337&lt;&gt;"",SUM(VALUE(_xlfn.TEXTSPLIT(AT337, ","))), SUM(VALUE(_xlfn.TEXTSPLIT(AQ337, ",")))*IF(P337, P337, 1))/16, 1), "#,##0.0"), " tiles{}")</f>
        <v>{BLACK}Length: {GOLD}3.3 tiles{}</v>
      </c>
      <c r="CI337" s="1" t="n">
        <f aca="false">VLOOKUP($CG337, Constants!$M:$N, 2, FALSE())</f>
        <v>0</v>
      </c>
      <c r="CJ337" s="1" t="str">
        <f aca="false">IF(P337&gt;1,_xlfn.CONCAT("{BLACK}Cars: {GOLD}", P337),"")</f>
        <v>{BLACK}Cars: {GOLD}4</v>
      </c>
      <c r="CK337" s="1" t="s">
        <v>1325</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{YELLOW}10% penalty for long distance travel{}</v>
      </c>
      <c r="CN337" s="1" t="str">
        <f aca="false">_xlfn.CONCAT(CI337,IF(CI337&lt;&gt;""," ",""),CJ337,IF(OR(CJ337&lt;&gt;"",CI337&lt;&gt;""),"{}",""),CH337,CM337,"{SILVER}",CK337,IF(CL337&lt;&gt;"","{}{}",""),CL337)</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38" customFormat="false" ht="14.25" hidden="false" customHeight="false" outlineLevel="0" collapsed="false">
      <c r="A338" s="1" t="s">
        <v>1326</v>
      </c>
      <c r="B338" s="15" t="s">
        <v>1327</v>
      </c>
      <c r="C338" s="1" t="n">
        <v>282</v>
      </c>
      <c r="E338" s="1" t="n">
        <v>417</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198</v>
      </c>
      <c r="J338" s="1" t="s">
        <v>423</v>
      </c>
      <c r="K338" s="1" t="s">
        <v>349</v>
      </c>
      <c r="L338" s="1" t="s">
        <v>350</v>
      </c>
      <c r="M338" s="1" t="n">
        <v>2017</v>
      </c>
      <c r="P338" s="1" t="n">
        <v>9</v>
      </c>
      <c r="Q338" s="1" t="n">
        <v>1900</v>
      </c>
      <c r="Z338" s="1" t="n">
        <v>264</v>
      </c>
      <c r="AB338" s="1" t="n">
        <v>7</v>
      </c>
      <c r="AC338" s="1" t="n">
        <v>220</v>
      </c>
      <c r="AD338" s="4" t="n">
        <f aca="false">IF(AND(Z338&gt;0,AC338&gt;0),(AC338/((Z338+AA338)*10)),"")</f>
        <v>0.0833333333333333</v>
      </c>
      <c r="AE338" s="1" t="n">
        <v>90</v>
      </c>
      <c r="AF338" s="1" t="n">
        <f aca="false">ROUND(AE338*1.6, 0)</f>
        <v>144</v>
      </c>
      <c r="AI338" s="1" t="n">
        <v>22.7</v>
      </c>
      <c r="AJ338" s="1" t="n">
        <v>22.7</v>
      </c>
      <c r="AM338" s="5" t="n">
        <v>78</v>
      </c>
      <c r="AN338" s="1" t="str">
        <f aca="false">CONCATENATE(VLOOKUP(AO338, 'Voxel Sizes'!$A$2:$B$18,2,FALSE()),"x",INT(AK338*15), "x", INT(AL338*15))</f>
        <v>214x0x0</v>
      </c>
      <c r="AO338" s="1" t="n">
        <f aca="false">ROUND(15*((AJ338*10)/256),0)</f>
        <v>13</v>
      </c>
      <c r="AQ338" s="1" t="str">
        <f aca="false">CONCATENATE(VLOOKUP(AO338,Constants!$A$2:$C$16,IF(AP338&lt;&gt;"", 3, 2), FALSE()),IF(AP338&lt;&gt;"",CONCATENATE(",",VLOOKUP(AP338,$B:$AQ,42,FALSE())),""))</f>
        <v>4,5,4</v>
      </c>
      <c r="AU338" s="1" t="s">
        <v>1328</v>
      </c>
      <c r="AW338" s="1" t="s">
        <v>1329</v>
      </c>
      <c r="BA338" s="1" t="n">
        <v>30</v>
      </c>
      <c r="BB338" s="16" t="str">
        <f aca="false">IF(O338&lt;&gt;"",MAX(16,(O338-M338)+8),"")</f>
        <v/>
      </c>
      <c r="BC338" s="1" t="n">
        <v>-19</v>
      </c>
      <c r="BD338" s="1" t="n">
        <v>-22</v>
      </c>
      <c r="BE338" s="1" t="n">
        <f aca="false">MIN(AE338/150, 1)*30</f>
        <v>18</v>
      </c>
      <c r="BF338" s="1" t="n">
        <f aca="false">MIN(Q338/4000, 1)*20</f>
        <v>9.5</v>
      </c>
      <c r="BG338" s="1" t="n">
        <f aca="false">MIN(AC338/400,1)*20</f>
        <v>11</v>
      </c>
      <c r="BH338" s="4" t="n">
        <f aca="false">1-(MAX(M338-1900, 0)/750)</f>
        <v>0.844</v>
      </c>
      <c r="BI338" s="1" t="n">
        <f aca="false">((MAX($P338,1)*MIN($AM338/300,1)))*IF(J338="Wagon",50,10)</f>
        <v>23.4</v>
      </c>
      <c r="BJ338" s="1" t="n">
        <f aca="false">VLOOKUP($K338,Constants!$I:$K, 2, FALSE())</f>
        <v>0.85</v>
      </c>
      <c r="BK338" s="1" t="n">
        <f aca="false">VLOOKUP($K338,Constants!$I:$K, 3, FALSE())*IF(AND(J338="multiple_unit",AE338&lt;110),0.75,1)</f>
        <v>1.725</v>
      </c>
      <c r="BL338" s="1" t="n">
        <f aca="false">INT(POWER(((Constants!$G$2+$BE338+$BF338+$BG338+$BI338)*$BH338)*$BK338, 1.05))+$BD338</f>
        <v>100</v>
      </c>
      <c r="BM338" s="1" t="n">
        <f aca="false">INT(POWER((((Constants!$G$1+$BE338+$BF338+$BG338+$BI338)*($BH338))*$BJ338),IF($J338="wagon",1,1.2)))+$BC338</f>
        <v>104</v>
      </c>
      <c r="BN338" s="17" t="n">
        <f aca="false">BL338*IF($J338="wagon",62.5,781.25)</f>
        <v>78125</v>
      </c>
      <c r="BO338" s="17" t="n">
        <f aca="false">BM338*IF($J338="wagon",2.73,81.25)</f>
        <v>8450</v>
      </c>
      <c r="BX338" s="1" t="s">
        <v>938</v>
      </c>
      <c r="BY338" s="1" t="n">
        <v>1</v>
      </c>
      <c r="BZ338" s="1" t="n">
        <v>165</v>
      </c>
      <c r="CC338" s="1" t="s">
        <v>327</v>
      </c>
      <c r="CD338" s="1" t="str">
        <f aca="false">VLOOKUP(M338,Eras!$A$2:$C$10, 2, TRUE())</f>
        <v>mod</v>
      </c>
      <c r="CE338" s="1" t="s">
        <v>785</v>
      </c>
      <c r="CF338" s="1" t="str">
        <f aca="false">CONCATENATE(CD338,"_",CE338)</f>
        <v>mod_EMU</v>
      </c>
      <c r="CG338" s="1" t="str">
        <f aca="false">_xlfn.CONCAT(K338, "_",L338)</f>
        <v>electric_ELRL</v>
      </c>
      <c r="CH338" s="7" t="str">
        <f aca="false">_xlfn.CONCAT("{BLACK}Length: {GOLD}", TEXT(ROUNDUP(IF(AT338&lt;&gt;"",SUM(VALUE(_xlfn.TEXTSPLIT(AT338, ","))), SUM(VALUE(_xlfn.TEXTSPLIT(AQ338, ",")))*IF(P338, P338, 1))/16, 1), "#,##0.0"), " tiles{}")</f>
        <v>{BLACK}Length: {GOLD}7.4 tiles{}</v>
      </c>
      <c r="CI338" s="1" t="n">
        <f aca="false">VLOOKUP($CG338, Constants!$M:$N, 2, FALSE())</f>
        <v>0</v>
      </c>
      <c r="CJ338" s="1" t="str">
        <f aca="false">IF(P338&gt;1,_xlfn.CONCAT("{BLACK}Cars: {GOLD}", P338),"")</f>
        <v>{BLACK}Cars: {GOLD}9</v>
      </c>
      <c r="CK338" s="1" t="s">
        <v>1330</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penalty for long distance travel{}</v>
      </c>
      <c r="CN338" s="1" t="str">
        <f aca="false">_xlfn.CONCAT(CI338,IF(CI338&lt;&gt;""," ",""),CJ338,IF(OR(CJ338&lt;&gt;"",CI338&lt;&gt;""),"{}",""),CH338,CM338,"{SILVER}",CK338,IF(CL338&lt;&gt;"","{}{}",""),CL338)</f>
        <v>{BLACK}Cars: {GOLD}9{}{BLACK}Length: {GOLD}7.4 tiles{}{YELLOW}10% penalty for long distance travel{}{SILVER}Designed for London's Crossrail route, the Class 345 entered service on TfL Rail between Liverpool Street and Shenfield.</v>
      </c>
    </row>
    <row r="339" customFormat="false" ht="14.25" hidden="false" customHeight="false" outlineLevel="0" collapsed="false">
      <c r="A339" s="1" t="s">
        <v>1326</v>
      </c>
      <c r="B339" s="15" t="s">
        <v>1331</v>
      </c>
      <c r="C339" s="1" t="n">
        <v>285</v>
      </c>
      <c r="E339" s="1" t="n">
        <v>418</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198</v>
      </c>
      <c r="J339" s="1" t="s">
        <v>423</v>
      </c>
      <c r="K339" s="1" t="s">
        <v>349</v>
      </c>
      <c r="L339" s="1" t="s">
        <v>350</v>
      </c>
      <c r="M339" s="1" t="n">
        <v>2017</v>
      </c>
      <c r="P339" s="1" t="n">
        <v>7</v>
      </c>
      <c r="Q339" s="1" t="n">
        <v>1900</v>
      </c>
      <c r="Z339" s="1" t="n">
        <v>264</v>
      </c>
      <c r="AB339" s="1" t="n">
        <v>7</v>
      </c>
      <c r="AC339" s="1" t="n">
        <v>220</v>
      </c>
      <c r="AD339" s="4" t="n">
        <f aca="false">IF(AND(Z339&gt;0,AC339&gt;0),(AC339/((Z339+AA339)*10)),"")</f>
        <v>0.0833333333333333</v>
      </c>
      <c r="AE339" s="1" t="n">
        <v>90</v>
      </c>
      <c r="AF339" s="1" t="n">
        <f aca="false">ROUND(AE339*1.6, 0)</f>
        <v>144</v>
      </c>
      <c r="AI339" s="1" t="n">
        <v>22.7</v>
      </c>
      <c r="AJ339" s="1" t="n">
        <v>22.7</v>
      </c>
      <c r="AM339" s="5" t="n">
        <v>78</v>
      </c>
      <c r="AN339" s="1" t="str">
        <f aca="false">CONCATENATE(VLOOKUP(AO339, 'Voxel Sizes'!$A$2:$B$18,2,FALSE()),"x",INT(AK339*15), "x", INT(AL339*15))</f>
        <v>214x0x0</v>
      </c>
      <c r="AO339" s="1" t="n">
        <f aca="false">ROUND(15*((AJ339*10)/256),0)</f>
        <v>13</v>
      </c>
      <c r="AQ339" s="1" t="str">
        <f aca="false">CONCATENATE(VLOOKUP(AO339,Constants!$A$2:$C$16,IF(AP339&lt;&gt;"", 3, 2), FALSE()),IF(AP339&lt;&gt;"",CONCATENATE(",",VLOOKUP(AP339,$B:$AQ,42,FALSE())),""))</f>
        <v>4,5,4</v>
      </c>
      <c r="AU339" s="1" t="s">
        <v>1332</v>
      </c>
      <c r="AW339" s="1" t="s">
        <v>1228</v>
      </c>
      <c r="AX339" s="1" t="s">
        <v>1327</v>
      </c>
      <c r="BA339" s="1" t="n">
        <v>30</v>
      </c>
      <c r="BB339" s="16" t="str">
        <f aca="false">IF(O339&lt;&gt;"",MAX(16,(O339-M339)+8),"")</f>
        <v/>
      </c>
      <c r="BC339" s="1" t="n">
        <v>-19</v>
      </c>
      <c r="BD339" s="1" t="n">
        <v>-22</v>
      </c>
      <c r="BE339" s="1" t="n">
        <f aca="false">MIN(AE339/150, 1)*30</f>
        <v>18</v>
      </c>
      <c r="BF339" s="1" t="n">
        <f aca="false">MIN(Q339/4000, 1)*20</f>
        <v>9.5</v>
      </c>
      <c r="BG339" s="1" t="n">
        <f aca="false">MIN(AC339/400,1)*20</f>
        <v>11</v>
      </c>
      <c r="BH339" s="4" t="n">
        <f aca="false">1-(MAX(M339-1900, 0)/750)</f>
        <v>0.844</v>
      </c>
      <c r="BI339" s="1" t="n">
        <f aca="false">((MAX($P339,1)*MIN($AM339/300,1)))*IF(J339="Wagon",50,10)</f>
        <v>18.2</v>
      </c>
      <c r="BJ339" s="1" t="n">
        <f aca="false">VLOOKUP($K339,Constants!$I:$K, 2, FALSE())</f>
        <v>0.85</v>
      </c>
      <c r="BK339" s="1" t="n">
        <f aca="false">VLOOKUP($K339,Constants!$I:$K, 3, FALSE())*IF(AND(J339="multiple_unit",AE339&lt;110),0.75,1)</f>
        <v>1.725</v>
      </c>
      <c r="BL339" s="1" t="n">
        <f aca="false">INT(POWER(((Constants!$G$2+$BE339+$BF339+$BG339+$BI339)*$BH339)*$BK339, 1.05))+$BD339</f>
        <v>90</v>
      </c>
      <c r="BM339" s="1" t="n">
        <f aca="false">INT(POWER((((Constants!$G$1+$BE339+$BF339+$BG339+$BI339)*($BH339))*$BJ339),IF($J339="wagon",1,1.2)))+$BC339</f>
        <v>94</v>
      </c>
      <c r="BN339" s="17" t="n">
        <f aca="false">BL339*IF($J339="wagon",62.5,781.25)</f>
        <v>70312.5</v>
      </c>
      <c r="BO339" s="17" t="n">
        <f aca="false">BM339*IF($J339="wagon",2.73,81.25)</f>
        <v>7637.5</v>
      </c>
      <c r="BX339" s="1" t="s">
        <v>1205</v>
      </c>
      <c r="BY339" s="1" t="n">
        <v>1</v>
      </c>
      <c r="BZ339" s="1" t="n">
        <v>165</v>
      </c>
      <c r="CC339" s="1" t="s">
        <v>327</v>
      </c>
      <c r="CD339" s="1" t="str">
        <f aca="false">VLOOKUP(M339,Eras!$A$2:$C$10, 2, TRUE())</f>
        <v>mod</v>
      </c>
      <c r="CE339" s="1" t="s">
        <v>785</v>
      </c>
      <c r="CF339" s="1" t="str">
        <f aca="false">CONCATENATE(CD339,"_",CE339)</f>
        <v>mod_EMU</v>
      </c>
      <c r="CG339" s="1" t="str">
        <f aca="false">_xlfn.CONCAT(K339, "_",L339)</f>
        <v>electric_ELRL</v>
      </c>
      <c r="CH339" s="7" t="str">
        <f aca="false">_xlfn.CONCAT("{BLACK}Length: {GOLD}", TEXT(ROUNDUP(IF(AT339&lt;&gt;"",SUM(VALUE(_xlfn.TEXTSPLIT(AT339, ","))), SUM(VALUE(_xlfn.TEXTSPLIT(AQ339, ",")))*IF(P339, P339, 1))/16, 1), "#,##0.0"), " tiles{}")</f>
        <v>{BLACK}Length: {GOLD}5.7 tiles{}</v>
      </c>
      <c r="CI339" s="1" t="n">
        <f aca="false">VLOOKUP($CG339, Constants!$M:$N, 2, FALSE())</f>
        <v>0</v>
      </c>
      <c r="CJ339" s="1" t="str">
        <f aca="false">IF(P339&gt;1,_xlfn.CONCAT("{BLACK}Cars: {GOLD}", P339),"")</f>
        <v>{BLACK}Cars: {GOLD}7</v>
      </c>
      <c r="CK339" s="1" t="s">
        <v>1330</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penalty for long distance travel{}</v>
      </c>
      <c r="CN339" s="1" t="str">
        <f aca="false">_xlfn.CONCAT(CI339,IF(CI339&lt;&gt;""," ",""),CJ339,IF(OR(CJ339&lt;&gt;"",CI339&lt;&gt;""),"{}",""),CH339,CM339,"{SILVER}",CK339,IF(CL339&lt;&gt;"","{}{}",""),CL339)</f>
        <v>{BLACK}Cars: {GOLD}7{}{BLACK}Length: {GOLD}5.7 tiles{}{YELLOW}10% penalty for long distance travel{}{SILVER}Designed for London's Crossrail route, the Class 345 entered service on TfL Rail between Liverpool Street and Shenfield.</v>
      </c>
    </row>
    <row r="340" customFormat="false" ht="14.25" hidden="false" customHeight="false" outlineLevel="0" collapsed="false">
      <c r="A340" s="1" t="s">
        <v>1326</v>
      </c>
      <c r="B340" s="15" t="s">
        <v>1333</v>
      </c>
      <c r="C340" s="1" t="n">
        <v>286</v>
      </c>
      <c r="E340" s="1" t="n">
        <v>419</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198</v>
      </c>
      <c r="J340" s="1" t="s">
        <v>423</v>
      </c>
      <c r="K340" s="1" t="s">
        <v>349</v>
      </c>
      <c r="L340" s="1" t="s">
        <v>350</v>
      </c>
      <c r="M340" s="1" t="n">
        <v>2017</v>
      </c>
      <c r="P340" s="1" t="n">
        <v>4</v>
      </c>
      <c r="Q340" s="1" t="n">
        <v>1900</v>
      </c>
      <c r="Z340" s="1" t="n">
        <v>264</v>
      </c>
      <c r="AB340" s="1" t="n">
        <v>7</v>
      </c>
      <c r="AC340" s="1" t="n">
        <v>220</v>
      </c>
      <c r="AD340" s="4" t="n">
        <f aca="false">IF(AND(Z340&gt;0,AC340&gt;0),(AC340/((Z340+AA340)*10)),"")</f>
        <v>0.0833333333333333</v>
      </c>
      <c r="AE340" s="1" t="n">
        <v>90</v>
      </c>
      <c r="AF340" s="1" t="n">
        <f aca="false">ROUND(AE340*1.6, 0)</f>
        <v>144</v>
      </c>
      <c r="AI340" s="1" t="n">
        <v>22.7</v>
      </c>
      <c r="AJ340" s="1" t="n">
        <v>22.7</v>
      </c>
      <c r="AM340" s="5" t="n">
        <v>78</v>
      </c>
      <c r="AN340" s="1" t="str">
        <f aca="false">CONCATENATE(VLOOKUP(AO340, 'Voxel Sizes'!$A$2:$B$18,2,FALSE()),"x",INT(AK340*15), "x", INT(AL340*15))</f>
        <v>214x0x0</v>
      </c>
      <c r="AO340" s="1" t="n">
        <f aca="false">ROUND(15*((AJ340*10)/256),0)</f>
        <v>13</v>
      </c>
      <c r="AQ340" s="1" t="str">
        <f aca="false">CONCATENATE(VLOOKUP(AO340,Constants!$A$2:$C$16,IF(AP340&lt;&gt;"", 3, 2), FALSE()),IF(AP340&lt;&gt;"",CONCATENATE(",",VLOOKUP(AP340,$B:$AQ,42,FALSE())),""))</f>
        <v>4,5,4</v>
      </c>
      <c r="AU340" s="1" t="s">
        <v>1334</v>
      </c>
      <c r="AW340" s="1" t="s">
        <v>812</v>
      </c>
      <c r="AX340" s="1" t="s">
        <v>1327</v>
      </c>
      <c r="BA340" s="1" t="n">
        <v>30</v>
      </c>
      <c r="BB340" s="16" t="str">
        <f aca="false">IF(O340&lt;&gt;"",MAX(16,(O340-M340)+8),"")</f>
        <v/>
      </c>
      <c r="BC340" s="1" t="n">
        <v>-19</v>
      </c>
      <c r="BD340" s="1" t="n">
        <v>-22</v>
      </c>
      <c r="BE340" s="1" t="n">
        <f aca="false">MIN(AE340/150, 1)*30</f>
        <v>18</v>
      </c>
      <c r="BF340" s="1" t="n">
        <f aca="false">MIN(Q340/4000, 1)*20</f>
        <v>9.5</v>
      </c>
      <c r="BG340" s="1" t="n">
        <f aca="false">MIN(AC340/400,1)*20</f>
        <v>11</v>
      </c>
      <c r="BH340" s="4" t="n">
        <f aca="false">1-(MAX(M340-1900, 0)/750)</f>
        <v>0.844</v>
      </c>
      <c r="BI340" s="1" t="n">
        <f aca="false">((MAX($P340,1)*MIN($AM340/300,1)))*IF(J340="Wagon",50,10)</f>
        <v>10.4</v>
      </c>
      <c r="BJ340" s="1" t="n">
        <f aca="false">VLOOKUP($K340,Constants!$I:$K, 2, FALSE())</f>
        <v>0.85</v>
      </c>
      <c r="BK340" s="1" t="n">
        <f aca="false">VLOOKUP($K340,Constants!$I:$K, 3, FALSE())*IF(AND(J340="multiple_unit",AE340&lt;110),0.75,1)</f>
        <v>1.725</v>
      </c>
      <c r="BL340" s="1" t="n">
        <f aca="false">INT(POWER(((Constants!$G$2+$BE340+$BF340+$BG340+$BI340)*$BH340)*$BK340, 1.05))+$BD340</f>
        <v>75</v>
      </c>
      <c r="BM340" s="1" t="n">
        <f aca="false">INT(POWER((((Constants!$G$1+$BE340+$BF340+$BG340+$BI340)*($BH340))*$BJ340),IF($J340="wagon",1,1.2)))+$BC340</f>
        <v>79</v>
      </c>
      <c r="BN340" s="17" t="n">
        <f aca="false">BL340*IF($J340="wagon",62.5,781.25)</f>
        <v>58593.75</v>
      </c>
      <c r="BO340" s="17" t="n">
        <f aca="false">BM340*IF($J340="wagon",2.73,81.25)</f>
        <v>6418.75</v>
      </c>
      <c r="BX340" s="1" t="s">
        <v>1178</v>
      </c>
      <c r="BY340" s="1" t="n">
        <v>1</v>
      </c>
      <c r="BZ340" s="1" t="n">
        <v>165</v>
      </c>
      <c r="CC340" s="1" t="s">
        <v>327</v>
      </c>
      <c r="CD340" s="1" t="str">
        <f aca="false">VLOOKUP(M340,Eras!$A$2:$C$10, 2, TRUE())</f>
        <v>mod</v>
      </c>
      <c r="CE340" s="1" t="s">
        <v>785</v>
      </c>
      <c r="CF340" s="1" t="str">
        <f aca="false">CONCATENATE(CD340,"_",CE340)</f>
        <v>mod_EMU</v>
      </c>
      <c r="CG340" s="1" t="str">
        <f aca="false">_xlfn.CONCAT(K340, "_",L340)</f>
        <v>electric_ELRL</v>
      </c>
      <c r="CH340" s="7" t="str">
        <f aca="false">_xlfn.CONCAT("{BLACK}Length: {GOLD}", TEXT(ROUNDUP(IF(AT340&lt;&gt;"",SUM(VALUE(_xlfn.TEXTSPLIT(AT340, ","))), SUM(VALUE(_xlfn.TEXTSPLIT(AQ340, ",")))*IF(P340, P340, 1))/16, 1), "#,##0.0"), " tiles{}")</f>
        <v>{BLACK}Length: {GOLD}3.3 tiles{}</v>
      </c>
      <c r="CI340" s="1" t="n">
        <f aca="false">VLOOKUP($CG340, Constants!$M:$N, 2, FALSE())</f>
        <v>0</v>
      </c>
      <c r="CJ340" s="1" t="str">
        <f aca="false">IF(P340&gt;1,_xlfn.CONCAT("{BLACK}Cars: {GOLD}", P340),"")</f>
        <v>{BLACK}Cars: {GOLD}4</v>
      </c>
      <c r="CK340" s="1" t="s">
        <v>1330</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penalty for long distance travel{}</v>
      </c>
      <c r="CN340" s="1" t="str">
        <f aca="false">_xlfn.CONCAT(CI340,IF(CI340&lt;&gt;""," ",""),CJ340,IF(OR(CJ340&lt;&gt;"",CI340&lt;&gt;""),"{}",""),CH340,CM340,"{SILVER}",CK340,IF(CL340&lt;&gt;"","{}{}",""),CL340)</f>
        <v>{BLACK}Cars: {GOLD}4{}{BLACK}Length: {GOLD}3.3 tiles{}{YELLOW}10% penalty for long distance travel{}{SILVER}Designed for London's Crossrail route, the Class 345 entered service on TfL Rail between Liverpool Street and Shenfield.</v>
      </c>
    </row>
    <row r="341" customFormat="false" ht="14.25" hidden="false" customHeight="false" outlineLevel="0" collapsed="false">
      <c r="A341" s="1" t="s">
        <v>1335</v>
      </c>
      <c r="B341" s="15" t="s">
        <v>1336</v>
      </c>
      <c r="C341" s="1" t="n">
        <v>289</v>
      </c>
      <c r="E341" s="1" t="n">
        <v>420</v>
      </c>
      <c r="G341" s="1" t="str">
        <f aca="false">IF($F341&lt;&gt;"",_xlfn.CONCAT(VLOOKUP($CE341, Constants!$T:$U, 2, FALSE()),",",$F341),VLOOKUP($CE341, Constants!$T:$U, 2, FALSE()))</f>
        <v>role/passenger</v>
      </c>
      <c r="H341" s="1" t="str">
        <f aca="false">IF($G341&lt;&gt;"",_xlfn.CONCAT(VLOOKUP($CG341, Constants!$M:$P, 4, FALSE()),",",$G341),VLOOKUP($CG341, Constants!$M:$P, 4, FALSE()))</f>
        <v>flag/GB,power/electric,power/battery,role/passenger</v>
      </c>
      <c r="I341" s="1" t="s">
        <v>198</v>
      </c>
      <c r="J341" s="1" t="s">
        <v>423</v>
      </c>
      <c r="K341" s="1" t="s">
        <v>637</v>
      </c>
      <c r="L341" s="1" t="s">
        <v>913</v>
      </c>
      <c r="M341" s="1" t="n">
        <v>2023</v>
      </c>
      <c r="P341" s="1" t="n">
        <v>4</v>
      </c>
      <c r="Q341" s="1" t="n">
        <v>2000</v>
      </c>
      <c r="R341" s="2" t="n">
        <v>970</v>
      </c>
      <c r="Z341" s="1" t="n">
        <v>233</v>
      </c>
      <c r="AB341" s="1" t="n">
        <v>6</v>
      </c>
      <c r="AC341" s="1" t="n">
        <v>162</v>
      </c>
      <c r="AD341" s="4" t="n">
        <f aca="false">IF(AND(Z341&gt;0,AC341&gt;0),(AC341/((Z341+AA341)*10)),"")</f>
        <v>0.0695278969957082</v>
      </c>
      <c r="AE341" s="1" t="n">
        <v>75</v>
      </c>
      <c r="AF341" s="1" t="n">
        <f aca="false">ROUND(AE341*1.6, 0)</f>
        <v>120</v>
      </c>
      <c r="AG341" s="1" t="n">
        <v>100</v>
      </c>
      <c r="AI341" s="1" t="n">
        <v>16</v>
      </c>
      <c r="AJ341" s="1" t="n">
        <v>16</v>
      </c>
      <c r="AK341" s="1" t="n">
        <v>2.8</v>
      </c>
      <c r="AL341" s="1" t="n">
        <v>3.8</v>
      </c>
      <c r="AM341" s="5" t="n">
        <v>45</v>
      </c>
      <c r="AN341" s="1" t="str">
        <f aca="false">CONCATENATE(VLOOKUP(AO341, 'Voxel Sizes'!$A$2:$B$18,2,FALSE()),"x",INT(AK341*15), "x", INT(AL341*15))</f>
        <v>152x42x57</v>
      </c>
      <c r="AO341" s="1" t="n">
        <f aca="false">ROUND(15*((AJ341*10)/256),0)</f>
        <v>9</v>
      </c>
      <c r="AQ341" s="1" t="str">
        <f aca="false">CONCATENATE(VLOOKUP(AO341,Constants!$A$2:$C$16,IF(AP341&lt;&gt;"", 3, 2), FALSE()),IF(AP341&lt;&gt;"",CONCATENATE(",",VLOOKUP(AP341,$B:$AQ,42,FALSE())),""))</f>
        <v>2,5,2</v>
      </c>
      <c r="AU341" s="1" t="s">
        <v>1337</v>
      </c>
      <c r="AW341" s="1" t="s">
        <v>898</v>
      </c>
      <c r="BA341" s="1" t="n">
        <v>30</v>
      </c>
      <c r="BB341" s="16" t="str">
        <f aca="false">IF(O341&lt;&gt;"",MAX(16,(O341-M341)+8),"")</f>
        <v/>
      </c>
      <c r="BC341" s="1" t="n">
        <v>-17</v>
      </c>
      <c r="BD341" s="1" t="n">
        <v>-20</v>
      </c>
      <c r="BE341" s="1" t="n">
        <f aca="false">MIN(AE341/150, 1)*30</f>
        <v>15</v>
      </c>
      <c r="BF341" s="1" t="n">
        <f aca="false">MIN(Q341/4000, 1)*20</f>
        <v>10</v>
      </c>
      <c r="BG341" s="1" t="n">
        <f aca="false">MIN(AC341/400,1)*20</f>
        <v>8.1</v>
      </c>
      <c r="BH341" s="4" t="n">
        <f aca="false">1-(MAX(M341-1900, 0)/750)</f>
        <v>0.836</v>
      </c>
      <c r="BI341" s="1" t="n">
        <f aca="false">((MAX($P341,1)*MIN($AM341/300,1)))*IF(J341="Wagon",50,10)</f>
        <v>6</v>
      </c>
      <c r="BJ341" s="1" t="n">
        <f aca="false">VLOOKUP($K341,Constants!$I:$K, 2, FALSE())</f>
        <v>0.9</v>
      </c>
      <c r="BK341" s="1" t="n">
        <f aca="false">VLOOKUP($K341,Constants!$I:$K, 3, FALSE())*IF(AND(J341="multiple_unit",AE341&lt;110),0.75,1)</f>
        <v>1.875</v>
      </c>
      <c r="BL341" s="1" t="n">
        <f aca="false">INT(POWER(((Constants!$G$2+$BE341+$BF341+$BG341+$BI341)*$BH341)*$BK341, 1.05))+$BD341</f>
        <v>65</v>
      </c>
      <c r="BM341" s="1" t="n">
        <f aca="false">INT(POWER((((Constants!$G$1+$BE341+$BF341+$BG341+$BI341)*($BH341))*$BJ341),IF($J341="wagon",1,1.2)))+$BC341</f>
        <v>68</v>
      </c>
      <c r="BN341" s="17" t="n">
        <f aca="false">BL341*IF($J341="wagon",62.5,781.25)</f>
        <v>50781.25</v>
      </c>
      <c r="BO341" s="17" t="n">
        <f aca="false">BM341*IF($J341="wagon",2.73,81.25)</f>
        <v>5525</v>
      </c>
      <c r="BY341" s="1" t="n">
        <v>3</v>
      </c>
      <c r="CC341" s="1" t="s">
        <v>327</v>
      </c>
      <c r="CD341" s="1" t="s">
        <v>754</v>
      </c>
      <c r="CE341" s="1" t="s">
        <v>785</v>
      </c>
      <c r="CF341" s="1" t="str">
        <f aca="false">CONCATENATE(CD341,"_",CE341)</f>
        <v>mod_EMU</v>
      </c>
      <c r="CG341" s="1" t="str">
        <f aca="false">_xlfn.CONCAT(K341, "_",L341)</f>
        <v>dual_power_BATTERY</v>
      </c>
      <c r="CH341" s="7" t="str">
        <f aca="false">_xlfn.CONCAT("{BLACK}Length: {GOLD}", TEXT(ROUNDUP(IF(AT341&lt;&gt;"",SUM(VALUE(_xlfn.TEXTSPLIT(AT341, ","))), SUM(VALUE(_xlfn.TEXTSPLIT(AQ341, ",")))*IF(P341, P341, 1))/16, 1), "#,##0.0"), " tiles{}")</f>
        <v>{BLACK}Length: {GOLD}2.3 tiles{}</v>
      </c>
      <c r="CI341" s="1" t="n">
        <f aca="false">VLOOKUP($CG341, Constants!$M:$N, 2, FALSE())</f>
        <v>0</v>
      </c>
      <c r="CJ341" s="1" t="str">
        <f aca="false">IF(P341&gt;1,_xlfn.CONCAT("{BLACK}Cars: {GOLD}", P341),"")</f>
        <v>{BLACK}Cars: {GOLD}4</v>
      </c>
      <c r="CK341" s="1" t="s">
        <v>1338</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{GOLD}4{}{BLACK}Length: {GOLD}2.3 tiles{}{SILVER}The Class 777 "METRO" is a dual-mode unit which charges a battery when on third rail power, which can be used to travel over unpowered track.</v>
      </c>
    </row>
    <row r="342" customFormat="false" ht="14.25" hidden="false" customHeight="false" outlineLevel="0" collapsed="false">
      <c r="A342" s="1" t="s">
        <v>1339</v>
      </c>
      <c r="B342" s="19" t="s">
        <v>1340</v>
      </c>
      <c r="C342" s="1" t="n">
        <v>1054</v>
      </c>
      <c r="E342" s="1" t="n">
        <v>421</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198</v>
      </c>
      <c r="J342" s="1" t="s">
        <v>423</v>
      </c>
      <c r="K342" s="1" t="s">
        <v>349</v>
      </c>
      <c r="L342" s="1" t="s">
        <v>350</v>
      </c>
      <c r="M342" s="1" t="n">
        <v>2023</v>
      </c>
      <c r="P342" s="1" t="n">
        <v>5</v>
      </c>
      <c r="Q342" s="1" t="n">
        <v>1800</v>
      </c>
      <c r="Z342" s="1" t="n">
        <v>250</v>
      </c>
      <c r="AB342" s="1" t="n">
        <v>5</v>
      </c>
      <c r="AC342" s="1" t="n">
        <v>190</v>
      </c>
      <c r="AD342" s="4" t="n">
        <f aca="false">IF(AND(Z342&gt;0,AC342&gt;0),(AC342/((Z342+AA342)*10)),"")</f>
        <v>0.076</v>
      </c>
      <c r="AE342" s="1" t="n">
        <v>110</v>
      </c>
      <c r="AF342" s="1" t="n">
        <f aca="false">ROUND(AE342*1.6, 0)</f>
        <v>176</v>
      </c>
      <c r="AI342" s="1" t="n">
        <v>22.7</v>
      </c>
      <c r="AJ342" s="1" t="n">
        <v>22.7</v>
      </c>
      <c r="AM342" s="5" t="n">
        <v>81</v>
      </c>
      <c r="AN342" s="16" t="s">
        <v>753</v>
      </c>
      <c r="AO342" s="16" t="n">
        <f aca="false">ROUND(15*((AJ342*10)/256),0)</f>
        <v>13</v>
      </c>
      <c r="AQ342" s="1" t="str">
        <f aca="false">CONCATENATE(VLOOKUP(AO342,Constants!$A$2:$C$16,IF(AP342&lt;&gt;"", 3, 2), FALSE()),IF(AP342&lt;&gt;"",CONCATENATE(",",VLOOKUP(AP342,$B:$AQ,42,FALSE())),""))</f>
        <v>4,5,4</v>
      </c>
      <c r="AR342" s="1" t="n">
        <v>4</v>
      </c>
      <c r="AU342" s="1" t="s">
        <v>1341</v>
      </c>
      <c r="AW342" s="1" t="s">
        <v>1291</v>
      </c>
      <c r="BA342" s="1" t="n">
        <v>31</v>
      </c>
      <c r="BB342" s="16" t="str">
        <f aca="false">IF(O342&lt;&gt;"",MAX(16,(O342-M342)+8),"")</f>
        <v/>
      </c>
      <c r="BC342" s="1" t="n">
        <v>-12</v>
      </c>
      <c r="BD342" s="1" t="n">
        <v>-30</v>
      </c>
      <c r="BE342" s="20" t="n">
        <f aca="false">MIN(AE342/150, 1)*30</f>
        <v>22</v>
      </c>
      <c r="BF342" s="20" t="n">
        <f aca="false">MIN(Q342/4000, 1)*20</f>
        <v>9</v>
      </c>
      <c r="BG342" s="20" t="n">
        <f aca="false">MIN(AC342/400,1)*20</f>
        <v>9.5</v>
      </c>
      <c r="BH342" s="21" t="n">
        <f aca="false">1-(MAX(M342-1900, 0)/750)</f>
        <v>0.836</v>
      </c>
      <c r="BI342" s="20" t="n">
        <f aca="false">((MAX($P342,1)*MIN($AM342/300,1)))*IF(J342="Wagon",50,10)</f>
        <v>13.5</v>
      </c>
      <c r="BJ342" s="1" t="n">
        <f aca="false">VLOOKUP($K342,Constants!$I:$K, 2, FALSE())</f>
        <v>0.85</v>
      </c>
      <c r="BK342" s="1" t="n">
        <f aca="false">VLOOKUP($K342,Constants!$I:$K, 3, FALSE())*IF(AND(J342="multiple_unit",AE342&lt;110),0.75,1)</f>
        <v>2.3</v>
      </c>
      <c r="BL342" s="20" t="n">
        <v>113</v>
      </c>
      <c r="BM342" s="20" t="n">
        <v>94</v>
      </c>
      <c r="BN342" s="22" t="n">
        <f aca="false">BL342*IF($J342="wagon",62.5,781.25)</f>
        <v>88281.25</v>
      </c>
      <c r="BO342" s="22" t="n">
        <f aca="false">BM342*IF($J342="wagon",2.73,81.25)</f>
        <v>7637.5</v>
      </c>
      <c r="BY342" s="1" t="n">
        <v>11</v>
      </c>
      <c r="BZ342" s="1" t="n">
        <v>185</v>
      </c>
      <c r="CB342" s="1" t="s">
        <v>326</v>
      </c>
      <c r="CC342" s="1" t="s">
        <v>327</v>
      </c>
      <c r="CD342" s="23" t="s">
        <v>754</v>
      </c>
      <c r="CE342" s="1" t="s">
        <v>785</v>
      </c>
      <c r="CF342" s="23" t="str">
        <f aca="false">CONCATENATE(CD342,"_",CE342)</f>
        <v>mod_EMU</v>
      </c>
      <c r="CG342" s="23" t="str">
        <f aca="false">_xlfn.CONCAT(K342, "_",L342)</f>
        <v>electric_ELRL</v>
      </c>
      <c r="CH342" s="7" t="str">
        <f aca="false">_xlfn.CONCAT("{BLACK}Length: {GOLD}", TEXT(ROUNDUP(IF(AT342&lt;&gt;"",SUM(VALUE(_xlfn.TEXTSPLIT(AT342, ","))), SUM(VALUE(_xlfn.TEXTSPLIT(AQ342, ",")))*IF(P342, P342, 1))/16, 1), "#,##0.0"), " tiles{}")</f>
        <v>{BLACK}Length: {GOLD}4.1 tiles{}</v>
      </c>
      <c r="CI342" s="1" t="n">
        <f aca="false">VLOOKUP($CG342, Constants!$M:$N, 2, FALSE())</f>
        <v>0</v>
      </c>
      <c r="CJ342" s="1" t="str">
        <f aca="false">IF(P342&gt;1,_xlfn.CONCAT("{BLACK}Cars: {GOLD}", P342),"")</f>
        <v>{BLACK}Cars: {GOLD}5</v>
      </c>
      <c r="CK342" s="1" t="s">
        <v>1342</v>
      </c>
      <c r="CL342" s="1" t="str">
        <f aca="false">IF($BX342="!param_no_gameplay_units","{GREEN}Included for gameplay purposes","")</f>
        <v/>
      </c>
      <c r="CM342" s="1" t="str">
        <f aca="false">IF(CA342="buffet","{YELLOW}25% long distance bonus for consist{}",IF(CB342="DANDY","{YELLOW}Faster downhill speeds for horse-drawn trains (1 required per 2 horses){}",IF(CB342="BRAKE","{YELLOW}Speed bonus for slow wagons{}",IF(CB342="NGPassengers","{YELLOW}Preserved railway bonus: passengers pay more when hauled by old locomotives{}",IF(AND(BZ342&gt;190,NOT(AND(L342="NARROW_GAUGE",CB342&lt;&gt;"PASS"))),CONCATENATE("{YELLOW}",INT((BZ342-185)/1.85),"%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{GOLD}5{}{BLACK}Length: {GOLD}4.1 tiles{}{SILVER}The 730/2 is the longer and faster variant of the Class 730 units built for West Midlands Trains, serving on their London Northwestern Railway routes over the West Coast Main Line.</v>
      </c>
    </row>
    <row r="343" s="1" customFormat="true" ht="14.25" hidden="false" customHeight="false" outlineLevel="0" collapsed="false">
      <c r="A343" s="25" t="s">
        <v>1343</v>
      </c>
      <c r="B343" s="26" t="s">
        <v>1344</v>
      </c>
      <c r="C343" s="1" t="n">
        <v>3089</v>
      </c>
      <c r="E343" s="1" t="n">
        <v>422</v>
      </c>
      <c r="G343" s="1" t="str">
        <f aca="false">IF($F343&lt;&gt;"",_xlfn.CONCAT(VLOOKUP($CE343, Constants!$T:$U, 2, FALSE()),",",$F343),VLOOKUP($CE343, Constants!$T:$U, 2, FALSE()))</f>
        <v>role/express_passenger</v>
      </c>
      <c r="H343" s="1" t="str">
        <f aca="false">IF($G343&lt;&gt;"",_xlfn.CONCAT(VLOOKUP($CG343, Constants!$M:$P, 4, FALSE()),",",$G343),VLOOKUP($CG343, Constants!$M:$P, 4, FALSE()))</f>
        <v>flag/GB,role/express_passenger</v>
      </c>
      <c r="I343" s="1" t="s">
        <v>198</v>
      </c>
      <c r="J343" s="1" t="s">
        <v>423</v>
      </c>
      <c r="K343" s="1" t="s">
        <v>637</v>
      </c>
      <c r="L343" s="1" t="s">
        <v>350</v>
      </c>
      <c r="M343" s="1" t="n">
        <v>2017</v>
      </c>
      <c r="P343" s="1" t="n">
        <v>5</v>
      </c>
      <c r="Q343" s="1" t="n">
        <v>3200</v>
      </c>
      <c r="R343" s="2" t="n">
        <v>2250</v>
      </c>
      <c r="S343" s="3"/>
      <c r="T343" s="3"/>
      <c r="U343" s="3"/>
      <c r="V343" s="3"/>
      <c r="W343" s="3"/>
      <c r="X343" s="3"/>
      <c r="Y343" s="3"/>
      <c r="Z343" s="25" t="n">
        <v>243</v>
      </c>
      <c r="AA343" s="2"/>
      <c r="AB343" s="25" t="n">
        <v>5</v>
      </c>
      <c r="AC343" s="25" t="n">
        <v>195</v>
      </c>
      <c r="AD343" s="4" t="n">
        <f aca="false">IF(AND(Z343&gt;0,AC343&gt;0),(AC343/((Z343+AA343)*10)),"")</f>
        <v>0.0802469135802469</v>
      </c>
      <c r="AE343" s="25" t="n">
        <v>140</v>
      </c>
      <c r="AF343" s="25" t="n">
        <f aca="false">ROUND(AE343*1.6, 0)</f>
        <v>224</v>
      </c>
      <c r="AG343" s="25"/>
      <c r="AH343" s="25"/>
      <c r="AI343" s="25" t="n">
        <v>26</v>
      </c>
      <c r="AJ343" s="25" t="n">
        <v>24</v>
      </c>
      <c r="AK343" s="25"/>
      <c r="AL343" s="25"/>
      <c r="AM343" s="5" t="n">
        <v>66</v>
      </c>
      <c r="AN343" s="25" t="s">
        <v>1345</v>
      </c>
      <c r="AO343" s="25" t="n">
        <f aca="false">ROUND(15*((AJ343*10)/256),0)</f>
        <v>14</v>
      </c>
      <c r="AP343" s="25"/>
      <c r="AQ343" s="1" t="str">
        <f aca="false">CONCATENATE(VLOOKUP(AO343,Constants!$A$2:$C$16,IF(AP343&lt;&gt;"", 3, 2), FALSE()),IF(AP343&lt;&gt;"",CONCATENATE(",",VLOOKUP(AP343,$B:$AQ,42,FALSE())),""))</f>
        <v>4,6,4</v>
      </c>
      <c r="AR343" s="25" t="n">
        <v>12</v>
      </c>
      <c r="AS343" s="6"/>
      <c r="AT343" s="6"/>
      <c r="AU343" s="1" t="s">
        <v>1346</v>
      </c>
      <c r="AV343" s="1" t="s">
        <v>1347</v>
      </c>
      <c r="AW343" s="1" t="s">
        <v>841</v>
      </c>
      <c r="BA343" s="1" t="n">
        <v>30</v>
      </c>
      <c r="BB343" s="16" t="str">
        <f aca="false">IF(O343&lt;&gt;"",MAX(16,(O343-M343)+8),"")</f>
        <v/>
      </c>
      <c r="BC343" s="25" t="n">
        <v>-15</v>
      </c>
      <c r="BD343" s="25" t="n">
        <v>-30</v>
      </c>
      <c r="BE343" s="25" t="n">
        <f aca="false">MIN(AE343/150, 1)*30</f>
        <v>28</v>
      </c>
      <c r="BF343" s="25" t="n">
        <f aca="false">MIN(Q343/4000, 1)*20</f>
        <v>16</v>
      </c>
      <c r="BG343" s="25" t="n">
        <f aca="false">MIN(AC343/400,1)*20</f>
        <v>9.75</v>
      </c>
      <c r="BH343" s="4" t="n">
        <f aca="false">1-(MAX(M343-1900, 0)/750)</f>
        <v>0.844</v>
      </c>
      <c r="BI343" s="25" t="n">
        <f aca="false">((MAX($P343,1)*MIN($AM343/300,1)))*IF(J343="Wagon",50,10)</f>
        <v>11</v>
      </c>
      <c r="BJ343" s="1" t="n">
        <f aca="false">VLOOKUP($K343,Constants!$I:$K, 2, FALSE())</f>
        <v>0.9</v>
      </c>
      <c r="BK343" s="1" t="n">
        <f aca="false">VLOOKUP($K343,Constants!$I:$K, 3, FALSE())*IF(AND(J343="multiple_unit",AE343&lt;110),0.75,1)</f>
        <v>2.5</v>
      </c>
      <c r="BL343" s="25" t="n">
        <v>158</v>
      </c>
      <c r="BM343" s="25" t="n">
        <v>122</v>
      </c>
      <c r="BN343" s="17" t="n">
        <f aca="false">BL343*IF($J343="wagon",62.5,781.25)</f>
        <v>123437.5</v>
      </c>
      <c r="BO343" s="17" t="n">
        <f aca="false">BM343*IF($J343="wagon",2.73,81.25)</f>
        <v>9912.5</v>
      </c>
      <c r="BP343" s="25"/>
      <c r="BQ343" s="25"/>
      <c r="BR343" s="25"/>
      <c r="BS343" s="25"/>
      <c r="BT343" s="25"/>
      <c r="BU343" s="1" t="s">
        <v>1348</v>
      </c>
      <c r="BV343" s="25"/>
      <c r="BW343" s="25"/>
      <c r="BX343" s="25"/>
      <c r="BY343" s="25" t="n">
        <v>10</v>
      </c>
      <c r="BZ343" s="25" t="n">
        <v>222</v>
      </c>
      <c r="CA343" s="25"/>
      <c r="CB343" s="25"/>
      <c r="CC343" s="25" t="s">
        <v>327</v>
      </c>
      <c r="CD343" s="25" t="s">
        <v>754</v>
      </c>
      <c r="CE343" s="25" t="s">
        <v>842</v>
      </c>
      <c r="CF343" s="1" t="str">
        <f aca="false">CONCATENATE(CD343,"_",CE343)</f>
        <v>mod_EMU (Express)</v>
      </c>
      <c r="CG343" s="1" t="str">
        <f aca="false">_xlfn.CONCAT(K343, "_",L343)</f>
        <v>dual_power_ELRL</v>
      </c>
      <c r="CH343" s="7" t="str">
        <f aca="false">_xlfn.CONCAT("{BLACK}Length: {GOLD}", TEXT(ROUNDUP(IF(AT343&lt;&gt;"",SUM(VALUE(_xlfn.TEXTSPLIT(AT343, ","))), SUM(VALUE(_xlfn.TEXTSPLIT(AQ343, ",")))*IF(P343, P343, 1))/16, 1), "#,##0.0"), " tiles{}")</f>
        <v>{BLACK}Length: {GOLD}4.4 tiles{}</v>
      </c>
      <c r="CI343" s="1" t="n">
        <f aca="false">VLOOKUP($CG343, Constants!$M:$N, 2, FALSE())</f>
        <v>0</v>
      </c>
      <c r="CJ343" s="1" t="str">
        <f aca="false">IF(P343&gt;1,_xlfn.CONCAT("{BLACK}Cars: {GOLD}", P343),"")</f>
        <v>{BLACK}Cars: {GOLD}5</v>
      </c>
      <c r="CK343" s="1" t="s">
        <v>1349</v>
      </c>
      <c r="CM343" s="25" t="str">
        <f aca="false">IF(CA343="buffet","{YELLOW}25% long distance bonus for consist{}",IF(CD343="BRAKE","{YELLOW}Speed bonus for slow wagons{}",IF(BZ343&gt;190,CONCATENATE("{YELLOW}",INT((BZ343-185)/1.85),"% bonus for long distance travel{}"),IF(AND(BZ343&lt;180,BZ343&lt;&gt;0),CONCATENATE("{YELLOW}",INT((185-BZ343)/1.85),"% penalty for long distance travel{}"),""))))</f>
        <v>{YELLOW}20% bonus for long distance travel{}</v>
      </c>
      <c r="CN343" s="25" t="str">
        <f aca="false">_xlfn.CONCAT(CI343,IF(CI343 &lt;&gt; "", " ", ""),CJ343,IF(OR(CJ343&lt;&gt;"", CI343&lt;&gt;""), "{}",""), CH343, CM343,"{SILVER}", CK343)</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4" s="1" customFormat="true" ht="14.25" hidden="false" customHeight="false" outlineLevel="0" collapsed="false">
      <c r="A344" s="25" t="s">
        <v>1350</v>
      </c>
      <c r="B344" s="26" t="s">
        <v>1351</v>
      </c>
      <c r="C344" s="1" t="n">
        <v>3090</v>
      </c>
      <c r="D344" s="1" t="n">
        <v>3089</v>
      </c>
      <c r="E344" s="1" t="n">
        <v>423</v>
      </c>
      <c r="G344" s="1" t="str">
        <f aca="false">IF($F344&lt;&gt;"",_xlfn.CONCAT(VLOOKUP($CE344, Constants!$T:$U, 2, FALSE()),",",$F344),VLOOKUP($CE344, Constants!$T:$U, 2, FALSE()))</f>
        <v>role/express_passenger</v>
      </c>
      <c r="H344" s="1" t="str">
        <f aca="false">IF($G344&lt;&gt;"",_xlfn.CONCAT(VLOOKUP($CG344, Constants!$M:$P, 4, FALSE()),",",$G344),VLOOKUP($CG344, Constants!$M:$P, 4, FALSE()))</f>
        <v>flag/GB,role/express_passenger</v>
      </c>
      <c r="I344" s="1" t="s">
        <v>198</v>
      </c>
      <c r="J344" s="1" t="s">
        <v>423</v>
      </c>
      <c r="K344" s="1" t="s">
        <v>637</v>
      </c>
      <c r="L344" s="1" t="s">
        <v>350</v>
      </c>
      <c r="M344" s="1" t="n">
        <v>2017</v>
      </c>
      <c r="P344" s="1" t="n">
        <v>9</v>
      </c>
      <c r="Q344" s="1" t="n">
        <v>5400</v>
      </c>
      <c r="R344" s="2" t="n">
        <v>3750</v>
      </c>
      <c r="S344" s="3"/>
      <c r="T344" s="3"/>
      <c r="U344" s="3"/>
      <c r="V344" s="3"/>
      <c r="W344" s="3"/>
      <c r="X344" s="3"/>
      <c r="Y344" s="3"/>
      <c r="Z344" s="25" t="n">
        <v>438</v>
      </c>
      <c r="AA344" s="2"/>
      <c r="AB344" s="25" t="n">
        <v>5</v>
      </c>
      <c r="AC344" s="25" t="n">
        <v>195</v>
      </c>
      <c r="AD344" s="4" t="n">
        <f aca="false">IF(AND(Z344&gt;0,AC344&gt;0),(AC344/((Z344+AA344)*10)),"")</f>
        <v>0.0445205479452055</v>
      </c>
      <c r="AE344" s="25" t="n">
        <v>140</v>
      </c>
      <c r="AF344" s="25" t="n">
        <f aca="false">ROUND(AE344*1.6, 0)</f>
        <v>224</v>
      </c>
      <c r="AG344" s="25"/>
      <c r="AH344" s="25"/>
      <c r="AI344" s="25" t="n">
        <v>26</v>
      </c>
      <c r="AJ344" s="25" t="n">
        <v>24</v>
      </c>
      <c r="AK344" s="25"/>
      <c r="AL344" s="25"/>
      <c r="AM344" s="5" t="n">
        <v>66</v>
      </c>
      <c r="AN344" s="25" t="s">
        <v>1345</v>
      </c>
      <c r="AO344" s="25" t="n">
        <f aca="false">ROUND(15*((AJ344*10)/256),0)</f>
        <v>14</v>
      </c>
      <c r="AP344" s="25"/>
      <c r="AQ344" s="1" t="str">
        <f aca="false">CONCATENATE(VLOOKUP(AO344,Constants!$A$2:$C$16,IF(AP344&lt;&gt;"", 3, 2), FALSE()),IF(AP344&lt;&gt;"",CONCATENATE(",",VLOOKUP(AP344,$B:$AQ,42,FALSE())),""))</f>
        <v>4,6,4</v>
      </c>
      <c r="AR344" s="25" t="n">
        <v>24</v>
      </c>
      <c r="AS344" s="6"/>
      <c r="AT344" s="6"/>
      <c r="AU344" s="1" t="s">
        <v>1352</v>
      </c>
      <c r="AV344" s="1" t="s">
        <v>1347</v>
      </c>
      <c r="AW344" s="1" t="s">
        <v>1199</v>
      </c>
      <c r="AX344" s="1" t="s">
        <v>1344</v>
      </c>
      <c r="BA344" s="1" t="n">
        <v>30</v>
      </c>
      <c r="BB344" s="16" t="str">
        <f aca="false">IF(O344&lt;&gt;"",MAX(16,(O344-M344)+8),"")</f>
        <v/>
      </c>
      <c r="BC344" s="25" t="n">
        <v>-15</v>
      </c>
      <c r="BD344" s="25" t="n">
        <v>-30</v>
      </c>
      <c r="BE344" s="25" t="n">
        <f aca="false">MIN(AE344/150, 1)*30</f>
        <v>28</v>
      </c>
      <c r="BF344" s="25" t="n">
        <f aca="false">MIN(Q344/4000, 1)*20</f>
        <v>20</v>
      </c>
      <c r="BG344" s="25" t="n">
        <f aca="false">MIN(AC344/400,1)*20</f>
        <v>9.75</v>
      </c>
      <c r="BH344" s="4" t="n">
        <f aca="false">1-(MAX(M344-1900, 0)/750)</f>
        <v>0.844</v>
      </c>
      <c r="BI344" s="25" t="n">
        <f aca="false">((MAX($P344,1)*MIN($AM344/300,1)))*IF(J344="Wagon",50,10)</f>
        <v>19.8</v>
      </c>
      <c r="BJ344" s="1" t="n">
        <f aca="false">VLOOKUP($K344,Constants!$I:$K, 2, FALSE())</f>
        <v>0.9</v>
      </c>
      <c r="BK344" s="1" t="n">
        <f aca="false">VLOOKUP($K344,Constants!$I:$K, 3, FALSE())*IF(AND(J344="multiple_unit",AE344&lt;110),0.75,1)</f>
        <v>2.5</v>
      </c>
      <c r="BL344" s="25" t="n">
        <v>195</v>
      </c>
      <c r="BM344" s="25" t="n">
        <v>149</v>
      </c>
      <c r="BN344" s="17" t="n">
        <f aca="false">BL344*IF($J344="wagon",62.5,781.25)</f>
        <v>152343.75</v>
      </c>
      <c r="BO344" s="17" t="n">
        <f aca="false">BM344*IF($J344="wagon",2.73,81.25)</f>
        <v>12106.25</v>
      </c>
      <c r="BP344" s="25"/>
      <c r="BQ344" s="25"/>
      <c r="BR344" s="25"/>
      <c r="BS344" s="25"/>
      <c r="BT344" s="25"/>
      <c r="BU344" s="1" t="s">
        <v>1353</v>
      </c>
      <c r="BV344" s="25"/>
      <c r="BW344" s="25"/>
      <c r="BX344" s="25"/>
      <c r="BY344" s="25" t="n">
        <v>10</v>
      </c>
      <c r="BZ344" s="25" t="n">
        <v>222</v>
      </c>
      <c r="CA344" s="25"/>
      <c r="CB344" s="25"/>
      <c r="CC344" s="25" t="s">
        <v>327</v>
      </c>
      <c r="CD344" s="25" t="s">
        <v>754</v>
      </c>
      <c r="CE344" s="25" t="s">
        <v>842</v>
      </c>
      <c r="CF344" s="1" t="str">
        <f aca="false">CONCATENATE(CD344,"_",CE344)</f>
        <v>mod_EMU (Express)</v>
      </c>
      <c r="CG344" s="1" t="str">
        <f aca="false">_xlfn.CONCAT(K344, "_",L344)</f>
        <v>dual_power_ELRL</v>
      </c>
      <c r="CH344" s="7" t="str">
        <f aca="false">_xlfn.CONCAT("{BLACK}Length: {GOLD}", TEXT(ROUNDUP(IF(AT344&lt;&gt;"",SUM(VALUE(_xlfn.TEXTSPLIT(AT344, ","))), SUM(VALUE(_xlfn.TEXTSPLIT(AQ344, ",")))*IF(P344, P344, 1))/16, 1), "#,##0.0"), " tiles{}")</f>
        <v>{BLACK}Length: {GOLD}7.9 tiles{}</v>
      </c>
      <c r="CI344" s="1" t="n">
        <f aca="false">VLOOKUP($CG344, Constants!$M:$N, 2, FALSE())</f>
        <v>0</v>
      </c>
      <c r="CJ344" s="1" t="str">
        <f aca="false">IF(P344&gt;1,_xlfn.CONCAT("{BLACK}Cars: {GOLD}", P344),"")</f>
        <v>{BLACK}Cars: {GOLD}9</v>
      </c>
      <c r="CK344" s="1" t="s">
        <v>1349</v>
      </c>
      <c r="CM344" s="25" t="str">
        <f aca="false">IF(CA344="buffet","{YELLOW}25% long distance bonus for consist{}",IF(CD344="BRAKE","{YELLOW}Speed bonus for slow wagons{}",IF(BZ344&gt;190,CONCATENATE("{YELLOW}",INT((BZ344-185)/1.85),"% bonus for long distance travel{}"),IF(AND(BZ344&lt;180,BZ344&lt;&gt;0),CONCATENATE("{YELLOW}",INT((185-BZ344)/1.85),"% penalty for long distance travel{}"),""))))</f>
        <v>{YELLOW}20% bonus for long distance travel{}</v>
      </c>
      <c r="CN344" s="25" t="str">
        <f aca="false">_xlfn.CONCAT(CI344,IF(CI344 &lt;&gt; "", " ", ""),CJ344,IF(OR(CJ344&lt;&gt;"", CI344&lt;&gt;""), "{}",""), CH344, CM344,"{SILVER}", CK344)</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45" s="1" customFormat="true" ht="14.25" hidden="false" customHeight="false" outlineLevel="0" collapsed="false">
      <c r="A345" s="25" t="s">
        <v>1354</v>
      </c>
      <c r="B345" s="26" t="s">
        <v>1355</v>
      </c>
      <c r="C345" s="1" t="n">
        <v>3091</v>
      </c>
      <c r="D345" s="1" t="n">
        <v>3089</v>
      </c>
      <c r="E345" s="1" t="n">
        <v>424</v>
      </c>
      <c r="G345" s="1" t="str">
        <f aca="false">IF($F345&lt;&gt;"",_xlfn.CONCAT(VLOOKUP($CE345, Constants!$T:$U, 2, FALSE()),",",$F345),VLOOKUP($CE345, Constants!$T:$U, 2, FALSE()))</f>
        <v>role/express_passenger</v>
      </c>
      <c r="H345" s="1" t="str">
        <f aca="false">IF($G345&lt;&gt;"",_xlfn.CONCAT(VLOOKUP($CG345, Constants!$M:$P, 4, FALSE()),",",$G345),VLOOKUP($CG345, Constants!$M:$P, 4, FALSE()))</f>
        <v>flag/GB,power/electric,role/express_passenger</v>
      </c>
      <c r="I345" s="1" t="s">
        <v>198</v>
      </c>
      <c r="J345" s="1" t="s">
        <v>423</v>
      </c>
      <c r="K345" s="25" t="s">
        <v>349</v>
      </c>
      <c r="L345" s="25" t="s">
        <v>350</v>
      </c>
      <c r="M345" s="25" t="n">
        <v>2017</v>
      </c>
      <c r="N345" s="25"/>
      <c r="O345" s="25"/>
      <c r="P345" s="25" t="n">
        <v>5</v>
      </c>
      <c r="Q345" s="25" t="n">
        <v>3200</v>
      </c>
      <c r="R345" s="2"/>
      <c r="S345" s="3"/>
      <c r="T345" s="3"/>
      <c r="U345" s="3"/>
      <c r="V345" s="3"/>
      <c r="W345" s="3"/>
      <c r="X345" s="3"/>
      <c r="Y345" s="3"/>
      <c r="Z345" s="25" t="n">
        <v>233</v>
      </c>
      <c r="AA345" s="2"/>
      <c r="AB345" s="25" t="n">
        <v>5</v>
      </c>
      <c r="AC345" s="25" t="n">
        <v>195</v>
      </c>
      <c r="AD345" s="4" t="n">
        <f aca="false">IF(AND(Z345&gt;0,AC345&gt;0),(AC345/((Z345+AA345)*10)),"")</f>
        <v>0.0836909871244635</v>
      </c>
      <c r="AE345" s="25" t="n">
        <v>140</v>
      </c>
      <c r="AF345" s="25" t="n">
        <f aca="false">ROUND(AE345*1.6, 0)</f>
        <v>224</v>
      </c>
      <c r="AG345" s="25"/>
      <c r="AH345" s="25"/>
      <c r="AI345" s="25" t="n">
        <v>26</v>
      </c>
      <c r="AJ345" s="25" t="n">
        <v>24</v>
      </c>
      <c r="AK345" s="25"/>
      <c r="AL345" s="25"/>
      <c r="AM345" s="5" t="n">
        <v>66</v>
      </c>
      <c r="AN345" s="25" t="s">
        <v>1345</v>
      </c>
      <c r="AO345" s="25" t="n">
        <f aca="false">ROUND(15*((AJ345*10)/256),0)</f>
        <v>14</v>
      </c>
      <c r="AP345" s="25"/>
      <c r="AQ345" s="1" t="str">
        <f aca="false">CONCATENATE(VLOOKUP(AO345,Constants!$A$2:$C$16,IF(AP345&lt;&gt;"", 3, 2), FALSE()),IF(AP345&lt;&gt;"",CONCATENATE(",",VLOOKUP(AP345,$B:$AQ,42,FALSE())),""))</f>
        <v>4,6,4</v>
      </c>
      <c r="AR345" s="25" t="n">
        <v>12</v>
      </c>
      <c r="AS345" s="6"/>
      <c r="AT345" s="6"/>
      <c r="AU345" s="1" t="s">
        <v>1346</v>
      </c>
      <c r="AV345" s="1" t="s">
        <v>1347</v>
      </c>
      <c r="AW345" s="1" t="s">
        <v>817</v>
      </c>
      <c r="AX345" s="1" t="s">
        <v>1344</v>
      </c>
      <c r="BA345" s="1" t="n">
        <v>30</v>
      </c>
      <c r="BB345" s="16" t="str">
        <f aca="false">IF(O345&lt;&gt;"",MAX(16,(O345-M345)+8),"")</f>
        <v/>
      </c>
      <c r="BC345" s="25" t="n">
        <v>-15</v>
      </c>
      <c r="BD345" s="25" t="n">
        <v>-30</v>
      </c>
      <c r="BE345" s="25" t="n">
        <f aca="false">MIN(AE345/150, 1)*30</f>
        <v>28</v>
      </c>
      <c r="BF345" s="25" t="n">
        <f aca="false">MIN(Q345/4000, 1)*20</f>
        <v>16</v>
      </c>
      <c r="BG345" s="25" t="n">
        <f aca="false">MIN(AC345/400,1)*20</f>
        <v>9.75</v>
      </c>
      <c r="BH345" s="4" t="n">
        <f aca="false">1-(MAX(M345-1900, 0)/750)</f>
        <v>0.844</v>
      </c>
      <c r="BI345" s="25" t="n">
        <f aca="false">((MAX($P345,1)*MIN($AM345/300,1)))*IF(J345="Wagon",50,10)</f>
        <v>11</v>
      </c>
      <c r="BJ345" s="1" t="n">
        <f aca="false">VLOOKUP($K345,Constants!$I:$K, 2, FALSE())</f>
        <v>0.85</v>
      </c>
      <c r="BK345" s="1" t="n">
        <f aca="false">VLOOKUP($K345,Constants!$I:$K, 3, FALSE())*IF(AND(J345="multiple_unit",AE345&lt;110),0.75,1)</f>
        <v>2.3</v>
      </c>
      <c r="BL345" s="25" t="n">
        <v>143</v>
      </c>
      <c r="BM345" s="25" t="n">
        <v>113</v>
      </c>
      <c r="BN345" s="17" t="n">
        <f aca="false">BL345*IF($J345="wagon",62.5,781.25)</f>
        <v>111718.75</v>
      </c>
      <c r="BO345" s="17" t="n">
        <f aca="false">BM345*IF($J345="wagon",2.73,81.25)</f>
        <v>9181.25</v>
      </c>
      <c r="BP345" s="25"/>
      <c r="BQ345" s="25"/>
      <c r="BR345" s="25"/>
      <c r="BS345" s="25"/>
      <c r="BT345" s="25"/>
      <c r="BU345" s="1" t="s">
        <v>1356</v>
      </c>
      <c r="BV345" s="25"/>
      <c r="BW345" s="25"/>
      <c r="BX345" s="25"/>
      <c r="BY345" s="25" t="n">
        <v>10</v>
      </c>
      <c r="BZ345" s="25" t="n">
        <v>222</v>
      </c>
      <c r="CA345" s="25"/>
      <c r="CB345" s="25"/>
      <c r="CC345" s="25" t="s">
        <v>327</v>
      </c>
      <c r="CD345" s="25" t="s">
        <v>754</v>
      </c>
      <c r="CE345" s="25" t="s">
        <v>842</v>
      </c>
      <c r="CF345" s="1" t="str">
        <f aca="false">CONCATENATE(CD345,"_",CE345)</f>
        <v>mod_EMU (Express)</v>
      </c>
      <c r="CG345" s="1" t="str">
        <f aca="false">_xlfn.CONCAT(K345, "_",L345)</f>
        <v>electric_ELRL</v>
      </c>
      <c r="CH345" s="7" t="str">
        <f aca="false">_xlfn.CONCAT("{BLACK}Length: {GOLD}", TEXT(ROUNDUP(IF(AT345&lt;&gt;"",SUM(VALUE(_xlfn.TEXTSPLIT(AT345, ","))), SUM(VALUE(_xlfn.TEXTSPLIT(AQ345, ",")))*IF(P345, P345, 1))/16, 1), "#,##0.0"), " tiles{}")</f>
        <v>{BLACK}Length: {GOLD}4.4 tiles{}</v>
      </c>
      <c r="CI345" s="1" t="n">
        <f aca="false">VLOOKUP($CG345, Constants!$M:$N, 2, FALSE())</f>
        <v>0</v>
      </c>
      <c r="CJ345" s="1" t="str">
        <f aca="false">IF(P345&gt;1,_xlfn.CONCAT("{BLACK}Cars: {GOLD}", P345),"")</f>
        <v>{BLACK}Cars: {GOLD}5</v>
      </c>
      <c r="CK345" s="1" t="s">
        <v>1357</v>
      </c>
      <c r="CM345" s="25"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{YELLOW}20% bonus for long distance travel{}</v>
      </c>
      <c r="CN345" s="25" t="str">
        <f aca="false">_xlfn.CONCAT(CI345,IF(CI345 &lt;&gt; "", " ", ""),CJ345,IF(OR(CJ345&lt;&gt;"", CI345&lt;&gt;""), "{}",""), CH345, CM345,"{SILVER}", CK345)</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6" s="1" customFormat="true" ht="14.25" hidden="false" customHeight="false" outlineLevel="0" collapsed="false">
      <c r="A346" s="25" t="s">
        <v>1358</v>
      </c>
      <c r="B346" s="26" t="s">
        <v>1359</v>
      </c>
      <c r="C346" s="1" t="n">
        <v>3092</v>
      </c>
      <c r="D346" s="1" t="n">
        <v>3089</v>
      </c>
      <c r="E346" s="1" t="n">
        <v>425</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1" t="s">
        <v>198</v>
      </c>
      <c r="J346" s="1" t="s">
        <v>423</v>
      </c>
      <c r="K346" s="25" t="s">
        <v>349</v>
      </c>
      <c r="L346" s="25" t="s">
        <v>350</v>
      </c>
      <c r="M346" s="25" t="n">
        <v>2017</v>
      </c>
      <c r="N346" s="25"/>
      <c r="O346" s="25"/>
      <c r="P346" s="25" t="n">
        <v>9</v>
      </c>
      <c r="Q346" s="25" t="n">
        <v>5400</v>
      </c>
      <c r="R346" s="2"/>
      <c r="S346" s="3"/>
      <c r="T346" s="3"/>
      <c r="U346" s="3"/>
      <c r="V346" s="3"/>
      <c r="W346" s="3"/>
      <c r="X346" s="3"/>
      <c r="Y346" s="3"/>
      <c r="Z346" s="25" t="n">
        <v>420</v>
      </c>
      <c r="AA346" s="2"/>
      <c r="AB346" s="25" t="n">
        <v>5</v>
      </c>
      <c r="AC346" s="25" t="n">
        <v>195</v>
      </c>
      <c r="AD346" s="4" t="n">
        <f aca="false">IF(AND(Z346&gt;0,AC346&gt;0),(AC346/((Z346+AA346)*10)),"")</f>
        <v>0.0464285714285714</v>
      </c>
      <c r="AE346" s="25" t="n">
        <v>140</v>
      </c>
      <c r="AF346" s="25" t="n">
        <f aca="false">ROUND(AE346*1.6, 0)</f>
        <v>224</v>
      </c>
      <c r="AG346" s="25"/>
      <c r="AH346" s="25"/>
      <c r="AI346" s="25" t="n">
        <v>26</v>
      </c>
      <c r="AJ346" s="25" t="n">
        <v>24</v>
      </c>
      <c r="AK346" s="25"/>
      <c r="AL346" s="25"/>
      <c r="AM346" s="5" t="n">
        <v>66</v>
      </c>
      <c r="AN346" s="25" t="s">
        <v>1345</v>
      </c>
      <c r="AO346" s="25" t="n">
        <f aca="false">ROUND(15*((AJ346*10)/256),0)</f>
        <v>14</v>
      </c>
      <c r="AP346" s="25"/>
      <c r="AQ346" s="1" t="str">
        <f aca="false">CONCATENATE(VLOOKUP(AO346,Constants!$A$2:$C$16,IF(AP346&lt;&gt;"", 3, 2), FALSE()),IF(AP346&lt;&gt;"",CONCATENATE(",",VLOOKUP(AP346,$B:$AQ,42,FALSE())),""))</f>
        <v>4,6,4</v>
      </c>
      <c r="AR346" s="25" t="n">
        <v>24</v>
      </c>
      <c r="AS346" s="6"/>
      <c r="AT346" s="6"/>
      <c r="AU346" s="1" t="s">
        <v>1352</v>
      </c>
      <c r="AV346" s="1" t="s">
        <v>1347</v>
      </c>
      <c r="AW346" s="1" t="s">
        <v>1199</v>
      </c>
      <c r="AX346" s="1" t="s">
        <v>1344</v>
      </c>
      <c r="BA346" s="1" t="n">
        <v>30</v>
      </c>
      <c r="BB346" s="16" t="str">
        <f aca="false">IF(O346&lt;&gt;"",MAX(16,(O346-M346)+8),"")</f>
        <v/>
      </c>
      <c r="BC346" s="25" t="n">
        <v>-15</v>
      </c>
      <c r="BD346" s="25" t="n">
        <v>-30</v>
      </c>
      <c r="BE346" s="25" t="n">
        <f aca="false">MIN(AE346/150, 1)*30</f>
        <v>28</v>
      </c>
      <c r="BF346" s="25" t="n">
        <f aca="false">MIN(Q346/4000, 1)*20</f>
        <v>20</v>
      </c>
      <c r="BG346" s="25" t="n">
        <f aca="false">MIN(AC346/400,1)*20</f>
        <v>9.75</v>
      </c>
      <c r="BH346" s="4" t="n">
        <f aca="false">1-(MAX(M346-1900, 0)/750)</f>
        <v>0.844</v>
      </c>
      <c r="BI346" s="25" t="n">
        <f aca="false">((MAX($P346,1)*MIN($AM346/300,1)))*IF(J346="Wagon",50,10)</f>
        <v>19.8</v>
      </c>
      <c r="BJ346" s="1" t="n">
        <f aca="false">VLOOKUP($K346,Constants!$I:$K, 2, FALSE())</f>
        <v>0.85</v>
      </c>
      <c r="BK346" s="1" t="n">
        <f aca="false">VLOOKUP($K346,Constants!$I:$K, 3, FALSE())*IF(AND(J346="multiple_unit",AE346&lt;110),0.75,1)</f>
        <v>2.3</v>
      </c>
      <c r="BL346" s="25" t="n">
        <v>176</v>
      </c>
      <c r="BM346" s="25" t="n">
        <v>138</v>
      </c>
      <c r="BN346" s="17" t="n">
        <f aca="false">BL346*IF($J346="wagon",62.5,781.25)</f>
        <v>137500</v>
      </c>
      <c r="BO346" s="17" t="n">
        <f aca="false">BM346*IF($J346="wagon",2.73,81.25)</f>
        <v>11212.5</v>
      </c>
      <c r="BP346" s="25"/>
      <c r="BQ346" s="25"/>
      <c r="BR346" s="25"/>
      <c r="BS346" s="25"/>
      <c r="BT346" s="25"/>
      <c r="BU346" s="1" t="s">
        <v>1360</v>
      </c>
      <c r="BV346" s="25"/>
      <c r="BW346" s="25"/>
      <c r="BX346" s="25"/>
      <c r="BY346" s="25" t="n">
        <v>10</v>
      </c>
      <c r="BZ346" s="25" t="n">
        <v>222</v>
      </c>
      <c r="CA346" s="25"/>
      <c r="CB346" s="25"/>
      <c r="CC346" s="25" t="s">
        <v>327</v>
      </c>
      <c r="CD346" s="25" t="s">
        <v>754</v>
      </c>
      <c r="CE346" s="25" t="s">
        <v>842</v>
      </c>
      <c r="CF346" s="1" t="str">
        <f aca="false">CONCATENATE(CD346,"_",CE346)</f>
        <v>mod_EMU (Express)</v>
      </c>
      <c r="CG346" s="1" t="str">
        <f aca="false">_xlfn.CONCAT(K346, "_",L346)</f>
        <v>electric_ELRL</v>
      </c>
      <c r="CH346" s="7" t="str">
        <f aca="false">_xlfn.CONCAT("{BLACK}Length: {GOLD}", TEXT(ROUNDUP(IF(AT346&lt;&gt;"",SUM(VALUE(_xlfn.TEXTSPLIT(AT346, ","))), SUM(VALUE(_xlfn.TEXTSPLIT(AQ346, ",")))*IF(P346, P346, 1))/16, 1), "#,##0.0"), " tiles{}")</f>
        <v>{BLACK}Length: {GOLD}7.9 tiles{}</v>
      </c>
      <c r="CI346" s="1" t="n">
        <f aca="false">VLOOKUP($CG346, Constants!$M:$N, 2, FALSE())</f>
        <v>0</v>
      </c>
      <c r="CJ346" s="1" t="str">
        <f aca="false">IF(P346&gt;1,_xlfn.CONCAT("{BLACK}Cars: {GOLD}", P346),"")</f>
        <v>{BLACK}Cars: {GOLD}9</v>
      </c>
      <c r="CK346" s="1" t="s">
        <v>1357</v>
      </c>
      <c r="CM346" s="25"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25" t="str">
        <f aca="false">_xlfn.CONCAT(CI346,IF(CI346 &lt;&gt; "", " ", ""),CJ346,IF(OR(CJ346&lt;&gt;"", CI346&lt;&gt;""), "{}",""), CH346, CM346,"{SILVER}", CK346)</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7" s="1" customFormat="true" ht="14.25" hidden="false" customHeight="false" outlineLevel="0" collapsed="false">
      <c r="A347" s="25" t="s">
        <v>1361</v>
      </c>
      <c r="B347" s="26" t="s">
        <v>1362</v>
      </c>
      <c r="C347" s="1" t="n">
        <v>3093</v>
      </c>
      <c r="D347" s="1" t="n">
        <v>3089</v>
      </c>
      <c r="E347" s="1" t="n">
        <v>426</v>
      </c>
      <c r="G347" s="1" t="str">
        <f aca="false">IF($F347&lt;&gt;"",_xlfn.CONCAT(VLOOKUP($CE347, Constants!$T:$U, 2, FALSE()),",",$F347),VLOOKUP($CE347, Constants!$T:$U, 2, FALSE()))</f>
        <v>role/express_passenger</v>
      </c>
      <c r="H347" s="1" t="str">
        <f aca="false">IF($G347&lt;&gt;"",_xlfn.CONCAT(VLOOKUP($CG347, Constants!$M:$P, 4, FALSE()),",",$G347),VLOOKUP($CG347, Constants!$M:$P, 4, FALSE()))</f>
        <v>flag/GB,role/express_passenger</v>
      </c>
      <c r="I347" s="1" t="s">
        <v>198</v>
      </c>
      <c r="J347" s="1" t="s">
        <v>423</v>
      </c>
      <c r="K347" s="1" t="s">
        <v>637</v>
      </c>
      <c r="L347" s="1" t="s">
        <v>350</v>
      </c>
      <c r="M347" s="1" t="n">
        <v>2017</v>
      </c>
      <c r="P347" s="1" t="n">
        <v>5</v>
      </c>
      <c r="Q347" s="1" t="n">
        <v>3200</v>
      </c>
      <c r="R347" s="2" t="n">
        <f aca="false">940*3</f>
        <v>2820</v>
      </c>
      <c r="S347" s="3"/>
      <c r="T347" s="3"/>
      <c r="U347" s="3"/>
      <c r="V347" s="3"/>
      <c r="W347" s="3"/>
      <c r="X347" s="3"/>
      <c r="Y347" s="3"/>
      <c r="Z347" s="25" t="n">
        <v>243</v>
      </c>
      <c r="AA347" s="2"/>
      <c r="AB347" s="25" t="n">
        <v>5</v>
      </c>
      <c r="AC347" s="25" t="n">
        <v>195</v>
      </c>
      <c r="AD347" s="4" t="n">
        <f aca="false">IF(AND(Z347&gt;0,AC347&gt;0),(AC347/((Z347+AA347)*10)),"")</f>
        <v>0.0802469135802469</v>
      </c>
      <c r="AE347" s="25" t="n">
        <v>140</v>
      </c>
      <c r="AF347" s="25" t="n">
        <f aca="false">ROUND(AE347*1.6, 0)</f>
        <v>224</v>
      </c>
      <c r="AG347" s="25"/>
      <c r="AH347" s="25"/>
      <c r="AI347" s="25" t="n">
        <v>26</v>
      </c>
      <c r="AJ347" s="25" t="n">
        <v>24</v>
      </c>
      <c r="AK347" s="25"/>
      <c r="AL347" s="25"/>
      <c r="AM347" s="5" t="n">
        <v>66</v>
      </c>
      <c r="AN347" s="25" t="s">
        <v>1345</v>
      </c>
      <c r="AO347" s="25" t="n">
        <f aca="false">ROUND(15*((AJ347*10)/256),0)</f>
        <v>14</v>
      </c>
      <c r="AP347" s="25"/>
      <c r="AQ347" s="1" t="str">
        <f aca="false">CONCATENATE(VLOOKUP(AO347,Constants!$A$2:$C$16,IF(AP347&lt;&gt;"", 3, 2), FALSE()),IF(AP347&lt;&gt;"",CONCATENATE(",",VLOOKUP(AP347,$B:$AQ,42,FALSE())),""))</f>
        <v>4,6,4</v>
      </c>
      <c r="AR347" s="25" t="n">
        <v>12</v>
      </c>
      <c r="AS347" s="6"/>
      <c r="AT347" s="6"/>
      <c r="AU347" s="1" t="s">
        <v>1346</v>
      </c>
      <c r="AV347" s="1" t="s">
        <v>1347</v>
      </c>
      <c r="AW347" s="1" t="s">
        <v>817</v>
      </c>
      <c r="AX347" s="1" t="s">
        <v>1344</v>
      </c>
      <c r="BA347" s="1" t="n">
        <v>30</v>
      </c>
      <c r="BB347" s="16" t="str">
        <f aca="false">IF(O347&lt;&gt;"",MAX(16,(O347-M347)+8),"")</f>
        <v/>
      </c>
      <c r="BC347" s="25" t="n">
        <v>-15</v>
      </c>
      <c r="BD347" s="25" t="n">
        <v>-30</v>
      </c>
      <c r="BE347" s="25" t="n">
        <f aca="false">MIN(AE347/150, 1)*30</f>
        <v>28</v>
      </c>
      <c r="BF347" s="25" t="n">
        <f aca="false">MIN(Q347/4000, 1)*20</f>
        <v>16</v>
      </c>
      <c r="BG347" s="25" t="n">
        <f aca="false">MIN(AC347/400,1)*20</f>
        <v>9.75</v>
      </c>
      <c r="BH347" s="4" t="n">
        <f aca="false">1-(MAX(M347-1900, 0)/750)</f>
        <v>0.844</v>
      </c>
      <c r="BI347" s="25" t="n">
        <f aca="false">((MAX($P347,1)*MIN($AM347/300,1)))*IF(J347="Wagon",50,10)</f>
        <v>11</v>
      </c>
      <c r="BJ347" s="1" t="n">
        <f aca="false">VLOOKUP($K347,Constants!$I:$K, 2, FALSE())</f>
        <v>0.9</v>
      </c>
      <c r="BK347" s="1" t="n">
        <f aca="false">VLOOKUP($K347,Constants!$I:$K, 3, FALSE())*IF(AND(J347="multiple_unit",AE347&lt;110),0.75,1)</f>
        <v>2.5</v>
      </c>
      <c r="BL347" s="25" t="n">
        <v>158</v>
      </c>
      <c r="BM347" s="25" t="n">
        <v>122</v>
      </c>
      <c r="BN347" s="17" t="n">
        <f aca="false">BL347*IF($J347="wagon",62.5,781.25)</f>
        <v>123437.5</v>
      </c>
      <c r="BO347" s="17" t="n">
        <f aca="false">BM347*IF($J347="wagon",2.73,81.25)</f>
        <v>9912.5</v>
      </c>
      <c r="BP347" s="25"/>
      <c r="BQ347" s="25"/>
      <c r="BR347" s="25"/>
      <c r="BS347" s="25"/>
      <c r="BT347" s="25"/>
      <c r="BU347" s="1" t="s">
        <v>1363</v>
      </c>
      <c r="BV347" s="25"/>
      <c r="BW347" s="25"/>
      <c r="BX347" s="25"/>
      <c r="BY347" s="25" t="n">
        <v>10</v>
      </c>
      <c r="BZ347" s="25" t="n">
        <v>222</v>
      </c>
      <c r="CA347" s="25"/>
      <c r="CB347" s="25"/>
      <c r="CC347" s="25" t="s">
        <v>327</v>
      </c>
      <c r="CD347" s="25" t="s">
        <v>754</v>
      </c>
      <c r="CE347" s="25" t="s">
        <v>842</v>
      </c>
      <c r="CF347" s="1" t="str">
        <f aca="false">CONCATENATE(CD347,"_",CE347)</f>
        <v>mod_EMU (Express)</v>
      </c>
      <c r="CG347" s="1" t="str">
        <f aca="false">_xlfn.CONCAT(K347, "_",L347)</f>
        <v>dual_power_ELRL</v>
      </c>
      <c r="CH347" s="7" t="str">
        <f aca="false">_xlfn.CONCAT("{BLACK}Length: {GOLD}", TEXT(ROUNDUP(IF(AT347&lt;&gt;"",SUM(VALUE(_xlfn.TEXTSPLIT(AT347, ","))), SUM(VALUE(_xlfn.TEXTSPLIT(AQ347, ",")))*IF(P347, P347, 1))/16, 1), "#,##0.0"), " tiles{}")</f>
        <v>{BLACK}Length: {GOLD}4.4 tiles{}</v>
      </c>
      <c r="CI347" s="1" t="n">
        <f aca="false">VLOOKUP($CG347, Constants!$M:$N, 2, FALSE())</f>
        <v>0</v>
      </c>
      <c r="CJ347" s="1" t="str">
        <f aca="false">IF(P347&gt;1,_xlfn.CONCAT("{BLACK}Cars: {GOLD}", P347),"")</f>
        <v>{BLACK}Cars: {GOLD}5</v>
      </c>
      <c r="CK347" s="1" t="s">
        <v>1364</v>
      </c>
      <c r="CM347" s="25"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{YELLOW}20% bonus for long distance travel{}</v>
      </c>
      <c r="CN347" s="25" t="str">
        <f aca="false">_xlfn.CONCAT(CI347,IF(CI347 &lt;&gt; "", " ", ""),CJ347,IF(OR(CJ347&lt;&gt;"", CI347&lt;&gt;""), "{}",""), CH347, CM347,"{SILVER}", CK347)</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8" s="1" customFormat="true" ht="14.25" hidden="false" customHeight="false" outlineLevel="0" collapsed="false">
      <c r="A348" s="25" t="s">
        <v>1365</v>
      </c>
      <c r="B348" s="26" t="s">
        <v>1366</v>
      </c>
      <c r="C348" s="1" t="n">
        <v>3094</v>
      </c>
      <c r="D348" s="1" t="n">
        <v>3089</v>
      </c>
      <c r="E348" s="1" t="n">
        <v>427</v>
      </c>
      <c r="G348" s="1" t="str">
        <f aca="false">IF($F348&lt;&gt;"",_xlfn.CONCAT(VLOOKUP($CE348, Constants!$T:$U, 2, FALSE()),",",$F348),VLOOKUP($CE348, Constants!$T:$U, 2, FALSE()))</f>
        <v>role/express_passenger</v>
      </c>
      <c r="H348" s="1" t="str">
        <f aca="false">IF($G348&lt;&gt;"",_xlfn.CONCAT(VLOOKUP($CG348, Constants!$M:$P, 4, FALSE()),",",$G348),VLOOKUP($CG348, Constants!$M:$P, 4, FALSE()))</f>
        <v>flag/GB,role/express_passenger</v>
      </c>
      <c r="I348" s="1" t="s">
        <v>198</v>
      </c>
      <c r="J348" s="1" t="s">
        <v>423</v>
      </c>
      <c r="K348" s="1" t="s">
        <v>637</v>
      </c>
      <c r="L348" s="1" t="s">
        <v>350</v>
      </c>
      <c r="M348" s="1" t="n">
        <v>2017</v>
      </c>
      <c r="P348" s="1" t="n">
        <v>9</v>
      </c>
      <c r="Q348" s="1" t="n">
        <v>5400</v>
      </c>
      <c r="R348" s="2" t="n">
        <f aca="false">940*5</f>
        <v>4700</v>
      </c>
      <c r="S348" s="3"/>
      <c r="T348" s="3"/>
      <c r="U348" s="3"/>
      <c r="V348" s="3"/>
      <c r="W348" s="3"/>
      <c r="X348" s="3"/>
      <c r="Y348" s="3"/>
      <c r="Z348" s="25" t="n">
        <v>438</v>
      </c>
      <c r="AA348" s="2"/>
      <c r="AB348" s="25" t="n">
        <v>5</v>
      </c>
      <c r="AC348" s="25" t="n">
        <v>195</v>
      </c>
      <c r="AD348" s="4" t="n">
        <f aca="false">IF(AND(Z348&gt;0,AC348&gt;0),(AC348/((Z348+AA348)*10)),"")</f>
        <v>0.0445205479452055</v>
      </c>
      <c r="AE348" s="25" t="n">
        <v>140</v>
      </c>
      <c r="AF348" s="25" t="n">
        <f aca="false">ROUND(AE348*1.6, 0)</f>
        <v>224</v>
      </c>
      <c r="AG348" s="25"/>
      <c r="AH348" s="25"/>
      <c r="AI348" s="25" t="n">
        <v>26</v>
      </c>
      <c r="AJ348" s="25" t="n">
        <v>24</v>
      </c>
      <c r="AK348" s="25"/>
      <c r="AL348" s="25"/>
      <c r="AM348" s="5" t="n">
        <v>66</v>
      </c>
      <c r="AN348" s="25" t="s">
        <v>1345</v>
      </c>
      <c r="AO348" s="25" t="n">
        <f aca="false">ROUND(15*((AJ348*10)/256),0)</f>
        <v>14</v>
      </c>
      <c r="AP348" s="25"/>
      <c r="AQ348" s="1" t="str">
        <f aca="false">CONCATENATE(VLOOKUP(AO348,Constants!$A$2:$C$16,IF(AP348&lt;&gt;"", 3, 2), FALSE()),IF(AP348&lt;&gt;"",CONCATENATE(",",VLOOKUP(AP348,$B:$AQ,42,FALSE())),""))</f>
        <v>4,6,4</v>
      </c>
      <c r="AR348" s="25" t="n">
        <v>24</v>
      </c>
      <c r="AS348" s="6"/>
      <c r="AT348" s="6"/>
      <c r="AU348" s="1" t="s">
        <v>1352</v>
      </c>
      <c r="AV348" s="1" t="s">
        <v>1347</v>
      </c>
      <c r="AW348" s="1" t="s">
        <v>1199</v>
      </c>
      <c r="AX348" s="1" t="s">
        <v>1344</v>
      </c>
      <c r="BA348" s="1" t="n">
        <v>30</v>
      </c>
      <c r="BB348" s="16" t="str">
        <f aca="false">IF(O348&lt;&gt;"",MAX(16,(O348-M348)+8),"")</f>
        <v/>
      </c>
      <c r="BC348" s="25" t="n">
        <v>-15</v>
      </c>
      <c r="BD348" s="25" t="n">
        <v>-30</v>
      </c>
      <c r="BE348" s="25" t="n">
        <f aca="false">MIN(AE348/150, 1)*30</f>
        <v>28</v>
      </c>
      <c r="BF348" s="25" t="n">
        <f aca="false">MIN(Q348/4000, 1)*20</f>
        <v>20</v>
      </c>
      <c r="BG348" s="25" t="n">
        <f aca="false">MIN(AC348/400,1)*20</f>
        <v>9.75</v>
      </c>
      <c r="BH348" s="4" t="n">
        <f aca="false">1-(MAX(M348-1900, 0)/750)</f>
        <v>0.844</v>
      </c>
      <c r="BI348" s="25" t="n">
        <f aca="false">((MAX($P348,1)*MIN($AM348/300,1)))*IF(J348="Wagon",50,10)</f>
        <v>19.8</v>
      </c>
      <c r="BJ348" s="1" t="n">
        <f aca="false">VLOOKUP($K348,Constants!$I:$K, 2, FALSE())</f>
        <v>0.9</v>
      </c>
      <c r="BK348" s="1" t="n">
        <f aca="false">VLOOKUP($K348,Constants!$I:$K, 3, FALSE())*IF(AND(J348="multiple_unit",AE348&lt;110),0.75,1)</f>
        <v>2.5</v>
      </c>
      <c r="BL348" s="25" t="n">
        <v>195</v>
      </c>
      <c r="BM348" s="25" t="n">
        <v>149</v>
      </c>
      <c r="BN348" s="17" t="n">
        <f aca="false">BL348*IF($J348="wagon",62.5,781.25)</f>
        <v>152343.75</v>
      </c>
      <c r="BO348" s="17" t="n">
        <f aca="false">BM348*IF($J348="wagon",2.73,81.25)</f>
        <v>12106.25</v>
      </c>
      <c r="BP348" s="25"/>
      <c r="BQ348" s="25"/>
      <c r="BR348" s="25"/>
      <c r="BS348" s="25"/>
      <c r="BT348" s="25"/>
      <c r="BU348" s="1" t="s">
        <v>1367</v>
      </c>
      <c r="BV348" s="25"/>
      <c r="BW348" s="25"/>
      <c r="BX348" s="25"/>
      <c r="BY348" s="25" t="n">
        <v>10</v>
      </c>
      <c r="BZ348" s="25" t="n">
        <v>222</v>
      </c>
      <c r="CA348" s="25"/>
      <c r="CB348" s="25"/>
      <c r="CC348" s="25" t="s">
        <v>327</v>
      </c>
      <c r="CD348" s="25" t="s">
        <v>754</v>
      </c>
      <c r="CE348" s="25" t="s">
        <v>842</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{GOLD}7.9 tiles{}</v>
      </c>
      <c r="CI348" s="1" t="n">
        <f aca="false">VLOOKUP($CG348, Constants!$M:$N, 2, FALSE())</f>
        <v>0</v>
      </c>
      <c r="CJ348" s="1" t="str">
        <f aca="false">IF(P348&gt;1,_xlfn.CONCAT("{BLACK}Cars: {GOLD}", P348),"")</f>
        <v>{BLACK}Cars: {GOLD}9</v>
      </c>
      <c r="CK348" s="1" t="s">
        <v>1364</v>
      </c>
      <c r="CM348" s="25"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25" t="str">
        <f aca="false">_xlfn.CONCAT(CI348,IF(CI348 &lt;&gt; "", " ", ""),CJ348,IF(OR(CJ348&lt;&gt;"", CI348&lt;&gt;""), "{}",""), CH348, CM348,"{SILVER}", CK348)</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9" s="25" customFormat="true" ht="14.25" hidden="false" customHeight="false" outlineLevel="0" collapsed="false">
      <c r="A349" s="25" t="s">
        <v>1368</v>
      </c>
      <c r="B349" s="26" t="s">
        <v>1369</v>
      </c>
      <c r="C349" s="1" t="n">
        <v>3097</v>
      </c>
      <c r="E349" s="1" t="n">
        <v>428</v>
      </c>
      <c r="G349" s="1" t="str">
        <f aca="false">IF($F349&lt;&gt;"",_xlfn.CONCAT(VLOOKUP($CE349, Constants!$T:$U, 2, FALSE()),",",$F349),VLOOKUP($CE349, Constants!$T:$U, 2, FALSE()))</f>
        <v>role/express_passenger</v>
      </c>
      <c r="H349" s="1" t="str">
        <f aca="false">IF($G349&lt;&gt;"",_xlfn.CONCAT(VLOOKUP($CG349, Constants!$M:$P, 4, FALSE()),",",$G349),VLOOKUP($CG349, Constants!$M:$P, 4, FALSE()))</f>
        <v>flag/GB,role/express_passenger</v>
      </c>
      <c r="I349" s="25" t="s">
        <v>198</v>
      </c>
      <c r="J349" s="25" t="s">
        <v>423</v>
      </c>
      <c r="K349" s="25" t="s">
        <v>637</v>
      </c>
      <c r="L349" s="25" t="s">
        <v>350</v>
      </c>
      <c r="M349" s="25" t="n">
        <v>2022</v>
      </c>
      <c r="P349" s="25" t="n">
        <v>5</v>
      </c>
      <c r="Q349" s="25" t="n">
        <v>4800</v>
      </c>
      <c r="R349" s="2" t="n">
        <v>3950</v>
      </c>
      <c r="S349" s="3"/>
      <c r="T349" s="3"/>
      <c r="U349" s="3"/>
      <c r="V349" s="3"/>
      <c r="W349" s="3"/>
      <c r="X349" s="3"/>
      <c r="Y349" s="3"/>
      <c r="Z349" s="25" t="n">
        <v>235</v>
      </c>
      <c r="AA349" s="2"/>
      <c r="AB349" s="25" t="n">
        <v>5</v>
      </c>
      <c r="AC349" s="25" t="n">
        <v>195</v>
      </c>
      <c r="AD349" s="4" t="n">
        <f aca="false">IF(AND(Z349&gt;0,AC349&gt;0),(AC349/((Z349+AA349)*10)),"")</f>
        <v>0.0829787234042553</v>
      </c>
      <c r="AE349" s="25" t="n">
        <v>125</v>
      </c>
      <c r="AF349" s="25" t="n">
        <f aca="false">ROUND(AE349*1.6, 0)</f>
        <v>200</v>
      </c>
      <c r="AI349" s="25" t="n">
        <v>24</v>
      </c>
      <c r="AJ349" s="25" t="n">
        <v>22</v>
      </c>
      <c r="AM349" s="5" t="n">
        <v>60</v>
      </c>
      <c r="AN349" s="1" t="str">
        <f aca="false">CONCATENATE(VLOOKUP(AO349, '[1]Voxel Sizes'!$A$2:$B$18,2,FALSE()),"x",INT(AK349*15), "x", INT(AL349*15))</f>
        <v>214x0x0</v>
      </c>
      <c r="AO349" s="25" t="n">
        <f aca="false">ROUND(15*((AJ349*10)/256),0)</f>
        <v>13</v>
      </c>
      <c r="AQ349" s="1" t="str">
        <f aca="false">CONCATENATE(VLOOKUP(AO349,Constants!$A$2:$C$16,IF(AP349&lt;&gt;"", 3, 2), FALSE()),IF(AP349&lt;&gt;"",CONCATENATE(",",VLOOKUP(AP349,$B:$AQ,42,FALSE())),""))</f>
        <v>4,5,4</v>
      </c>
      <c r="AR349" s="25" t="n">
        <v>12</v>
      </c>
      <c r="AS349" s="6"/>
      <c r="AT349" s="6"/>
      <c r="AU349" s="25" t="s">
        <v>1370</v>
      </c>
      <c r="AV349" s="25" t="s">
        <v>1371</v>
      </c>
      <c r="AW349" s="25" t="s">
        <v>841</v>
      </c>
      <c r="BA349" s="25" t="n">
        <v>30</v>
      </c>
      <c r="BB349" s="16" t="str">
        <f aca="false">IF(O349&lt;&gt;"",MAX(16,(O349-M349)+8),"")</f>
        <v/>
      </c>
      <c r="BC349" s="25" t="n">
        <v>-15</v>
      </c>
      <c r="BD349" s="25" t="n">
        <v>-30</v>
      </c>
      <c r="BE349" s="25" t="n">
        <f aca="false">MIN(AE349/150, 1)*30</f>
        <v>25</v>
      </c>
      <c r="BF349" s="25" t="n">
        <f aca="false">MIN(Q349/4000, 1)*20</f>
        <v>20</v>
      </c>
      <c r="BG349" s="25" t="n">
        <f aca="false">MIN(AC349/400,1)*20</f>
        <v>9.75</v>
      </c>
      <c r="BH349" s="4" t="n">
        <f aca="false">1-(MAX(M349-1900, 0)/750)</f>
        <v>0.837333333333333</v>
      </c>
      <c r="BI349" s="25" t="n">
        <f aca="false">((MAX($P349,1)*MIN($AM349/300,1)))*IF(J349="Wagon",50,10)</f>
        <v>10</v>
      </c>
      <c r="BJ349" s="1" t="n">
        <f aca="false">VLOOKUP($K349,Constants!$I:$K, 2, FALSE())</f>
        <v>0.9</v>
      </c>
      <c r="BK349" s="1" t="n">
        <f aca="false">VLOOKUP($K349,Constants!$I:$K, 3, FALSE())*IF(AND(J349="multiple_unit",AE349&lt;110),0.75,1)</f>
        <v>2.5</v>
      </c>
      <c r="BL349" s="25" t="n">
        <f aca="false">INT(POWER((([1]Constants!$G$2+$BE349+$BF349+$BG349+$BI349)*$BH349)*$BK349, 1.05))+$BD349</f>
        <v>157</v>
      </c>
      <c r="BM349" s="25" t="n">
        <f aca="false">INT(POWER(((([1]Constants!$G$1+$BE349+$BF349+$BG349+$BI349)*($BH349))*$BJ349),IF($J349="wagon",1,1.2)))+$BC349</f>
        <v>121</v>
      </c>
      <c r="BN349" s="17" t="n">
        <f aca="false">BL349*IF($J349="wagon",62.5,781.25)</f>
        <v>122656.25</v>
      </c>
      <c r="BO349" s="17" t="n">
        <f aca="false">BM349*IF($J349="wagon",2.73,81.25)</f>
        <v>9831.25</v>
      </c>
      <c r="BX349" s="25" t="s">
        <v>1173</v>
      </c>
      <c r="BY349" s="25" t="n">
        <v>10</v>
      </c>
      <c r="BZ349" s="25" t="n">
        <v>222</v>
      </c>
      <c r="CC349" s="25" t="s">
        <v>327</v>
      </c>
      <c r="CD349" s="25" t="s">
        <v>754</v>
      </c>
      <c r="CE349" s="25" t="s">
        <v>842</v>
      </c>
      <c r="CF349" s="25" t="str">
        <f aca="false">CONCATENATE(CD349,"_",CE349)</f>
        <v>mod_EMU (Express)</v>
      </c>
      <c r="CG349" s="25" t="str">
        <f aca="false">_xlfn.CONCAT(K349, "_",L349)</f>
        <v>dual_power_ELRL</v>
      </c>
      <c r="CH349" s="7" t="str">
        <f aca="false">_xlfn.CONCAT("{BLACK}Length: {GOLD}", TEXT(ROUNDUP(IF(AT349&lt;&gt;"",SUM(VALUE(_xlfn.TEXTSPLIT(AT349, ","))), SUM(VALUE(_xlfn.TEXTSPLIT(AQ349, ",")))*IF(P349, P349, 1))/16, 1), "#,##0.0"), " tiles{}")</f>
        <v>{BLACK}Length: {GOLD}4.1 tiles{}</v>
      </c>
      <c r="CI349" s="1" t="n">
        <f aca="false">VLOOKUP($CG349, Constants!$M:$N, 2, FALSE())</f>
        <v>0</v>
      </c>
      <c r="CJ349" s="1" t="str">
        <f aca="false">IF(P349&gt;1,_xlfn.CONCAT("{BLACK}Cars: {GOLD}", P349),"")</f>
        <v>{BLACK}Cars: {GOLD}5</v>
      </c>
      <c r="CK349" s="25" t="s">
        <v>1372</v>
      </c>
      <c r="CM349" s="25"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25" t="str">
        <f aca="false">_xlfn.CONCAT(CI349,IF(CI349 &lt;&gt; "", " ", ""),CJ349,IF(OR(CJ349&lt;&gt;"", CI349&lt;&gt;""), "{}",""), CH349, CM349,"{SILVER}", CK349)</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0" s="25" customFormat="true" ht="14.25" hidden="false" customHeight="false" outlineLevel="0" collapsed="false">
      <c r="A350" s="25" t="s">
        <v>1373</v>
      </c>
      <c r="B350" s="26" t="s">
        <v>1374</v>
      </c>
      <c r="C350" s="1" t="n">
        <v>3076</v>
      </c>
      <c r="D350" s="25" t="n">
        <v>3077</v>
      </c>
      <c r="E350" s="25" t="n">
        <v>500</v>
      </c>
      <c r="G350" s="1" t="str">
        <f aca="false">IF($F350&lt;&gt;"",_xlfn.CONCAT(VLOOKUP($CE350, Constants!$T:$U, 2, FALSE()),",",$F350),VLOOKUP($CE350, Constants!$T:$U, 2, FALSE()))</f>
        <v>role/freight</v>
      </c>
      <c r="H350" s="1" t="str">
        <f aca="false">IF($G350&lt;&gt;"",_xlfn.CONCAT(VLOOKUP($CG350, Constants!$M:$P, 4, FALSE()),",",$G350),VLOOKUP($CG350, Constants!$M:$P, 4, FALSE()))</f>
        <v>flag/GB,power/diesel,role/freight</v>
      </c>
      <c r="I350" s="25" t="s">
        <v>198</v>
      </c>
      <c r="J350" s="25" t="s">
        <v>1375</v>
      </c>
      <c r="K350" s="25" t="s">
        <v>482</v>
      </c>
      <c r="L350" s="25" t="s">
        <v>149</v>
      </c>
      <c r="M350" s="25" t="n">
        <v>1999</v>
      </c>
      <c r="P350" s="25" t="n">
        <v>1</v>
      </c>
      <c r="Q350" s="25" t="n">
        <v>710</v>
      </c>
      <c r="R350" s="2"/>
      <c r="S350" s="3"/>
      <c r="T350" s="3"/>
      <c r="U350" s="3"/>
      <c r="V350" s="3"/>
      <c r="W350" s="3"/>
      <c r="X350" s="3"/>
      <c r="Y350" s="3"/>
      <c r="Z350" s="25" t="n">
        <v>34</v>
      </c>
      <c r="AA350" s="2"/>
      <c r="AB350" s="25" t="n">
        <v>4</v>
      </c>
      <c r="AC350" s="25" t="n">
        <v>106</v>
      </c>
      <c r="AD350" s="4" t="n">
        <f aca="false">IF(AND(Z350&gt;0,AC350&gt;0),(AC350/((Z350+AA350)*10)),"")</f>
        <v>0.311764705882353</v>
      </c>
      <c r="AE350" s="25" t="n">
        <v>75</v>
      </c>
      <c r="AF350" s="25" t="n">
        <f aca="false">ROUND(AE350*1.6, 0)</f>
        <v>120</v>
      </c>
      <c r="AI350" s="25" t="n">
        <v>20.2</v>
      </c>
      <c r="AJ350" s="25" t="n">
        <v>20</v>
      </c>
      <c r="AK350" s="25" t="n">
        <v>2.82</v>
      </c>
      <c r="AL350" s="25" t="n">
        <v>3.97</v>
      </c>
      <c r="AM350" s="5" t="n">
        <v>40</v>
      </c>
      <c r="AN350" s="1" t="str">
        <f aca="false">CONCATENATE(VLOOKUP(AO350, '[1]Voxel Sizes'!$A$2:$B$18,2,FALSE()),"x",INT(AK350*15), "x", INT(AL350*15))</f>
        <v>198x42x59</v>
      </c>
      <c r="AO350" s="25" t="n">
        <f aca="false">ROUND(15*((AJ350*10)/256),0)</f>
        <v>12</v>
      </c>
      <c r="AQ350" s="1" t="str">
        <f aca="false">CONCATENATE(VLOOKUP(AO350,Constants!$A$2:$C$16,IF(AP350&lt;&gt;"", 3, 2), FALSE()),IF(AP350&lt;&gt;"",CONCATENATE(",",VLOOKUP(AP350,$B:$AQ,42,FALSE())),""))</f>
        <v>4,4,4</v>
      </c>
      <c r="AR350" s="25" t="n">
        <v>0</v>
      </c>
      <c r="AS350" s="6"/>
      <c r="AT350" s="6"/>
      <c r="AU350" s="25" t="s">
        <v>1376</v>
      </c>
      <c r="AW350" s="25" t="s">
        <v>770</v>
      </c>
      <c r="AX350" s="25" t="s">
        <v>1376</v>
      </c>
      <c r="BA350" s="25" t="n">
        <v>35</v>
      </c>
      <c r="BB350" s="16" t="str">
        <f aca="false">IF(O350&lt;&gt;"",MAX(16,(O350-M350)+8),"")</f>
        <v/>
      </c>
      <c r="BE350" s="25" t="n">
        <f aca="false">MIN(AE350/150, 1)*30</f>
        <v>15</v>
      </c>
      <c r="BF350" s="25" t="n">
        <f aca="false">MIN(Q350/4000, 1)*20</f>
        <v>3.55</v>
      </c>
      <c r="BG350" s="25" t="n">
        <f aca="false">MIN(AC350/400,1)*20</f>
        <v>5.3</v>
      </c>
      <c r="BH350" s="4" t="n">
        <f aca="false">1-(MAX(M350-1900, 0)/750)</f>
        <v>0.868</v>
      </c>
      <c r="BI350" s="25" t="n">
        <f aca="false">((MAX($P350,1)*MIN($AM350/300,1)))*IF(J350="Wagon",50,10)</f>
        <v>1.33333333333333</v>
      </c>
      <c r="BJ350" s="1" t="n">
        <f aca="false">VLOOKUP($K350,Constants!$I:$K, 2, FALSE())</f>
        <v>1</v>
      </c>
      <c r="BK350" s="1" t="n">
        <f aca="false">VLOOKUP($K350,Constants!$I:$K, 3, FALSE())*IF(AND(J350="multiple_unit",AE350&lt;110),0.75,1)</f>
        <v>2</v>
      </c>
      <c r="BL350" s="25" t="n">
        <f aca="false">INT(POWER((([1]Constants!$G$2+$BE350+$BF350+$BG350+$BI350)*$BH350)*$BK350, 1.05))+$BD350</f>
        <v>63</v>
      </c>
      <c r="BM350" s="25" t="n">
        <f aca="false">INT(POWER(((([1]Constants!$G$1+$BE350+$BF350+$BG350+$BI350)*($BH350))*$BJ350),IF($J350="wagon",1,1.2)))+$BC350</f>
        <v>70</v>
      </c>
      <c r="BN350" s="17" t="n">
        <f aca="false">BL350*IF($J350="wagon",62.5,781.25)</f>
        <v>49218.75</v>
      </c>
      <c r="BO350" s="17" t="n">
        <f aca="false">BM350*IF($J350="wagon",2.73,81.25)</f>
        <v>5687.5</v>
      </c>
      <c r="BY350" s="25" t="n">
        <v>6</v>
      </c>
      <c r="BZ350" s="25" t="n">
        <v>185</v>
      </c>
      <c r="CB350" s="25" t="s">
        <v>1377</v>
      </c>
      <c r="CC350" s="25" t="s">
        <v>1378</v>
      </c>
      <c r="CD350" s="25" t="s">
        <v>1161</v>
      </c>
      <c r="CE350" s="25" t="s">
        <v>132</v>
      </c>
      <c r="CF350" s="25" t="str">
        <f aca="false">CONCATENATE(CD350,"_",CE350)</f>
        <v>prv_Freight</v>
      </c>
      <c r="CG350" s="25" t="str">
        <f aca="false">_xlfn.CONCAT(K350, "_",L350)</f>
        <v>diesel_RAIL</v>
      </c>
      <c r="CH350" s="7" t="str">
        <f aca="false">_xlfn.CONCAT("{BLACK}Length: {GOLD}", TEXT(ROUNDUP(IF(AT350&lt;&gt;"",SUM(VALUE(_xlfn.TEXTSPLIT(AT350, ","))), SUM(VALUE(_xlfn.TEXTSPLIT(AQ350, ",")))*IF(P350, P350, 1))/16, 1), "#,##0.0"), " tiles{}")</f>
        <v>{BLACK}Length: {GOLD}0.8 tiles{}</v>
      </c>
      <c r="CI350" s="1" t="n">
        <f aca="false">VLOOKUP($CG350, Constants!$M:$N, 2, FALSE())</f>
        <v>0</v>
      </c>
      <c r="CJ350" s="1" t="str">
        <f aca="false">IF(P350&gt;1,_xlfn.CONCAT("{BLACK}Cars: {GOLD}", P350),"")</f>
        <v/>
      </c>
      <c r="CK350" s="25" t="s">
        <v>1379</v>
      </c>
      <c r="CM350" s="25"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
      </c>
      <c r="CN350" s="25" t="str">
        <f aca="false">_xlfn.CONCAT(CI350,IF(CI350 &lt;&gt; "", " ", ""),CJ350,IF(OR(CJ350&lt;&gt;"", CI350&lt;&gt;""), "{}",""), CH350, CM350,"{SILVER}", CK350)</f>
        <v>{BLACK}Length: {GOLD}0.8 tiles{}{SILVER}The Windhoff MPV units were mainly used for Departmental service, notably in the iconic Rail Head Treatment trains, but trials were made in freight service.</v>
      </c>
    </row>
    <row r="351" s="25" customFormat="true" ht="14.25" hidden="false" customHeight="false" outlineLevel="0" collapsed="false">
      <c r="A351" s="25" t="s">
        <v>1380</v>
      </c>
      <c r="B351" s="26" t="s">
        <v>1381</v>
      </c>
      <c r="C351" s="1" t="n">
        <v>3077</v>
      </c>
      <c r="E351" s="25" t="n">
        <v>501</v>
      </c>
      <c r="G351" s="1" t="str">
        <f aca="false">IF($F351&lt;&gt;"",_xlfn.CONCAT(VLOOKUP($CE351, Constants!$T:$U, 2, FALSE()),",",$F351),VLOOKUP($CE351, Constants!$T:$U, 2, FALSE()))</f>
        <v>role/freight</v>
      </c>
      <c r="H351" s="1" t="str">
        <f aca="false">IF($G351&lt;&gt;"",_xlfn.CONCAT(VLOOKUP($CG351, Constants!$M:$P, 4, FALSE()),",",$G351),VLOOKUP($CG351, Constants!$M:$P, 4, FALSE()))</f>
        <v>flag/GB,power/diesel,role/freight</v>
      </c>
      <c r="I351" s="25" t="s">
        <v>198</v>
      </c>
      <c r="J351" s="25" t="s">
        <v>1375</v>
      </c>
      <c r="K351" s="25" t="s">
        <v>482</v>
      </c>
      <c r="L351" s="25" t="s">
        <v>149</v>
      </c>
      <c r="M351" s="25" t="n">
        <v>1999</v>
      </c>
      <c r="P351" s="25" t="n">
        <v>2</v>
      </c>
      <c r="Q351" s="25" t="n">
        <v>710</v>
      </c>
      <c r="R351" s="2"/>
      <c r="S351" s="3"/>
      <c r="T351" s="3"/>
      <c r="U351" s="3"/>
      <c r="V351" s="3"/>
      <c r="W351" s="3"/>
      <c r="X351" s="3"/>
      <c r="Y351" s="3"/>
      <c r="Z351" s="25" t="n">
        <v>61</v>
      </c>
      <c r="AA351" s="2"/>
      <c r="AB351" s="25" t="n">
        <v>4</v>
      </c>
      <c r="AC351" s="25" t="n">
        <v>106</v>
      </c>
      <c r="AD351" s="4" t="n">
        <f aca="false">IF(AND(Z351&gt;0,AC351&gt;0),(AC351/((Z351+AA351)*10)),"")</f>
        <v>0.173770491803279</v>
      </c>
      <c r="AE351" s="25" t="n">
        <v>75</v>
      </c>
      <c r="AF351" s="25" t="n">
        <f aca="false">ROUND(AE351*1.6, 0)</f>
        <v>120</v>
      </c>
      <c r="AI351" s="25" t="n">
        <v>20.2</v>
      </c>
      <c r="AJ351" s="25" t="n">
        <v>20</v>
      </c>
      <c r="AK351" s="25" t="n">
        <v>2.82</v>
      </c>
      <c r="AL351" s="25" t="n">
        <v>3.97</v>
      </c>
      <c r="AM351" s="5" t="n">
        <v>40</v>
      </c>
      <c r="AN351" s="1" t="str">
        <f aca="false">CONCATENATE(VLOOKUP(AO351, '[1]Voxel Sizes'!$A$2:$B$18,2,FALSE()),"x",INT(AK351*15), "x", INT(AL351*15))</f>
        <v>198x42x59</v>
      </c>
      <c r="AO351" s="25" t="n">
        <f aca="false">ROUND(15*((AJ351*10)/256),0)</f>
        <v>12</v>
      </c>
      <c r="AQ351" s="1" t="str">
        <f aca="false">CONCATENATE(VLOOKUP(AO351,Constants!$A$2:$C$16,IF(AP351&lt;&gt;"", 3, 2), FALSE()),IF(AP351&lt;&gt;"",CONCATENATE(",",VLOOKUP(AP351,$B:$AQ,42,FALSE())),""))</f>
        <v>4,4,4</v>
      </c>
      <c r="AR351" s="25" t="n">
        <v>0</v>
      </c>
      <c r="AS351" s="6"/>
      <c r="AT351" s="6"/>
      <c r="AU351" s="25" t="s">
        <v>1382</v>
      </c>
      <c r="AW351" s="25" t="s">
        <v>770</v>
      </c>
      <c r="AX351" s="25" t="s">
        <v>1383</v>
      </c>
      <c r="BA351" s="25" t="n">
        <v>35</v>
      </c>
      <c r="BB351" s="16" t="str">
        <f aca="false">IF(O351&lt;&gt;"",MAX(16,(O351-M351)+8),"")</f>
        <v/>
      </c>
      <c r="BE351" s="25" t="n">
        <f aca="false">MIN(AE351/150, 1)*30</f>
        <v>15</v>
      </c>
      <c r="BF351" s="25" t="n">
        <f aca="false">MIN(Q351/4000, 1)*20</f>
        <v>3.55</v>
      </c>
      <c r="BG351" s="25" t="n">
        <f aca="false">MIN(AC351/400,1)*20</f>
        <v>5.3</v>
      </c>
      <c r="BH351" s="4" t="n">
        <f aca="false">1-(MAX(M351-1900, 0)/750)</f>
        <v>0.868</v>
      </c>
      <c r="BI351" s="25" t="n">
        <f aca="false">((MAX($P351,1)*MIN($AM351/300,1)))*IF(J351="Wagon",50,10)</f>
        <v>2.66666666666667</v>
      </c>
      <c r="BJ351" s="1" t="n">
        <f aca="false">VLOOKUP($K351,Constants!$I:$K, 2, FALSE())</f>
        <v>1</v>
      </c>
      <c r="BK351" s="1" t="n">
        <f aca="false">VLOOKUP($K351,Constants!$I:$K, 3, FALSE())*IF(AND(J351="multiple_unit",AE351&lt;110),0.75,1)</f>
        <v>2</v>
      </c>
      <c r="BL351" s="25" t="n">
        <f aca="false">INT(POWER((([1]Constants!$G$2+$BE351+$BF351+$BG351+$BI351)*$BH351)*$BK351, 1.05))+$BD351</f>
        <v>66</v>
      </c>
      <c r="BM351" s="25" t="n">
        <f aca="false">INT(POWER(((([1]Constants!$G$1+$BE351+$BF351+$BG351+$BI351)*($BH351))*$BJ351),IF($J351="wagon",1,1.2)))+$BC351</f>
        <v>73</v>
      </c>
      <c r="BN351" s="17" t="n">
        <f aca="false">BL351*IF($J351="wagon",62.5,781.25)</f>
        <v>51562.5</v>
      </c>
      <c r="BO351" s="17" t="n">
        <f aca="false">BM351*IF($J351="wagon",2.73,81.25)</f>
        <v>5931.25</v>
      </c>
      <c r="BY351" s="25" t="n">
        <v>6</v>
      </c>
      <c r="BZ351" s="25" t="n">
        <v>185</v>
      </c>
      <c r="CB351" s="25" t="s">
        <v>1377</v>
      </c>
      <c r="CC351" s="25" t="s">
        <v>1378</v>
      </c>
      <c r="CD351" s="25" t="s">
        <v>1161</v>
      </c>
      <c r="CE351" s="25" t="s">
        <v>132</v>
      </c>
      <c r="CF351" s="25" t="str">
        <f aca="false">CONCATENATE(CD351,"_",CE351)</f>
        <v>prv_Freight</v>
      </c>
      <c r="CG351" s="25" t="str">
        <f aca="false">_xlfn.CONCAT(K351, "_",L351)</f>
        <v>diesel_RAIL</v>
      </c>
      <c r="CH351" s="7" t="str">
        <f aca="false">_xlfn.CONCAT("{BLACK}Length: {GOLD}", TEXT(ROUNDUP(IF(AT351&lt;&gt;"",SUM(VALUE(_xlfn.TEXTSPLIT(AT351, ","))), SUM(VALUE(_xlfn.TEXTSPLIT(AQ351, ",")))*IF(P351, P351, 1))/16, 1), "#,##0.0"), " tiles{}")</f>
        <v>{BLACK}Length: {GOLD}1.5 tiles{}</v>
      </c>
      <c r="CI351" s="1" t="n">
        <f aca="false">VLOOKUP($CG351, Constants!$M:$N, 2, FALSE())</f>
        <v>0</v>
      </c>
      <c r="CJ351" s="1" t="str">
        <f aca="false">IF(P351&gt;1,_xlfn.CONCAT("{BLACK}Cars: {GOLD}", P351),"")</f>
        <v>{BLACK}Cars: {GOLD}2</v>
      </c>
      <c r="CK351" s="25" t="s">
        <v>1379</v>
      </c>
      <c r="CM351" s="25"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
      </c>
      <c r="CN351" s="25" t="str">
        <f aca="false">_xlfn.CONCAT(CI351,IF(CI351 &lt;&gt; "", " ", ""),CJ351,IF(OR(CJ351&lt;&gt;"", CI351&lt;&gt;""), "{}",""), CH351, CM351,"{SILVER}", CK351)</f>
        <v>{BLACK}Cars: {GOLD}2{}{BLACK}Length: {GOLD}1.5 tiles{}{SILVER}The Windhoff MPV units were mainly used for Departmental service, notably in the iconic Rail Head Treatment trains, but trials were made in freight service.</v>
      </c>
    </row>
    <row r="352" s="25" customFormat="true" ht="14.25" hidden="false" customHeight="false" outlineLevel="0" collapsed="false">
      <c r="A352" s="25" t="s">
        <v>1384</v>
      </c>
      <c r="B352" s="26" t="s">
        <v>1385</v>
      </c>
      <c r="C352" s="1" t="n">
        <v>3078</v>
      </c>
      <c r="D352" s="25" t="n">
        <v>3077</v>
      </c>
      <c r="E352" s="25" t="n">
        <v>502</v>
      </c>
      <c r="G352" s="1" t="str">
        <f aca="false">IF($F352&lt;&gt;"",_xlfn.CONCAT(VLOOKUP($CE352, Constants!$T:$U, 2, FALSE()),",",$F352),VLOOKUP($CE352, Constants!$T:$U, 2, FALSE()))</f>
        <v>role/freight</v>
      </c>
      <c r="H352" s="1" t="str">
        <f aca="false">IF($G352&lt;&gt;"",_xlfn.CONCAT(VLOOKUP($CG352, Constants!$M:$P, 4, FALSE()),",",$G352),VLOOKUP($CG352, Constants!$M:$P, 4, FALSE()))</f>
        <v>flag/GB,power/diesel,role/freight</v>
      </c>
      <c r="I352" s="25" t="s">
        <v>198</v>
      </c>
      <c r="J352" s="25" t="s">
        <v>1375</v>
      </c>
      <c r="K352" s="25" t="s">
        <v>482</v>
      </c>
      <c r="L352" s="25" t="s">
        <v>149</v>
      </c>
      <c r="M352" s="25" t="n">
        <v>1999</v>
      </c>
      <c r="P352" s="25" t="n">
        <v>3</v>
      </c>
      <c r="Q352" s="25" t="n">
        <v>710</v>
      </c>
      <c r="R352" s="2"/>
      <c r="S352" s="3"/>
      <c r="T352" s="3"/>
      <c r="U352" s="3"/>
      <c r="V352" s="3"/>
      <c r="W352" s="3"/>
      <c r="X352" s="3"/>
      <c r="Y352" s="3"/>
      <c r="Z352" s="25" t="n">
        <f aca="false">Z351+19</f>
        <v>80</v>
      </c>
      <c r="AA352" s="2"/>
      <c r="AB352" s="25" t="n">
        <v>4</v>
      </c>
      <c r="AC352" s="25" t="n">
        <v>106</v>
      </c>
      <c r="AD352" s="4" t="n">
        <f aca="false">IF(AND(Z352&gt;0,AC352&gt;0),(AC352/((Z352+AA352)*10)),"")</f>
        <v>0.1325</v>
      </c>
      <c r="AE352" s="25" t="n">
        <v>75</v>
      </c>
      <c r="AF352" s="25" t="n">
        <f aca="false">ROUND(AE352*1.6, 0)</f>
        <v>120</v>
      </c>
      <c r="AI352" s="25" t="n">
        <v>20.2</v>
      </c>
      <c r="AJ352" s="25" t="n">
        <v>20</v>
      </c>
      <c r="AK352" s="25" t="n">
        <v>2.82</v>
      </c>
      <c r="AL352" s="25" t="n">
        <v>3.97</v>
      </c>
      <c r="AM352" s="5" t="n">
        <v>40</v>
      </c>
      <c r="AN352" s="1" t="str">
        <f aca="false">CONCATENATE(VLOOKUP(AO352, '[1]Voxel Sizes'!$A$2:$B$18,2,FALSE()),"x",INT(AK352*15), "x", INT(AL352*15))</f>
        <v>198x42x59</v>
      </c>
      <c r="AO352" s="25" t="n">
        <f aca="false">ROUND(15*((AJ352*10)/256),0)</f>
        <v>12</v>
      </c>
      <c r="AQ352" s="1" t="str">
        <f aca="false">CONCATENATE(VLOOKUP(AO352,Constants!$A$2:$C$16,IF(AP352&lt;&gt;"", 3, 2), FALSE()),IF(AP352&lt;&gt;"",CONCATENATE(",",VLOOKUP(AP352,$B:$AQ,42,FALSE())),""))</f>
        <v>4,4,4</v>
      </c>
      <c r="AR352" s="25" t="n">
        <v>0</v>
      </c>
      <c r="AS352" s="6"/>
      <c r="AT352" s="6"/>
      <c r="AU352" s="25" t="s">
        <v>1386</v>
      </c>
      <c r="AW352" s="25" t="s">
        <v>774</v>
      </c>
      <c r="AX352" s="25" t="s">
        <v>1383</v>
      </c>
      <c r="BA352" s="25" t="n">
        <v>35</v>
      </c>
      <c r="BB352" s="16" t="str">
        <f aca="false">IF(O352&lt;&gt;"",MAX(16,(O352-M352)+8),"")</f>
        <v/>
      </c>
      <c r="BE352" s="25" t="n">
        <f aca="false">MIN(AE352/150, 1)*30</f>
        <v>15</v>
      </c>
      <c r="BF352" s="25" t="n">
        <f aca="false">MIN(Q352/4000, 1)*20</f>
        <v>3.55</v>
      </c>
      <c r="BG352" s="25" t="n">
        <f aca="false">MIN(AC352/400,1)*20</f>
        <v>5.3</v>
      </c>
      <c r="BH352" s="4" t="n">
        <f aca="false">1-(MAX(M352-1900, 0)/750)</f>
        <v>0.868</v>
      </c>
      <c r="BI352" s="25" t="n">
        <f aca="false">((MAX($P352,1)*MIN($AM352/300,1)))*IF(J352="Wagon",50,10)</f>
        <v>4</v>
      </c>
      <c r="BJ352" s="1" t="n">
        <f aca="false">VLOOKUP($K352,Constants!$I:$K, 2, FALSE())</f>
        <v>1</v>
      </c>
      <c r="BK352" s="1" t="n">
        <f aca="false">VLOOKUP($K352,Constants!$I:$K, 3, FALSE())*IF(AND(J352="multiple_unit",AE352&lt;110),0.75,1)</f>
        <v>2</v>
      </c>
      <c r="BL352" s="25" t="n">
        <f aca="false">INT(POWER((([1]Constants!$G$2+$BE352+$BF352+$BG352+$BI352)*$BH352)*$BK352, 1.05))+$BD352</f>
        <v>69</v>
      </c>
      <c r="BM352" s="25" t="n">
        <f aca="false">INT(POWER(((([1]Constants!$G$1+$BE352+$BF352+$BG352+$BI352)*($BH352))*$BJ352),IF($J352="wagon",1,1.2)))+$BC352</f>
        <v>76</v>
      </c>
      <c r="BN352" s="17" t="n">
        <f aca="false">BL352*IF($J352="wagon",62.5,781.25)</f>
        <v>53906.25</v>
      </c>
      <c r="BO352" s="17" t="n">
        <f aca="false">BM352*IF($J352="wagon",2.73,81.25)</f>
        <v>6175</v>
      </c>
      <c r="BY352" s="25" t="n">
        <v>6</v>
      </c>
      <c r="BZ352" s="25" t="n">
        <v>185</v>
      </c>
      <c r="CB352" s="25" t="s">
        <v>1377</v>
      </c>
      <c r="CC352" s="25" t="s">
        <v>1378</v>
      </c>
      <c r="CD352" s="25" t="s">
        <v>1161</v>
      </c>
      <c r="CE352" s="25" t="s">
        <v>132</v>
      </c>
      <c r="CF352" s="25" t="str">
        <f aca="false">CONCATENATE(CD352,"_",CE352)</f>
        <v>prv_Freight</v>
      </c>
      <c r="CG352" s="25" t="str">
        <f aca="false">_xlfn.CONCAT(K352, "_",L352)</f>
        <v>diesel_RAIL</v>
      </c>
      <c r="CH352" s="7" t="str">
        <f aca="false">_xlfn.CONCAT("{BLACK}Length: {GOLD}", TEXT(ROUNDUP(IF(AT352&lt;&gt;"",SUM(VALUE(_xlfn.TEXTSPLIT(AT352, ","))), SUM(VALUE(_xlfn.TEXTSPLIT(AQ352, ",")))*IF(P352, P352, 1))/16, 1), "#,##0.0"), " tiles{}")</f>
        <v>{BLACK}Length: {GOLD}2.3 tiles{}</v>
      </c>
      <c r="CI352" s="1" t="n">
        <f aca="false">VLOOKUP($CG352, Constants!$M:$N, 2, FALSE())</f>
        <v>0</v>
      </c>
      <c r="CJ352" s="1" t="str">
        <f aca="false">IF(P352&gt;1,_xlfn.CONCAT("{BLACK}Cars: {GOLD}", P352),"")</f>
        <v>{BLACK}Cars: {GOLD}3</v>
      </c>
      <c r="CK352" s="25" t="s">
        <v>1379</v>
      </c>
      <c r="CM352" s="25"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
      </c>
      <c r="CN352" s="25" t="str">
        <f aca="false">_xlfn.CONCAT(CI352,IF(CI352 &lt;&gt; "", " ", ""),CJ352,IF(OR(CJ352&lt;&gt;"", CI352&lt;&gt;""), "{}",""), CH352, CM352,"{SILVER}", CK352)</f>
        <v>{BLACK}Cars: {GOLD}3{}{BLACK}Length: {GOLD}2.3 tiles{}{SILVER}The Windhoff MPV units were mainly used for Departmental service, notably in the iconic Rail Head Treatment trains, but trials were made in freight service.</v>
      </c>
    </row>
    <row r="353" s="25" customFormat="true" ht="14.25" hidden="false" customHeight="false" outlineLevel="0" collapsed="false">
      <c r="A353" s="25" t="s">
        <v>1387</v>
      </c>
      <c r="B353" s="26" t="s">
        <v>1388</v>
      </c>
      <c r="C353" s="1" t="n">
        <v>3079</v>
      </c>
      <c r="D353" s="25" t="n">
        <v>3077</v>
      </c>
      <c r="E353" s="25" t="n">
        <v>503</v>
      </c>
      <c r="G353" s="1" t="str">
        <f aca="false">IF($F353&lt;&gt;"",_xlfn.CONCAT(VLOOKUP($CE353, Constants!$T:$U, 2, FALSE()),",",$F353),VLOOKUP($CE353, Constants!$T:$U, 2, FALSE()))</f>
        <v>role/freight</v>
      </c>
      <c r="H353" s="1" t="str">
        <f aca="false">IF($G353&lt;&gt;"",_xlfn.CONCAT(VLOOKUP($CG353, Constants!$M:$P, 4, FALSE()),",",$G353),VLOOKUP($CG353, Constants!$M:$P, 4, FALSE()))</f>
        <v>flag/GB,power/diesel,role/freight</v>
      </c>
      <c r="I353" s="25" t="s">
        <v>198</v>
      </c>
      <c r="J353" s="25" t="s">
        <v>1375</v>
      </c>
      <c r="K353" s="25" t="s">
        <v>482</v>
      </c>
      <c r="L353" s="25" t="s">
        <v>149</v>
      </c>
      <c r="M353" s="25" t="n">
        <v>1999</v>
      </c>
      <c r="P353" s="25" t="n">
        <v>4</v>
      </c>
      <c r="Q353" s="25" t="n">
        <v>710</v>
      </c>
      <c r="R353" s="2"/>
      <c r="S353" s="3"/>
      <c r="T353" s="3"/>
      <c r="U353" s="3"/>
      <c r="V353" s="3"/>
      <c r="W353" s="3"/>
      <c r="X353" s="3"/>
      <c r="Y353" s="3"/>
      <c r="Z353" s="25" t="n">
        <f aca="false">Z352+19</f>
        <v>99</v>
      </c>
      <c r="AA353" s="2"/>
      <c r="AB353" s="25" t="n">
        <v>4</v>
      </c>
      <c r="AC353" s="25" t="n">
        <v>106</v>
      </c>
      <c r="AD353" s="4" t="n">
        <f aca="false">IF(AND(Z353&gt;0,AC353&gt;0),(AC353/((Z353+AA353)*10)),"")</f>
        <v>0.107070707070707</v>
      </c>
      <c r="AE353" s="25" t="n">
        <v>75</v>
      </c>
      <c r="AF353" s="25" t="n">
        <f aca="false">ROUND(AE353*1.6, 0)</f>
        <v>120</v>
      </c>
      <c r="AI353" s="25" t="n">
        <v>20.2</v>
      </c>
      <c r="AJ353" s="25" t="n">
        <v>20</v>
      </c>
      <c r="AK353" s="25" t="n">
        <v>2.82</v>
      </c>
      <c r="AL353" s="25" t="n">
        <v>3.97</v>
      </c>
      <c r="AM353" s="5" t="n">
        <v>40</v>
      </c>
      <c r="AN353" s="1" t="str">
        <f aca="false">CONCATENATE(VLOOKUP(AO353, '[1]Voxel Sizes'!$A$2:$B$18,2,FALSE()),"x",INT(AK353*15), "x", INT(AL353*15))</f>
        <v>198x42x59</v>
      </c>
      <c r="AO353" s="25" t="n">
        <f aca="false">ROUND(15*((AJ353*10)/256),0)</f>
        <v>12</v>
      </c>
      <c r="AQ353" s="1" t="str">
        <f aca="false">CONCATENATE(VLOOKUP(AO353,Constants!$A$2:$C$16,IF(AP353&lt;&gt;"", 3, 2), FALSE()),IF(AP353&lt;&gt;"",CONCATENATE(",",VLOOKUP(AP353,$B:$AQ,42,FALSE())),""))</f>
        <v>4,4,4</v>
      </c>
      <c r="AR353" s="25" t="n">
        <v>0</v>
      </c>
      <c r="AS353" s="6"/>
      <c r="AT353" s="6"/>
      <c r="AU353" s="25" t="s">
        <v>1389</v>
      </c>
      <c r="AW353" s="25" t="s">
        <v>812</v>
      </c>
      <c r="AX353" s="25" t="s">
        <v>1383</v>
      </c>
      <c r="BA353" s="25" t="n">
        <v>35</v>
      </c>
      <c r="BB353" s="16" t="str">
        <f aca="false">IF(O353&lt;&gt;"",MAX(16,(O353-M353)+8),"")</f>
        <v/>
      </c>
      <c r="BE353" s="25" t="n">
        <f aca="false">MIN(AE353/150, 1)*30</f>
        <v>15</v>
      </c>
      <c r="BF353" s="25" t="n">
        <f aca="false">MIN(Q353/4000, 1)*20</f>
        <v>3.55</v>
      </c>
      <c r="BG353" s="25" t="n">
        <f aca="false">MIN(AC353/400,1)*20</f>
        <v>5.3</v>
      </c>
      <c r="BH353" s="4" t="n">
        <f aca="false">1-(MAX(M353-1900, 0)/750)</f>
        <v>0.868</v>
      </c>
      <c r="BI353" s="25" t="n">
        <f aca="false">((MAX($P353,1)*MIN($AM353/300,1)))*IF(J353="Wagon",50,10)</f>
        <v>5.33333333333333</v>
      </c>
      <c r="BJ353" s="1" t="n">
        <f aca="false">VLOOKUP($K353,Constants!$I:$K, 2, FALSE())</f>
        <v>1</v>
      </c>
      <c r="BK353" s="1" t="n">
        <f aca="false">VLOOKUP($K353,Constants!$I:$K, 3, FALSE())*IF(AND(J353="multiple_unit",AE353&lt;110),0.75,1)</f>
        <v>2</v>
      </c>
      <c r="BL353" s="25" t="n">
        <f aca="false">INT(POWER((([1]Constants!$G$2+$BE353+$BF353+$BG353+$BI353)*$BH353)*$BK353, 1.05))+$BD353</f>
        <v>72</v>
      </c>
      <c r="BM353" s="25" t="n">
        <f aca="false">INT(POWER(((([1]Constants!$G$1+$BE353+$BF353+$BG353+$BI353)*($BH353))*$BJ353),IF($J353="wagon",1,1.2)))+$BC353</f>
        <v>79</v>
      </c>
      <c r="BN353" s="17" t="n">
        <f aca="false">BL353*IF($J353="wagon",62.5,781.25)</f>
        <v>56250</v>
      </c>
      <c r="BO353" s="17" t="n">
        <f aca="false">BM353*IF($J353="wagon",2.73,81.25)</f>
        <v>6418.75</v>
      </c>
      <c r="BY353" s="25" t="n">
        <v>6</v>
      </c>
      <c r="BZ353" s="25" t="n">
        <v>185</v>
      </c>
      <c r="CB353" s="25" t="s">
        <v>1377</v>
      </c>
      <c r="CC353" s="25" t="s">
        <v>1378</v>
      </c>
      <c r="CD353" s="25" t="s">
        <v>1161</v>
      </c>
      <c r="CE353" s="25" t="s">
        <v>132</v>
      </c>
      <c r="CF353" s="25" t="str">
        <f aca="false">CONCATENATE(CD353,"_",CE353)</f>
        <v>prv_Freight</v>
      </c>
      <c r="CG353" s="25" t="str">
        <f aca="false">_xlfn.CONCAT(K353, "_",L353)</f>
        <v>diesel_RAIL</v>
      </c>
      <c r="CH353" s="7" t="str">
        <f aca="false">_xlfn.CONCAT("{BLACK}Length: {GOLD}", TEXT(ROUNDUP(IF(AT353&lt;&gt;"",SUM(VALUE(_xlfn.TEXTSPLIT(AT353, ","))), SUM(VALUE(_xlfn.TEXTSPLIT(AQ353, ",")))*IF(P353, P353, 1))/16, 1), "#,##0.0"), " tiles{}")</f>
        <v>{BLACK}Length: {GOLD}3.0 tiles{}</v>
      </c>
      <c r="CI353" s="1" t="n">
        <f aca="false">VLOOKUP($CG353, Constants!$M:$N, 2, FALSE())</f>
        <v>0</v>
      </c>
      <c r="CJ353" s="1" t="str">
        <f aca="false">IF(P353&gt;1,_xlfn.CONCAT("{BLACK}Cars: {GOLD}", P353),"")</f>
        <v>{BLACK}Cars: {GOLD}4</v>
      </c>
      <c r="CK353" s="25" t="s">
        <v>1379</v>
      </c>
      <c r="CM353" s="25"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
      </c>
      <c r="CN353" s="25" t="str">
        <f aca="false">_xlfn.CONCAT(CI353,IF(CI353 &lt;&gt; "", " ", ""),CJ353,IF(OR(CJ353&lt;&gt;"", CI353&lt;&gt;""), "{}",""), CH353, CM353,"{SILVER}", CK353)</f>
        <v>{BLACK}Cars: {GOLD}4{}{BLACK}Length: {GOLD}3.0 tiles{}{SILVER}The Windhoff MPV units were mainly used for Departmental service, notably in the iconic Rail Head Treatment trains, but trials were made in freight service.</v>
      </c>
    </row>
    <row r="354" s="25" customFormat="true" ht="14.25" hidden="false" customHeight="false" outlineLevel="0" collapsed="false">
      <c r="A354" s="25" t="s">
        <v>1390</v>
      </c>
      <c r="B354" s="26" t="s">
        <v>1391</v>
      </c>
      <c r="C354" s="1" t="n">
        <v>3080</v>
      </c>
      <c r="D354" s="25" t="n">
        <v>3077</v>
      </c>
      <c r="E354" s="25" t="n">
        <v>504</v>
      </c>
      <c r="G354" s="1" t="str">
        <f aca="false">IF($F354&lt;&gt;"",_xlfn.CONCAT(VLOOKUP($CE354, Constants!$T:$U, 2, FALSE()),",",$F354),VLOOKUP($CE354, Constants!$T:$U, 2, FALSE()))</f>
        <v>role/freight</v>
      </c>
      <c r="H354" s="1" t="str">
        <f aca="false">IF($G354&lt;&gt;"",_xlfn.CONCAT(VLOOKUP($CG354, Constants!$M:$P, 4, FALSE()),",",$G354),VLOOKUP($CG354, Constants!$M:$P, 4, FALSE()))</f>
        <v>flag/GB,power/diesel,role/freight</v>
      </c>
      <c r="I354" s="25" t="s">
        <v>198</v>
      </c>
      <c r="J354" s="25" t="s">
        <v>1375</v>
      </c>
      <c r="K354" s="25" t="s">
        <v>482</v>
      </c>
      <c r="L354" s="25" t="s">
        <v>149</v>
      </c>
      <c r="M354" s="25" t="n">
        <v>1999</v>
      </c>
      <c r="P354" s="25" t="n">
        <v>5</v>
      </c>
      <c r="Q354" s="25" t="n">
        <v>710</v>
      </c>
      <c r="R354" s="2"/>
      <c r="S354" s="3"/>
      <c r="T354" s="3"/>
      <c r="U354" s="3"/>
      <c r="V354" s="3"/>
      <c r="W354" s="3"/>
      <c r="X354" s="3"/>
      <c r="Y354" s="3"/>
      <c r="Z354" s="25" t="n">
        <f aca="false">Z353+19</f>
        <v>118</v>
      </c>
      <c r="AA354" s="2"/>
      <c r="AB354" s="25" t="n">
        <v>4</v>
      </c>
      <c r="AC354" s="25" t="n">
        <v>106</v>
      </c>
      <c r="AD354" s="4" t="n">
        <f aca="false">IF(AND(Z354&gt;0,AC354&gt;0),(AC354/((Z354+AA354)*10)),"")</f>
        <v>0.0898305084745763</v>
      </c>
      <c r="AE354" s="25" t="n">
        <v>75</v>
      </c>
      <c r="AF354" s="25" t="n">
        <f aca="false">ROUND(AE354*1.6, 0)</f>
        <v>120</v>
      </c>
      <c r="AI354" s="25" t="n">
        <v>20.2</v>
      </c>
      <c r="AJ354" s="25" t="n">
        <v>20</v>
      </c>
      <c r="AK354" s="25" t="n">
        <v>2.82</v>
      </c>
      <c r="AL354" s="25" t="n">
        <v>3.97</v>
      </c>
      <c r="AM354" s="5" t="n">
        <v>40</v>
      </c>
      <c r="AN354" s="1" t="str">
        <f aca="false">CONCATENATE(VLOOKUP(AO354, '[1]Voxel Sizes'!$A$2:$B$18,2,FALSE()),"x",INT(AK354*15), "x", INT(AL354*15))</f>
        <v>198x42x59</v>
      </c>
      <c r="AO354" s="25" t="n">
        <f aca="false">ROUND(15*((AJ354*10)/256),0)</f>
        <v>12</v>
      </c>
      <c r="AQ354" s="1" t="str">
        <f aca="false">CONCATENATE(VLOOKUP(AO354,Constants!$A$2:$C$16,IF(AP354&lt;&gt;"", 3, 2), FALSE()),IF(AP354&lt;&gt;"",CONCATENATE(",",VLOOKUP(AP354,$B:$AQ,42,FALSE())),""))</f>
        <v>4,4,4</v>
      </c>
      <c r="AR354" s="25" t="n">
        <v>0</v>
      </c>
      <c r="AS354" s="6"/>
      <c r="AT354" s="6"/>
      <c r="AU354" s="25" t="s">
        <v>1392</v>
      </c>
      <c r="AW354" s="25" t="s">
        <v>817</v>
      </c>
      <c r="AX354" s="25" t="s">
        <v>1383</v>
      </c>
      <c r="BA354" s="25" t="n">
        <v>35</v>
      </c>
      <c r="BB354" s="16" t="str">
        <f aca="false">IF(O354&lt;&gt;"",MAX(16,(O354-M354)+8),"")</f>
        <v/>
      </c>
      <c r="BE354" s="25" t="n">
        <f aca="false">MIN(AE354/150, 1)*30</f>
        <v>15</v>
      </c>
      <c r="BF354" s="25" t="n">
        <f aca="false">MIN(Q354/4000, 1)*20</f>
        <v>3.55</v>
      </c>
      <c r="BG354" s="25" t="n">
        <f aca="false">MIN(AC354/400,1)*20</f>
        <v>5.3</v>
      </c>
      <c r="BH354" s="4" t="n">
        <f aca="false">1-(MAX(M354-1900, 0)/750)</f>
        <v>0.868</v>
      </c>
      <c r="BI354" s="25" t="n">
        <f aca="false">((MAX($P354,1)*MIN($AM354/300,1)))*IF(J354="Wagon",50,10)</f>
        <v>6.66666666666667</v>
      </c>
      <c r="BJ354" s="1" t="n">
        <f aca="false">VLOOKUP($K354,Constants!$I:$K, 2, FALSE())</f>
        <v>1</v>
      </c>
      <c r="BK354" s="1" t="n">
        <f aca="false">VLOOKUP($K354,Constants!$I:$K, 3, FALSE())*IF(AND(J354="multiple_unit",AE354&lt;110),0.75,1)</f>
        <v>2</v>
      </c>
      <c r="BL354" s="25" t="n">
        <f aca="false">INT(POWER((([1]Constants!$G$2+$BE354+$BF354+$BG354+$BI354)*$BH354)*$BK354, 1.05))+$BD354</f>
        <v>75</v>
      </c>
      <c r="BM354" s="25" t="n">
        <f aca="false">INT(POWER(((([1]Constants!$G$1+$BE354+$BF354+$BG354+$BI354)*($BH354))*$BJ354),IF($J354="wagon",1,1.2)))+$BC354</f>
        <v>82</v>
      </c>
      <c r="BN354" s="17" t="n">
        <f aca="false">BL354*IF($J354="wagon",62.5,781.25)</f>
        <v>58593.75</v>
      </c>
      <c r="BO354" s="17" t="n">
        <f aca="false">BM354*IF($J354="wagon",2.73,81.25)</f>
        <v>6662.5</v>
      </c>
      <c r="BY354" s="25" t="n">
        <v>6</v>
      </c>
      <c r="BZ354" s="25" t="n">
        <v>185</v>
      </c>
      <c r="CB354" s="25" t="s">
        <v>1377</v>
      </c>
      <c r="CC354" s="25" t="s">
        <v>1378</v>
      </c>
      <c r="CD354" s="25" t="s">
        <v>1161</v>
      </c>
      <c r="CE354" s="25" t="s">
        <v>132</v>
      </c>
      <c r="CF354" s="25" t="str">
        <f aca="false">CONCATENATE(CD354,"_",CE354)</f>
        <v>prv_Freight</v>
      </c>
      <c r="CG354" s="25" t="str">
        <f aca="false">_xlfn.CONCAT(K354, "_",L354)</f>
        <v>diesel_RAIL</v>
      </c>
      <c r="CH354" s="7" t="str">
        <f aca="false">_xlfn.CONCAT("{BLACK}Length: {GOLD}", TEXT(ROUNDUP(IF(AT354&lt;&gt;"",SUM(VALUE(_xlfn.TEXTSPLIT(AT354, ","))), SUM(VALUE(_xlfn.TEXTSPLIT(AQ354, ",")))*IF(P354, P354, 1))/16, 1), "#,##0.0"), " tiles{}")</f>
        <v>{BLACK}Length: {GOLD}3.8 tiles{}</v>
      </c>
      <c r="CI354" s="1" t="n">
        <f aca="false">VLOOKUP($CG354, Constants!$M:$N, 2, FALSE())</f>
        <v>0</v>
      </c>
      <c r="CJ354" s="1" t="str">
        <f aca="false">IF(P354&gt;1,_xlfn.CONCAT("{BLACK}Cars: {GOLD}", P354),"")</f>
        <v>{BLACK}Cars: {GOLD}5</v>
      </c>
      <c r="CK354" s="25" t="s">
        <v>1379</v>
      </c>
      <c r="CM354" s="25"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
      </c>
      <c r="CN354" s="25" t="str">
        <f aca="false">_xlfn.CONCAT(CI354,IF(CI354 &lt;&gt; "", " ", ""),CJ354,IF(OR(CJ354&lt;&gt;"", CI354&lt;&gt;""), "{}",""), CH354, CM354,"{SILVER}", CK354)</f>
        <v>{BLACK}Cars: {GOLD}5{}{BLACK}Length: {GOLD}3.8 tiles{}{SILVER}The Windhoff MPV units were mainly used for Departmental service, notably in the iconic Rail Head Treatment trains, but trials were made in freight service.</v>
      </c>
    </row>
    <row r="355" customFormat="false" ht="14.25" hidden="false" customHeight="false" outlineLevel="0" collapsed="false">
      <c r="A355" s="1" t="s">
        <v>1393</v>
      </c>
      <c r="B355" s="15" t="s">
        <v>1394</v>
      </c>
      <c r="C355" s="1" t="n">
        <v>290</v>
      </c>
      <c r="E355" s="1" t="n">
        <v>600</v>
      </c>
      <c r="G355" s="1" t="str">
        <f aca="false">IF($F355&lt;&gt;"",_xlfn.CONCAT(VLOOKUP($CE355, Constants!$T:$U, 2, FALSE()),",",$F355),VLOOKUP($CE355, Constants!$T:$U, 2, FALSE()))</f>
        <v>role/passenger</v>
      </c>
      <c r="H355" s="1" t="str">
        <f aca="false">IF($G355&lt;&gt;"",_xlfn.CONCAT(VLOOKUP($CG355, Constants!$M:$P, 4, FALSE()),",",$G355),VLOOKUP($CG355, Constants!$M:$P, 4, FALSE()))</f>
        <v>flag/GB,power/electric,role/passenger</v>
      </c>
      <c r="I355" s="1" t="s">
        <v>198</v>
      </c>
      <c r="J355" s="1" t="s">
        <v>206</v>
      </c>
      <c r="K355" s="1" t="s">
        <v>1395</v>
      </c>
      <c r="L355" s="1" t="s">
        <v>1396</v>
      </c>
      <c r="M355" s="1" t="n">
        <v>1889</v>
      </c>
      <c r="O355" s="1" t="n">
        <v>1923</v>
      </c>
      <c r="Q355" s="1" t="n">
        <v>100</v>
      </c>
      <c r="Z355" s="1" t="n">
        <v>15</v>
      </c>
      <c r="AC355" s="1" t="n">
        <v>22</v>
      </c>
      <c r="AD355" s="4" t="n">
        <f aca="false">IF(AND(Z355&gt;0,AC355&gt;0),(AC355/((Z355+AA355)*10)),"")</f>
        <v>0.146666666666667</v>
      </c>
      <c r="AE355" s="1" t="n">
        <v>25</v>
      </c>
      <c r="AF355" s="1" t="n">
        <f aca="false">ROUND(AE355*1.6, 0)</f>
        <v>40</v>
      </c>
      <c r="AJ355" s="1" t="n">
        <v>8</v>
      </c>
      <c r="AN355" s="1" t="str">
        <f aca="false">CONCATENATE(VLOOKUP(AO355, 'Voxel Sizes'!$A$2:$B$18,2,FALSE()),"x",INT(AK355*15), "x", INT(AL355*15))</f>
        <v>82x0x0</v>
      </c>
      <c r="AO355" s="1" t="n">
        <f aca="false">ROUND(15*((AJ355*10)/256),0)</f>
        <v>5</v>
      </c>
      <c r="AQ355" s="1" t="str">
        <f aca="false">CONCATENATE(VLOOKUP(AO355,Constants!$A$2:$C$16,IF(AP355&lt;&gt;"", 3, 2), FALSE()),IF(AP355&lt;&gt;"",CONCATENATE(",",VLOOKUP(AP355,$B:$AQ,42,FALSE())),""))</f>
        <v>2,1,2</v>
      </c>
      <c r="BA355" s="1" t="n">
        <v>29</v>
      </c>
      <c r="BB355" s="16" t="n">
        <f aca="false">IF(O355&lt;&gt;"",MAX(16,(O355-M355)+8),"")</f>
        <v>42</v>
      </c>
      <c r="BC355" s="1" t="n">
        <v>-5</v>
      </c>
      <c r="BE355" s="1" t="n">
        <f aca="false">MIN(AE355/150, 1)*30</f>
        <v>5</v>
      </c>
      <c r="BF355" s="1" t="n">
        <f aca="false">MIN(Q355/4000, 1)*20</f>
        <v>0.5</v>
      </c>
      <c r="BG355" s="1" t="n">
        <f aca="false">MIN(AC355/400,1)*20</f>
        <v>1.1</v>
      </c>
      <c r="BH355" s="4" t="n">
        <f aca="false">1-(MAX(M355-1900, 0)/750)</f>
        <v>1</v>
      </c>
      <c r="BI355" s="1" t="n">
        <f aca="false">((MAX($P355,1)*MIN($AM355/300,1)))*IF(J355="Wagon",50,10)</f>
        <v>0</v>
      </c>
      <c r="BJ355" s="1" t="n">
        <f aca="false">VLOOKUP($K355,Constants!$I:$K, 2, FALSE())</f>
        <v>0.9</v>
      </c>
      <c r="BK355" s="1" t="n">
        <f aca="false">VLOOKUP($K355,Constants!$I:$K, 3, FALSE())*IF(AND(J355="multiple_unit",AE355&lt;110),0.75,1)</f>
        <v>1.6</v>
      </c>
      <c r="BL355" s="1" t="n">
        <f aca="false">INT(POWER(((Constants!$G$2+$BE355+$BF355+$BG355+$BI355)*$BH355)*$BK355, 1.05))+$BD355</f>
        <v>21</v>
      </c>
      <c r="BM355" s="1" t="n">
        <f aca="false">INT(POWER((((Constants!$G$1+$BE355+$BF355+$BG355+$BI355)*($BH355))*$BJ355),IF($J355="wagon",1,1.2)))+$BC355</f>
        <v>30</v>
      </c>
      <c r="BN355" s="17" t="n">
        <f aca="false">BL355*IF($J355="wagon",62.5,781.25)</f>
        <v>16406.25</v>
      </c>
      <c r="BO355" s="17" t="n">
        <f aca="false">BM355*IF($J355="wagon",2.73,81.25)</f>
        <v>2437.5</v>
      </c>
      <c r="BY355" s="1" t="n">
        <v>1</v>
      </c>
      <c r="CD355" s="1" t="str">
        <f aca="false">VLOOKUP(M355,Eras!$A$2:$C$10, 2, TRUE())</f>
        <v>vct</v>
      </c>
      <c r="CE355" s="1" t="s">
        <v>1397</v>
      </c>
      <c r="CF355" s="1" t="str">
        <f aca="false">CONCATENATE(CD355,"_",CE355)</f>
        <v>vct_LU</v>
      </c>
      <c r="CG355" s="1" t="str">
        <f aca="false">_xlfn.CONCAT(K355, "_",L355)</f>
        <v>tube_FOURTH_RAIL</v>
      </c>
      <c r="CH355" s="7" t="str">
        <f aca="false">_xlfn.CONCAT("{BLACK}Length: {GOLD}", TEXT(ROUNDUP(IF(AT355&lt;&gt;"",SUM(VALUE(_xlfn.TEXTSPLIT(AT355, ","))), SUM(VALUE(_xlfn.TEXTSPLIT(AQ355, ",")))*IF(P355, P355, 1))/16, 1), "#,##0.0"), " tiles{}")</f>
        <v>{BLACK}Length: {GOLD}0.4 tiles{}</v>
      </c>
      <c r="CI355" s="1" t="n">
        <f aca="false">VLOOKUP($CG355, Constants!$M:$N, 2, FALSE())</f>
        <v>0</v>
      </c>
      <c r="CJ355" s="1" t="str">
        <f aca="false">IF(P355&gt;1,_xlfn.CONCAT("{BLACK}Cars: {GOLD}", P355),"")</f>
        <v/>
      </c>
      <c r="CK355" s="1" t="s">
        <v>1398</v>
      </c>
      <c r="CL355" s="1" t="str">
        <f aca="fals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56" customFormat="false" ht="14.25" hidden="false" customHeight="false" outlineLevel="0" collapsed="false">
      <c r="A356" s="1" t="s">
        <v>1399</v>
      </c>
      <c r="B356" s="15" t="s">
        <v>1400</v>
      </c>
      <c r="C356" s="1" t="n">
        <v>291</v>
      </c>
      <c r="E356" s="1" t="n">
        <v>601</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198</v>
      </c>
      <c r="J356" s="1" t="s">
        <v>423</v>
      </c>
      <c r="K356" s="1" t="s">
        <v>1395</v>
      </c>
      <c r="L356" s="1" t="s">
        <v>1396</v>
      </c>
      <c r="M356" s="1" t="n">
        <v>1906</v>
      </c>
      <c r="O356" s="1" t="n">
        <v>1953</v>
      </c>
      <c r="P356" s="1" t="n">
        <v>3</v>
      </c>
      <c r="Q356" s="1" t="n">
        <v>350</v>
      </c>
      <c r="Z356" s="1" t="n">
        <f aca="false">27+20+20</f>
        <v>67</v>
      </c>
      <c r="AB356" s="1" t="n">
        <v>8</v>
      </c>
      <c r="AC356" s="1" t="n">
        <v>55</v>
      </c>
      <c r="AD356" s="4" t="n">
        <f aca="false">IF(AND(Z356&gt;0,AC356&gt;0),(AC356/((Z356+AA356)*10)),"")</f>
        <v>0.082089552238806</v>
      </c>
      <c r="AE356" s="1" t="n">
        <v>35</v>
      </c>
      <c r="AF356" s="1" t="n">
        <f aca="false">ROUND(AE356*1.6, 0)</f>
        <v>56</v>
      </c>
      <c r="AI356" s="1" t="n">
        <v>15.3</v>
      </c>
      <c r="AJ356" s="1" t="n">
        <v>15.3</v>
      </c>
      <c r="AK356" s="1" t="n">
        <v>2.67</v>
      </c>
      <c r="AL356" s="1" t="n">
        <v>2.8</v>
      </c>
      <c r="AM356" s="5" t="n">
        <v>78</v>
      </c>
      <c r="AN356" s="1" t="str">
        <f aca="false">CONCATENATE(VLOOKUP(AO356, 'Voxel Sizes'!$A$2:$B$18,2,FALSE()),"x",INT(AK356*15), "x", INT(AL356*15))</f>
        <v>152x40x42</v>
      </c>
      <c r="AO356" s="1" t="n">
        <f aca="false">ROUND(15*((AJ356*10)/256),0)</f>
        <v>9</v>
      </c>
      <c r="AQ356" s="1" t="str">
        <f aca="false">CONCATENATE(VLOOKUP(AO356,Constants!$A$2:$C$16,IF(AP356&lt;&gt;"", 3, 2), FALSE()),IF(AP356&lt;&gt;"",CONCATENATE(",",VLOOKUP(AP356,$B:$AQ,42,FALSE())),""))</f>
        <v>2,5,2</v>
      </c>
      <c r="AU356" s="1" t="s">
        <v>1401</v>
      </c>
      <c r="AW356" s="1" t="s">
        <v>425</v>
      </c>
      <c r="BA356" s="1" t="n">
        <v>34</v>
      </c>
      <c r="BB356" s="16" t="n">
        <f aca="false">IF(O356&lt;&gt;"",MAX(16,(O356-M356)+8),"")</f>
        <v>55</v>
      </c>
      <c r="BC356" s="1" t="n">
        <v>-25</v>
      </c>
      <c r="BE356" s="1" t="n">
        <f aca="false">MIN(AE356/150, 1)*30</f>
        <v>7</v>
      </c>
      <c r="BF356" s="1" t="n">
        <f aca="false">MIN(Q356/4000, 1)*20</f>
        <v>1.75</v>
      </c>
      <c r="BG356" s="1" t="n">
        <f aca="false">MIN(AC356/400,1)*20</f>
        <v>2.75</v>
      </c>
      <c r="BH356" s="4" t="n">
        <f aca="false">1-(MAX(M356-1900, 0)/750)</f>
        <v>0.992</v>
      </c>
      <c r="BI356" s="1" t="n">
        <f aca="false">((MAX($P356,1)*MIN($AM356/300,1)))*IF(J356="Wagon",50,10)</f>
        <v>7.8</v>
      </c>
      <c r="BJ356" s="1" t="n">
        <f aca="false">VLOOKUP($K356,Constants!$I:$K, 2, FALSE())</f>
        <v>0.9</v>
      </c>
      <c r="BK356" s="1" t="n">
        <f aca="false">VLOOKUP($K356,Constants!$I:$K, 3, FALSE())*IF(AND(J356="multiple_unit",AE356&lt;110),0.75,1)</f>
        <v>1.2</v>
      </c>
      <c r="BL356" s="1" t="n">
        <f aca="false">INT(POWER(((Constants!$G$2+$BE356+$BF356+$BG356+$BI356)*$BH356)*$BK356, 1.05))+$BD356</f>
        <v>34</v>
      </c>
      <c r="BM356" s="1" t="n">
        <f aca="false">INT(POWER((((Constants!$G$1+$BE356+$BF356+$BG356+$BI356)*($BH356))*$BJ356),IF($J356="wagon",1,1.2)))+$BC356</f>
        <v>35</v>
      </c>
      <c r="BN356" s="17" t="n">
        <f aca="false">BL356*IF($J356="wagon",62.5,781.25)</f>
        <v>26562.5</v>
      </c>
      <c r="BO356" s="17" t="n">
        <f aca="false">BM356*IF($J356="wagon",2.73,81.25)</f>
        <v>2843.75</v>
      </c>
      <c r="BY356" s="1" t="n">
        <v>2</v>
      </c>
      <c r="BZ356" s="1" t="n">
        <v>120</v>
      </c>
      <c r="CC356" s="1" t="s">
        <v>327</v>
      </c>
      <c r="CD356" s="1" t="str">
        <f aca="false">VLOOKUP(M356,Eras!$A$2:$C$10, 2, TRUE())</f>
        <v>edw</v>
      </c>
      <c r="CE356" s="1" t="s">
        <v>1397</v>
      </c>
      <c r="CF356" s="1" t="str">
        <f aca="false">CONCATENATE(CD356,"_",CE356)</f>
        <v>edw_LU</v>
      </c>
      <c r="CG356" s="1" t="str">
        <f aca="false">_xlfn.CONCAT(K356, "_",L356)</f>
        <v>tube_FOURTH_RAIL</v>
      </c>
      <c r="CH356" s="7" t="str">
        <f aca="false">_xlfn.CONCAT("{BLACK}Length: {GOLD}", TEXT(ROUNDUP(IF(AT356&lt;&gt;"",SUM(VALUE(_xlfn.TEXTSPLIT(AT356, ","))), SUM(VALUE(_xlfn.TEXTSPLIT(AQ356, ",")))*IF(P356, P356, 1))/16, 1), "#,##0.0"), " tiles{}")</f>
        <v>{BLACK}Length: {GOLD}1.7 tiles{}</v>
      </c>
      <c r="CI356" s="1" t="n">
        <f aca="false">VLOOKUP($CG356, Constants!$M:$N, 2, FALSE())</f>
        <v>0</v>
      </c>
      <c r="CJ356" s="1" t="str">
        <f aca="false">IF(P356&gt;1,_xlfn.CONCAT("{BLACK}Cars: {GOLD}", P356),"")</f>
        <v>{BLACK}Cars: {GOLD}3</v>
      </c>
      <c r="CK356" s="1" t="s">
        <v>1402</v>
      </c>
      <c r="CL356" s="1" t="str">
        <f aca="fals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{YELLOW}35% penalty for long distance travel{}</v>
      </c>
      <c r="CN356" s="1" t="str">
        <f aca="false">_xlfn.CONCAT(CI356,IF(CI356&lt;&gt;""," ",""),CJ356,IF(OR(CJ356&lt;&gt;"",CI356&lt;&gt;""),"{}",""),CH356,CM356,"{SILVER}",CK356,IF(CL356&lt;&gt;"","{}{}",""),CL356)</f>
        <v>{BLACK}Cars: {GOLD}3{}{BLACK}Length: {GOLD}1.7 tiles{}{YELLOW}35% penalty for long distance travel{}{SILVER}The Gate Stock was a deep level unit used on Charles Yerkes' Tube lines. It was named for the manual entry gates, each operated by a gateman.</v>
      </c>
    </row>
    <row r="357" customFormat="false" ht="14.25" hidden="false" customHeight="false" outlineLevel="0" collapsed="false">
      <c r="A357" s="1" t="s">
        <v>1403</v>
      </c>
      <c r="B357" s="15" t="s">
        <v>1404</v>
      </c>
      <c r="C357" s="1" t="n">
        <v>292</v>
      </c>
      <c r="E357" s="1" t="n">
        <v>602</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198</v>
      </c>
      <c r="J357" s="1" t="s">
        <v>423</v>
      </c>
      <c r="K357" s="1" t="s">
        <v>1395</v>
      </c>
      <c r="L357" s="1" t="s">
        <v>1396</v>
      </c>
      <c r="M357" s="1" t="n">
        <v>1923</v>
      </c>
      <c r="O357" s="1" t="n">
        <v>1991</v>
      </c>
      <c r="P357" s="1" t="n">
        <v>3</v>
      </c>
      <c r="Q357" s="1" t="n">
        <v>450</v>
      </c>
      <c r="Z357" s="1" t="n">
        <v>74</v>
      </c>
      <c r="AB357" s="1" t="n">
        <v>10</v>
      </c>
      <c r="AC357" s="1" t="n">
        <v>60</v>
      </c>
      <c r="AD357" s="4" t="n">
        <f aca="false">IF(AND(Z357&gt;0,AC357&gt;0),(AC357/((Z357+AA357)*10)),"")</f>
        <v>0.0810810810810811</v>
      </c>
      <c r="AE357" s="1" t="n">
        <v>40</v>
      </c>
      <c r="AF357" s="1" t="n">
        <f aca="false">ROUND(AE357*1.6, 0)</f>
        <v>64</v>
      </c>
      <c r="AI357" s="1" t="n">
        <v>15.3</v>
      </c>
      <c r="AJ357" s="1" t="n">
        <v>15.3</v>
      </c>
      <c r="AK357" s="1" t="n">
        <v>2.67</v>
      </c>
      <c r="AL357" s="1" t="n">
        <v>2.8</v>
      </c>
      <c r="AM357" s="5" t="n">
        <v>84</v>
      </c>
      <c r="AN357" s="1" t="str">
        <f aca="false">CONCATENATE(VLOOKUP(AO357, 'Voxel Sizes'!$A$2:$B$18,2,FALSE()),"x",INT(AK357*15), "x", INT(AL357*15))</f>
        <v>152x40x42</v>
      </c>
      <c r="AO357" s="1" t="n">
        <f aca="false">ROUND(15*((AJ357*10)/256),0)</f>
        <v>9</v>
      </c>
      <c r="AQ357" s="1" t="str">
        <f aca="false">CONCATENATE(VLOOKUP(AO357,Constants!$A$2:$C$16,IF(AP357&lt;&gt;"", 3, 2), FALSE()),IF(AP357&lt;&gt;"",CONCATENATE(",",VLOOKUP(AP357,$B:$AQ,42,FALSE())),""))</f>
        <v>2,5,2</v>
      </c>
      <c r="AU357" s="1" t="s">
        <v>1405</v>
      </c>
      <c r="AW357" s="1" t="s">
        <v>425</v>
      </c>
      <c r="BA357" s="1" t="n">
        <v>41</v>
      </c>
      <c r="BB357" s="16" t="n">
        <f aca="false">IF(O357&lt;&gt;"",MAX(16,(O357-M357)+8),"")</f>
        <v>76</v>
      </c>
      <c r="BC357" s="1" t="n">
        <v>-25</v>
      </c>
      <c r="BE357" s="1" t="n">
        <f aca="false">MIN(AE357/150, 1)*30</f>
        <v>8</v>
      </c>
      <c r="BF357" s="1" t="n">
        <f aca="false">MIN(Q357/4000, 1)*20</f>
        <v>2.25</v>
      </c>
      <c r="BG357" s="1" t="n">
        <f aca="false">MIN(AC357/400,1)*20</f>
        <v>3</v>
      </c>
      <c r="BH357" s="4" t="n">
        <f aca="false">1-(MAX(M357-1900, 0)/750)</f>
        <v>0.969333333333333</v>
      </c>
      <c r="BI357" s="1" t="n">
        <f aca="false">((MAX($P357,1)*MIN($AM357/300,1)))*IF(J357="Wagon",50,10)</f>
        <v>8.4</v>
      </c>
      <c r="BJ357" s="1" t="n">
        <f aca="false">VLOOKUP($K357,Constants!$I:$K, 2, FALSE())</f>
        <v>0.9</v>
      </c>
      <c r="BK357" s="1" t="n">
        <f aca="false">VLOOKUP($K357,Constants!$I:$K, 3, FALSE())*IF(AND(J357="multiple_unit",AE357&lt;110),0.75,1)</f>
        <v>1.2</v>
      </c>
      <c r="BL357" s="1" t="n">
        <f aca="false">INT(POWER(((Constants!$G$2+$BE357+$BF357+$BG357+$BI357)*$BH357)*$BK357, 1.05))+$BD357</f>
        <v>36</v>
      </c>
      <c r="BM357" s="1" t="n">
        <f aca="false">INT(POWER((((Constants!$G$1+$BE357+$BF357+$BG357+$BI357)*($BH357))*$BJ357),IF($J357="wagon",1,1.2)))+$BC357</f>
        <v>38</v>
      </c>
      <c r="BN357" s="17" t="n">
        <f aca="false">BL357*IF($J357="wagon",62.5,781.25)</f>
        <v>28125</v>
      </c>
      <c r="BO357" s="17" t="n">
        <f aca="false">BM357*IF($J357="wagon",2.73,81.25)</f>
        <v>3087.5</v>
      </c>
      <c r="BY357" s="1" t="n">
        <v>3</v>
      </c>
      <c r="BZ357" s="1" t="n">
        <v>120</v>
      </c>
      <c r="CC357" s="1" t="s">
        <v>327</v>
      </c>
      <c r="CD357" s="1" t="str">
        <f aca="false">VLOOKUP(M357,Eras!$A$2:$C$10, 2, TRUE())</f>
        <v>big4</v>
      </c>
      <c r="CE357" s="1" t="s">
        <v>1397</v>
      </c>
      <c r="CF357" s="1" t="str">
        <f aca="false">CONCATENATE(CD357,"_",CE357)</f>
        <v>big4_LU</v>
      </c>
      <c r="CG357" s="1" t="str">
        <f aca="false">_xlfn.CONCAT(K357, "_",L357)</f>
        <v>tube_FOURTH_RAIL</v>
      </c>
      <c r="CH357" s="7" t="str">
        <f aca="false">_xlfn.CONCAT("{BLACK}Length: {GOLD}", TEXT(ROUNDUP(IF(AT357&lt;&gt;"",SUM(VALUE(_xlfn.TEXTSPLIT(AT357, ","))), SUM(VALUE(_xlfn.TEXTSPLIT(AQ357, ",")))*IF(P357, P357, 1))/16, 1), "#,##0.0"), " tiles{}")</f>
        <v>{BLACK}Length: {GOLD}1.7 tiles{}</v>
      </c>
      <c r="CI357" s="1" t="n">
        <f aca="false">VLOOKUP($CG357, Constants!$M:$N, 2, FALSE())</f>
        <v>0</v>
      </c>
      <c r="CJ357" s="1" t="str">
        <f aca="false">IF(P357&gt;1,_xlfn.CONCAT("{BLACK}Cars: {GOLD}", P357),"")</f>
        <v>{BLACK}Cars: {GOLD}3</v>
      </c>
      <c r="CK357" s="1" t="s">
        <v>1406</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{YELLOW}35% penalty for long distance travel{}</v>
      </c>
      <c r="CN357" s="1" t="str">
        <f aca="false">_xlfn.CONCAT(CI357,IF(CI357&lt;&gt;""," ",""),CJ357,IF(OR(CJ357&lt;&gt;"",CI357&lt;&gt;""),"{}",""),CH357,CM357,"{SILVER}",CK357,IF(CL357&lt;&gt;"","{}{}",""),CL357)</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58" customFormat="false" ht="14.25" hidden="false" customHeight="false" outlineLevel="0" collapsed="false">
      <c r="A358" s="1" t="s">
        <v>1407</v>
      </c>
      <c r="B358" s="15" t="s">
        <v>1408</v>
      </c>
      <c r="C358" s="1" t="n">
        <v>293</v>
      </c>
      <c r="E358" s="1" t="n">
        <v>603</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198</v>
      </c>
      <c r="J358" s="1" t="s">
        <v>423</v>
      </c>
      <c r="K358" s="1" t="s">
        <v>1395</v>
      </c>
      <c r="L358" s="1" t="s">
        <v>1396</v>
      </c>
      <c r="M358" s="1" t="n">
        <v>1937</v>
      </c>
      <c r="O358" s="1" t="n">
        <v>1981</v>
      </c>
      <c r="P358" s="1" t="n">
        <v>3</v>
      </c>
      <c r="Q358" s="1" t="n">
        <v>500</v>
      </c>
      <c r="Z358" s="1" t="n">
        <v>79</v>
      </c>
      <c r="AB358" s="1" t="n">
        <v>10</v>
      </c>
      <c r="AC358" s="1" t="n">
        <v>60</v>
      </c>
      <c r="AD358" s="4" t="n">
        <f aca="false">IF(AND(Z358&gt;0,AC358&gt;0),(AC358/((Z358+AA358)*10)),"")</f>
        <v>0.0759493670886076</v>
      </c>
      <c r="AE358" s="1" t="n">
        <v>42</v>
      </c>
      <c r="AF358" s="1" t="n">
        <f aca="false">ROUND(AE358*1.6, 0)</f>
        <v>67</v>
      </c>
      <c r="AI358" s="1" t="n">
        <v>16</v>
      </c>
      <c r="AJ358" s="1" t="n">
        <v>16</v>
      </c>
      <c r="AK358" s="1" t="n">
        <v>2.92</v>
      </c>
      <c r="AL358" s="1" t="n">
        <v>3.68</v>
      </c>
      <c r="AM358" s="5" t="n">
        <v>129</v>
      </c>
      <c r="AN358" s="1" t="str">
        <f aca="false">CONCATENATE(VLOOKUP(AO358, 'Voxel Sizes'!$A$2:$B$18,2,FALSE()),"x",INT(AK358*15), "x", INT(AL358*15))</f>
        <v>152x43x55</v>
      </c>
      <c r="AO358" s="1" t="n">
        <f aca="false">ROUND(15*((AJ358*10)/256),0)</f>
        <v>9</v>
      </c>
      <c r="AQ358" s="1" t="str">
        <f aca="false">CONCATENATE(VLOOKUP(AO358,Constants!$A$2:$C$16,IF(AP358&lt;&gt;"", 3, 2), FALSE()),IF(AP358&lt;&gt;"",CONCATENATE(",",VLOOKUP(AP358,$B:$AQ,42,FALSE())),""))</f>
        <v>2,5,2</v>
      </c>
      <c r="AU358" s="1" t="s">
        <v>1409</v>
      </c>
      <c r="AW358" s="1" t="s">
        <v>425</v>
      </c>
      <c r="BA358" s="1" t="n">
        <v>39</v>
      </c>
      <c r="BB358" s="16" t="n">
        <f aca="false">IF(O358&lt;&gt;"",MAX(16,(O358-M358)+8),"")</f>
        <v>52</v>
      </c>
      <c r="BC358" s="1" t="n">
        <v>-22</v>
      </c>
      <c r="BD358" s="1" t="n">
        <v>6</v>
      </c>
      <c r="BE358" s="1" t="n">
        <f aca="false">MIN(AE358/150, 1)*30</f>
        <v>8.4</v>
      </c>
      <c r="BF358" s="1" t="n">
        <f aca="false">MIN(Q358/4000, 1)*20</f>
        <v>2.5</v>
      </c>
      <c r="BG358" s="1" t="n">
        <f aca="false">MIN(AC358/400,1)*20</f>
        <v>3</v>
      </c>
      <c r="BH358" s="4" t="n">
        <f aca="false">1-(MAX(M358-1900, 0)/750)</f>
        <v>0.950666666666667</v>
      </c>
      <c r="BI358" s="1" t="n">
        <f aca="false">((MAX($P358,1)*MIN($AM358/300,1)))*IF(J358="Wagon",50,10)</f>
        <v>12.9</v>
      </c>
      <c r="BJ358" s="1" t="n">
        <f aca="false">VLOOKUP($K358,Constants!$I:$K, 2, FALSE())</f>
        <v>0.9</v>
      </c>
      <c r="BK358" s="1" t="n">
        <f aca="false">VLOOKUP($K358,Constants!$I:$K, 3, FALSE())*IF(AND(J358="multiple_unit",AE358&lt;110),0.75,1)</f>
        <v>1.2</v>
      </c>
      <c r="BL358" s="1" t="n">
        <f aca="false">INT(POWER(((Constants!$G$2+$BE358+$BF358+$BG358+$BI358)*$BH358)*$BK358, 1.05))+$BD358</f>
        <v>49</v>
      </c>
      <c r="BM358" s="1" t="n">
        <f aca="false">INT(POWER((((Constants!$G$1+$BE358+$BF358+$BG358+$BI358)*($BH358))*$BJ358),IF($J358="wagon",1,1.2)))+$BC358</f>
        <v>51</v>
      </c>
      <c r="BN358" s="17" t="n">
        <f aca="false">BL358*IF($J358="wagon",62.5,781.25)</f>
        <v>38281.25</v>
      </c>
      <c r="BO358" s="17" t="n">
        <f aca="false">BM358*IF($J358="wagon",2.73,81.25)</f>
        <v>4143.75</v>
      </c>
      <c r="BY358" s="1" t="n">
        <v>5</v>
      </c>
      <c r="BZ358" s="1" t="n">
        <v>120</v>
      </c>
      <c r="CC358" s="1" t="s">
        <v>327</v>
      </c>
      <c r="CD358" s="1" t="str">
        <f aca="false">VLOOKUP(M358,Eras!$A$2:$C$10, 2, TRUE())</f>
        <v>big4</v>
      </c>
      <c r="CE358" s="1" t="s">
        <v>1397</v>
      </c>
      <c r="CF358" s="1" t="str">
        <f aca="false">CONCATENATE(CD358,"_",CE358)</f>
        <v>big4_LU</v>
      </c>
      <c r="CG358" s="1" t="str">
        <f aca="false">_xlfn.CONCAT(K358, "_",L358)</f>
        <v>tube_FOURTH_RAIL</v>
      </c>
      <c r="CH358" s="7" t="str">
        <f aca="false">_xlfn.CONCAT("{BLACK}Length: {GOLD}", TEXT(ROUNDUP(IF(AT358&lt;&gt;"",SUM(VALUE(_xlfn.TEXTSPLIT(AT358, ","))), SUM(VALUE(_xlfn.TEXTSPLIT(AQ358, ",")))*IF(P358, P358, 1))/16, 1), "#,##0.0"), " tiles{}")</f>
        <v>{BLACK}Length: {GOLD}1.7 tiles{}</v>
      </c>
      <c r="CI358" s="1" t="n">
        <f aca="false">VLOOKUP($CG358, Constants!$M:$N, 2, FALSE())</f>
        <v>0</v>
      </c>
      <c r="CJ358" s="1" t="str">
        <f aca="false">IF(P358&gt;1,_xlfn.CONCAT("{BLACK}Cars: {GOLD}", P358),"")</f>
        <v>{BLACK}Cars: {GOLD}3</v>
      </c>
      <c r="CK358" s="1" t="s">
        <v>1410</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{YELLOW}35% penalty for long distance travel{}</v>
      </c>
      <c r="CN358" s="1" t="str">
        <f aca="false">_xlfn.CONCAT(CI358,IF(CI358&lt;&gt;""," ",""),CJ358,IF(OR(CJ358&lt;&gt;"",CI358&lt;&gt;""),"{}",""),CH358,CM358,"{SILVER}",CK358,IF(CL358&lt;&gt;"","{}{}",""),CL358)</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59" customFormat="false" ht="14.25" hidden="false" customHeight="false" outlineLevel="0" collapsed="false">
      <c r="A359" s="1" t="s">
        <v>1411</v>
      </c>
      <c r="B359" s="15" t="s">
        <v>1412</v>
      </c>
      <c r="C359" s="1" t="n">
        <v>294</v>
      </c>
      <c r="E359" s="1" t="n">
        <v>604</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198</v>
      </c>
      <c r="J359" s="1" t="s">
        <v>423</v>
      </c>
      <c r="K359" s="1" t="s">
        <v>1395</v>
      </c>
      <c r="L359" s="1" t="s">
        <v>1396</v>
      </c>
      <c r="M359" s="1" t="n">
        <v>1903</v>
      </c>
      <c r="N359" s="1" t="n">
        <v>1939</v>
      </c>
      <c r="O359" s="1" t="n">
        <v>1939</v>
      </c>
      <c r="P359" s="1" t="n">
        <v>6</v>
      </c>
      <c r="Q359" s="1" t="n">
        <v>400</v>
      </c>
      <c r="Z359" s="1" t="n">
        <f aca="false">(14*6)+20</f>
        <v>104</v>
      </c>
      <c r="AB359" s="1" t="n">
        <v>10</v>
      </c>
      <c r="AC359" s="1" t="n">
        <v>100</v>
      </c>
      <c r="AD359" s="4" t="n">
        <f aca="false">IF(AND(Z359&gt;0,AC359&gt;0),(AC359/((Z359+AA359)*10)),"")</f>
        <v>0.0961538461538462</v>
      </c>
      <c r="AE359" s="1" t="n">
        <v>30</v>
      </c>
      <c r="AF359" s="1" t="n">
        <f aca="false">ROUND(AE359*1.6, 0)</f>
        <v>48</v>
      </c>
      <c r="AI359" s="1" t="n">
        <v>13.87</v>
      </c>
      <c r="AJ359" s="1" t="n">
        <v>13.8</v>
      </c>
      <c r="AK359" s="1" t="n">
        <v>2.59</v>
      </c>
      <c r="AM359" s="5" t="n">
        <v>102</v>
      </c>
      <c r="AN359" s="1" t="str">
        <f aca="false">CONCATENATE(VLOOKUP(AO359, 'Voxel Sizes'!$A$2:$B$18,2,FALSE()),"x",INT(AK359*15), "x", INT(AL359*15))</f>
        <v>136x38x0</v>
      </c>
      <c r="AO359" s="1" t="n">
        <f aca="false">ROUND(15*((AJ359*10)/256),0)</f>
        <v>8</v>
      </c>
      <c r="AQ359" s="1" t="str">
        <f aca="false">CONCATENATE(VLOOKUP(AO359,Constants!$A$2:$C$16,IF(AP359&lt;&gt;"", 3, 2), FALSE()),IF(AP359&lt;&gt;"",CONCATENATE(",",VLOOKUP(AP359,$B:$AQ,42,FALSE())),""))</f>
        <v>2,4,2</v>
      </c>
      <c r="AU359" s="1" t="s">
        <v>1413</v>
      </c>
      <c r="AW359" s="1" t="s">
        <v>992</v>
      </c>
      <c r="BA359" s="1" t="n">
        <v>34</v>
      </c>
      <c r="BB359" s="16" t="n">
        <f aca="false">IF(O359&lt;&gt;"",MAX(16,(O359-M359)+8),"")</f>
        <v>44</v>
      </c>
      <c r="BC359" s="1" t="n">
        <v>-25</v>
      </c>
      <c r="BE359" s="1" t="n">
        <f aca="false">MIN(AE359/150, 1)*30</f>
        <v>6</v>
      </c>
      <c r="BF359" s="1" t="n">
        <f aca="false">MIN(Q359/4000, 1)*20</f>
        <v>2</v>
      </c>
      <c r="BG359" s="1" t="n">
        <f aca="false">MIN(AC359/400,1)*20</f>
        <v>5</v>
      </c>
      <c r="BH359" s="4" t="n">
        <f aca="false">1-(MAX(M359-1900, 0)/750)</f>
        <v>0.996</v>
      </c>
      <c r="BI359" s="1" t="n">
        <f aca="false">((MAX($P359,1)*MIN($AM359/300,1)))*IF(J359="Wagon",50,10)</f>
        <v>20.4</v>
      </c>
      <c r="BJ359" s="1" t="n">
        <f aca="false">VLOOKUP($K359,Constants!$I:$K, 2, FALSE())</f>
        <v>0.9</v>
      </c>
      <c r="BK359" s="1" t="n">
        <f aca="false">VLOOKUP($K359,Constants!$I:$K, 3, FALSE())*IF(AND(J359="multiple_unit",AE359&lt;110),0.75,1)</f>
        <v>1.2</v>
      </c>
      <c r="BL359" s="1" t="n">
        <f aca="false">INT(POWER(((Constants!$G$2+$BE359+$BF359+$BG359+$BI359)*$BH359)*$BK359, 1.05))+$BD359</f>
        <v>55</v>
      </c>
      <c r="BM359" s="1" t="n">
        <f aca="false">INT(POWER((((Constants!$G$1+$BE359+$BF359+$BG359+$BI359)*($BH359))*$BJ359),IF($J359="wagon",1,1.2)))+$BC359</f>
        <v>67</v>
      </c>
      <c r="BN359" s="17" t="n">
        <f aca="false">BL359*IF($J359="wagon",62.5,781.25)</f>
        <v>42968.75</v>
      </c>
      <c r="BO359" s="17" t="n">
        <f aca="false">BM359*IF($J359="wagon",2.73,81.25)</f>
        <v>5443.75</v>
      </c>
      <c r="BY359" s="1" t="n">
        <v>3</v>
      </c>
      <c r="BZ359" s="1" t="n">
        <v>120</v>
      </c>
      <c r="CC359" s="1" t="s">
        <v>327</v>
      </c>
      <c r="CD359" s="1" t="str">
        <f aca="false">VLOOKUP(M359,Eras!$A$2:$C$10, 2, TRUE())</f>
        <v>edw</v>
      </c>
      <c r="CE359" s="1" t="s">
        <v>1397</v>
      </c>
      <c r="CF359" s="1" t="str">
        <f aca="false">CONCATENATE(CD359,"_",CE359)</f>
        <v>edw_LU</v>
      </c>
      <c r="CG359" s="1" t="str">
        <f aca="false">_xlfn.CONCAT(K359, "_",L359)</f>
        <v>tube_FOURTH_RAIL</v>
      </c>
      <c r="CH359" s="7" t="str">
        <f aca="false">_xlfn.CONCAT("{BLACK}Length: {GOLD}", TEXT(ROUNDUP(IF(AT359&lt;&gt;"",SUM(VALUE(_xlfn.TEXTSPLIT(AT359, ","))), SUM(VALUE(_xlfn.TEXTSPLIT(AQ359, ",")))*IF(P359, P359, 1))/16, 1), "#,##0.0"), " tiles{}")</f>
        <v>{BLACK}Length: {GOLD}3.0 tiles{}</v>
      </c>
      <c r="CI359" s="1" t="n">
        <f aca="false">VLOOKUP($CG359, Constants!$M:$N, 2, FALSE())</f>
        <v>0</v>
      </c>
      <c r="CJ359" s="1" t="str">
        <f aca="false">IF(P359&gt;1,_xlfn.CONCAT("{BLACK}Cars: {GOLD}", P359),"")</f>
        <v>{BLACK}Cars: {GOLD}6</v>
      </c>
      <c r="CK359" s="1" t="s">
        <v>1414</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{YELLOW}35% penalty for long distance travel{}</v>
      </c>
      <c r="CN359" s="1" t="str">
        <f aca="false">_xlfn.CONCAT(CI359,IF(CI359&lt;&gt;""," ",""),CJ359,IF(OR(CJ359&lt;&gt;"",CI359&lt;&gt;""),"{}",""),CH359,CM359,"{SILVER}",CK359,IF(CL359&lt;&gt;"","{}{}",""),CL359)</f>
        <v>{BLACK}Cars: {GOLD}6{}{BLACK}Length: {GOLD}3.0 tiles{}{YELLOW}35% penalty for long distance travel{}{SILVER}The carriages of the early Central London Railway stock were hauled by locomotives, but these caused excessive vibration so were replaced by motor cars at each end of the train.</v>
      </c>
    </row>
    <row r="360" customFormat="false" ht="14.25" hidden="false" customHeight="false" outlineLevel="0" collapsed="false">
      <c r="A360" s="1" t="s">
        <v>1415</v>
      </c>
      <c r="B360" s="15" t="s">
        <v>1416</v>
      </c>
      <c r="C360" s="1" t="n">
        <v>295</v>
      </c>
      <c r="E360" s="1" t="n">
        <v>605</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198</v>
      </c>
      <c r="J360" s="1" t="s">
        <v>423</v>
      </c>
      <c r="K360" s="1" t="s">
        <v>1395</v>
      </c>
      <c r="L360" s="1" t="s">
        <v>1396</v>
      </c>
      <c r="M360" s="1" t="n">
        <v>1938</v>
      </c>
      <c r="O360" s="1" t="n">
        <v>2020</v>
      </c>
      <c r="P360" s="1" t="n">
        <v>7</v>
      </c>
      <c r="Q360" s="1" t="n">
        <v>650</v>
      </c>
      <c r="Z360" s="1" t="n">
        <v>161</v>
      </c>
      <c r="AB360" s="1" t="n">
        <v>10</v>
      </c>
      <c r="AC360" s="1" t="n">
        <v>130</v>
      </c>
      <c r="AD360" s="4" t="n">
        <f aca="false">IF(AND(Z360&gt;0,AC360&gt;0),(AC360/((Z360+AA360)*10)),"")</f>
        <v>0.0807453416149068</v>
      </c>
      <c r="AE360" s="1" t="n">
        <v>45</v>
      </c>
      <c r="AF360" s="1" t="n">
        <f aca="false">ROUND(AE360*1.6, 0)</f>
        <v>72</v>
      </c>
      <c r="AI360" s="1" t="n">
        <v>15.8</v>
      </c>
      <c r="AJ360" s="1" t="n">
        <v>15.8</v>
      </c>
      <c r="AK360" s="1" t="n">
        <v>2.59</v>
      </c>
      <c r="AL360" s="1" t="n">
        <v>2.883</v>
      </c>
      <c r="AM360" s="5" t="n">
        <v>108</v>
      </c>
      <c r="AN360" s="1" t="str">
        <f aca="false">CONCATENATE(VLOOKUP(AO360, 'Voxel Sizes'!$A$2:$B$18,2,FALSE()),"x",INT(AK360*15), "x", INT(AL360*15))</f>
        <v>152x38x43</v>
      </c>
      <c r="AO360" s="1" t="n">
        <f aca="false">ROUND(15*((AJ360*10)/256),0)</f>
        <v>9</v>
      </c>
      <c r="AQ360" s="1" t="str">
        <f aca="false">CONCATENATE(VLOOKUP(AO360,Constants!$A$2:$C$16,IF(AP360&lt;&gt;"", 3, 2), FALSE()),IF(AP360&lt;&gt;"",CONCATENATE(",",VLOOKUP(AP360,$B:$AQ,42,FALSE())),""))</f>
        <v>2,5,2</v>
      </c>
      <c r="AU360" s="1" t="s">
        <v>1417</v>
      </c>
      <c r="AW360" s="1" t="s">
        <v>1418</v>
      </c>
      <c r="BA360" s="1" t="n">
        <v>40</v>
      </c>
      <c r="BB360" s="16" t="n">
        <f aca="false">IF(O360&lt;&gt;"",MAX(16,(O360-M360)+8),"")</f>
        <v>90</v>
      </c>
      <c r="BC360" s="1" t="n">
        <v>-25</v>
      </c>
      <c r="BE360" s="1" t="n">
        <f aca="false">MIN(AE360/150, 1)*30</f>
        <v>9</v>
      </c>
      <c r="BF360" s="1" t="n">
        <f aca="false">MIN(Q360/4000, 1)*20</f>
        <v>3.25</v>
      </c>
      <c r="BG360" s="1" t="n">
        <f aca="false">MIN(AC360/400,1)*20</f>
        <v>6.5</v>
      </c>
      <c r="BH360" s="4" t="n">
        <f aca="false">1-(MAX(M360-1900, 0)/750)</f>
        <v>0.949333333333333</v>
      </c>
      <c r="BI360" s="1" t="n">
        <f aca="false">((MAX($P360,1)*MIN($AM360/300,1)))*IF(J360="Wagon",50,10)</f>
        <v>25.2</v>
      </c>
      <c r="BJ360" s="1" t="n">
        <f aca="false">VLOOKUP($K360,Constants!$I:$K, 2, FALSE())</f>
        <v>0.9</v>
      </c>
      <c r="BK360" s="1" t="n">
        <f aca="false">VLOOKUP($K360,Constants!$I:$K, 3, FALSE())*IF(AND(J360="multiple_unit",AE360&lt;110),0.75,1)</f>
        <v>1.2</v>
      </c>
      <c r="BL360" s="1" t="n">
        <f aca="false">INT(POWER(((Constants!$G$2+$BE360+$BF360+$BG360+$BI360)*$BH360)*$BK360, 1.05))+$BD360</f>
        <v>68</v>
      </c>
      <c r="BM360" s="1" t="n">
        <f aca="false">INT(POWER((((Constants!$G$1+$BE360+$BF360+$BG360+$BI360)*($BH360))*$BJ360),IF($J360="wagon",1,1.2)))+$BC360</f>
        <v>85</v>
      </c>
      <c r="BN360" s="17" t="n">
        <f aca="false">BL360*IF($J360="wagon",62.5,781.25)</f>
        <v>53125</v>
      </c>
      <c r="BO360" s="17" t="n">
        <f aca="false">BM360*IF($J360="wagon",2.73,81.25)</f>
        <v>6906.25</v>
      </c>
      <c r="BY360" s="1" t="n">
        <v>4</v>
      </c>
      <c r="BZ360" s="1" t="n">
        <v>120</v>
      </c>
      <c r="CC360" s="1" t="s">
        <v>327</v>
      </c>
      <c r="CD360" s="1" t="str">
        <f aca="false">VLOOKUP(M360,Eras!$A$2:$C$10, 2, TRUE())</f>
        <v>big4</v>
      </c>
      <c r="CE360" s="1" t="s">
        <v>1397</v>
      </c>
      <c r="CF360" s="1" t="str">
        <f aca="false">CONCATENATE(CD360,"_",CE360)</f>
        <v>big4_LU</v>
      </c>
      <c r="CG360" s="1" t="str">
        <f aca="false">_xlfn.CONCAT(K360, "_",L360)</f>
        <v>tube_FOURTH_RAIL</v>
      </c>
      <c r="CH360" s="7" t="str">
        <f aca="false">_xlfn.CONCAT("{BLACK}Length: {GOLD}", TEXT(ROUNDUP(IF(AT360&lt;&gt;"",SUM(VALUE(_xlfn.TEXTSPLIT(AT360, ","))), SUM(VALUE(_xlfn.TEXTSPLIT(AQ360, ",")))*IF(P360, P360, 1))/16, 1), "#,##0.0"), " tiles{}")</f>
        <v>{BLACK}Length: {GOLD}4.0 tiles{}</v>
      </c>
      <c r="CI360" s="1" t="n">
        <f aca="false">VLOOKUP($CG360, Constants!$M:$N, 2, FALSE())</f>
        <v>0</v>
      </c>
      <c r="CJ360" s="1" t="str">
        <f aca="false">IF(P360&gt;1,_xlfn.CONCAT("{BLACK}Cars: {GOLD}", P360),"")</f>
        <v>{BLACK}Cars: {GOLD}7</v>
      </c>
      <c r="CK360" s="1" t="s">
        <v>1419</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{YELLOW}35% penalty for long distance travel{}</v>
      </c>
      <c r="CN360" s="1" t="str">
        <f aca="false">_xlfn.CONCAT(CI360,IF(CI360&lt;&gt;""," ",""),CJ360,IF(OR(CJ360&lt;&gt;"",CI360&lt;&gt;""),"{}",""),CH360,CM360,"{SILVER}",CK360,IF(CL360&lt;&gt;"","{}{}",""),CL360)</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1" customFormat="false" ht="14.25" hidden="false" customHeight="false" outlineLevel="0" collapsed="false">
      <c r="A361" s="1" t="s">
        <v>1420</v>
      </c>
      <c r="B361" s="15" t="s">
        <v>1421</v>
      </c>
      <c r="C361" s="1" t="n">
        <v>296</v>
      </c>
      <c r="E361" s="1" t="n">
        <v>606</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198</v>
      </c>
      <c r="J361" s="1" t="s">
        <v>423</v>
      </c>
      <c r="K361" s="1" t="s">
        <v>1395</v>
      </c>
      <c r="L361" s="1" t="s">
        <v>1396</v>
      </c>
      <c r="M361" s="1" t="n">
        <v>1959</v>
      </c>
      <c r="O361" s="1" t="n">
        <v>2000</v>
      </c>
      <c r="P361" s="1" t="n">
        <v>7</v>
      </c>
      <c r="Q361" s="1" t="n">
        <v>750</v>
      </c>
      <c r="Z361" s="1" t="n">
        <v>167</v>
      </c>
      <c r="AB361" s="1" t="n">
        <v>10</v>
      </c>
      <c r="AC361" s="1" t="n">
        <v>135</v>
      </c>
      <c r="AD361" s="4" t="n">
        <f aca="false">IF(AND(Z361&gt;0,AC361&gt;0),(AC361/((Z361+AA361)*10)),"")</f>
        <v>0.0808383233532934</v>
      </c>
      <c r="AE361" s="1" t="n">
        <v>45</v>
      </c>
      <c r="AF361" s="1" t="n">
        <f aca="false">ROUND(AE361*1.6, 0)</f>
        <v>72</v>
      </c>
      <c r="AI361" s="1" t="n">
        <v>15.9</v>
      </c>
      <c r="AJ361" s="1" t="n">
        <v>15.9</v>
      </c>
      <c r="AK361" s="1" t="n">
        <v>2.59</v>
      </c>
      <c r="AL361" s="1" t="n">
        <v>2.883</v>
      </c>
      <c r="AM361" s="5" t="n">
        <v>120</v>
      </c>
      <c r="AN361" s="1" t="str">
        <f aca="false">CONCATENATE(VLOOKUP(AO361, 'Voxel Sizes'!$A$2:$B$18,2,FALSE()),"x",INT(AK361*15), "x", INT(AL361*15))</f>
        <v>152x38x43</v>
      </c>
      <c r="AO361" s="1" t="n">
        <f aca="false">ROUND(15*((AJ361*10)/256),0)</f>
        <v>9</v>
      </c>
      <c r="AQ361" s="1" t="str">
        <f aca="false">CONCATENATE(VLOOKUP(AO361,Constants!$A$2:$C$16,IF(AP361&lt;&gt;"", 3, 2), FALSE()),IF(AP361&lt;&gt;"",CONCATENATE(",",VLOOKUP(AP361,$B:$AQ,42,FALSE())),""))</f>
        <v>2,5,2</v>
      </c>
      <c r="AU361" s="1" t="s">
        <v>1422</v>
      </c>
      <c r="AW361" s="1" t="s">
        <v>1418</v>
      </c>
      <c r="BA361" s="1" t="n">
        <v>38</v>
      </c>
      <c r="BB361" s="16" t="n">
        <f aca="false">IF(O361&lt;&gt;"",MAX(16,(O361-M361)+8),"")</f>
        <v>49</v>
      </c>
      <c r="BC361" s="1" t="n">
        <v>-25</v>
      </c>
      <c r="BD361" s="1" t="n">
        <v>-1</v>
      </c>
      <c r="BE361" s="1" t="n">
        <f aca="false">MIN(AE361/150, 1)*30</f>
        <v>9</v>
      </c>
      <c r="BF361" s="1" t="n">
        <f aca="false">MIN(Q361/4000, 1)*20</f>
        <v>3.75</v>
      </c>
      <c r="BG361" s="1" t="n">
        <f aca="false">MIN(AC361/400,1)*20</f>
        <v>6.75</v>
      </c>
      <c r="BH361" s="4" t="n">
        <f aca="false">1-(MAX(M361-1900, 0)/750)</f>
        <v>0.921333333333333</v>
      </c>
      <c r="BI361" s="1" t="n">
        <f aca="false">((MAX($P361,1)*MIN($AM361/300,1)))*IF(J361="Wagon",50,10)</f>
        <v>28</v>
      </c>
      <c r="BJ361" s="1" t="n">
        <f aca="false">VLOOKUP($K361,Constants!$I:$K, 2, FALSE())</f>
        <v>0.9</v>
      </c>
      <c r="BK361" s="1" t="n">
        <f aca="false">VLOOKUP($K361,Constants!$I:$K, 3, FALSE())*IF(AND(J361="multiple_unit",AE361&lt;110),0.75,1)</f>
        <v>1.2</v>
      </c>
      <c r="BL361" s="1" t="n">
        <f aca="false">INT(POWER(((Constants!$G$2+$BE361+$BF361+$BG361+$BI361)*$BH361)*$BK361, 1.05))+$BD361</f>
        <v>70</v>
      </c>
      <c r="BM361" s="1" t="n">
        <f aca="false">INT(POWER((((Constants!$G$1+$BE361+$BF361+$BG361+$BI361)*($BH361))*$BJ361),IF($J361="wagon",1,1.2)))+$BC361</f>
        <v>89</v>
      </c>
      <c r="BN361" s="17" t="n">
        <f aca="false">BL361*IF($J361="wagon",62.5,781.25)</f>
        <v>54687.5</v>
      </c>
      <c r="BO361" s="17" t="n">
        <f aca="false">BM361*IF($J361="wagon",2.73,81.25)</f>
        <v>7231.25</v>
      </c>
      <c r="BY361" s="1" t="n">
        <v>5</v>
      </c>
      <c r="BZ361" s="1" t="n">
        <v>120</v>
      </c>
      <c r="CC361" s="1" t="s">
        <v>327</v>
      </c>
      <c r="CD361" s="1" t="str">
        <f aca="false">VLOOKUP(M361,Eras!$A$2:$C$10, 2, TRUE())</f>
        <v>dsl</v>
      </c>
      <c r="CE361" s="1" t="s">
        <v>1397</v>
      </c>
      <c r="CF361" s="1" t="str">
        <f aca="false">CONCATENATE(CD361,"_",CE361)</f>
        <v>dsl_LU</v>
      </c>
      <c r="CG361" s="1" t="str">
        <f aca="false">_xlfn.CONCAT(K361, "_",L361)</f>
        <v>tube_FOURTH_RAIL</v>
      </c>
      <c r="CH361" s="7" t="str">
        <f aca="false">_xlfn.CONCAT("{BLACK}Length: {GOLD}", TEXT(ROUNDUP(IF(AT361&lt;&gt;"",SUM(VALUE(_xlfn.TEXTSPLIT(AT361, ","))), SUM(VALUE(_xlfn.TEXTSPLIT(AQ361, ",")))*IF(P361, P361, 1))/16, 1), "#,##0.0"), " tiles{}")</f>
        <v>{BLACK}Length: {GOLD}4.0 tiles{}</v>
      </c>
      <c r="CI361" s="1" t="n">
        <f aca="false">VLOOKUP($CG361, Constants!$M:$N, 2, FALSE())</f>
        <v>0</v>
      </c>
      <c r="CJ361" s="1" t="str">
        <f aca="false">IF(P361&gt;1,_xlfn.CONCAT("{BLACK}Cars: {GOLD}", P361),"")</f>
        <v>{BLACK}Cars: {GOLD}7</v>
      </c>
      <c r="CK361" s="1" t="s">
        <v>1423</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{GOLD}7{}{BLACK}Length: {GOLD}4.0 tiles{}{YELLOW}35% penalty for long distance travel{}{SILVER}The 1959 stock was based on the aluminium-bodied 1956 stock, built for the Piccadilly line but used across many deep level Tube lines over its long life.</v>
      </c>
    </row>
    <row r="362" customFormat="false" ht="14.25" hidden="false" customHeight="false" outlineLevel="0" collapsed="false">
      <c r="A362" s="1" t="s">
        <v>1424</v>
      </c>
      <c r="B362" s="15" t="s">
        <v>1425</v>
      </c>
      <c r="C362" s="1" t="n">
        <v>297</v>
      </c>
      <c r="E362" s="1" t="n">
        <v>607</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198</v>
      </c>
      <c r="J362" s="1" t="s">
        <v>423</v>
      </c>
      <c r="K362" s="1" t="s">
        <v>1395</v>
      </c>
      <c r="L362" s="1" t="s">
        <v>1396</v>
      </c>
      <c r="M362" s="1" t="n">
        <v>1960</v>
      </c>
      <c r="O362" s="1" t="n">
        <v>2012</v>
      </c>
      <c r="P362" s="1" t="n">
        <v>4</v>
      </c>
      <c r="Q362" s="1" t="n">
        <v>450</v>
      </c>
      <c r="Z362" s="1" t="n">
        <f aca="false">32+21+21+32</f>
        <v>106</v>
      </c>
      <c r="AB362" s="1" t="n">
        <v>10</v>
      </c>
      <c r="AC362" s="1" t="n">
        <v>80</v>
      </c>
      <c r="AD362" s="4" t="n">
        <f aca="false">IF(AND(Z362&gt;0,AC362&gt;0),(AC362/((Z362+AA362)*10)),"")</f>
        <v>0.0754716981132075</v>
      </c>
      <c r="AE362" s="1" t="n">
        <v>70</v>
      </c>
      <c r="AF362" s="1" t="n">
        <f aca="false">ROUND(AE362*1.6, 0)</f>
        <v>112</v>
      </c>
      <c r="AI362" s="1" t="n">
        <v>16.2</v>
      </c>
      <c r="AJ362" s="1" t="n">
        <v>16.2</v>
      </c>
      <c r="AK362" s="1" t="n">
        <v>2.94</v>
      </c>
      <c r="AL362" s="1" t="n">
        <v>3.68</v>
      </c>
      <c r="AM362" s="5" t="n">
        <v>114</v>
      </c>
      <c r="AN362" s="1" t="str">
        <f aca="false">CONCATENATE(VLOOKUP(AO362, 'Voxel Sizes'!$A$2:$B$18,2,FALSE()),"x",INT(AK362*15), "x", INT(AL362*15))</f>
        <v>152x44x55</v>
      </c>
      <c r="AO362" s="1" t="n">
        <f aca="false">ROUND(15*((AJ362*10)/256),0)</f>
        <v>9</v>
      </c>
      <c r="AQ362" s="1" t="str">
        <f aca="false">CONCATENATE(VLOOKUP(AO362,Constants!$A$2:$C$16,IF(AP362&lt;&gt;"", 3, 2), FALSE()),IF(AP362&lt;&gt;"",CONCATENATE(",",VLOOKUP(AP362,$B:$AQ,42,FALSE())),""))</f>
        <v>2,5,2</v>
      </c>
      <c r="AU362" s="1" t="s">
        <v>1426</v>
      </c>
      <c r="AW362" s="1" t="s">
        <v>847</v>
      </c>
      <c r="BA362" s="1" t="n">
        <v>39</v>
      </c>
      <c r="BB362" s="16" t="n">
        <f aca="false">IF(O362&lt;&gt;"",MAX(16,(O362-M362)+8),"")</f>
        <v>60</v>
      </c>
      <c r="BC362" s="1" t="n">
        <v>-25</v>
      </c>
      <c r="BE362" s="1" t="n">
        <f aca="false">MIN(AE362/150, 1)*30</f>
        <v>14</v>
      </c>
      <c r="BF362" s="1" t="n">
        <f aca="false">MIN(Q362/4000, 1)*20</f>
        <v>2.25</v>
      </c>
      <c r="BG362" s="1" t="n">
        <f aca="false">MIN(AC362/400,1)*20</f>
        <v>4</v>
      </c>
      <c r="BH362" s="4" t="n">
        <f aca="false">1-(MAX(M362-1900, 0)/750)</f>
        <v>0.92</v>
      </c>
      <c r="BI362" s="1" t="n">
        <f aca="false">((MAX($P362,1)*MIN($AM362/300,1)))*IF(J362="Wagon",50,10)</f>
        <v>15.2</v>
      </c>
      <c r="BJ362" s="1" t="n">
        <f aca="false">VLOOKUP($K362,Constants!$I:$K, 2, FALSE())</f>
        <v>0.9</v>
      </c>
      <c r="BK362" s="1" t="n">
        <f aca="false">VLOOKUP($K362,Constants!$I:$K, 3, FALSE())*IF(AND(J362="multiple_unit",AE362&lt;110),0.75,1)</f>
        <v>1.2</v>
      </c>
      <c r="BL362" s="1" t="n">
        <f aca="false">INT(POWER(((Constants!$G$2+$BE362+$BF362+$BG362+$BI362)*$BH362)*$BK362, 1.05))+$BD362</f>
        <v>53</v>
      </c>
      <c r="BM362" s="1" t="n">
        <f aca="false">INT(POWER((((Constants!$G$1+$BE362+$BF362+$BG362+$BI362)*($BH362))*$BJ362),IF($J362="wagon",1,1.2)))+$BC362</f>
        <v>63</v>
      </c>
      <c r="BN362" s="17" t="n">
        <f aca="false">BL362*IF($J362="wagon",62.5,781.25)</f>
        <v>41406.25</v>
      </c>
      <c r="BO362" s="17" t="n">
        <f aca="false">BM362*IF($J362="wagon",2.73,81.25)</f>
        <v>5118.75</v>
      </c>
      <c r="BY362" s="1" t="n">
        <v>6</v>
      </c>
      <c r="BZ362" s="1" t="n">
        <v>120</v>
      </c>
      <c r="CC362" s="1" t="s">
        <v>327</v>
      </c>
      <c r="CD362" s="1" t="str">
        <f aca="false">VLOOKUP(M362,Eras!$A$2:$C$10, 2, TRUE())</f>
        <v>dsl</v>
      </c>
      <c r="CE362" s="1" t="s">
        <v>1397</v>
      </c>
      <c r="CF362" s="1" t="str">
        <f aca="false">CONCATENATE(CD362,"_",CE362)</f>
        <v>dsl_LU</v>
      </c>
      <c r="CG362" s="1" t="str">
        <f aca="false">_xlfn.CONCAT(K362, "_",L362)</f>
        <v>tube_FOURTH_RAIL</v>
      </c>
      <c r="CH362" s="7" t="str">
        <f aca="false">_xlfn.CONCAT("{BLACK}Length: {GOLD}", TEXT(ROUNDUP(IF(AT362&lt;&gt;"",SUM(VALUE(_xlfn.TEXTSPLIT(AT362, ","))), SUM(VALUE(_xlfn.TEXTSPLIT(AQ362, ",")))*IF(P362, P362, 1))/16, 1), "#,##0.0"), " tiles{}")</f>
        <v>{BLACK}Length: {GOLD}2.3 tiles{}</v>
      </c>
      <c r="CI362" s="1" t="n">
        <f aca="false">VLOOKUP($CG362, Constants!$M:$N, 2, FALSE())</f>
        <v>0</v>
      </c>
      <c r="CJ362" s="1" t="str">
        <f aca="false">IF(P362&gt;1,_xlfn.CONCAT("{BLACK}Cars: {GOLD}", P362),"")</f>
        <v>{BLACK}Cars: {GOLD}4</v>
      </c>
      <c r="CK362" s="1" t="s">
        <v>1427</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3" customFormat="false" ht="14.25" hidden="false" customHeight="false" outlineLevel="0" collapsed="false">
      <c r="A363" s="1" t="s">
        <v>1428</v>
      </c>
      <c r="B363" s="15" t="s">
        <v>1429</v>
      </c>
      <c r="C363" s="1" t="n">
        <v>298</v>
      </c>
      <c r="E363" s="1" t="n">
        <v>608</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198</v>
      </c>
      <c r="J363" s="1" t="s">
        <v>423</v>
      </c>
      <c r="K363" s="1" t="s">
        <v>1395</v>
      </c>
      <c r="L363" s="1" t="s">
        <v>1396</v>
      </c>
      <c r="M363" s="1" t="n">
        <v>1967</v>
      </c>
      <c r="O363" s="1" t="n">
        <v>2011</v>
      </c>
      <c r="P363" s="1" t="n">
        <v>4</v>
      </c>
      <c r="Q363" s="1" t="n">
        <v>500</v>
      </c>
      <c r="Z363" s="1" t="n">
        <f aca="false">28.5+28.5+19.4+19.4</f>
        <v>95.8</v>
      </c>
      <c r="AB363" s="1" t="n">
        <v>10</v>
      </c>
      <c r="AC363" s="1" t="n">
        <v>70</v>
      </c>
      <c r="AD363" s="4" t="n">
        <f aca="false">IF(AND(Z363&gt;0,AC363&gt;0),(AC363/((Z363+AA363)*10)),"")</f>
        <v>0.0730688935281837</v>
      </c>
      <c r="AE363" s="1" t="n">
        <v>45</v>
      </c>
      <c r="AF363" s="1" t="n">
        <f aca="false">ROUND(AE363*1.6, 0)</f>
        <v>72</v>
      </c>
      <c r="AI363" s="1" t="n">
        <v>16</v>
      </c>
      <c r="AJ363" s="1" t="n">
        <v>16</v>
      </c>
      <c r="AK363" s="1" t="n">
        <v>2.642</v>
      </c>
      <c r="AL363" s="1" t="n">
        <v>2.877</v>
      </c>
      <c r="AM363" s="5" t="n">
        <v>120</v>
      </c>
      <c r="AN363" s="1" t="str">
        <f aca="false">CONCATENATE(VLOOKUP(AO363, 'Voxel Sizes'!$A$2:$B$18,2,FALSE()),"x",INT(AK363*15), "x", INT(AL363*15))</f>
        <v>152x39x43</v>
      </c>
      <c r="AO363" s="1" t="n">
        <f aca="false">ROUND(15*((AJ363*10)/256),0)</f>
        <v>9</v>
      </c>
      <c r="AQ363" s="1" t="str">
        <f aca="false">CONCATENATE(VLOOKUP(AO363,Constants!$A$2:$C$16,IF(AP363&lt;&gt;"", 3, 2), FALSE()),IF(AP363&lt;&gt;"",CONCATENATE(",",VLOOKUP(AP363,$B:$AQ,42,FALSE())),""))</f>
        <v>2,5,2</v>
      </c>
      <c r="AU363" s="1" t="s">
        <v>1430</v>
      </c>
      <c r="AW363" s="1" t="s">
        <v>847</v>
      </c>
      <c r="BA363" s="1" t="n">
        <v>36</v>
      </c>
      <c r="BB363" s="16" t="n">
        <f aca="false">IF(O363&lt;&gt;"",MAX(16,(O363-M363)+8),"")</f>
        <v>52</v>
      </c>
      <c r="BC363" s="1" t="n">
        <v>-23</v>
      </c>
      <c r="BD363" s="1" t="n">
        <v>2</v>
      </c>
      <c r="BE363" s="1" t="n">
        <f aca="false">MIN(AE363/150, 1)*30</f>
        <v>9</v>
      </c>
      <c r="BF363" s="1" t="n">
        <f aca="false">MIN(Q363/4000, 1)*20</f>
        <v>2.5</v>
      </c>
      <c r="BG363" s="1" t="n">
        <f aca="false">MIN(AC363/400,1)*20</f>
        <v>3.5</v>
      </c>
      <c r="BH363" s="4" t="n">
        <f aca="false">1-(MAX(M363-1900, 0)/750)</f>
        <v>0.910666666666667</v>
      </c>
      <c r="BI363" s="1" t="n">
        <f aca="false">((MAX($P363,1)*MIN($AM363/300,1)))*IF(J363="Wagon",50,10)</f>
        <v>16</v>
      </c>
      <c r="BJ363" s="1" t="n">
        <f aca="false">VLOOKUP($K363,Constants!$I:$K, 2, FALSE())</f>
        <v>0.9</v>
      </c>
      <c r="BK363" s="1" t="n">
        <f aca="false">VLOOKUP($K363,Constants!$I:$K, 3, FALSE())*IF(AND(J363="multiple_unit",AE363&lt;110),0.75,1)</f>
        <v>1.2</v>
      </c>
      <c r="BL363" s="1" t="n">
        <f aca="false">INT(POWER(((Constants!$G$2+$BE363+$BF363+$BG363+$BI363)*$BH363)*$BK363, 1.05))+$BD363</f>
        <v>49</v>
      </c>
      <c r="BM363" s="1" t="n">
        <f aca="false">INT(POWER((((Constants!$G$1+$BE363+$BF363+$BG363+$BI363)*($BH363))*$BJ363),IF($J363="wagon",1,1.2)))+$BC363</f>
        <v>54</v>
      </c>
      <c r="BN363" s="17" t="n">
        <f aca="false">BL363*IF($J363="wagon",62.5,781.25)</f>
        <v>38281.25</v>
      </c>
      <c r="BO363" s="17" t="n">
        <f aca="false">BM363*IF($J363="wagon",2.73,81.25)</f>
        <v>4387.5</v>
      </c>
      <c r="BY363" s="1" t="n">
        <v>7</v>
      </c>
      <c r="BZ363" s="1" t="n">
        <v>120</v>
      </c>
      <c r="CC363" s="1" t="s">
        <v>327</v>
      </c>
      <c r="CD363" s="1" t="str">
        <f aca="false">VLOOKUP(M363,Eras!$A$2:$C$10, 2, TRUE())</f>
        <v>dsl</v>
      </c>
      <c r="CE363" s="1" t="s">
        <v>1397</v>
      </c>
      <c r="CF363" s="1" t="str">
        <f aca="false">CONCATENATE(CD363,"_",CE363)</f>
        <v>dsl_LU</v>
      </c>
      <c r="CG363" s="1" t="str">
        <f aca="false">_xlfn.CONCAT(K363, "_",L363)</f>
        <v>tube_FOURTH_RAIL</v>
      </c>
      <c r="CH363" s="7" t="str">
        <f aca="false">_xlfn.CONCAT("{BLACK}Length: {GOLD}", TEXT(ROUNDUP(IF(AT363&lt;&gt;"",SUM(VALUE(_xlfn.TEXTSPLIT(AT363, ","))), SUM(VALUE(_xlfn.TEXTSPLIT(AQ363, ",")))*IF(P363, P363, 1))/16, 1), "#,##0.0"), " tiles{}")</f>
        <v>{BLACK}Length: {GOLD}2.3 tiles{}</v>
      </c>
      <c r="CI363" s="1" t="n">
        <f aca="false">VLOOKUP($CG363, Constants!$M:$N, 2, FALSE())</f>
        <v>0</v>
      </c>
      <c r="CJ363" s="1" t="str">
        <f aca="false">IF(P363&gt;1,_xlfn.CONCAT("{BLACK}Cars: {GOLD}", P363),"")</f>
        <v>{BLACK}Cars: {GOLD}4</v>
      </c>
      <c r="CK363" s="1" t="s">
        <v>1431</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4" customFormat="false" ht="14.25" hidden="false" customHeight="false" outlineLevel="0" collapsed="false">
      <c r="A364" s="1" t="s">
        <v>1432</v>
      </c>
      <c r="B364" s="15" t="s">
        <v>1433</v>
      </c>
      <c r="C364" s="1" t="n">
        <v>299</v>
      </c>
      <c r="E364" s="1" t="n">
        <v>609</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198</v>
      </c>
      <c r="J364" s="1" t="s">
        <v>423</v>
      </c>
      <c r="K364" s="1" t="s">
        <v>1395</v>
      </c>
      <c r="L364" s="1" t="s">
        <v>1396</v>
      </c>
      <c r="M364" s="1" t="n">
        <v>1970</v>
      </c>
      <c r="O364" s="1" t="n">
        <v>2014</v>
      </c>
      <c r="P364" s="1" t="n">
        <v>2</v>
      </c>
      <c r="Q364" s="1" t="n">
        <v>580</v>
      </c>
      <c r="Z364" s="1" t="n">
        <f aca="false">31+20</f>
        <v>51</v>
      </c>
      <c r="AB364" s="1" t="n">
        <v>10</v>
      </c>
      <c r="AC364" s="1" t="n">
        <v>40</v>
      </c>
      <c r="AD364" s="4" t="n">
        <f aca="false">IF(AND(Z364&gt;0,AC364&gt;0),(AC364/((Z364+AA364)*10)),"")</f>
        <v>0.0784313725490196</v>
      </c>
      <c r="AE364" s="1" t="n">
        <v>45</v>
      </c>
      <c r="AF364" s="1" t="n">
        <f aca="false">ROUND(AE364*1.6, 0)</f>
        <v>72</v>
      </c>
      <c r="AI364" s="1" t="n">
        <v>16</v>
      </c>
      <c r="AJ364" s="1" t="n">
        <v>16</v>
      </c>
      <c r="AK364" s="1" t="n">
        <v>2.92</v>
      </c>
      <c r="AL364" s="1" t="n">
        <v>3.68</v>
      </c>
      <c r="AM364" s="5" t="n">
        <v>135</v>
      </c>
      <c r="AN364" s="1" t="str">
        <f aca="false">CONCATENATE(VLOOKUP(AO364, 'Voxel Sizes'!$A$2:$B$18,2,FALSE()),"x",INT(AK364*15), "x", INT(AL364*15))</f>
        <v>152x43x55</v>
      </c>
      <c r="AO364" s="1" t="n">
        <f aca="false">ROUND(15*((AJ364*10)/256),0)</f>
        <v>9</v>
      </c>
      <c r="AQ364" s="1" t="str">
        <f aca="false">CONCATENATE(VLOOKUP(AO364,Constants!$A$2:$C$16,IF(AP364&lt;&gt;"", 3, 2), FALSE()),IF(AP364&lt;&gt;"",CONCATENATE(",",VLOOKUP(AP364,$B:$AQ,42,FALSE())),""))</f>
        <v>2,5,2</v>
      </c>
      <c r="AU364" s="1" t="s">
        <v>1434</v>
      </c>
      <c r="AW364" s="1" t="s">
        <v>770</v>
      </c>
      <c r="BA364" s="1" t="n">
        <v>38</v>
      </c>
      <c r="BB364" s="16" t="n">
        <f aca="false">IF(O364&lt;&gt;"",MAX(16,(O364-M364)+8),"")</f>
        <v>52</v>
      </c>
      <c r="BC364" s="1" t="n">
        <v>-25</v>
      </c>
      <c r="BE364" s="1" t="n">
        <f aca="false">MIN(AE364/150, 1)*30</f>
        <v>9</v>
      </c>
      <c r="BF364" s="1" t="n">
        <f aca="false">MIN(Q364/4000, 1)*20</f>
        <v>2.9</v>
      </c>
      <c r="BG364" s="1" t="n">
        <f aca="false">MIN(AC364/400,1)*20</f>
        <v>2</v>
      </c>
      <c r="BH364" s="4" t="n">
        <f aca="false">1-(MAX(M364-1900, 0)/750)</f>
        <v>0.906666666666667</v>
      </c>
      <c r="BI364" s="1" t="n">
        <f aca="false">((MAX($P364,1)*MIN($AM364/300,1)))*IF(J364="Wagon",50,10)</f>
        <v>9</v>
      </c>
      <c r="BJ364" s="1" t="n">
        <f aca="false">VLOOKUP($K364,Constants!$I:$K, 2, FALSE())</f>
        <v>0.9</v>
      </c>
      <c r="BK364" s="1" t="n">
        <f aca="false">VLOOKUP($K364,Constants!$I:$K, 3, FALSE())*IF(AND(J364="multiple_unit",AE364&lt;110),0.75,1)</f>
        <v>1.2</v>
      </c>
      <c r="BL364" s="1" t="n">
        <f aca="false">INT(POWER(((Constants!$G$2+$BE364+$BF364+$BG364+$BI364)*$BH364)*$BK364, 1.05))+$BD364</f>
        <v>36</v>
      </c>
      <c r="BM364" s="1" t="n">
        <f aca="false">INT(POWER((((Constants!$G$1+$BE364+$BF364+$BG364+$BI364)*($BH364))*$BJ364),IF($J364="wagon",1,1.2)))+$BC364</f>
        <v>36</v>
      </c>
      <c r="BN364" s="17" t="n">
        <f aca="false">BL364*IF($J364="wagon",62.5,781.25)</f>
        <v>28125</v>
      </c>
      <c r="BO364" s="17" t="n">
        <f aca="false">BM364*IF($J364="wagon",2.73,81.25)</f>
        <v>2925</v>
      </c>
      <c r="BY364" s="1" t="n">
        <v>8</v>
      </c>
      <c r="BZ364" s="1" t="n">
        <v>120</v>
      </c>
      <c r="CC364" s="1" t="s">
        <v>327</v>
      </c>
      <c r="CD364" s="1" t="str">
        <f aca="false">VLOOKUP(M364,Eras!$A$2:$C$10, 2, TRUE())</f>
        <v>lbr</v>
      </c>
      <c r="CE364" s="1" t="s">
        <v>1397</v>
      </c>
      <c r="CF364" s="1" t="str">
        <f aca="false">CONCATENATE(CD364,"_",CE364)</f>
        <v>lbr_LU</v>
      </c>
      <c r="CG364" s="1" t="str">
        <f aca="false">_xlfn.CONCAT(K364, "_",L364)</f>
        <v>tube_FOURTH_RAIL</v>
      </c>
      <c r="CH364" s="7" t="str">
        <f aca="false">_xlfn.CONCAT("{BLACK}Length: {GOLD}", TEXT(ROUNDUP(IF(AT364&lt;&gt;"",SUM(VALUE(_xlfn.TEXTSPLIT(AT364, ","))), SUM(VALUE(_xlfn.TEXTSPLIT(AQ364, ",")))*IF(P364, P364, 1))/16, 1), "#,##0.0"), " tiles{}")</f>
        <v>{BLACK}Length: {GOLD}1.2 tiles{}</v>
      </c>
      <c r="CI364" s="1" t="n">
        <f aca="false">VLOOKUP($CG364, Constants!$M:$N, 2, FALSE())</f>
        <v>0</v>
      </c>
      <c r="CJ364" s="1" t="str">
        <f aca="false">IF(P364&gt;1,_xlfn.CONCAT("{BLACK}Cars: {GOLD}", P364),"")</f>
        <v>{BLACK}Cars: {GOLD}2</v>
      </c>
      <c r="CK364" s="1" t="s">
        <v>1435</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65" customFormat="false" ht="14.25" hidden="false" customHeight="false" outlineLevel="0" collapsed="false">
      <c r="A365" s="1" t="s">
        <v>1436</v>
      </c>
      <c r="B365" s="15" t="s">
        <v>1437</v>
      </c>
      <c r="C365" s="1" t="n">
        <v>300</v>
      </c>
      <c r="E365" s="1" t="n">
        <v>610</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198</v>
      </c>
      <c r="J365" s="1" t="s">
        <v>423</v>
      </c>
      <c r="K365" s="1" t="s">
        <v>1395</v>
      </c>
      <c r="L365" s="1" t="s">
        <v>1396</v>
      </c>
      <c r="M365" s="1" t="n">
        <v>1975</v>
      </c>
      <c r="P365" s="1" t="n">
        <v>3</v>
      </c>
      <c r="Q365" s="1" t="n">
        <v>930</v>
      </c>
      <c r="Z365" s="1" t="n">
        <f aca="false">27+26+18</f>
        <v>71</v>
      </c>
      <c r="AB365" s="1" t="n">
        <v>10</v>
      </c>
      <c r="AC365" s="1" t="n">
        <v>55</v>
      </c>
      <c r="AD365" s="4" t="n">
        <f aca="false">IF(AND(Z365&gt;0,AC365&gt;0),(AC365/((Z365+AA365)*10)),"")</f>
        <v>0.0774647887323944</v>
      </c>
      <c r="AE365" s="1" t="n">
        <v>45</v>
      </c>
      <c r="AF365" s="1" t="n">
        <f aca="false">ROUND(AE365*1.6, 0)</f>
        <v>72</v>
      </c>
      <c r="AI365" s="1" t="n">
        <v>17.47</v>
      </c>
      <c r="AJ365" s="1" t="n">
        <v>17</v>
      </c>
      <c r="AK365" s="1" t="n">
        <v>2.62</v>
      </c>
      <c r="AL365" s="1" t="n">
        <v>2.88</v>
      </c>
      <c r="AM365" s="5" t="n">
        <v>114</v>
      </c>
      <c r="AN365" s="1" t="str">
        <f aca="false">CONCATENATE(VLOOKUP(AO365, 'Voxel Sizes'!$A$2:$B$18,2,FALSE()),"x",INT(AK365*15), "x", INT(AL365*15))</f>
        <v>164x39x43</v>
      </c>
      <c r="AO365" s="1" t="n">
        <f aca="false">ROUND(15*((AJ365*10)/256),0)</f>
        <v>10</v>
      </c>
      <c r="AQ365" s="1" t="str">
        <f aca="false">CONCATENATE(VLOOKUP(AO365,Constants!$A$2:$C$16,IF(AP365&lt;&gt;"", 3, 2), FALSE()),IF(AP365&lt;&gt;"",CONCATENATE(",",VLOOKUP(AP365,$B:$AQ,42,FALSE())),""))</f>
        <v>4,2,4</v>
      </c>
      <c r="AU365" s="1" t="s">
        <v>1438</v>
      </c>
      <c r="AW365" s="1" t="s">
        <v>425</v>
      </c>
      <c r="BA365" s="1" t="n">
        <v>39</v>
      </c>
      <c r="BB365" s="16" t="str">
        <f aca="false">IF(O365&lt;&gt;"",MAX(16,(O365-M365)+8),"")</f>
        <v/>
      </c>
      <c r="BC365" s="1" t="n">
        <v>-25</v>
      </c>
      <c r="BE365" s="1" t="n">
        <f aca="false">MIN(AE365/150, 1)*30</f>
        <v>9</v>
      </c>
      <c r="BF365" s="1" t="n">
        <f aca="false">MIN(Q365/4000, 1)*20</f>
        <v>4.65</v>
      </c>
      <c r="BG365" s="1" t="n">
        <f aca="false">MIN(AC365/400,1)*20</f>
        <v>2.75</v>
      </c>
      <c r="BH365" s="4" t="n">
        <f aca="false">1-(MAX(M365-1900, 0)/750)</f>
        <v>0.9</v>
      </c>
      <c r="BI365" s="1" t="n">
        <f aca="false">((MAX($P365,1)*MIN($AM365/300,1)))*IF(J365="Wagon",50,10)</f>
        <v>11.4</v>
      </c>
      <c r="BJ365" s="1" t="n">
        <f aca="false">VLOOKUP($K365,Constants!$I:$K, 2, FALSE())</f>
        <v>0.9</v>
      </c>
      <c r="BK365" s="1" t="n">
        <f aca="false">VLOOKUP($K365,Constants!$I:$K, 3, FALSE())*IF(AND(J365="multiple_unit",AE365&lt;110),0.75,1)</f>
        <v>1.2</v>
      </c>
      <c r="BL365" s="1" t="n">
        <f aca="false">INT(POWER(((Constants!$G$2+$BE365+$BF365+$BG365+$BI365)*$BH365)*$BK365, 1.05))+$BD365</f>
        <v>42</v>
      </c>
      <c r="BM365" s="1" t="n">
        <f aca="false">INT(POWER((((Constants!$G$1+$BE365+$BF365+$BG365+$BI365)*($BH365))*$BJ365),IF($J365="wagon",1,1.2)))+$BC365</f>
        <v>45</v>
      </c>
      <c r="BN365" s="17" t="n">
        <f aca="false">BL365*IF($J365="wagon",62.5,781.25)</f>
        <v>32812.5</v>
      </c>
      <c r="BO365" s="17" t="n">
        <f aca="false">BM365*IF($J365="wagon",2.73,81.25)</f>
        <v>3656.25</v>
      </c>
      <c r="BY365" s="1" t="n">
        <v>9</v>
      </c>
      <c r="BZ365" s="1" t="n">
        <v>120</v>
      </c>
      <c r="CC365" s="1" t="s">
        <v>327</v>
      </c>
      <c r="CD365" s="1" t="str">
        <f aca="false">VLOOKUP(M365,Eras!$A$2:$C$10, 2, TRUE())</f>
        <v>lbr</v>
      </c>
      <c r="CE365" s="1" t="s">
        <v>1397</v>
      </c>
      <c r="CF365" s="1" t="str">
        <f aca="false">CONCATENATE(CD365,"_",CE365)</f>
        <v>lbr_LU</v>
      </c>
      <c r="CG365" s="1" t="str">
        <f aca="false">_xlfn.CONCAT(K365, "_",L365)</f>
        <v>tube_FOURTH_RAIL</v>
      </c>
      <c r="CH365" s="7" t="str">
        <f aca="false">_xlfn.CONCAT("{BLACK}Length: {GOLD}", TEXT(ROUNDUP(IF(AT365&lt;&gt;"",SUM(VALUE(_xlfn.TEXTSPLIT(AT365, ","))), SUM(VALUE(_xlfn.TEXTSPLIT(AQ365, ",")))*IF(P365, P365, 1))/16, 1), "#,##0.0"), " tiles{}")</f>
        <v>{BLACK}Length: {GOLD}1.9 tiles{}</v>
      </c>
      <c r="CI365" s="1" t="n">
        <f aca="false">VLOOKUP($CG365, Constants!$M:$N, 2, FALSE())</f>
        <v>0</v>
      </c>
      <c r="CJ365" s="1" t="str">
        <f aca="false">IF(P365&gt;1,_xlfn.CONCAT("{BLACK}Cars: {GOLD}", P365),"")</f>
        <v>{BLACK}Cars: {GOLD}3</v>
      </c>
      <c r="CK365" s="1" t="s">
        <v>1439</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66" customFormat="false" ht="14.25" hidden="false" customHeight="false" outlineLevel="0" collapsed="false">
      <c r="A366" s="1" t="s">
        <v>1440</v>
      </c>
      <c r="B366" s="15" t="s">
        <v>1441</v>
      </c>
      <c r="C366" s="1" t="n">
        <v>302</v>
      </c>
      <c r="E366" s="1" t="n">
        <v>612</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198</v>
      </c>
      <c r="J366" s="1" t="s">
        <v>423</v>
      </c>
      <c r="K366" s="1" t="s">
        <v>1395</v>
      </c>
      <c r="L366" s="1" t="s">
        <v>1396</v>
      </c>
      <c r="M366" s="1" t="n">
        <v>1980</v>
      </c>
      <c r="O366" s="1" t="n">
        <v>2017</v>
      </c>
      <c r="P366" s="1" t="n">
        <v>3</v>
      </c>
      <c r="Q366" s="1" t="n">
        <v>980</v>
      </c>
      <c r="Z366" s="1" t="n">
        <f aca="false">27+26+18</f>
        <v>71</v>
      </c>
      <c r="AB366" s="1" t="n">
        <v>10</v>
      </c>
      <c r="AC366" s="1" t="n">
        <v>60</v>
      </c>
      <c r="AD366" s="4" t="n">
        <f aca="false">IF(AND(Z366&gt;0,AC366&gt;0),(AC366/((Z366+AA366)*10)),"")</f>
        <v>0.0845070422535211</v>
      </c>
      <c r="AE366" s="1" t="n">
        <v>50</v>
      </c>
      <c r="AF366" s="1" t="n">
        <f aca="false">ROUND(AE366*1.6, 0)</f>
        <v>80</v>
      </c>
      <c r="AI366" s="1" t="n">
        <v>18.37</v>
      </c>
      <c r="AJ366" s="1" t="n">
        <v>18.37</v>
      </c>
      <c r="AK366" s="1" t="n">
        <v>2.85</v>
      </c>
      <c r="AL366" s="1" t="n">
        <v>3.62</v>
      </c>
      <c r="AM366" s="5" t="n">
        <v>138</v>
      </c>
      <c r="AN366" s="1" t="str">
        <f aca="false">CONCATENATE(VLOOKUP(AO366, 'Voxel Sizes'!$A$2:$B$18,2,FALSE()),"x",INT(AK366*15), "x", INT(AL366*15))</f>
        <v>186x42x54</v>
      </c>
      <c r="AO366" s="1" t="n">
        <f aca="false">ROUND(15*((AJ366*10)/256),0)</f>
        <v>11</v>
      </c>
      <c r="AQ366" s="1" t="str">
        <f aca="false">CONCATENATE(VLOOKUP(AO366,Constants!$A$2:$C$16,IF(AP366&lt;&gt;"", 3, 2), FALSE()),IF(AP366&lt;&gt;"",CONCATENATE(",",VLOOKUP(AP366,$B:$AQ,42,FALSE())),""))</f>
        <v>4,3,4</v>
      </c>
      <c r="AU366" s="1" t="s">
        <v>1442</v>
      </c>
      <c r="AW366" s="1" t="s">
        <v>425</v>
      </c>
      <c r="BA366" s="1" t="n">
        <v>33</v>
      </c>
      <c r="BB366" s="16" t="n">
        <f aca="false">IF(O366&lt;&gt;"",MAX(16,(O366-M366)+8),"")</f>
        <v>45</v>
      </c>
      <c r="BC366" s="1" t="n">
        <v>-25</v>
      </c>
      <c r="BE366" s="1" t="n">
        <f aca="false">MIN(AE366/150, 1)*30</f>
        <v>10</v>
      </c>
      <c r="BF366" s="1" t="n">
        <f aca="false">MIN(Q366/4000, 1)*20</f>
        <v>4.9</v>
      </c>
      <c r="BG366" s="1" t="n">
        <f aca="false">MIN(AC366/400,1)*20</f>
        <v>3</v>
      </c>
      <c r="BH366" s="4" t="n">
        <f aca="false">1-(MAX(M366-1900, 0)/750)</f>
        <v>0.893333333333333</v>
      </c>
      <c r="BI366" s="1" t="n">
        <f aca="false">((MAX($P366,1)*MIN($AM366/300,1)))*IF(J366="Wagon",50,10)</f>
        <v>13.8</v>
      </c>
      <c r="BJ366" s="1" t="n">
        <f aca="false">VLOOKUP($K366,Constants!$I:$K, 2, FALSE())</f>
        <v>0.9</v>
      </c>
      <c r="BK366" s="1" t="n">
        <f aca="false">VLOOKUP($K366,Constants!$I:$K, 3, FALSE())*IF(AND(J366="multiple_unit",AE366&lt;110),0.75,1)</f>
        <v>1.2</v>
      </c>
      <c r="BL366" s="1" t="n">
        <f aca="false">INT(POWER(((Constants!$G$2+$BE366+$BF366+$BG366+$BI366)*$BH366)*$BK366, 1.05))+$BD366</f>
        <v>47</v>
      </c>
      <c r="BM366" s="1" t="n">
        <f aca="false">INT(POWER((((Constants!$G$1+$BE366+$BF366+$BG366+$BI366)*($BH366))*$BJ366),IF($J366="wagon",1,1.2)))+$BC366</f>
        <v>52</v>
      </c>
      <c r="BN366" s="17" t="n">
        <f aca="false">BL366*IF($J366="wagon",62.5,781.25)</f>
        <v>36718.75</v>
      </c>
      <c r="BO366" s="17" t="n">
        <f aca="false">BM366*IF($J366="wagon",2.73,81.25)</f>
        <v>4225</v>
      </c>
      <c r="BY366" s="1" t="n">
        <v>11</v>
      </c>
      <c r="BZ366" s="1" t="n">
        <v>120</v>
      </c>
      <c r="CC366" s="1" t="s">
        <v>327</v>
      </c>
      <c r="CD366" s="1" t="str">
        <f aca="false">VLOOKUP(M366,Eras!$A$2:$C$10, 2, TRUE())</f>
        <v>lbr</v>
      </c>
      <c r="CE366" s="1" t="s">
        <v>1397</v>
      </c>
      <c r="CF366" s="1" t="str">
        <f aca="false">CONCATENATE(CD366,"_",CE366)</f>
        <v>lbr_LU</v>
      </c>
      <c r="CG366" s="1" t="str">
        <f aca="false">_xlfn.CONCAT(K366, "_",L366)</f>
        <v>tube_FOURTH_RAIL</v>
      </c>
      <c r="CH366" s="7" t="str">
        <f aca="false">_xlfn.CONCAT("{BLACK}Length: {GOLD}", TEXT(ROUNDUP(IF(AT366&lt;&gt;"",SUM(VALUE(_xlfn.TEXTSPLIT(AT366, ","))), SUM(VALUE(_xlfn.TEXTSPLIT(AQ366, ",")))*IF(P366, P366, 1))/16, 1), "#,##0.0"), " tiles{}")</f>
        <v>{BLACK}Length: {GOLD}2.1 tiles{}</v>
      </c>
      <c r="CI366" s="1" t="n">
        <f aca="false">VLOOKUP($CG366, Constants!$M:$N, 2, FALSE())</f>
        <v>0</v>
      </c>
      <c r="CJ366" s="1" t="str">
        <f aca="false">IF(P366&gt;1,_xlfn.CONCAT("{BLACK}Cars: {GOLD}", P366),"")</f>
        <v>{BLACK}Cars: {GOLD}3</v>
      </c>
      <c r="CK366" s="1" t="s">
        <v>1443</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{GOLD}3{}{BLACK}Length: {GOLD}2.1 tiles{}{YELLOW}35% penalty for long distance travel{}{SILVER}The D78 stock replaced pre-war stock on the District Line. It has the longest car lengths to have been used on the Underground network, at 18.37m for a driving motor car.</v>
      </c>
    </row>
    <row r="367" customFormat="false" ht="14.25" hidden="false" customHeight="false" outlineLevel="0" collapsed="false">
      <c r="A367" s="1" t="s">
        <v>1444</v>
      </c>
      <c r="B367" s="15" t="s">
        <v>1445</v>
      </c>
      <c r="C367" s="1" t="n">
        <v>303</v>
      </c>
      <c r="E367" s="1" t="n">
        <v>613</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198</v>
      </c>
      <c r="J367" s="1" t="s">
        <v>423</v>
      </c>
      <c r="K367" s="1" t="s">
        <v>1395</v>
      </c>
      <c r="L367" s="1" t="s">
        <v>1396</v>
      </c>
      <c r="M367" s="1" t="n">
        <v>1993</v>
      </c>
      <c r="P367" s="1" t="n">
        <v>4</v>
      </c>
      <c r="Q367" s="1" t="n">
        <v>1150</v>
      </c>
      <c r="Z367" s="1" t="n">
        <f aca="false">20+22+29+22</f>
        <v>93</v>
      </c>
      <c r="AB367" s="1" t="n">
        <v>10</v>
      </c>
      <c r="AC367" s="1" t="n">
        <v>70</v>
      </c>
      <c r="AD367" s="4" t="n">
        <f aca="false">IF(AND(Z367&gt;0,AC367&gt;0),(AC367/((Z367+AA367)*10)),"")</f>
        <v>0.0752688172043011</v>
      </c>
      <c r="AE367" s="1" t="n">
        <v>62</v>
      </c>
      <c r="AF367" s="1" t="n">
        <f aca="false">ROUND(AE367*1.6, 0)</f>
        <v>99</v>
      </c>
      <c r="AI367" s="1" t="n">
        <v>16.25</v>
      </c>
      <c r="AJ367" s="1" t="n">
        <v>16.25</v>
      </c>
      <c r="AK367" s="1" t="n">
        <v>2.62</v>
      </c>
      <c r="AL367" s="1" t="n">
        <v>2.87</v>
      </c>
      <c r="AM367" s="5" t="n">
        <v>114</v>
      </c>
      <c r="AN367" s="1" t="str">
        <f aca="false">CONCATENATE(VLOOKUP(AO367, 'Voxel Sizes'!$A$2:$B$18,2,FALSE()),"x",INT(AK367*15), "x", INT(AL367*15))</f>
        <v>164x39x43</v>
      </c>
      <c r="AO367" s="1" t="n">
        <f aca="false">ROUND(15*((AJ367*10)/256),0)</f>
        <v>10</v>
      </c>
      <c r="AQ367" s="1" t="str">
        <f aca="false">CONCATENATE(VLOOKUP(AO367,Constants!$A$2:$C$16,IF(AP367&lt;&gt;"", 3, 2), FALSE()),IF(AP367&lt;&gt;"",CONCATENATE(",",VLOOKUP(AP367,$B:$AQ,42,FALSE())),""))</f>
        <v>4,2,4</v>
      </c>
      <c r="AU367" s="1" t="s">
        <v>1446</v>
      </c>
      <c r="AW367" s="1" t="s">
        <v>847</v>
      </c>
      <c r="BA367" s="1" t="n">
        <v>29</v>
      </c>
      <c r="BB367" s="16" t="str">
        <f aca="false">IF(O367&lt;&gt;"",MAX(16,(O367-M367)+8),"")</f>
        <v/>
      </c>
      <c r="BC367" s="1" t="n">
        <v>-22</v>
      </c>
      <c r="BE367" s="1" t="n">
        <f aca="false">MIN(AE367/150, 1)*30</f>
        <v>12.4</v>
      </c>
      <c r="BF367" s="1" t="n">
        <f aca="false">MIN(Q367/4000, 1)*20</f>
        <v>5.75</v>
      </c>
      <c r="BG367" s="1" t="n">
        <f aca="false">MIN(AC367/400,1)*20</f>
        <v>3.5</v>
      </c>
      <c r="BH367" s="4" t="n">
        <f aca="false">1-(MAX(M367-1900, 0)/750)</f>
        <v>0.876</v>
      </c>
      <c r="BI367" s="1" t="n">
        <f aca="false">((MAX($P367,1)*MIN($AM367/300,1)))*IF(J367="Wagon",50,10)</f>
        <v>15.2</v>
      </c>
      <c r="BJ367" s="1" t="n">
        <f aca="false">VLOOKUP($K367,Constants!$I:$K, 2, FALSE())</f>
        <v>0.9</v>
      </c>
      <c r="BK367" s="1" t="n">
        <f aca="false">VLOOKUP($K367,Constants!$I:$K, 3, FALSE())*IF(AND(J367="multiple_unit",AE367&lt;110),0.75,1)</f>
        <v>1.2</v>
      </c>
      <c r="BL367" s="1" t="n">
        <f aca="false">INT(POWER(((Constants!$G$2+$BE367+$BF367+$BG367+$BI367)*$BH367)*$BK367, 1.05))+$BD367</f>
        <v>53</v>
      </c>
      <c r="BM367" s="1" t="n">
        <f aca="false">INT(POWER((((Constants!$G$1+$BE367+$BF367+$BG367+$BI367)*($BH367))*$BJ367),IF($J367="wagon",1,1.2)))+$BC367</f>
        <v>63</v>
      </c>
      <c r="BN367" s="17" t="n">
        <f aca="false">BL367*IF($J367="wagon",62.5,781.25)</f>
        <v>41406.25</v>
      </c>
      <c r="BO367" s="17" t="n">
        <f aca="false">BM367*IF($J367="wagon",2.73,81.25)</f>
        <v>5118.75</v>
      </c>
      <c r="BY367" s="1" t="n">
        <v>3</v>
      </c>
      <c r="BZ367" s="1" t="n">
        <v>120</v>
      </c>
      <c r="CC367" s="1" t="s">
        <v>327</v>
      </c>
      <c r="CD367" s="1" t="str">
        <f aca="false">VLOOKUP(M367,Eras!$A$2:$C$10, 2, TRUE())</f>
        <v>lbr</v>
      </c>
      <c r="CE367" s="1" t="s">
        <v>1397</v>
      </c>
      <c r="CF367" s="1" t="str">
        <f aca="false">CONCATENATE(CD367,"_",CE367)</f>
        <v>lbr_LU</v>
      </c>
      <c r="CG367" s="1" t="str">
        <f aca="false">_xlfn.CONCAT(K367, "_",L367)</f>
        <v>tube_FOURTH_RAIL</v>
      </c>
      <c r="CH367" s="7" t="str">
        <f aca="false">_xlfn.CONCAT("{BLACK}Length: {GOLD}", TEXT(ROUNDUP(IF(AT367&lt;&gt;"",SUM(VALUE(_xlfn.TEXTSPLIT(AT367, ","))), SUM(VALUE(_xlfn.TEXTSPLIT(AQ367, ",")))*IF(P367, P367, 1))/16, 1), "#,##0.0"), " tiles{}")</f>
        <v>{BLACK}Length: {GOLD}2.5 tiles{}</v>
      </c>
      <c r="CI367" s="1" t="n">
        <f aca="false">VLOOKUP($CG367, Constants!$M:$N, 2, FALSE())</f>
        <v>0</v>
      </c>
      <c r="CJ367" s="1" t="str">
        <f aca="false">IF(P367&gt;1,_xlfn.CONCAT("{BLACK}Cars: {GOLD}", P367),"")</f>
        <v>{BLACK}Cars: {GOLD}4</v>
      </c>
      <c r="CK367" s="1" t="s">
        <v>1447</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68" customFormat="false" ht="14.25" hidden="false" customHeight="false" outlineLevel="0" collapsed="false">
      <c r="A368" s="1" t="s">
        <v>1448</v>
      </c>
      <c r="B368" s="15" t="s">
        <v>1449</v>
      </c>
      <c r="C368" s="1" t="n">
        <v>304</v>
      </c>
      <c r="E368" s="1" t="n">
        <v>614</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198</v>
      </c>
      <c r="J368" s="1" t="s">
        <v>423</v>
      </c>
      <c r="K368" s="1" t="s">
        <v>1395</v>
      </c>
      <c r="L368" s="1" t="s">
        <v>1396</v>
      </c>
      <c r="M368" s="1" t="n">
        <v>1996</v>
      </c>
      <c r="P368" s="1" t="n">
        <v>3</v>
      </c>
      <c r="Q368" s="1" t="n">
        <v>1200</v>
      </c>
      <c r="Z368" s="1" t="n">
        <f aca="false">29+27+21</f>
        <v>77</v>
      </c>
      <c r="AB368" s="1" t="n">
        <v>10</v>
      </c>
      <c r="AC368" s="1" t="n">
        <v>65</v>
      </c>
      <c r="AD368" s="4" t="n">
        <f aca="false">IF(AND(Z368&gt;0,AC368&gt;0),(AC368/((Z368+AA368)*10)),"")</f>
        <v>0.0844155844155844</v>
      </c>
      <c r="AE368" s="1" t="n">
        <v>62</v>
      </c>
      <c r="AF368" s="1" t="n">
        <f aca="false">ROUND(AE368*1.6, 0)</f>
        <v>99</v>
      </c>
      <c r="AI368" s="1" t="n">
        <v>17.77</v>
      </c>
      <c r="AJ368" s="1" t="n">
        <v>17.77</v>
      </c>
      <c r="AK368" s="1" t="n">
        <v>2.63</v>
      </c>
      <c r="AL368" s="1" t="n">
        <v>2.87</v>
      </c>
      <c r="AM368" s="5" t="n">
        <v>108</v>
      </c>
      <c r="AN368" s="1" t="str">
        <f aca="false">CONCATENATE(VLOOKUP(AO368, 'Voxel Sizes'!$A$2:$B$18,2,FALSE()),"x",INT(AK368*15), "x", INT(AL368*15))</f>
        <v>164x39x43</v>
      </c>
      <c r="AO368" s="1" t="n">
        <f aca="false">ROUND(15*((AJ368*10)/256),0)</f>
        <v>10</v>
      </c>
      <c r="AQ368" s="1" t="str">
        <f aca="false">CONCATENATE(VLOOKUP(AO368,Constants!$A$2:$C$16,IF(AP368&lt;&gt;"", 3, 2), FALSE()),IF(AP368&lt;&gt;"",CONCATENATE(",",VLOOKUP(AP368,$B:$AQ,42,FALSE())),""))</f>
        <v>4,2,4</v>
      </c>
      <c r="AU368" s="1" t="s">
        <v>1450</v>
      </c>
      <c r="AW368" s="1" t="s">
        <v>425</v>
      </c>
      <c r="BA368" s="1" t="n">
        <v>32</v>
      </c>
      <c r="BB368" s="16" t="str">
        <f aca="false">IF(O368&lt;&gt;"",MAX(16,(O368-M368)+8),"")</f>
        <v/>
      </c>
      <c r="BC368" s="1" t="n">
        <v>-25</v>
      </c>
      <c r="BD368" s="1" t="n">
        <v>5</v>
      </c>
      <c r="BE368" s="1" t="n">
        <f aca="false">MIN(AE368/150, 1)*30</f>
        <v>12.4</v>
      </c>
      <c r="BF368" s="1" t="n">
        <f aca="false">MIN(Q368/4000, 1)*20</f>
        <v>6</v>
      </c>
      <c r="BG368" s="1" t="n">
        <f aca="false">MIN(AC368/400,1)*20</f>
        <v>3.25</v>
      </c>
      <c r="BH368" s="4" t="n">
        <f aca="false">1-(MAX(M368-1900, 0)/750)</f>
        <v>0.872</v>
      </c>
      <c r="BI368" s="1" t="n">
        <f aca="false">((MAX($P368,1)*MIN($AM368/300,1)))*IF(J368="Wagon",50,10)</f>
        <v>10.8</v>
      </c>
      <c r="BJ368" s="1" t="n">
        <f aca="false">VLOOKUP($K368,Constants!$I:$K, 2, FALSE())</f>
        <v>0.9</v>
      </c>
      <c r="BK368" s="1" t="n">
        <f aca="false">VLOOKUP($K368,Constants!$I:$K, 3, FALSE())*IF(AND(J368="multiple_unit",AE368&lt;110),0.75,1)</f>
        <v>1.2</v>
      </c>
      <c r="BL368" s="1" t="n">
        <f aca="false">INT(POWER(((Constants!$G$2+$BE368+$BF368+$BG368+$BI368)*$BH368)*$BK368, 1.05))+$BD368</f>
        <v>52</v>
      </c>
      <c r="BM368" s="1" t="n">
        <f aca="false">INT(POWER((((Constants!$G$1+$BE368+$BF368+$BG368+$BI368)*($BH368))*$BJ368),IF($J368="wagon",1,1.2)))+$BC368</f>
        <v>51</v>
      </c>
      <c r="BN368" s="17" t="n">
        <f aca="false">BL368*IF($J368="wagon",62.5,781.25)</f>
        <v>40625</v>
      </c>
      <c r="BO368" s="17" t="n">
        <f aca="false">BM368*IF($J368="wagon",2.73,81.25)</f>
        <v>4143.75</v>
      </c>
      <c r="BY368" s="1" t="n">
        <v>2</v>
      </c>
      <c r="BZ368" s="1" t="n">
        <v>120</v>
      </c>
      <c r="CC368" s="1" t="s">
        <v>327</v>
      </c>
      <c r="CD368" s="1" t="str">
        <f aca="false">VLOOKUP(M368,Eras!$A$2:$C$10, 2, TRUE())</f>
        <v>prv</v>
      </c>
      <c r="CE368" s="1" t="s">
        <v>1397</v>
      </c>
      <c r="CF368" s="1" t="str">
        <f aca="false">CONCATENATE(CD368,"_",CE368)</f>
        <v>prv_LU</v>
      </c>
      <c r="CG368" s="1" t="str">
        <f aca="false">_xlfn.CONCAT(K368, "_",L368)</f>
        <v>tube_FOURTH_RAIL</v>
      </c>
      <c r="CH368" s="7" t="str">
        <f aca="false">_xlfn.CONCAT("{BLACK}Length: {GOLD}", TEXT(ROUNDUP(IF(AT368&lt;&gt;"",SUM(VALUE(_xlfn.TEXTSPLIT(AT368, ","))), SUM(VALUE(_xlfn.TEXTSPLIT(AQ368, ",")))*IF(P368, P368, 1))/16, 1), "#,##0.0"), " tiles{}")</f>
        <v>{BLACK}Length: {GOLD}1.9 tiles{}</v>
      </c>
      <c r="CI368" s="1" t="n">
        <f aca="false">VLOOKUP($CG368, Constants!$M:$N, 2, FALSE())</f>
        <v>0</v>
      </c>
      <c r="CJ368" s="1" t="str">
        <f aca="false">IF(P368&gt;1,_xlfn.CONCAT("{BLACK}Cars: {GOLD}", P368),"")</f>
        <v>{BLACK}Cars: {GOLD}3</v>
      </c>
      <c r="CK368" s="1" t="s">
        <v>1451</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69" customFormat="false" ht="14.25" hidden="false" customHeight="false" outlineLevel="0" collapsed="false">
      <c r="A369" s="1" t="s">
        <v>1452</v>
      </c>
      <c r="B369" s="15" t="s">
        <v>1453</v>
      </c>
      <c r="C369" s="1" t="n">
        <v>305</v>
      </c>
      <c r="E369" s="1" t="n">
        <v>615</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198</v>
      </c>
      <c r="J369" s="1" t="s">
        <v>423</v>
      </c>
      <c r="K369" s="1" t="s">
        <v>1395</v>
      </c>
      <c r="L369" s="1" t="s">
        <v>1396</v>
      </c>
      <c r="M369" s="1" t="n">
        <v>2009</v>
      </c>
      <c r="P369" s="1" t="n">
        <v>4</v>
      </c>
      <c r="Q369" s="1" t="n">
        <v>1200</v>
      </c>
      <c r="Z369" s="1" t="n">
        <f aca="false">197.3/2</f>
        <v>98.65</v>
      </c>
      <c r="AB369" s="1" t="n">
        <v>10</v>
      </c>
      <c r="AC369" s="1" t="n">
        <v>75</v>
      </c>
      <c r="AD369" s="4" t="n">
        <f aca="false">IF(AND(Z369&gt;0,AC369&gt;0),(AC369/((Z369+AA369)*10)),"")</f>
        <v>0.0760263558033452</v>
      </c>
      <c r="AE369" s="1" t="n">
        <v>50</v>
      </c>
      <c r="AF369" s="1" t="n">
        <f aca="false">ROUND(AE369*1.6, 0)</f>
        <v>80</v>
      </c>
      <c r="AI369" s="1" t="n">
        <v>16.595</v>
      </c>
      <c r="AJ369" s="1" t="n">
        <v>16.595</v>
      </c>
      <c r="AK369" s="1" t="n">
        <v>2.68</v>
      </c>
      <c r="AL369" s="1" t="n">
        <v>2.883</v>
      </c>
      <c r="AM369" s="5" t="n">
        <v>141</v>
      </c>
      <c r="AN369" s="1" t="str">
        <f aca="false">CONCATENATE(VLOOKUP(AO369, 'Voxel Sizes'!$A$2:$B$18,2,FALSE()),"x",INT(AK369*15), "x", INT(AL369*15))</f>
        <v>164x40x43</v>
      </c>
      <c r="AO369" s="1" t="n">
        <f aca="false">ROUND(15*((AJ369*10)/256),0)</f>
        <v>10</v>
      </c>
      <c r="AQ369" s="1" t="str">
        <f aca="false">CONCATENATE(VLOOKUP(AO369,Constants!$A$2:$C$16,IF(AP369&lt;&gt;"", 3, 2), FALSE()),IF(AP369&lt;&gt;"",CONCATENATE(",",VLOOKUP(AP369,$B:$AQ,42,FALSE())),""))</f>
        <v>4,2,4</v>
      </c>
      <c r="AU369" s="1" t="s">
        <v>1454</v>
      </c>
      <c r="AW369" s="1" t="s">
        <v>847</v>
      </c>
      <c r="BA369" s="1" t="n">
        <v>31</v>
      </c>
      <c r="BB369" s="16" t="str">
        <f aca="false">IF(O369&lt;&gt;"",MAX(16,(O369-M369)+8),"")</f>
        <v/>
      </c>
      <c r="BC369" s="1" t="n">
        <v>-25</v>
      </c>
      <c r="BD369" s="1" t="n">
        <v>-8</v>
      </c>
      <c r="BE369" s="1" t="n">
        <f aca="false">MIN(AE369/150, 1)*30</f>
        <v>10</v>
      </c>
      <c r="BF369" s="1" t="n">
        <f aca="false">MIN(Q369/4000, 1)*20</f>
        <v>6</v>
      </c>
      <c r="BG369" s="1" t="n">
        <f aca="false">MIN(AC369/400,1)*20</f>
        <v>3.75</v>
      </c>
      <c r="BH369" s="4" t="n">
        <f aca="false">1-(MAX(M369-1900, 0)/750)</f>
        <v>0.854666666666667</v>
      </c>
      <c r="BI369" s="1" t="n">
        <f aca="false">((MAX($P369,1)*MIN($AM369/300,1)))*IF(J369="Wagon",50,10)</f>
        <v>18.8</v>
      </c>
      <c r="BJ369" s="1" t="n">
        <f aca="false">VLOOKUP($K369,Constants!$I:$K, 2, FALSE())</f>
        <v>0.9</v>
      </c>
      <c r="BK369" s="1" t="n">
        <f aca="false">VLOOKUP($K369,Constants!$I:$K, 3, FALSE())*IF(AND(J369="multiple_unit",AE369&lt;110),0.75,1)</f>
        <v>1.2</v>
      </c>
      <c r="BL369" s="1" t="n">
        <f aca="false">INT(POWER(((Constants!$G$2+$BE369+$BF369+$BG369+$BI369)*$BH369)*$BK369, 1.05))+$BD369</f>
        <v>46</v>
      </c>
      <c r="BM369" s="1" t="n">
        <f aca="false">INT(POWER((((Constants!$G$1+$BE369+$BF369+$BG369+$BI369)*($BH369))*$BJ369),IF($J369="wagon",1,1.2)))+$BC369</f>
        <v>61</v>
      </c>
      <c r="BN369" s="17" t="n">
        <f aca="false">BL369*IF($J369="wagon",62.5,781.25)</f>
        <v>35937.5</v>
      </c>
      <c r="BO369" s="17" t="n">
        <f aca="false">BM369*IF($J369="wagon",2.73,81.25)</f>
        <v>4956.25</v>
      </c>
      <c r="BY369" s="1" t="n">
        <v>12</v>
      </c>
      <c r="BZ369" s="1" t="n">
        <v>120</v>
      </c>
      <c r="CC369" s="1" t="s">
        <v>327</v>
      </c>
      <c r="CD369" s="1" t="str">
        <f aca="false">VLOOKUP(M369,Eras!$A$2:$C$10, 2, TRUE())</f>
        <v>mod</v>
      </c>
      <c r="CE369" s="1" t="s">
        <v>1397</v>
      </c>
      <c r="CF369" s="1" t="str">
        <f aca="false">CONCATENATE(CD369,"_",CE369)</f>
        <v>mod_LU</v>
      </c>
      <c r="CG369" s="1" t="str">
        <f aca="false">_xlfn.CONCAT(K369, "_",L369)</f>
        <v>tube_FOURTH_RAIL</v>
      </c>
      <c r="CH369" s="7" t="str">
        <f aca="false">_xlfn.CONCAT("{BLACK}Length: {GOLD}", TEXT(ROUNDUP(IF(AT369&lt;&gt;"",SUM(VALUE(_xlfn.TEXTSPLIT(AT369, ","))), SUM(VALUE(_xlfn.TEXTSPLIT(AQ369, ",")))*IF(P369, P369, 1))/16, 1), "#,##0.0"), " tiles{}")</f>
        <v>{BLACK}Length: {GOLD}2.5 tiles{}</v>
      </c>
      <c r="CI369" s="1" t="n">
        <f aca="false">VLOOKUP($CG369, Constants!$M:$N, 2, FALSE())</f>
        <v>0</v>
      </c>
      <c r="CJ369" s="1" t="str">
        <f aca="false">IF(P369&gt;1,_xlfn.CONCAT("{BLACK}Cars: {GOLD}", P369),"")</f>
        <v>{BLACK}Cars: {GOLD}4</v>
      </c>
      <c r="CK369" s="1" t="s">
        <v>1455</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0" customFormat="false" ht="14.25" hidden="false" customHeight="false" outlineLevel="0" collapsed="false">
      <c r="A370" s="1" t="s">
        <v>1456</v>
      </c>
      <c r="B370" s="15" t="s">
        <v>1457</v>
      </c>
      <c r="C370" s="1" t="n">
        <v>306</v>
      </c>
      <c r="E370" s="1" t="n">
        <v>616</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198</v>
      </c>
      <c r="J370" s="1" t="s">
        <v>423</v>
      </c>
      <c r="K370" s="1" t="s">
        <v>1395</v>
      </c>
      <c r="L370" s="1" t="s">
        <v>1396</v>
      </c>
      <c r="M370" s="1" t="n">
        <v>2010</v>
      </c>
      <c r="P370" s="1" t="n">
        <v>7</v>
      </c>
      <c r="Q370" s="1" t="n">
        <v>2400</v>
      </c>
      <c r="Z370" s="1" t="n">
        <v>213.7</v>
      </c>
      <c r="AB370" s="1" t="n">
        <v>10</v>
      </c>
      <c r="AC370" s="1" t="n">
        <v>180</v>
      </c>
      <c r="AD370" s="4" t="n">
        <f aca="false">IF(AND(Z370&gt;0,AC370&gt;0),(AC370/((Z370+AA370)*10)),"")</f>
        <v>0.084230229293402</v>
      </c>
      <c r="AE370" s="1" t="n">
        <v>62</v>
      </c>
      <c r="AF370" s="1" t="n">
        <f aca="false">ROUND(AE370*1.6, 0)</f>
        <v>99</v>
      </c>
      <c r="AI370" s="1" t="n">
        <v>17.45</v>
      </c>
      <c r="AJ370" s="1" t="n">
        <v>17.45</v>
      </c>
      <c r="AK370" s="1" t="n">
        <v>2.92</v>
      </c>
      <c r="AL370" s="1" t="n">
        <v>3.68</v>
      </c>
      <c r="AM370" s="5" t="n">
        <v>156</v>
      </c>
      <c r="AN370" s="1" t="str">
        <f aca="false">CONCATENATE(VLOOKUP(AO370, 'Voxel Sizes'!$A$2:$B$18,2,FALSE()),"x",INT(AK370*15), "x", INT(AL370*15))</f>
        <v>164x43x55</v>
      </c>
      <c r="AO370" s="1" t="n">
        <f aca="false">ROUND(15*((AJ370*10)/256),0)</f>
        <v>10</v>
      </c>
      <c r="AQ370" s="1" t="str">
        <f aca="false">CONCATENATE(VLOOKUP(AO370,Constants!$A$2:$C$16,IF(AP370&lt;&gt;"", 3, 2), FALSE()),IF(AP370&lt;&gt;"",CONCATENATE(",",VLOOKUP(AP370,$B:$AQ,42,FALSE())),""))</f>
        <v>4,2,4</v>
      </c>
      <c r="AU370" s="1" t="s">
        <v>1458</v>
      </c>
      <c r="AW370" s="1" t="s">
        <v>1459</v>
      </c>
      <c r="BA370" s="1" t="n">
        <v>34</v>
      </c>
      <c r="BB370" s="16" t="str">
        <f aca="false">IF(O370&lt;&gt;"",MAX(16,(O370-M370)+8),"")</f>
        <v/>
      </c>
      <c r="BC370" s="1" t="n">
        <v>-25</v>
      </c>
      <c r="BE370" s="1" t="n">
        <f aca="false">MIN(AE370/150, 1)*30</f>
        <v>12.4</v>
      </c>
      <c r="BF370" s="1" t="n">
        <f aca="false">MIN(Q370/4000, 1)*20</f>
        <v>12</v>
      </c>
      <c r="BG370" s="1" t="n">
        <f aca="false">MIN(AC370/400,1)*20</f>
        <v>9</v>
      </c>
      <c r="BH370" s="4" t="n">
        <f aca="false">1-(MAX(M370-1900, 0)/750)</f>
        <v>0.853333333333333</v>
      </c>
      <c r="BI370" s="1" t="n">
        <f aca="false">((MAX($P370,1)*MIN($AM370/300,1)))*IF(J370="Wagon",50,10)</f>
        <v>36.4</v>
      </c>
      <c r="BJ370" s="1" t="n">
        <f aca="false">VLOOKUP($K370,Constants!$I:$K, 2, FALSE())</f>
        <v>0.9</v>
      </c>
      <c r="BK370" s="1" t="n">
        <f aca="false">VLOOKUP($K370,Constants!$I:$K, 3, FALSE())*IF(AND(J370="multiple_unit",AE370&lt;110),0.75,1)</f>
        <v>1.2</v>
      </c>
      <c r="BL370" s="1" t="n">
        <f aca="false">INT(POWER(((Constants!$G$2+$BE370+$BF370+$BG370+$BI370)*$BH370)*$BK370, 1.05))+$BD370</f>
        <v>95</v>
      </c>
      <c r="BM370" s="1" t="n">
        <f aca="false">INT(POWER((((Constants!$G$1+$BE370+$BF370+$BG370+$BI370)*($BH370))*$BJ370),IF($J370="wagon",1,1.2)))+$BC370</f>
        <v>125</v>
      </c>
      <c r="BN370" s="17" t="n">
        <f aca="false">BL370*IF($J370="wagon",62.5,781.25)</f>
        <v>74218.75</v>
      </c>
      <c r="BO370" s="17" t="n">
        <f aca="false">BM370*IF($J370="wagon",2.73,81.25)</f>
        <v>10156.25</v>
      </c>
      <c r="BX370" s="1" t="s">
        <v>1173</v>
      </c>
      <c r="BY370" s="1" t="n">
        <v>1</v>
      </c>
      <c r="BZ370" s="1" t="n">
        <v>120</v>
      </c>
      <c r="CC370" s="1" t="s">
        <v>327</v>
      </c>
      <c r="CD370" s="1" t="str">
        <f aca="false">VLOOKUP(M370,Eras!$A$2:$C$10, 2, TRUE())</f>
        <v>mod</v>
      </c>
      <c r="CE370" s="1" t="s">
        <v>1397</v>
      </c>
      <c r="CF370" s="1" t="str">
        <f aca="false">CONCATENATE(CD370,"_",CE370)</f>
        <v>mod_LU</v>
      </c>
      <c r="CG370" s="1" t="str">
        <f aca="false">_xlfn.CONCAT(K370, "_",L370)</f>
        <v>tube_FOURTH_RAIL</v>
      </c>
      <c r="CH370" s="7" t="str">
        <f aca="false">_xlfn.CONCAT("{BLACK}Length: {GOLD}", TEXT(ROUNDUP(IF(AT370&lt;&gt;"",SUM(VALUE(_xlfn.TEXTSPLIT(AT370, ","))), SUM(VALUE(_xlfn.TEXTSPLIT(AQ370, ",")))*IF(P370, P370, 1))/16, 1), "#,##0.0"), " tiles{}")</f>
        <v>{BLACK}Length: {GOLD}4.4 tiles{}</v>
      </c>
      <c r="CI370" s="1" t="n">
        <f aca="false">VLOOKUP($CG370, Constants!$M:$N, 2, FALSE())</f>
        <v>0</v>
      </c>
      <c r="CJ370" s="1" t="str">
        <f aca="false">IF(P370&gt;1,_xlfn.CONCAT("{BLACK}Cars: {GOLD}", P370),"")</f>
        <v>{BLACK}Cars: {GOLD}7</v>
      </c>
      <c r="CK370" s="1" t="s">
        <v>1460</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{GOLD}7{}{BLACK}Length: {GOLD}4.4 tiles{}{YELLOW}35% penalty for long distance travel{}{SILVER}The S stock is the standard stock for London Underground's surface lines. It replaces several types of stock, some of which had become severely outdated and unreliable by 2010.</v>
      </c>
    </row>
    <row r="371" customFormat="false" ht="14.25" hidden="false" customHeight="false" outlineLevel="0" collapsed="false">
      <c r="A371" s="1" t="s">
        <v>1461</v>
      </c>
      <c r="B371" s="15" t="s">
        <v>1462</v>
      </c>
      <c r="C371" s="1" t="n">
        <v>307</v>
      </c>
      <c r="E371" s="1" t="n">
        <v>617</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198</v>
      </c>
      <c r="J371" s="1" t="s">
        <v>423</v>
      </c>
      <c r="K371" s="1" t="s">
        <v>1395</v>
      </c>
      <c r="L371" s="1" t="s">
        <v>1396</v>
      </c>
      <c r="M371" s="1" t="n">
        <v>2010</v>
      </c>
      <c r="P371" s="1" t="n">
        <v>6</v>
      </c>
      <c r="Q371" s="1" t="n">
        <v>2400</v>
      </c>
      <c r="Z371" s="1" t="n">
        <f aca="false">213.7/7*6</f>
        <v>183.171428571429</v>
      </c>
      <c r="AB371" s="1" t="n">
        <v>10</v>
      </c>
      <c r="AC371" s="1" t="n">
        <v>180</v>
      </c>
      <c r="AD371" s="4" t="n">
        <f aca="false">IF(AND(Z371&gt;0,AC371&gt;0),(AC371/((Z371+AA371)*10)),"")</f>
        <v>0.0982686008423021</v>
      </c>
      <c r="AE371" s="1" t="n">
        <v>62</v>
      </c>
      <c r="AF371" s="1" t="n">
        <f aca="false">ROUND(AE371*1.6, 0)</f>
        <v>99</v>
      </c>
      <c r="AI371" s="1" t="n">
        <v>17.45</v>
      </c>
      <c r="AJ371" s="1" t="n">
        <v>17.45</v>
      </c>
      <c r="AK371" s="1" t="n">
        <v>2.92</v>
      </c>
      <c r="AL371" s="1" t="n">
        <v>3.68</v>
      </c>
      <c r="AM371" s="5" t="n">
        <v>156</v>
      </c>
      <c r="AN371" s="1" t="str">
        <f aca="false">CONCATENATE(VLOOKUP(AO371, 'Voxel Sizes'!$A$2:$B$18,2,FALSE()),"x",INT(AK371*15), "x", INT(AL371*15))</f>
        <v>164x43x55</v>
      </c>
      <c r="AO371" s="1" t="n">
        <f aca="false">ROUND(15*((AJ371*10)/256),0)</f>
        <v>10</v>
      </c>
      <c r="AQ371" s="1" t="str">
        <f aca="false">CONCATENATE(VLOOKUP(AO371,Constants!$A$2:$C$16,IF(AP371&lt;&gt;"", 3, 2), FALSE()),IF(AP371&lt;&gt;"",CONCATENATE(",",VLOOKUP(AP371,$B:$AQ,42,FALSE())),""))</f>
        <v>4,2,4</v>
      </c>
      <c r="AU371" s="1" t="s">
        <v>1463</v>
      </c>
      <c r="AW371" s="1" t="s">
        <v>1228</v>
      </c>
      <c r="AX371" s="1" t="s">
        <v>1457</v>
      </c>
      <c r="BA371" s="1" t="n">
        <v>34</v>
      </c>
      <c r="BB371" s="16" t="str">
        <f aca="false">IF(O371&lt;&gt;"",MAX(16,(O371-M371)+8),"")</f>
        <v/>
      </c>
      <c r="BC371" s="1" t="n">
        <v>-25</v>
      </c>
      <c r="BE371" s="1" t="n">
        <f aca="false">MIN(AE371/150, 1)*30</f>
        <v>12.4</v>
      </c>
      <c r="BF371" s="1" t="n">
        <f aca="false">MIN(Q371/4000, 1)*20</f>
        <v>12</v>
      </c>
      <c r="BG371" s="1" t="n">
        <f aca="false">MIN(AC371/400,1)*20</f>
        <v>9</v>
      </c>
      <c r="BH371" s="4" t="n">
        <f aca="false">1-(MAX(M371-1900, 0)/750)</f>
        <v>0.853333333333333</v>
      </c>
      <c r="BI371" s="1" t="n">
        <f aca="false">((MAX($P371,1)*MIN($AM371/300,1)))*IF(J371="Wagon",50,10)</f>
        <v>31.2</v>
      </c>
      <c r="BJ371" s="1" t="n">
        <f aca="false">VLOOKUP($K371,Constants!$I:$K, 2, FALSE())</f>
        <v>0.9</v>
      </c>
      <c r="BK371" s="1" t="n">
        <f aca="false">VLOOKUP($K371,Constants!$I:$K, 3, FALSE())*IF(AND(J371="multiple_unit",AE371&lt;110),0.75,1)</f>
        <v>1.2</v>
      </c>
      <c r="BL371" s="1" t="n">
        <f aca="false">INT(POWER(((Constants!$G$2+$BE371+$BF371+$BG371+$BI371)*$BH371)*$BK371, 1.05))+$BD371</f>
        <v>88</v>
      </c>
      <c r="BM371" s="1" t="n">
        <f aca="false">INT(POWER((((Constants!$G$1+$BE371+$BF371+$BG371+$BI371)*($BH371))*$BJ371),IF($J371="wagon",1,1.2)))+$BC371</f>
        <v>114</v>
      </c>
      <c r="BN371" s="17" t="n">
        <f aca="false">BL371*IF($J371="wagon",62.5,781.25)</f>
        <v>68750</v>
      </c>
      <c r="BO371" s="17" t="n">
        <f aca="false">BM371*IF($J371="wagon",2.73,81.25)</f>
        <v>9262.5</v>
      </c>
      <c r="BX371" s="1" t="s">
        <v>1178</v>
      </c>
      <c r="BY371" s="1" t="n">
        <v>1</v>
      </c>
      <c r="BZ371" s="1" t="n">
        <v>120</v>
      </c>
      <c r="CC371" s="1" t="s">
        <v>327</v>
      </c>
      <c r="CD371" s="1" t="str">
        <f aca="false">VLOOKUP(M371,Eras!$A$2:$C$10, 2, TRUE())</f>
        <v>mod</v>
      </c>
      <c r="CE371" s="1" t="s">
        <v>1397</v>
      </c>
      <c r="CF371" s="1" t="str">
        <f aca="false">CONCATENATE(CD371,"_",CE371)</f>
        <v>mod_LU</v>
      </c>
      <c r="CG371" s="1" t="str">
        <f aca="false">_xlfn.CONCAT(K371, "_",L371)</f>
        <v>tube_FOURTH_RAIL</v>
      </c>
      <c r="CH371" s="7" t="str">
        <f aca="false">_xlfn.CONCAT("{BLACK}Length: {GOLD}", TEXT(ROUNDUP(IF(AT371&lt;&gt;"",SUM(VALUE(_xlfn.TEXTSPLIT(AT371, ","))), SUM(VALUE(_xlfn.TEXTSPLIT(AQ371, ",")))*IF(P371, P371, 1))/16, 1), "#,##0.0"), " tiles{}")</f>
        <v>{BLACK}Length: {GOLD}3.8 tiles{}</v>
      </c>
      <c r="CI371" s="1" t="n">
        <f aca="false">VLOOKUP($CG371, Constants!$M:$N, 2, FALSE())</f>
        <v>0</v>
      </c>
      <c r="CJ371" s="1" t="str">
        <f aca="false">IF(P371&gt;1,_xlfn.CONCAT("{BLACK}Cars: {GOLD}", P371),"")</f>
        <v>{BLACK}Cars: {GOLD}6</v>
      </c>
      <c r="CK371" s="1" t="s">
        <v>1464</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2" customFormat="false" ht="14.25" hidden="false" customHeight="false" outlineLevel="0" collapsed="false">
      <c r="A372" s="1" t="s">
        <v>1465</v>
      </c>
      <c r="B372" s="15" t="s">
        <v>1466</v>
      </c>
      <c r="C372" s="1" t="n">
        <v>308</v>
      </c>
      <c r="E372" s="1" t="n">
        <v>618</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198</v>
      </c>
      <c r="J372" s="1" t="s">
        <v>423</v>
      </c>
      <c r="K372" s="1" t="s">
        <v>1395</v>
      </c>
      <c r="L372" s="1" t="s">
        <v>1396</v>
      </c>
      <c r="M372" s="1" t="n">
        <v>2025</v>
      </c>
      <c r="P372" s="1" t="n">
        <v>9</v>
      </c>
      <c r="Q372" s="1" t="n">
        <v>3400</v>
      </c>
      <c r="Z372" s="1" t="n">
        <v>190</v>
      </c>
      <c r="AB372" s="1" t="n">
        <v>10</v>
      </c>
      <c r="AC372" s="1" t="n">
        <v>160</v>
      </c>
      <c r="AD372" s="4" t="n">
        <f aca="false">IF(AND(Z372&gt;0,AC372&gt;0),(AC372/((Z372+AA372)*10)),"")</f>
        <v>0.0842105263157895</v>
      </c>
      <c r="AE372" s="1" t="n">
        <v>62</v>
      </c>
      <c r="AF372" s="1" t="n">
        <f aca="false">ROUND(AE372*1.6, 0)</f>
        <v>99</v>
      </c>
      <c r="AI372" s="1" t="n">
        <f aca="false">113.7/9</f>
        <v>12.6333333333333</v>
      </c>
      <c r="AJ372" s="1" t="n">
        <v>12.6</v>
      </c>
      <c r="AK372" s="1" t="n">
        <v>2.6</v>
      </c>
      <c r="AL372" s="1" t="n">
        <v>2.8</v>
      </c>
      <c r="AM372" s="5" t="n">
        <v>119</v>
      </c>
      <c r="AN372" s="1" t="str">
        <f aca="false">CONCATENATE(VLOOKUP(AO372, 'Voxel Sizes'!$A$2:$B$18,2,FALSE()),"x",INT(AK372*15), "x", INT(AL372*15))</f>
        <v>120x39x42</v>
      </c>
      <c r="AO372" s="1" t="n">
        <f aca="false">ROUND(15*((AJ372*10)/256),0)</f>
        <v>7</v>
      </c>
      <c r="AQ372" s="1" t="str">
        <f aca="false">CONCATENATE(VLOOKUP(AO372,Constants!$A$2:$C$16,IF(AP372&lt;&gt;"", 3, 2), FALSE()),IF(AP372&lt;&gt;"",CONCATENATE(",",VLOOKUP(AP372,$B:$AQ,42,FALSE())),""))</f>
        <v>2,3,2</v>
      </c>
      <c r="AU372" s="1" t="s">
        <v>1467</v>
      </c>
      <c r="AW372" s="1" t="s">
        <v>1468</v>
      </c>
      <c r="BA372" s="1" t="n">
        <v>32</v>
      </c>
      <c r="BB372" s="16" t="str">
        <f aca="false">IF(O372&lt;&gt;"",MAX(16,(O372-M372)+8),"")</f>
        <v/>
      </c>
      <c r="BC372" s="1" t="n">
        <v>-25</v>
      </c>
      <c r="BE372" s="1" t="n">
        <f aca="false">MIN(AE372/150, 1)*30</f>
        <v>12.4</v>
      </c>
      <c r="BF372" s="1" t="n">
        <f aca="false">MIN(Q372/4000, 1)*20</f>
        <v>17</v>
      </c>
      <c r="BG372" s="1" t="n">
        <f aca="false">MIN(AC372/400,1)*20</f>
        <v>8</v>
      </c>
      <c r="BH372" s="4" t="n">
        <f aca="false">1-(MAX(M372-1900, 0)/750)</f>
        <v>0.833333333333333</v>
      </c>
      <c r="BI372" s="1" t="n">
        <f aca="false">((MAX($P372,1)*MIN($AM372/300,1)))*IF(J372="Wagon",50,10)</f>
        <v>35.7</v>
      </c>
      <c r="BJ372" s="1" t="n">
        <f aca="false">VLOOKUP($K372,Constants!$I:$K, 2, FALSE())</f>
        <v>0.9</v>
      </c>
      <c r="BK372" s="1" t="n">
        <f aca="false">VLOOKUP($K372,Constants!$I:$K, 3, FALSE())*IF(AND(J372="multiple_unit",AE372&lt;110),0.75,1)</f>
        <v>1.2</v>
      </c>
      <c r="BL372" s="1" t="n">
        <f aca="false">INT(POWER(((Constants!$G$2+$BE372+$BF372+$BG372+$BI372)*$BH372)*$BK372, 1.05))+$BD372</f>
        <v>97</v>
      </c>
      <c r="BM372" s="1" t="n">
        <f aca="false">INT(POWER((((Constants!$G$1+$BE372+$BF372+$BG372+$BI372)*($BH372))*$BJ372),IF($J372="wagon",1,1.2)))+$BC372</f>
        <v>127</v>
      </c>
      <c r="BN372" s="17" t="n">
        <f aca="false">BL372*IF($J372="wagon",62.5,781.25)</f>
        <v>75781.25</v>
      </c>
      <c r="BO372" s="17" t="n">
        <f aca="false">BM372*IF($J372="wagon",2.73,81.25)</f>
        <v>10318.75</v>
      </c>
      <c r="BY372" s="1" t="n">
        <v>6</v>
      </c>
      <c r="BZ372" s="1" t="n">
        <v>120</v>
      </c>
      <c r="CC372" s="1" t="s">
        <v>327</v>
      </c>
      <c r="CD372" s="1" t="str">
        <f aca="false">VLOOKUP(M372,Eras!$A$2:$C$10, 2, TRUE())</f>
        <v>mod</v>
      </c>
      <c r="CE372" s="1" t="s">
        <v>1397</v>
      </c>
      <c r="CF372" s="1" t="str">
        <f aca="false">CONCATENATE(CD372,"_",CE372)</f>
        <v>mod_LU</v>
      </c>
      <c r="CG372" s="1" t="str">
        <f aca="false">_xlfn.CONCAT(K372, "_",L372)</f>
        <v>tube_FOURTH_RAIL</v>
      </c>
      <c r="CH372" s="7" t="str">
        <f aca="false">_xlfn.CONCAT("{BLACK}Length: {GOLD}", TEXT(ROUNDUP(IF(AT372&lt;&gt;"",SUM(VALUE(_xlfn.TEXTSPLIT(AT372, ","))), SUM(VALUE(_xlfn.TEXTSPLIT(AQ372, ",")))*IF(P372, P372, 1))/16, 1), "#,##0.0"), " tiles{}")</f>
        <v>{BLACK}Length: {GOLD}4.0 tiles{}</v>
      </c>
      <c r="CI372" s="1" t="n">
        <f aca="false">VLOOKUP($CG372, Constants!$M:$N, 2, FALSE())</f>
        <v>0</v>
      </c>
      <c r="CJ372" s="1" t="str">
        <f aca="false">IF(P372&gt;1,_xlfn.CONCAT("{BLACK}Cars: {GOLD}", P372),"")</f>
        <v>{BLACK}Cars: {GOLD}9</v>
      </c>
      <c r="CK372" s="1" t="s">
        <v>1469</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{GOLD}9{}{BLACK}Length: {GOLD}4.0 tiles{}{YELLOW}35% penalty for long distance travel{}{SILVER}The New Tube for London is intended to replace all of London Underground's existing deep-level Tube stock, starting with the 1973 stock on the Piccadilly Line.</v>
      </c>
    </row>
    <row r="373" customFormat="false" ht="14.25" hidden="false" customHeight="false" outlineLevel="0" collapsed="false">
      <c r="A373" s="1" t="s">
        <v>1470</v>
      </c>
      <c r="B373" s="15" t="s">
        <v>1471</v>
      </c>
      <c r="C373" s="1" t="n">
        <v>309</v>
      </c>
      <c r="E373" s="1" t="n">
        <v>619</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198</v>
      </c>
      <c r="J373" s="1" t="s">
        <v>423</v>
      </c>
      <c r="K373" s="1" t="s">
        <v>1395</v>
      </c>
      <c r="L373" s="1" t="s">
        <v>1396</v>
      </c>
      <c r="M373" s="1" t="n">
        <v>1980</v>
      </c>
      <c r="P373" s="1" t="n">
        <v>3</v>
      </c>
      <c r="Q373" s="1" t="n">
        <v>300</v>
      </c>
      <c r="Z373" s="1" t="n">
        <v>60</v>
      </c>
      <c r="AB373" s="1" t="n">
        <v>9</v>
      </c>
      <c r="AC373" s="1" t="n">
        <v>45</v>
      </c>
      <c r="AD373" s="4" t="n">
        <f aca="false">IF(AND(Z373&gt;0,AC373&gt;0),(AC373/((Z373+AA373)*10)),"")</f>
        <v>0.075</v>
      </c>
      <c r="AE373" s="1" t="n">
        <v>34</v>
      </c>
      <c r="AF373" s="1" t="n">
        <f aca="false">ROUND(AE373*1.6, 0)</f>
        <v>54</v>
      </c>
      <c r="AI373" s="1" t="n">
        <v>12.58</v>
      </c>
      <c r="AJ373" s="1" t="n">
        <v>12.58</v>
      </c>
      <c r="AK373" s="1" t="n">
        <v>2.34</v>
      </c>
      <c r="AL373" s="1" t="n">
        <v>2.65</v>
      </c>
      <c r="AM373" s="5" t="n">
        <v>90</v>
      </c>
      <c r="AN373" s="1" t="str">
        <f aca="false">CONCATENATE(VLOOKUP(AO373, 'Voxel Sizes'!$A$2:$B$18,2,FALSE()),"x",INT(AK373*15), "x", INT(AL373*15))</f>
        <v>120x35x39</v>
      </c>
      <c r="AO373" s="1" t="n">
        <f aca="false">ROUND(15*((AJ373*10)/256),0)</f>
        <v>7</v>
      </c>
      <c r="AQ373" s="1" t="str">
        <f aca="false">CONCATENATE(VLOOKUP(AO373,Constants!$A$2:$C$16,IF(AP373&lt;&gt;"", 3, 2), FALSE()),IF(AP373&lt;&gt;"",CONCATENATE(",",VLOOKUP(AP373,$B:$AQ,42,FALSE())),""))</f>
        <v>2,3,2</v>
      </c>
      <c r="AU373" s="1" t="s">
        <v>1472</v>
      </c>
      <c r="AW373" s="1" t="s">
        <v>425</v>
      </c>
      <c r="BA373" s="1" t="n">
        <v>33</v>
      </c>
      <c r="BB373" s="16" t="str">
        <f aca="false">IF(O373&lt;&gt;"",MAX(16,(O373-M373)+8),"")</f>
        <v/>
      </c>
      <c r="BE373" s="1" t="n">
        <f aca="false">MIN(AE373/150, 1)*30</f>
        <v>6.8</v>
      </c>
      <c r="BF373" s="1" t="n">
        <f aca="false">MIN(Q373/4000, 1)*20</f>
        <v>1.5</v>
      </c>
      <c r="BG373" s="1" t="n">
        <f aca="false">MIN(AC373/400,1)*20</f>
        <v>2.25</v>
      </c>
      <c r="BH373" s="4" t="n">
        <f aca="false">1-(MAX(M373-1900, 0)/750)</f>
        <v>0.893333333333333</v>
      </c>
      <c r="BI373" s="1" t="n">
        <f aca="false">((MAX($P373,1)*MIN($AM373/300,1)))*IF(J373="Wagon",50,10)</f>
        <v>9</v>
      </c>
      <c r="BJ373" s="1" t="n">
        <f aca="false">VLOOKUP($K373,Constants!$I:$K, 2, FALSE())</f>
        <v>0.9</v>
      </c>
      <c r="BK373" s="1" t="n">
        <f aca="false">VLOOKUP($K373,Constants!$I:$K, 3, FALSE())*IF(AND(J373="multiple_unit",AE373&lt;110),0.75,1)</f>
        <v>1.2</v>
      </c>
      <c r="BL373" s="1" t="n">
        <f aca="false">INT(POWER(((Constants!$G$2+$BE373+$BF373+$BG373+$BI373)*$BH373)*$BK373, 1.05))+$BD373</f>
        <v>30</v>
      </c>
      <c r="BM373" s="1" t="n">
        <f aca="false">INT(POWER((((Constants!$G$1+$BE373+$BF373+$BG373+$BI373)*($BH373))*$BJ373),IF($J373="wagon",1,1.2)))+$BC373</f>
        <v>54</v>
      </c>
      <c r="BN373" s="17" t="n">
        <f aca="false">BL373*IF($J373="wagon",62.5,781.25)</f>
        <v>23437.5</v>
      </c>
      <c r="BO373" s="17" t="n">
        <f aca="false">BM373*IF($J373="wagon",2.73,81.25)</f>
        <v>4387.5</v>
      </c>
      <c r="BY373" s="1" t="n">
        <v>5</v>
      </c>
      <c r="BZ373" s="1" t="n">
        <v>120</v>
      </c>
      <c r="CC373" s="1" t="s">
        <v>327</v>
      </c>
      <c r="CD373" s="1" t="str">
        <f aca="false">VLOOKUP(M373,Eras!$A$2:$C$10, 2, TRUE())</f>
        <v>lbr</v>
      </c>
      <c r="CE373" s="1" t="s">
        <v>1397</v>
      </c>
      <c r="CF373" s="1" t="str">
        <f aca="false">CONCATENATE(CD373,"_",CE373)</f>
        <v>lbr_LU</v>
      </c>
      <c r="CG373" s="1" t="str">
        <f aca="false">_xlfn.CONCAT(K373, "_",L373)</f>
        <v>tube_FOURTH_RAIL</v>
      </c>
      <c r="CH373" s="7" t="str">
        <f aca="false">_xlfn.CONCAT("{BLACK}Length: {GOLD}", TEXT(ROUNDUP(IF(AT373&lt;&gt;"",SUM(VALUE(_xlfn.TEXTSPLIT(AT373, ","))), SUM(VALUE(_xlfn.TEXTSPLIT(AQ373, ",")))*IF(P373, P373, 1))/16, 1), "#,##0.0"), " tiles{}")</f>
        <v>{BLACK}Length: {GOLD}1.4 tiles{}</v>
      </c>
      <c r="CI373" s="1" t="n">
        <f aca="false">VLOOKUP($CG373, Constants!$M:$N, 2, FALSE())</f>
        <v>0</v>
      </c>
      <c r="CJ373" s="1" t="str">
        <f aca="false">IF(P373&gt;1,_xlfn.CONCAT("{BLACK}Cars: {GOLD}", P373),"")</f>
        <v>{BLACK}Cars: {GOLD}3</v>
      </c>
      <c r="CK373" s="1" t="s">
        <v>1473</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4" customFormat="false" ht="14.25" hidden="false" customHeight="false" outlineLevel="0" collapsed="false">
      <c r="A374" s="1" t="s">
        <v>1474</v>
      </c>
      <c r="B374" s="15" t="s">
        <v>1475</v>
      </c>
      <c r="C374" s="1" t="n">
        <v>10</v>
      </c>
      <c r="E374" s="1" t="n">
        <v>1001</v>
      </c>
      <c r="G374" s="1" t="str">
        <f aca="false">IF($F374&lt;&gt;"",_xlfn.CONCAT(VLOOKUP($CE374, Constants!$T:$U, 2, FALSE()),",",$F374),VLOOKUP($CE374, Constants!$T:$U, 2, FALSE()))</f>
        <v>role/passenger</v>
      </c>
      <c r="H374" s="1" t="str">
        <f aca="false">IF($G374&lt;&gt;"",_xlfn.CONCAT(VLOOKUP($CG374, Constants!$M:$P, 4, FALSE()),",",$G374),VLOOKUP($CG374, Constants!$M:$P, 4, FALSE()))</f>
        <v>flag/GB,role/passenger</v>
      </c>
      <c r="I374" s="1" t="s">
        <v>198</v>
      </c>
      <c r="J374" s="1" t="s">
        <v>1476</v>
      </c>
      <c r="K374" s="1" t="s">
        <v>1477</v>
      </c>
      <c r="L374" s="1" t="s">
        <v>200</v>
      </c>
      <c r="M374" s="1" t="n">
        <v>1700</v>
      </c>
      <c r="O374" s="1" t="n">
        <v>1870</v>
      </c>
      <c r="Z374" s="1" t="n">
        <v>8</v>
      </c>
      <c r="AB374" s="1" t="n">
        <v>3</v>
      </c>
      <c r="AD374" s="4" t="str">
        <f aca="false">IF(AND(Z374&gt;0,AC374&gt;0),(AC374/((Z374+AA374)*10)),"")</f>
        <v/>
      </c>
      <c r="AE374" s="1" t="n">
        <v>45</v>
      </c>
      <c r="AF374" s="1" t="n">
        <f aca="false">ROUND(AE374*1.6, 0)</f>
        <v>72</v>
      </c>
      <c r="AI374" s="1" t="n">
        <v>8</v>
      </c>
      <c r="AJ374" s="1" t="n">
        <v>8</v>
      </c>
      <c r="AM374" s="5" t="n">
        <v>18</v>
      </c>
      <c r="AN374" s="1" t="str">
        <f aca="false">CONCATENATE(VLOOKUP(AO374, 'Voxel Sizes'!$A$2:$B$18,2,FALSE()),"x",INT(AK374*15), "x", INT(AL374*15))</f>
        <v>82x0x0</v>
      </c>
      <c r="AO374" s="1" t="n">
        <f aca="false">ROUND(15*((AJ374*10)/256),0)</f>
        <v>5</v>
      </c>
      <c r="AQ374" s="1" t="str">
        <f aca="false">CONCATENATE(VLOOKUP(AO374,Constants!$A$2:$C$16,IF(AP374&lt;&gt;"", 3, 2), FALSE()),IF(AP374&lt;&gt;"",CONCATENATE(",",VLOOKUP(AP374,$B:$AQ,39,FALSE())),""))</f>
        <v>2,1,2</v>
      </c>
      <c r="BA374" s="1" t="n">
        <v>30</v>
      </c>
      <c r="BB374" s="16" t="n">
        <f aca="false">IF(O374&lt;&gt;"",MAX(16,(O374-M374)+8),"")</f>
        <v>178</v>
      </c>
      <c r="BC374" s="1" t="n">
        <v>10</v>
      </c>
      <c r="BD374" s="1" t="n">
        <v>10</v>
      </c>
      <c r="BE374" s="1" t="n">
        <f aca="false">MIN(AE374/150, 1)*30</f>
        <v>9</v>
      </c>
      <c r="BF374" s="1" t="n">
        <f aca="false">MIN(Q374/4000, 1)*20</f>
        <v>0</v>
      </c>
      <c r="BG374" s="1" t="n">
        <f aca="false">MIN(AC374/400,1)*20</f>
        <v>0</v>
      </c>
      <c r="BH374" s="4" t="n">
        <f aca="false">1-(MAX(M374-1900, 0)/750)</f>
        <v>1</v>
      </c>
      <c r="BI374" s="1" t="n">
        <f aca="false">((MAX($P374,1)*MIN($AM374/300,1)))*IF(J374="Wagon",50,10)</f>
        <v>3</v>
      </c>
      <c r="BJ374" s="1" t="n">
        <f aca="false">VLOOKUP($K374,Constants!$I:$K, 2, FALSE())</f>
        <v>1.2</v>
      </c>
      <c r="BK374" s="1" t="n">
        <f aca="false">VLOOKUP($K374,Constants!$I:$K, 3, FALSE())*IF(AND(J374="multiple_unit",AE374&lt;110),0.75,1)</f>
        <v>0.6</v>
      </c>
      <c r="BL374" s="1" t="n">
        <f aca="false">INT(POWER(((Constants!$G$2+$BE374+$BF374+$BG374+$BI374)*$BH374)*$BK374, 1.05))+$BD374</f>
        <v>21</v>
      </c>
      <c r="BM374" s="1" t="n">
        <f aca="false">INT(POWER((((Constants!$G$1+$BE374+$BF374+$BG374+$BI374)*($BH374))*$BJ374),IF($J374="wagon",1,1.2)))+$BC374</f>
        <v>42</v>
      </c>
      <c r="BN374" s="17" t="n">
        <f aca="false">BL374*IF($J374="wagon",62.5,781.25)</f>
        <v>1312.5</v>
      </c>
      <c r="BO374" s="17" t="n">
        <f aca="false">BM374*IF($J374="wagon",2.73,81.25)</f>
        <v>114.66</v>
      </c>
      <c r="BY374" s="1" t="n">
        <v>10</v>
      </c>
      <c r="BZ374" s="1" t="n">
        <v>185</v>
      </c>
      <c r="CB374" s="1" t="s">
        <v>326</v>
      </c>
      <c r="CC374" s="1" t="s">
        <v>327</v>
      </c>
      <c r="CD374" s="1" t="str">
        <f aca="false">VLOOKUP(M374,Eras!$A$2:$C$10, 2, TRUE())</f>
        <v>early</v>
      </c>
      <c r="CE374" s="1" t="s">
        <v>1478</v>
      </c>
      <c r="CF374" s="1" t="str">
        <f aca="false">CONCATENATE(CD374,"_",CE374)</f>
        <v>early_Carriage</v>
      </c>
      <c r="CG374" s="1" t="str">
        <f aca="false">_xlfn.CONCAT(K374, "_",L374)</f>
        <v>carriage_PLATEWAY</v>
      </c>
      <c r="CH374" s="7" t="str">
        <f aca="false">_xlfn.CONCAT("{BLACK}Length: {GOLD}", TEXT(ROUNDUP(IF(AT374&lt;&gt;"",SUM(VALUE(_xlfn.TEXTSPLIT(AT374, ","))), SUM(VALUE(_xlfn.TEXTSPLIT(AQ374, ",")))*IF(P374, P374, 1))/16, 1), "#,##0.0"), " tiles{}")</f>
        <v>{BLACK}Length: {GOLD}0.4 tiles{}</v>
      </c>
      <c r="CI374" s="1" t="n">
        <f aca="false">VLOOKUP($CG374, Constants!$M:$N, 2, FALSE())</f>
        <v>0</v>
      </c>
      <c r="CJ374" s="1" t="str">
        <f aca="false">IF(P374&gt;1,_xlfn.CONCAT("{BLACK}Cars: {GOLD}", P374),"")</f>
        <v/>
      </c>
      <c r="CK374" s="1" t="s">
        <v>1479</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{BLACK}Length: {GOLD}0.4 tiles{}{SILVER}The first enclosed passenger carriages were adapted from stagecoach bodies, with wooden frames.</v>
      </c>
    </row>
    <row r="375" customFormat="false" ht="14.25" hidden="false" customHeight="false" outlineLevel="0" collapsed="false">
      <c r="A375" s="1" t="s">
        <v>1480</v>
      </c>
      <c r="B375" s="15" t="s">
        <v>1481</v>
      </c>
      <c r="C375" s="1" t="n">
        <v>11</v>
      </c>
      <c r="E375" s="1" t="n">
        <v>1002</v>
      </c>
      <c r="G375" s="1" t="str">
        <f aca="false">IF($F375&lt;&gt;"",_xlfn.CONCAT(VLOOKUP($CE375, Constants!$T:$U, 2, FALSE()),",",$F375),VLOOKUP($CE375, Constants!$T:$U, 2, FALSE()))</f>
        <v>role/passenger</v>
      </c>
      <c r="H375" s="1" t="str">
        <f aca="false">IF($G375&lt;&gt;"",_xlfn.CONCAT(VLOOKUP($CG375, Constants!$M:$P, 4, FALSE()),",",$G375),VLOOKUP($CG375, Constants!$M:$P, 4, FALSE()))</f>
        <v>flag/GB,role/passenger</v>
      </c>
      <c r="I375" s="1" t="s">
        <v>198</v>
      </c>
      <c r="J375" s="1" t="s">
        <v>1476</v>
      </c>
      <c r="K375" s="1" t="s">
        <v>1477</v>
      </c>
      <c r="L375" s="1" t="s">
        <v>149</v>
      </c>
      <c r="M375" s="1" t="n">
        <v>1855</v>
      </c>
      <c r="O375" s="1" t="n">
        <v>1900</v>
      </c>
      <c r="Z375" s="1" t="n">
        <v>18</v>
      </c>
      <c r="AB375" s="1" t="n">
        <v>4</v>
      </c>
      <c r="AD375" s="4" t="str">
        <f aca="false">IF(AND(Z375&gt;0,AC375&gt;0),(AC375/((Z375+AA375)*10)),"")</f>
        <v/>
      </c>
      <c r="AE375" s="1" t="n">
        <v>65</v>
      </c>
      <c r="AF375" s="1" t="n">
        <f aca="false">ROUND(AE375*1.6, 0)</f>
        <v>104</v>
      </c>
      <c r="AI375" s="1" t="n">
        <v>10</v>
      </c>
      <c r="AJ375" s="1" t="n">
        <v>10</v>
      </c>
      <c r="AM375" s="5" t="n">
        <v>24</v>
      </c>
      <c r="AN375" s="1" t="str">
        <f aca="false">CONCATENATE(VLOOKUP(AO375, 'Voxel Sizes'!$A$2:$B$18,2,FALSE()),"x",INT(AK375*15), "x", INT(AL375*15))</f>
        <v>102x0x0</v>
      </c>
      <c r="AO375" s="1" t="n">
        <f aca="false">ROUND(15*((AJ375*10)/256),0)</f>
        <v>6</v>
      </c>
      <c r="AQ375" s="1" t="str">
        <f aca="false">CONCATENATE(VLOOKUP(AO375,Constants!$A$2:$C$16,IF(AP375&lt;&gt;"", 3, 2), FALSE()),IF(AP375&lt;&gt;"",CONCATENATE(",",VLOOKUP(AP375,$B:$AQ,39,FALSE())),""))</f>
        <v>2,2,2</v>
      </c>
      <c r="BA375" s="1" t="n">
        <v>30</v>
      </c>
      <c r="BB375" s="16" t="n">
        <f aca="false">IF(O375&lt;&gt;"",MAX(16,(O375-M375)+8),"")</f>
        <v>53</v>
      </c>
      <c r="BC375" s="1" t="n">
        <v>35</v>
      </c>
      <c r="BD375" s="1" t="n">
        <v>42</v>
      </c>
      <c r="BE375" s="1" t="n">
        <f aca="false">MIN(AE375/150, 1)*30</f>
        <v>13</v>
      </c>
      <c r="BF375" s="1" t="n">
        <f aca="false">MIN(Q375/4000, 1)*20</f>
        <v>0</v>
      </c>
      <c r="BG375" s="1" t="n">
        <f aca="false">MIN(AC375/400,1)*20</f>
        <v>0</v>
      </c>
      <c r="BH375" s="4" t="n">
        <f aca="false">1-(MAX(M375-1900, 0)/750)</f>
        <v>1</v>
      </c>
      <c r="BI375" s="1" t="n">
        <f aca="false">((MAX($P375,1)*MIN($AM375/300,1)))*IF(J375="Wagon",50,10)</f>
        <v>4</v>
      </c>
      <c r="BJ375" s="1" t="n">
        <f aca="false">VLOOKUP($K375,Constants!$I:$K, 2, FALSE())</f>
        <v>1.2</v>
      </c>
      <c r="BK375" s="1" t="n">
        <f aca="false">VLOOKUP($K375,Constants!$I:$K, 3, FALSE())*IF(AND(J375="multiple_unit",AE375&lt;110),0.75,1)</f>
        <v>0.6</v>
      </c>
      <c r="BL375" s="1" t="n">
        <f aca="false">INT(POWER(((Constants!$G$2+$BE375+$BF375+$BG375+$BI375)*$BH375)*$BK375, 1.05))+$BD375</f>
        <v>57</v>
      </c>
      <c r="BM375" s="1" t="n">
        <f aca="false">INT(POWER((((Constants!$G$1+$BE375+$BF375+$BG375+$BI375)*($BH375))*$BJ375),IF($J375="wagon",1,1.2)))+$BC375</f>
        <v>73</v>
      </c>
      <c r="BN375" s="17" t="n">
        <f aca="false">BL375*IF($J375="wagon",62.5,781.25)</f>
        <v>3562.5</v>
      </c>
      <c r="BO375" s="17" t="n">
        <f aca="false">BM375*IF($J375="wagon",2.73,81.25)</f>
        <v>199.29</v>
      </c>
      <c r="BY375" s="1" t="n">
        <v>10</v>
      </c>
      <c r="BZ375" s="1" t="n">
        <v>185</v>
      </c>
      <c r="CB375" s="1" t="s">
        <v>326</v>
      </c>
      <c r="CC375" s="1" t="s">
        <v>327</v>
      </c>
      <c r="CD375" s="1" t="str">
        <f aca="false">VLOOKUP(M375,Eras!$A$2:$C$10, 2, TRUE())</f>
        <v>vct</v>
      </c>
      <c r="CE375" s="1" t="s">
        <v>1478</v>
      </c>
      <c r="CF375" s="1" t="str">
        <f aca="false">CONCATENATE(CD375,"_",CE375)</f>
        <v>vct_Carriage</v>
      </c>
      <c r="CG375" s="1" t="str">
        <f aca="false">_xlfn.CONCAT(K375, "_",L375)</f>
        <v>carriage_RAIL</v>
      </c>
      <c r="CH375" s="7" t="str">
        <f aca="false">_xlfn.CONCAT("{BLACK}Length: {GOLD}", TEXT(ROUNDUP(IF(AT375&lt;&gt;"",SUM(VALUE(_xlfn.TEXTSPLIT(AT375, ","))), SUM(VALUE(_xlfn.TEXTSPLIT(AQ375, ",")))*IF(P375, P375, 1))/16, 1), "#,##0.0"), " tiles{}")</f>
        <v>{BLACK}Length: {GOLD}0.4 tiles{}</v>
      </c>
      <c r="CI375" s="1" t="n">
        <f aca="false">VLOOKUP($CG375, Constants!$M:$N, 2, FALSE())</f>
        <v>0</v>
      </c>
      <c r="CJ375" s="1" t="str">
        <f aca="false">IF(P375&gt;1,_xlfn.CONCAT("{BLACK}Cars: {GOLD}", P375),"")</f>
        <v/>
      </c>
      <c r="CK375" s="1" t="s">
        <v>1482</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{BLACK}Length: {GOLD}0.4 tiles{}{SILVER}Railway carriages from the 1850s to 1870s tended to be built on wooden or wrought iron frames of around 20-24ft in length, with oil lighting internally.</v>
      </c>
    </row>
    <row r="376" customFormat="false" ht="14.25" hidden="false" customHeight="true" outlineLevel="0" collapsed="false">
      <c r="A376" s="1" t="s">
        <v>1483</v>
      </c>
      <c r="B376" s="15" t="s">
        <v>1484</v>
      </c>
      <c r="C376" s="1" t="n">
        <v>12</v>
      </c>
      <c r="E376" s="1" t="n">
        <v>1003</v>
      </c>
      <c r="G376" s="1" t="str">
        <f aca="false">IF($F376&lt;&gt;"",_xlfn.CONCAT(VLOOKUP($CE376, Constants!$T:$U, 2, FALSE()),",",$F376),VLOOKUP($CE376, Constants!$T:$U, 2, FALSE()))</f>
        <v>role/passenger</v>
      </c>
      <c r="H376" s="1" t="str">
        <f aca="false">IF($G376&lt;&gt;"",_xlfn.CONCAT(VLOOKUP($CG376, Constants!$M:$P, 4, FALSE()),",",$G376),VLOOKUP($CG376, Constants!$M:$P, 4, FALSE()))</f>
        <v>flag/GB,role/passenger</v>
      </c>
      <c r="I376" s="1" t="s">
        <v>198</v>
      </c>
      <c r="J376" s="1" t="s">
        <v>1476</v>
      </c>
      <c r="K376" s="1" t="s">
        <v>1477</v>
      </c>
      <c r="L376" s="1" t="s">
        <v>149</v>
      </c>
      <c r="M376" s="1" t="n">
        <v>1875</v>
      </c>
      <c r="O376" s="1" t="n">
        <v>1915</v>
      </c>
      <c r="Z376" s="1" t="n">
        <v>21</v>
      </c>
      <c r="AB376" s="1" t="n">
        <v>4</v>
      </c>
      <c r="AD376" s="4" t="str">
        <f aca="false">IF(AND(Z376&gt;0,AC376&gt;0),(AC376/((Z376+AA376)*10)),"")</f>
        <v/>
      </c>
      <c r="AE376" s="1" t="n">
        <v>75</v>
      </c>
      <c r="AF376" s="1" t="n">
        <f aca="false">ROUND(AE376*1.6, 0)</f>
        <v>120</v>
      </c>
      <c r="AI376" s="1" t="n">
        <v>12</v>
      </c>
      <c r="AJ376" s="1" t="n">
        <v>12</v>
      </c>
      <c r="AM376" s="5" t="n">
        <v>30</v>
      </c>
      <c r="AN376" s="1" t="str">
        <f aca="false">CONCATENATE(VLOOKUP(AO376, 'Voxel Sizes'!$A$2:$B$18,2,FALSE()),"x",INT(AK376*15), "x", INT(AL376*15))</f>
        <v>120x0x0</v>
      </c>
      <c r="AO376" s="1" t="n">
        <f aca="false">ROUND(15*((AJ376*10)/256),0)</f>
        <v>7</v>
      </c>
      <c r="AQ376" s="1" t="str">
        <f aca="false">CONCATENATE(VLOOKUP(AO376,Constants!$A$2:$C$16,IF(AP376&lt;&gt;"", 3, 2), FALSE()),IF(AP376&lt;&gt;"",CONCATENATE(",",VLOOKUP(AP376,$B:$AQ,39,FALSE())),""))</f>
        <v>2,3,2</v>
      </c>
      <c r="BA376" s="1" t="n">
        <v>30</v>
      </c>
      <c r="BB376" s="16" t="n">
        <f aca="false">IF(O376&lt;&gt;"",MAX(16,(O376-M376)+8),"")</f>
        <v>48</v>
      </c>
      <c r="BC376" s="1" t="n">
        <v>58</v>
      </c>
      <c r="BD376" s="1" t="n">
        <v>48</v>
      </c>
      <c r="BE376" s="1" t="n">
        <f aca="false">MIN(AE376/150, 1)*30</f>
        <v>15</v>
      </c>
      <c r="BF376" s="1" t="n">
        <f aca="false">MIN(Q376/4000, 1)*20</f>
        <v>0</v>
      </c>
      <c r="BG376" s="1" t="n">
        <f aca="false">MIN(AC376/400,1)*20</f>
        <v>0</v>
      </c>
      <c r="BH376" s="4" t="n">
        <f aca="false">1-(MAX(M376-1900, 0)/750)</f>
        <v>1</v>
      </c>
      <c r="BI376" s="1" t="n">
        <f aca="false">((MAX($P376,1)*MIN($AM376/300,1)))*IF(J376="Wagon",50,10)</f>
        <v>5</v>
      </c>
      <c r="BJ376" s="1" t="n">
        <f aca="false">VLOOKUP($K376,Constants!$I:$K, 2, FALSE())</f>
        <v>1.2</v>
      </c>
      <c r="BK376" s="1" t="n">
        <f aca="false">VLOOKUP($K376,Constants!$I:$K, 3, FALSE())*IF(AND(J376="multiple_unit",AE376&lt;110),0.75,1)</f>
        <v>0.6</v>
      </c>
      <c r="BL376" s="1" t="n">
        <f aca="false">INT(POWER(((Constants!$G$2+$BE376+$BF376+$BG376+$BI376)*$BH376)*$BK376, 1.05))+$BD376</f>
        <v>65</v>
      </c>
      <c r="BM376" s="1" t="n">
        <f aca="false">INT(POWER((((Constants!$G$1+$BE376+$BF376+$BG376+$BI376)*($BH376))*$BJ376),IF($J376="wagon",1,1.2)))+$BC376</f>
        <v>100</v>
      </c>
      <c r="BN376" s="17" t="n">
        <f aca="false">BL376*IF($J376="wagon",62.5,781.25)</f>
        <v>4062.5</v>
      </c>
      <c r="BO376" s="17" t="n">
        <f aca="false">BM376*IF($J376="wagon",2.73,81.25)</f>
        <v>273</v>
      </c>
      <c r="BY376" s="1" t="n">
        <v>11</v>
      </c>
      <c r="BZ376" s="1" t="n">
        <v>185</v>
      </c>
      <c r="CB376" s="1" t="s">
        <v>326</v>
      </c>
      <c r="CC376" s="1" t="s">
        <v>327</v>
      </c>
      <c r="CD376" s="1" t="str">
        <f aca="false">VLOOKUP(M376,Eras!$A$2:$C$10, 2, TRUE())</f>
        <v>vct</v>
      </c>
      <c r="CE376" s="1" t="s">
        <v>1478</v>
      </c>
      <c r="CF376" s="1" t="str">
        <f aca="false">CONCATENATE(CD376,"_",CE376)</f>
        <v>vct_Carriage</v>
      </c>
      <c r="CG376" s="1" t="str">
        <f aca="false">_xlfn.CONCAT(K376, "_",L376)</f>
        <v>carriage_RAIL</v>
      </c>
      <c r="CH376" s="7" t="str">
        <f aca="false">_xlfn.CONCAT("{BLACK}Length: {GOLD}", TEXT(ROUNDUP(IF(AT376&lt;&gt;"",SUM(VALUE(_xlfn.TEXTSPLIT(AT376, ","))), SUM(VALUE(_xlfn.TEXTSPLIT(AQ376, ",")))*IF(P376, P376, 1))/16, 1), "#,##0.0"), " tiles{}")</f>
        <v>{BLACK}Length: {GOLD}0.5 tiles{}</v>
      </c>
      <c r="CI376" s="1" t="n">
        <f aca="false">VLOOKUP($CG376, Constants!$M:$N, 2, FALSE())</f>
        <v>0</v>
      </c>
      <c r="CJ376" s="1" t="str">
        <f aca="false">IF(P376&gt;1,_xlfn.CONCAT("{BLACK}Cars: {GOLD}", P376),"")</f>
        <v/>
      </c>
      <c r="CK376" s="1" t="s">
        <v>1485</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{BLACK}Length: {GOLD}0.5 tiles{}{SILVER}After early experiments for royal saloons, smoother and faster-running six wheel carriages with then-modern fixtures such as gas lighting became common from the 1870s, displacing older four wheeled stock to smaller suburban lines.</v>
      </c>
    </row>
    <row r="377" customFormat="false" ht="14.25" hidden="false" customHeight="false" outlineLevel="0" collapsed="false">
      <c r="A377" s="1" t="s">
        <v>1486</v>
      </c>
      <c r="B377" s="15" t="s">
        <v>1487</v>
      </c>
      <c r="C377" s="1" t="n">
        <v>13</v>
      </c>
      <c r="E377" s="1" t="n">
        <v>1004</v>
      </c>
      <c r="G377" s="1" t="str">
        <f aca="false">IF($F377&lt;&gt;"",_xlfn.CONCAT(VLOOKUP($CE377, Constants!$T:$U, 2, FALSE()),",",$F377),VLOOKUP($CE377, Constants!$T:$U, 2, FALSE()))</f>
        <v>role/passenger</v>
      </c>
      <c r="H377" s="1" t="str">
        <f aca="false">IF($G377&lt;&gt;"",_xlfn.CONCAT(VLOOKUP($CG377, Constants!$M:$P, 4, FALSE()),",",$G377),VLOOKUP($CG377, Constants!$M:$P, 4, FALSE()))</f>
        <v>flag/GB,role/passenger</v>
      </c>
      <c r="I377" s="1" t="s">
        <v>198</v>
      </c>
      <c r="J377" s="1" t="s">
        <v>1476</v>
      </c>
      <c r="K377" s="1" t="s">
        <v>1477</v>
      </c>
      <c r="L377" s="1" t="s">
        <v>1396</v>
      </c>
      <c r="M377" s="1" t="n">
        <v>1889</v>
      </c>
      <c r="O377" s="1" t="n">
        <v>1924</v>
      </c>
      <c r="Z377" s="1" t="n">
        <v>15</v>
      </c>
      <c r="AB377" s="1" t="n">
        <v>7</v>
      </c>
      <c r="AD377" s="4" t="str">
        <f aca="false">IF(AND(Z377&gt;0,AC377&gt;0),(AC377/((Z377+AA377)*10)),"")</f>
        <v/>
      </c>
      <c r="AE377" s="1" t="n">
        <v>30</v>
      </c>
      <c r="AF377" s="1" t="n">
        <f aca="false">ROUND(AE377*1.6, 0)</f>
        <v>48</v>
      </c>
      <c r="AI377" s="1" t="n">
        <v>14</v>
      </c>
      <c r="AJ377" s="1" t="n">
        <v>14</v>
      </c>
      <c r="AM377" s="5" t="n">
        <v>66</v>
      </c>
      <c r="AN377" s="1" t="str">
        <f aca="false">CONCATENATE(VLOOKUP(AO377, 'Voxel Sizes'!$A$2:$B$18,2,FALSE()),"x",INT(AK377*15), "x", INT(AL377*15))</f>
        <v>136x0x0</v>
      </c>
      <c r="AO377" s="1" t="n">
        <f aca="false">ROUND(15*((AJ377*10)/256),0)</f>
        <v>8</v>
      </c>
      <c r="AQ377" s="1" t="str">
        <f aca="false">CONCATENATE(VLOOKUP(AO377,Constants!$A$2:$C$16,IF(AP377&lt;&gt;"", 3, 2), FALSE()),IF(AP377&lt;&gt;"",CONCATENATE(",",VLOOKUP(AP377,$B:$AQ,39,FALSE())),""))</f>
        <v>2,4,2</v>
      </c>
      <c r="BA377" s="1" t="n">
        <v>30</v>
      </c>
      <c r="BB377" s="16" t="n">
        <f aca="false">IF(O377&lt;&gt;"",MAX(16,(O377-M377)+8),"")</f>
        <v>43</v>
      </c>
      <c r="BC377" s="1" t="n">
        <v>41</v>
      </c>
      <c r="BD377" s="1" t="n">
        <v>20</v>
      </c>
      <c r="BE377" s="1" t="n">
        <f aca="false">MIN(AE377/150, 1)*30</f>
        <v>6</v>
      </c>
      <c r="BF377" s="1" t="n">
        <f aca="false">MIN(Q377/4000, 1)*20</f>
        <v>0</v>
      </c>
      <c r="BG377" s="1" t="n">
        <f aca="false">MIN(AC377/400,1)*20</f>
        <v>0</v>
      </c>
      <c r="BH377" s="4" t="n">
        <f aca="false">1-(MAX(M377-1900, 0)/750)</f>
        <v>1</v>
      </c>
      <c r="BI377" s="1" t="n">
        <f aca="false">((MAX($P377,1)*MIN($AM377/300,1)))*IF(J377="Wagon",50,10)</f>
        <v>11</v>
      </c>
      <c r="BJ377" s="1" t="n">
        <f aca="false">VLOOKUP($K377,Constants!$I:$K, 2, FALSE())</f>
        <v>1.2</v>
      </c>
      <c r="BK377" s="1" t="n">
        <f aca="false">VLOOKUP($K377,Constants!$I:$K, 3, FALSE())*IF(AND(J377="multiple_unit",AE377&lt;110),0.75,1)</f>
        <v>0.6</v>
      </c>
      <c r="BL377" s="1" t="n">
        <f aca="false">INT(POWER(((Constants!$G$2+$BE377+$BF377+$BG377+$BI377)*$BH377)*$BK377, 1.05))+$BD377</f>
        <v>35</v>
      </c>
      <c r="BM377" s="1" t="n">
        <f aca="false">INT(POWER((((Constants!$G$1+$BE377+$BF377+$BG377+$BI377)*($BH377))*$BJ377),IF($J377="wagon",1,1.2)))+$BC377</f>
        <v>79</v>
      </c>
      <c r="BN377" s="17" t="n">
        <f aca="false">BL377*IF($J377="wagon",62.5,781.25)</f>
        <v>2187.5</v>
      </c>
      <c r="BO377" s="17" t="n">
        <f aca="false">BM377*IF($J377="wagon",2.73,81.25)</f>
        <v>215.67</v>
      </c>
      <c r="BY377" s="1" t="n">
        <v>1</v>
      </c>
      <c r="BZ377" s="1" t="n">
        <v>120</v>
      </c>
      <c r="CB377" s="1" t="s">
        <v>326</v>
      </c>
      <c r="CC377" s="1" t="s">
        <v>327</v>
      </c>
      <c r="CD377" s="1" t="str">
        <f aca="false">VLOOKUP(M377,Eras!$A$2:$C$10, 2, TRUE())</f>
        <v>vct</v>
      </c>
      <c r="CE377" s="1" t="s">
        <v>1478</v>
      </c>
      <c r="CF377" s="1" t="str">
        <f aca="false">CONCATENATE(CD377,"_",CE377)</f>
        <v>vct_Carriage</v>
      </c>
      <c r="CG377" s="1" t="str">
        <f aca="false">_xlfn.CONCAT(K377, "_",L377)</f>
        <v>carriage_FOURTH_RAIL</v>
      </c>
      <c r="CH377" s="7" t="str">
        <f aca="false">_xlfn.CONCAT("{BLACK}Length: {GOLD}", TEXT(ROUNDUP(IF(AT377&lt;&gt;"",SUM(VALUE(_xlfn.TEXTSPLIT(AT377, ","))), SUM(VALUE(_xlfn.TEXTSPLIT(AQ377, ",")))*IF(P377, P377, 1))/16, 1), "#,##0.0"), " tiles{}")</f>
        <v>{BLACK}Length: {GOLD}0.5 tiles{}</v>
      </c>
      <c r="CI377" s="1" t="n">
        <f aca="false">VLOOKUP($CG377, Constants!$M:$N, 2, FALSE())</f>
        <v>0</v>
      </c>
      <c r="CJ377" s="1" t="str">
        <f aca="false">IF(P377&gt;1,_xlfn.CONCAT("{BLACK}Cars: {GOLD}", P377),"")</f>
        <v/>
      </c>
      <c r="CK377" s="1" t="s">
        <v>1488</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{BLACK}Length: {GOLD}0.5 tiles{}{YELLOW}35% penalty for long distance travel{}{SILVER}Early Tube carriages were nicknamed "Padded Cell" due to their tall cushion-backed seats and small windows.</v>
      </c>
    </row>
    <row r="378" customFormat="false" ht="14.25" hidden="false" customHeight="false" outlineLevel="0" collapsed="false">
      <c r="A378" s="1" t="s">
        <v>1489</v>
      </c>
      <c r="B378" s="15" t="s">
        <v>759</v>
      </c>
      <c r="C378" s="1" t="n">
        <v>14</v>
      </c>
      <c r="E378" s="1" t="n">
        <v>1005</v>
      </c>
      <c r="G378" s="1" t="str">
        <f aca="false">IF($F378&lt;&gt;"",_xlfn.CONCAT(VLOOKUP($CE378, Constants!$T:$U, 2, FALSE()),",",$F378),VLOOKUP($CE378, Constants!$T:$U, 2, FALSE()))</f>
        <v>role/passenger</v>
      </c>
      <c r="H378" s="1" t="str">
        <f aca="false">IF($G378&lt;&gt;"",_xlfn.CONCAT(VLOOKUP($CG378, Constants!$M:$P, 4, FALSE()),",",$G378),VLOOKUP($CG378, Constants!$M:$P, 4, FALSE()))</f>
        <v>flag/GB,role/passenger</v>
      </c>
      <c r="I378" s="1" t="s">
        <v>198</v>
      </c>
      <c r="J378" s="1" t="s">
        <v>1476</v>
      </c>
      <c r="K378" s="1" t="s">
        <v>1477</v>
      </c>
      <c r="L378" s="1" t="s">
        <v>149</v>
      </c>
      <c r="M378" s="1" t="n">
        <v>1892</v>
      </c>
      <c r="O378" s="1" t="n">
        <v>1935</v>
      </c>
      <c r="Z378" s="1" t="n">
        <v>28</v>
      </c>
      <c r="AB378" s="1" t="n">
        <v>4</v>
      </c>
      <c r="AD378" s="4" t="str">
        <f aca="false">IF(AND(Z378&gt;0,AC378&gt;0),(AC378/((Z378+AA378)*10)),"")</f>
        <v/>
      </c>
      <c r="AE378" s="1" t="n">
        <v>90</v>
      </c>
      <c r="AF378" s="1" t="n">
        <f aca="false">ROUND(AE378*1.6, 0)</f>
        <v>144</v>
      </c>
      <c r="AI378" s="1" t="n">
        <v>16.2</v>
      </c>
      <c r="AJ378" s="1" t="n">
        <v>16.2</v>
      </c>
      <c r="AK378" s="1" t="n">
        <v>2.8</v>
      </c>
      <c r="AM378" s="5" t="n">
        <v>42</v>
      </c>
      <c r="AN378" s="1" t="str">
        <f aca="false">CONCATENATE(VLOOKUP(AO378, 'Voxel Sizes'!$A$2:$B$18,2,FALSE()),"x",INT(AK378*15), "x", INT(AL378*15))</f>
        <v>152x42x0</v>
      </c>
      <c r="AO378" s="1" t="n">
        <f aca="false">ROUND(15*((AJ378*10)/256),0)</f>
        <v>9</v>
      </c>
      <c r="AQ378" s="1" t="str">
        <f aca="false">CONCATENATE(VLOOKUP(AO378,Constants!$A$2:$C$16,IF(AP378&lt;&gt;"", 3, 2), FALSE()),IF(AP378&lt;&gt;"",CONCATENATE(",",VLOOKUP(AP378,$B:$AQ,39,FALSE())),""))</f>
        <v>2,5,2</v>
      </c>
      <c r="BA378" s="1" t="n">
        <v>30</v>
      </c>
      <c r="BB378" s="16" t="n">
        <f aca="false">IF(O378&lt;&gt;"",MAX(16,(O378-M378)+8),"")</f>
        <v>51</v>
      </c>
      <c r="BC378" s="1" t="n">
        <v>69</v>
      </c>
      <c r="BD378" s="1" t="n">
        <f aca="false">19*3</f>
        <v>57</v>
      </c>
      <c r="BE378" s="1" t="n">
        <f aca="false">MIN(AE378/150, 1)*30</f>
        <v>18</v>
      </c>
      <c r="BF378" s="1" t="n">
        <f aca="false">MIN(Q378/4000, 1)*20</f>
        <v>0</v>
      </c>
      <c r="BG378" s="1" t="n">
        <f aca="false">MIN(AC378/400,1)*20</f>
        <v>0</v>
      </c>
      <c r="BH378" s="4" t="n">
        <f aca="false">1-(MAX(M378-1900, 0)/750)</f>
        <v>1</v>
      </c>
      <c r="BI378" s="1" t="n">
        <f aca="false">((MAX($P378,1)*MIN($AM378/300,1)))*IF(J378="Wagon",50,10)</f>
        <v>7</v>
      </c>
      <c r="BJ378" s="1" t="n">
        <f aca="false">VLOOKUP($K378,Constants!$I:$K, 2, FALSE())</f>
        <v>1.2</v>
      </c>
      <c r="BK378" s="1" t="n">
        <f aca="false">VLOOKUP($K378,Constants!$I:$K, 3, FALSE())*IF(AND(J378="multiple_unit",AE378&lt;110),0.75,1)</f>
        <v>0.6</v>
      </c>
      <c r="BL378" s="1" t="n">
        <f aca="false">INT(POWER(((Constants!$G$2+$BE378+$BF378+$BG378+$BI378)*$BH378)*$BK378, 1.05))+$BD378</f>
        <v>77</v>
      </c>
      <c r="BM378" s="1" t="n">
        <f aca="false">INT(POWER((((Constants!$G$1+$BE378+$BF378+$BG378+$BI378)*($BH378))*$BJ378),IF($J378="wagon",1,1.2)))+$BC378</f>
        <v>117</v>
      </c>
      <c r="BN378" s="17" t="n">
        <f aca="false">BL378*IF($J378="wagon",62.5,781.25)</f>
        <v>4812.5</v>
      </c>
      <c r="BO378" s="17" t="n">
        <f aca="false">BM378*IF($J378="wagon",2.73,81.25)</f>
        <v>319.41</v>
      </c>
      <c r="BY378" s="1" t="n">
        <v>1</v>
      </c>
      <c r="BZ378" s="1" t="n">
        <v>185</v>
      </c>
      <c r="CB378" s="1" t="s">
        <v>326</v>
      </c>
      <c r="CC378" s="1" t="s">
        <v>327</v>
      </c>
      <c r="CD378" s="1" t="str">
        <f aca="false">VLOOKUP(M378,Eras!$A$2:$C$10, 2, TRUE())</f>
        <v>vct</v>
      </c>
      <c r="CE378" s="1" t="s">
        <v>1478</v>
      </c>
      <c r="CF378" s="1" t="str">
        <f aca="false">CONCATENATE(CD378,"_",CE378)</f>
        <v>vct_Carriage</v>
      </c>
      <c r="CG378" s="1" t="str">
        <f aca="false">_xlfn.CONCAT(K378, "_",L378)</f>
        <v>carriage_RAIL</v>
      </c>
      <c r="CH378" s="7" t="str">
        <f aca="false">_xlfn.CONCAT("{BLACK}Length: {GOLD}", TEXT(ROUNDUP(IF(AT378&lt;&gt;"",SUM(VALUE(_xlfn.TEXTSPLIT(AT378, ","))), SUM(VALUE(_xlfn.TEXTSPLIT(AQ378, ",")))*IF(P378, P378, 1))/16, 1), "#,##0.0"), " tiles{}")</f>
        <v>{BLACK}Length: {GOLD}0.6 tiles{}</v>
      </c>
      <c r="CI378" s="1" t="n">
        <f aca="false">VLOOKUP($CG378, Constants!$M:$N, 2, FALSE())</f>
        <v>0</v>
      </c>
      <c r="CJ378" s="1" t="str">
        <f aca="false">IF(P378&gt;1,_xlfn.CONCAT("{BLACK}Cars: {GOLD}", P378),"")</f>
        <v/>
      </c>
      <c r="CK378" s="1" t="s">
        <v>1490</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
      </c>
      <c r="CN378" s="1" t="str">
        <f aca="false">_xlfn.CONCAT(CI378,IF(CI378&lt;&gt;""," ",""),CJ378,IF(OR(CJ378&lt;&gt;"",CI378&lt;&gt;""),"{}",""),CH378,CM378,"{SILVER}",CK378,IF(CL378&lt;&gt;"","{}{}",""),CL378)</f>
        <v>{BLACK}Length: {GOLD}0.6 tiles{}{SILVER}Toward the end of the Victorian era, passenger carriages began to be mounted on bogies rather than fixed axles. Many featured clerestory-style roofs.</v>
      </c>
    </row>
    <row r="379" customFormat="false" ht="14.25" hidden="false" customHeight="false" outlineLevel="0" collapsed="false">
      <c r="A379" s="1" t="s">
        <v>1491</v>
      </c>
      <c r="B379" s="15" t="s">
        <v>1492</v>
      </c>
      <c r="C379" s="1" t="n">
        <v>15</v>
      </c>
      <c r="E379" s="1" t="n">
        <v>1006</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198</v>
      </c>
      <c r="J379" s="1" t="s">
        <v>1476</v>
      </c>
      <c r="K379" s="1" t="s">
        <v>1477</v>
      </c>
      <c r="L379" s="1" t="s">
        <v>149</v>
      </c>
      <c r="M379" s="1" t="n">
        <v>1904</v>
      </c>
      <c r="O379" s="1" t="n">
        <v>1955</v>
      </c>
      <c r="Z379" s="1" t="n">
        <v>34</v>
      </c>
      <c r="AB379" s="1" t="n">
        <v>5</v>
      </c>
      <c r="AD379" s="4" t="str">
        <f aca="false">IF(AND(Z379&gt;0,AC379&gt;0),(AC379/((Z379+AA379)*10)),"")</f>
        <v/>
      </c>
      <c r="AE379" s="1" t="n">
        <v>100</v>
      </c>
      <c r="AF379" s="1" t="n">
        <f aca="false">ROUND(AE379*1.6, 0)</f>
        <v>160</v>
      </c>
      <c r="AI379" s="1" t="n">
        <v>17.7</v>
      </c>
      <c r="AJ379" s="1" t="n">
        <v>17.7</v>
      </c>
      <c r="AK379" s="1" t="n">
        <v>2.83</v>
      </c>
      <c r="AL379" s="1" t="n">
        <v>3.79</v>
      </c>
      <c r="AM379" s="5" t="n">
        <v>48</v>
      </c>
      <c r="AN379" s="1" t="str">
        <f aca="false">CONCATENATE(VLOOKUP(AO379, 'Voxel Sizes'!$A$2:$B$18,2,FALSE()),"x",INT(AK379*15), "x", INT(AL379*15))</f>
        <v>164x42x56</v>
      </c>
      <c r="AO379" s="1" t="n">
        <f aca="false">ROUND(15*((AJ379*10)/256),0)</f>
        <v>10</v>
      </c>
      <c r="AQ379" s="1" t="str">
        <f aca="false">CONCATENATE(VLOOKUP(AO379,Constants!$A$2:$C$16,IF(AP379&lt;&gt;"", 3, 2), FALSE()),IF(AP379&lt;&gt;"",CONCATENATE(",",VLOOKUP(AP379,$B:$AQ,39,FALSE())),""))</f>
        <v>4,2,4</v>
      </c>
      <c r="AX379" s="25"/>
      <c r="BA379" s="1" t="n">
        <v>30</v>
      </c>
      <c r="BB379" s="16" t="n">
        <f aca="false">IF(O379&lt;&gt;"",MAX(16,(O379-M379)+8),"")</f>
        <v>59</v>
      </c>
      <c r="BC379" s="1" t="n">
        <v>72</v>
      </c>
      <c r="BD379" s="1" t="n">
        <f aca="false">20*3</f>
        <v>60</v>
      </c>
      <c r="BE379" s="1" t="n">
        <f aca="false">MIN(AE379/150, 1)*30</f>
        <v>20</v>
      </c>
      <c r="BF379" s="1" t="n">
        <f aca="false">MIN(Q379/4000, 1)*20</f>
        <v>0</v>
      </c>
      <c r="BG379" s="1" t="n">
        <f aca="false">MIN(AC379/400,1)*20</f>
        <v>0</v>
      </c>
      <c r="BH379" s="4" t="n">
        <f aca="false">1-(MAX(M379-1900, 0)/750)</f>
        <v>0.994666666666667</v>
      </c>
      <c r="BI379" s="1" t="n">
        <f aca="false">((MAX($P379,1)*MIN($AM379/300,1)))*IF(J379="Wagon",50,10)</f>
        <v>8</v>
      </c>
      <c r="BJ379" s="1" t="n">
        <f aca="false">VLOOKUP($K379,Constants!$I:$K, 2, FALSE())</f>
        <v>1.2</v>
      </c>
      <c r="BK379" s="1" t="n">
        <f aca="false">VLOOKUP($K379,Constants!$I:$K, 3, FALSE())*IF(AND(J379="multiple_unit",AE379&lt;110),0.75,1)</f>
        <v>0.6</v>
      </c>
      <c r="BL379" s="1" t="n">
        <f aca="false">INT(POWER(((Constants!$G$2+$BE379+$BF379+$BG379+$BI379)*$BH379)*$BK379, 1.05))+$BD379</f>
        <v>82</v>
      </c>
      <c r="BM379" s="1" t="n">
        <f aca="false">INT(POWER((((Constants!$G$1+$BE379+$BF379+$BG379+$BI379)*($BH379))*$BJ379),IF($J379="wagon",1,1.2)))+$BC379</f>
        <v>123</v>
      </c>
      <c r="BN379" s="17" t="n">
        <f aca="false">BL379*IF($J379="wagon",62.5,781.25)</f>
        <v>5125</v>
      </c>
      <c r="BO379" s="17" t="n">
        <f aca="false">BM379*IF($J379="wagon",2.73,81.25)</f>
        <v>335.79</v>
      </c>
      <c r="BY379" s="1" t="n">
        <v>1</v>
      </c>
      <c r="BZ379" s="1" t="n">
        <v>185</v>
      </c>
      <c r="CB379" s="1" t="s">
        <v>326</v>
      </c>
      <c r="CC379" s="1" t="s">
        <v>327</v>
      </c>
      <c r="CD379" s="1" t="str">
        <f aca="false">VLOOKUP(M379,Eras!$A$2:$C$10, 2, TRUE())</f>
        <v>edw</v>
      </c>
      <c r="CE379" s="1" t="s">
        <v>1478</v>
      </c>
      <c r="CF379" s="1" t="str">
        <f aca="false">CONCATENATE(CD379,"_",CE379)</f>
        <v>edw_Carriage</v>
      </c>
      <c r="CG379" s="1" t="str">
        <f aca="false">_xlfn.CONCAT(K379, "_",L379)</f>
        <v>carriage_RAIL</v>
      </c>
      <c r="CH379" s="7" t="str">
        <f aca="false">_xlfn.CONCAT("{BLACK}Length: {GOLD}", TEXT(ROUNDUP(IF(AT379&lt;&gt;"",SUM(VALUE(_xlfn.TEXTSPLIT(AT379, ","))), SUM(VALUE(_xlfn.TEXTSPLIT(AQ379, ",")))*IF(P379, P379, 1))/16, 1), "#,##0.0"), " tiles{}")</f>
        <v>{BLACK}Length: {GOLD}0.7 tiles{}</v>
      </c>
      <c r="CI379" s="1" t="n">
        <f aca="false">VLOOKUP($CG379, Constants!$M:$N, 2, FALSE())</f>
        <v>0</v>
      </c>
      <c r="CJ379" s="1" t="str">
        <f aca="false">IF(P379&gt;1,_xlfn.CONCAT("{BLACK}Cars: {GOLD}", P379),"")</f>
        <v/>
      </c>
      <c r="CK379" s="1" t="s">
        <v>1493</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{BLACK}Length: {GOLD}0.7 tiles{}{SILVER}In the early 20th century passenger coaches were stretched to greater lengths. This is a typical LNWR design.</v>
      </c>
    </row>
    <row r="380" customFormat="false" ht="14.25" hidden="false" customHeight="false" outlineLevel="0" collapsed="false">
      <c r="A380" s="1" t="s">
        <v>1494</v>
      </c>
      <c r="B380" s="19" t="s">
        <v>1495</v>
      </c>
      <c r="C380" s="1" t="n">
        <v>1010</v>
      </c>
      <c r="E380" s="1" t="n">
        <v>1007</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198</v>
      </c>
      <c r="J380" s="1" t="s">
        <v>1476</v>
      </c>
      <c r="K380" s="1" t="s">
        <v>1477</v>
      </c>
      <c r="L380" s="1" t="s">
        <v>149</v>
      </c>
      <c r="M380" s="1" t="n">
        <v>1906</v>
      </c>
      <c r="O380" s="1" t="n">
        <v>1955</v>
      </c>
      <c r="Z380" s="1" t="n">
        <v>31</v>
      </c>
      <c r="AB380" s="1" t="n">
        <v>6</v>
      </c>
      <c r="AD380" s="4" t="str">
        <f aca="false">IF(AND(Z380&gt;0,AC380&gt;0),(AC380/((Z380+AA380)*10)),"")</f>
        <v/>
      </c>
      <c r="AE380" s="1" t="n">
        <v>100</v>
      </c>
      <c r="AF380" s="1" t="n">
        <f aca="false">ROUND(AE380*1.6, 0)</f>
        <v>160</v>
      </c>
      <c r="AI380" s="1" t="n">
        <v>17.7</v>
      </c>
      <c r="AJ380" s="1" t="n">
        <v>17.7</v>
      </c>
      <c r="AK380" s="1" t="n">
        <v>2.83</v>
      </c>
      <c r="AL380" s="1" t="n">
        <v>3.79</v>
      </c>
      <c r="AM380" s="5" t="n">
        <v>57</v>
      </c>
      <c r="AN380" s="16" t="s">
        <v>1496</v>
      </c>
      <c r="AO380" s="16" t="n">
        <f aca="false">ROUND(15*((AJ380*10)/256),0)</f>
        <v>10</v>
      </c>
      <c r="AQ380" s="16" t="s">
        <v>1497</v>
      </c>
      <c r="BA380" s="1" t="n">
        <v>30</v>
      </c>
      <c r="BB380" s="16" t="n">
        <f aca="false">IF(O380&lt;&gt;"",MAX(16,(O380-M380)+8),"")</f>
        <v>57</v>
      </c>
      <c r="BC380" s="1" t="n">
        <v>72</v>
      </c>
      <c r="BD380" s="1" t="n">
        <f aca="false">20*3</f>
        <v>60</v>
      </c>
      <c r="BE380" s="20" t="n">
        <f aca="false">MIN(AE380/150, 1)*30</f>
        <v>20</v>
      </c>
      <c r="BF380" s="20" t="n">
        <f aca="false">MIN(Q380/4000, 1)*20</f>
        <v>0</v>
      </c>
      <c r="BG380" s="20" t="n">
        <f aca="false">MIN(AC380/400,1)*20</f>
        <v>0</v>
      </c>
      <c r="BH380" s="21" t="n">
        <f aca="false">1-(MAX(M380-1900, 0)/750)</f>
        <v>0.992</v>
      </c>
      <c r="BI380" s="20" t="n">
        <f aca="false">((MAX($P380,1)*MIN($AM380/300,1)))*IF(J380="Wagon",50,10)</f>
        <v>9.5</v>
      </c>
      <c r="BJ380" s="1" t="n">
        <f aca="false">VLOOKUP($K380,Constants!$I:$K, 2, FALSE())</f>
        <v>1.2</v>
      </c>
      <c r="BK380" s="1" t="n">
        <f aca="false">VLOOKUP($K380,Constants!$I:$K, 3, FALSE())*IF(AND(J380="multiple_unit",AE380&lt;110),0.75,1)</f>
        <v>0.6</v>
      </c>
      <c r="BL380" s="1" t="n">
        <f aca="false">INT(POWER(((Constants!$G$2+$BE380+$BF380+$BG380+$BI380)*$BH380)*$BK380, 1.05))+$BD380</f>
        <v>83</v>
      </c>
      <c r="BM380" s="1" t="n">
        <f aca="false">INT(POWER((((Constants!$G$1+$BE380+$BF380+$BG380+$BI380)*($BH380))*$BJ380),IF($J380="wagon",1,1.2)))+$BC380</f>
        <v>124</v>
      </c>
      <c r="BN380" s="17" t="n">
        <f aca="false">BL380*IF($J380="wagon",62.5,781.25)</f>
        <v>5187.5</v>
      </c>
      <c r="BO380" s="22" t="n">
        <f aca="false">BM380*IF($J380="wagon",2.73,81.25)</f>
        <v>338.52</v>
      </c>
      <c r="BY380" s="1" t="n">
        <v>1</v>
      </c>
      <c r="BZ380" s="1" t="n">
        <v>165</v>
      </c>
      <c r="CB380" s="1" t="s">
        <v>326</v>
      </c>
      <c r="CC380" s="1" t="s">
        <v>327</v>
      </c>
      <c r="CD380" s="23" t="s">
        <v>343</v>
      </c>
      <c r="CE380" s="25" t="s">
        <v>1478</v>
      </c>
      <c r="CF380" s="23" t="str">
        <f aca="false">CONCATENATE(CD380,"_",CE380)</f>
        <v>edw_Carriage</v>
      </c>
      <c r="CG380" s="23" t="str">
        <f aca="false">_xlfn.CONCAT(K380, "_",L380)</f>
        <v>carriage_RAIL</v>
      </c>
      <c r="CH380" s="7" t="str">
        <f aca="false">_xlfn.CONCAT("{BLACK}Length: {GOLD}", TEXT(ROUNDUP(IF(AT380&lt;&gt;"",SUM(VALUE(_xlfn.TEXTSPLIT(AT380, ","))), SUM(VALUE(_xlfn.TEXTSPLIT(AQ380, ",")))*IF(P380, P380, 1))/16, 1), "#,##0.0"), " tiles{}")</f>
        <v>{BLACK}Length: {GOLD}0.7 tiles{}</v>
      </c>
      <c r="CI380" s="1" t="n">
        <f aca="false">VLOOKUP($CG380, Constants!$M:$N, 2, FALSE())</f>
        <v>0</v>
      </c>
      <c r="CJ380" s="1" t="str">
        <f aca="false">IF(P380&gt;1,_xlfn.CONCAT("{BLACK}Cars: {GOLD}", P380),"")</f>
        <v/>
      </c>
      <c r="CK380" s="1" t="s">
        <v>1498</v>
      </c>
      <c r="CL380" s="1" t="str">
        <f aca="false">IF($BX380="!param_no_gameplay_units","{GREEN}Included for gameplay purposes","")</f>
        <v/>
      </c>
      <c r="CM380" s="1" t="str">
        <f aca="false">IF(CA380="buffet","{YELLOW}25% long distance bonus for consist{}",IF(CB380="DANDY","{YELLOW}Faster downhill speeds for horse-drawn trains (1 required per 2 horses){}",IF(CB380="BRAKE","{YELLOW}Speed bonus for slow wagons{}",IF(CB380="NGPassengers","{YELLOW}Preserved railway bonus: passengers pay more when hauled by old locomotives{}",IF(AND(BZ380&gt;190,NOT(AND(L380="NARROW_GAUGE",CB380&lt;&gt;"PASS"))),CONCATENATE("{YELLOW}",INT((BZ380-185)/1.85),"% bonus for long distance travel{}"),IF(AND(BZ380&lt;180,BZ380&lt;&gt;0),CONCATENATE("{YELLOW}",INT((185-BZ380)/1.85),"% penalty for long distance travel{}"),""))))))</f>
        <v>{YELLOW}10% penalty for long distance travel{}</v>
      </c>
      <c r="CN380" s="1" t="str">
        <f aca="false">_xlfn.CONCAT(CI380,IF(CI380&lt;&gt;""," ",""),CJ380,IF(OR(CJ380&lt;&gt;"",CI380&lt;&gt;""),"{}",""),CH380,CM380,"{SILVER}",CK380,IF(CL380&lt;&gt;"","{}{}",""),CL380)</f>
        <v>{BLACK}Length: {GOLD}0.7 tiles{}{YELLOW}10% penalty for long distance travel{}{SILVER}Non-corridor carriages allow greater seating density, at the cost of passenger comfort.</v>
      </c>
    </row>
    <row r="381" s="25" customFormat="true" ht="14.25" hidden="false" customHeight="false" outlineLevel="0" collapsed="false">
      <c r="A381" s="25" t="s">
        <v>1499</v>
      </c>
      <c r="B381" s="26" t="s">
        <v>1500</v>
      </c>
      <c r="C381" s="1" t="n">
        <v>3114</v>
      </c>
      <c r="E381" s="1" t="n">
        <v>1008</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25" t="s">
        <v>198</v>
      </c>
      <c r="J381" s="25" t="s">
        <v>1476</v>
      </c>
      <c r="K381" s="25" t="s">
        <v>1501</v>
      </c>
      <c r="L381" s="25" t="s">
        <v>149</v>
      </c>
      <c r="M381" s="25" t="n">
        <v>1905</v>
      </c>
      <c r="N381" s="25" t="n">
        <v>1960</v>
      </c>
      <c r="O381" s="25" t="n">
        <v>1960</v>
      </c>
      <c r="R381" s="2"/>
      <c r="S381" s="3"/>
      <c r="T381" s="3"/>
      <c r="U381" s="3"/>
      <c r="V381" s="3"/>
      <c r="W381" s="3"/>
      <c r="X381" s="3"/>
      <c r="Y381" s="3"/>
      <c r="Z381" s="25" t="n">
        <v>39</v>
      </c>
      <c r="AA381" s="2"/>
      <c r="AB381" s="25" t="n">
        <v>4</v>
      </c>
      <c r="AD381" s="4" t="str">
        <f aca="false">IF(AND(Z381&gt;0,AC381&gt;0),(AC381/((Z381+AA381)*10)),"")</f>
        <v/>
      </c>
      <c r="AE381" s="25" t="n">
        <v>90</v>
      </c>
      <c r="AF381" s="25" t="n">
        <f aca="false">ROUND(AE381*1.6, 0)</f>
        <v>144</v>
      </c>
      <c r="AI381" s="25" t="n">
        <v>19.8</v>
      </c>
      <c r="AJ381" s="25" t="n">
        <v>20</v>
      </c>
      <c r="AK381" s="25" t="n">
        <v>2.82</v>
      </c>
      <c r="AL381" s="25" t="n">
        <v>3.79</v>
      </c>
      <c r="AM381" s="5" t="n">
        <v>18</v>
      </c>
      <c r="AN381" s="1" t="str">
        <f aca="false">CONCATENATE(VLOOKUP(AO381, '[1]Voxel Sizes'!$A$2:$B$18,2,FALSE()),"x",INT(AK381*15), "x", INT(AL381*15))</f>
        <v>198x42x56</v>
      </c>
      <c r="AO381" s="25" t="n">
        <f aca="false">ROUND(15*((AJ381*10)/256),0)</f>
        <v>12</v>
      </c>
      <c r="AQ381" s="1" t="str">
        <f aca="false">CONCATENATE(VLOOKUP(AO381,Constants!$A$2:$C$16,IF(AP381&lt;&gt;"", 3, 2), FALSE()),IF(AP381&lt;&gt;"",CONCATENATE(",",VLOOKUP(AP381,$B:$AQ,42,FALSE())),""))</f>
        <v>4,4,4</v>
      </c>
      <c r="AS381" s="6"/>
      <c r="AT381" s="6"/>
      <c r="BA381" s="25" t="n">
        <v>30</v>
      </c>
      <c r="BB381" s="16" t="n">
        <f aca="false">IF(O381&lt;&gt;"",MAX(16,(O381-M381)+8),"")</f>
        <v>63</v>
      </c>
      <c r="BC381" s="25" t="n">
        <v>1000</v>
      </c>
      <c r="BD381" s="25" t="n">
        <v>110</v>
      </c>
      <c r="BE381" s="25" t="n">
        <f aca="false">MIN(AE381/150, 1)*30</f>
        <v>18</v>
      </c>
      <c r="BF381" s="25" t="n">
        <f aca="false">MIN(Q381/4000, 1)*20</f>
        <v>0</v>
      </c>
      <c r="BG381" s="25" t="n">
        <f aca="false">MIN(AC381/400,1)*20</f>
        <v>0</v>
      </c>
      <c r="BH381" s="4" t="n">
        <f aca="false">1-(MAX(M381-1900, 0)/750)</f>
        <v>0.993333333333333</v>
      </c>
      <c r="BI381" s="25" t="n">
        <f aca="false">((MAX($P381,1)*MIN($AM381/300,1)))*IF(J381="Wagon",50,10)</f>
        <v>3</v>
      </c>
      <c r="BJ381" s="1" t="n">
        <f aca="false">VLOOKUP($K381,Constants!$I:$K, 2, FALSE())</f>
        <v>1.5</v>
      </c>
      <c r="BK381" s="1" t="n">
        <f aca="false">VLOOKUP($K381,Constants!$I:$K, 3, FALSE())*IF(AND(J381="multiple_unit",AE381&lt;110),0.75,1)</f>
        <v>0.7</v>
      </c>
      <c r="BL381" s="25" t="n">
        <f aca="false">INT(POWER((([1]Constants!$G$2+$BE381+$BF381+$BG381+$BI381)*$BH381)*$BK381, 1.05))+$BD381</f>
        <v>130</v>
      </c>
      <c r="BM381" s="25" t="n">
        <f aca="false">INT(POWER(((([1]Constants!$G$1+$BE381+$BF381+$BG381+$BI381)*($BH381))*$BJ381),IF($J381="wagon",1,1.2)))+$BC381</f>
        <v>1053</v>
      </c>
      <c r="BN381" s="17" t="n">
        <f aca="false">BL381*IF($J381="wagon",62.5,781.25)</f>
        <v>8125</v>
      </c>
      <c r="BO381" s="17" t="n">
        <f aca="false">BM381*IF($J381="wagon",2.73,81.25)</f>
        <v>2874.69</v>
      </c>
      <c r="BY381" s="25" t="n">
        <v>2</v>
      </c>
      <c r="BZ381" s="25" t="n">
        <v>278</v>
      </c>
      <c r="CB381" s="25" t="s">
        <v>326</v>
      </c>
      <c r="CC381" s="25" t="s">
        <v>327</v>
      </c>
      <c r="CD381" s="25" t="str">
        <f aca="false">VLOOKUP(M381,[1]Eras!$A$2:$C$10, 2, TRUE())</f>
        <v>edw</v>
      </c>
      <c r="CE381" s="25" t="s">
        <v>1478</v>
      </c>
      <c r="CF381" s="25" t="str">
        <f aca="false">CONCATENATE(CD381,"_",CE381)</f>
        <v>edw_Carriage</v>
      </c>
      <c r="CG381" s="25" t="str">
        <f aca="false">_xlfn.CONCAT(K381, "_",L381)</f>
        <v>luxury_carriage_RAIL</v>
      </c>
      <c r="CH381" s="7" t="str">
        <f aca="false">_xlfn.CONCAT("{BLACK}Length: {GOLD}", TEXT(ROUNDUP(IF(AT381&lt;&gt;"",SUM(VALUE(_xlfn.TEXTSPLIT(AT381, ","))), SUM(VALUE(_xlfn.TEXTSPLIT(AQ381, ",")))*IF(P381, P381, 1))/16, 1), "#,##0.0"), " tiles{}")</f>
        <v>{BLACK}Length: {GOLD}0.8 tiles{}</v>
      </c>
      <c r="CI381" s="1" t="n">
        <f aca="false">VLOOKUP($CG381, Constants!$M:$N, 2, FALSE())</f>
        <v>0</v>
      </c>
      <c r="CJ381" s="1" t="str">
        <f aca="false">IF(P381&gt;1,_xlfn.CONCAT("{BLACK}Cars: {GOLD}", P381),"")</f>
        <v/>
      </c>
      <c r="CK381" s="25" t="s">
        <v>1502</v>
      </c>
      <c r="CM381" s="25" t="str">
        <f aca="false">IF(CA381="buffet","{YELLOW}25% long distance bonus for consist{}",IF(CD381="BRAKE","{YELLOW}Speed bonus for slow wagons{}",IF(BZ381&gt;190,CONCATENATE("{YELLOW}",INT((BZ381-185)/1.85),"% bonus for long distance travel{}"),IF(AND(BZ381&lt;180,BZ381&lt;&gt;0),CONCATENATE("{YELLOW}",INT((185-BZ381)/1.85),"% penalty for long distance travel{}"),""))))</f>
        <v>{YELLOW}50% bonus for long distance travel{}</v>
      </c>
      <c r="CN381" s="25" t="str">
        <f aca="false">_xlfn.CONCAT(CI381,IF(CI381 &lt;&gt; "", " ", ""),CJ381,IF(OR(CJ381&lt;&gt;"", CI381&lt;&gt;""), "{}",""), CH381, CM381,"{SILVER}", CK381)</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2" customFormat="false" ht="14.25" hidden="false" customHeight="false" outlineLevel="0" collapsed="false">
      <c r="A382" s="1" t="s">
        <v>1503</v>
      </c>
      <c r="B382" s="15" t="s">
        <v>1504</v>
      </c>
      <c r="C382" s="1" t="n">
        <v>16</v>
      </c>
      <c r="E382" s="1" t="n">
        <v>1009</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1" t="s">
        <v>198</v>
      </c>
      <c r="J382" s="1" t="s">
        <v>1476</v>
      </c>
      <c r="K382" s="1" t="s">
        <v>1501</v>
      </c>
      <c r="L382" s="1" t="s">
        <v>149</v>
      </c>
      <c r="M382" s="1" t="n">
        <v>1928</v>
      </c>
      <c r="O382" s="1" t="n">
        <v>1970</v>
      </c>
      <c r="Z382" s="1" t="n">
        <v>40</v>
      </c>
      <c r="AB382" s="1" t="n">
        <v>4</v>
      </c>
      <c r="AD382" s="4" t="str">
        <f aca="false">IF(AND(Z382&gt;0,AC382&gt;0),(AC382/((Z382+AA382)*10)),"")</f>
        <v/>
      </c>
      <c r="AE382" s="1" t="n">
        <v>105</v>
      </c>
      <c r="AF382" s="1" t="n">
        <f aca="false">ROUND(AE382*1.6, 0)</f>
        <v>168</v>
      </c>
      <c r="AI382" s="1" t="n">
        <v>20</v>
      </c>
      <c r="AJ382" s="1" t="n">
        <v>20</v>
      </c>
      <c r="AM382" s="5" t="n">
        <v>48</v>
      </c>
      <c r="AN382" s="1" t="str">
        <f aca="false">CONCATENATE(VLOOKUP(AO382, 'Voxel Sizes'!$A$2:$B$18,2,FALSE()),"x",INT(AK382*15), "x", INT(AL382*15))</f>
        <v>198x0x0</v>
      </c>
      <c r="AO382" s="1" t="n">
        <f aca="false">ROUND(15*((AJ382*10)/256),0)</f>
        <v>12</v>
      </c>
      <c r="AQ382" s="1" t="str">
        <f aca="false">CONCATENATE(VLOOKUP(AO382,Constants!$A$2:$C$16,IF(AP382&lt;&gt;"", 3, 2), FALSE()),IF(AP382&lt;&gt;"",CONCATENATE(",",VLOOKUP(AP382,$B:$AQ,39,FALSE())),""))</f>
        <v>4,4,4</v>
      </c>
      <c r="BA382" s="1" t="n">
        <v>30</v>
      </c>
      <c r="BB382" s="16" t="n">
        <f aca="false">IF(O382&lt;&gt;"",MAX(16,(O382-M382)+8),"")</f>
        <v>50</v>
      </c>
      <c r="BC382" s="1" t="n">
        <v>93</v>
      </c>
      <c r="BD382" s="1" t="n">
        <f aca="false">26*3</f>
        <v>78</v>
      </c>
      <c r="BE382" s="1" t="n">
        <f aca="false">MIN(AE382/150, 1)*30</f>
        <v>21</v>
      </c>
      <c r="BF382" s="1" t="n">
        <f aca="false">MIN(Q382/4000, 1)*20</f>
        <v>0</v>
      </c>
      <c r="BG382" s="1" t="n">
        <f aca="false">MIN(AC382/400,1)*20</f>
        <v>0</v>
      </c>
      <c r="BH382" s="4" t="n">
        <f aca="false">1-(MAX(M382-1900, 0)/750)</f>
        <v>0.962666666666667</v>
      </c>
      <c r="BI382" s="1" t="n">
        <f aca="false">((MAX($P382,1)*MIN($AM382/300,1)))*IF(J382="Wagon",50,10)</f>
        <v>8</v>
      </c>
      <c r="BJ382" s="1" t="n">
        <f aca="false">VLOOKUP($K382,Constants!$I:$K, 2, FALSE())</f>
        <v>1.5</v>
      </c>
      <c r="BK382" s="1" t="n">
        <f aca="false">VLOOKUP($K382,Constants!$I:$K, 3, FALSE())*IF(AND(J382="multiple_unit",AE382&lt;110),0.75,1)</f>
        <v>0.7</v>
      </c>
      <c r="BL382" s="1" t="n">
        <f aca="false">INT(POWER(((Constants!$G$2+$BE382+$BF382+$BG382+$BI382)*$BH382)*$BK382, 1.05))+$BD382</f>
        <v>104</v>
      </c>
      <c r="BM382" s="1" t="n">
        <f aca="false">INT(POWER((((Constants!$G$1+$BE382+$BF382+$BG382+$BI382)*($BH382))*$BJ382),IF($J382="wagon",1,1.2)))+$BC382</f>
        <v>156</v>
      </c>
      <c r="BN382" s="17" t="n">
        <f aca="false">BL382*IF($J382="wagon",62.5,781.25)</f>
        <v>6500</v>
      </c>
      <c r="BO382" s="17" t="n">
        <f aca="false">BM382*IF($J382="wagon",2.73,81.25)</f>
        <v>425.88</v>
      </c>
      <c r="BY382" s="1" t="n">
        <v>1</v>
      </c>
      <c r="BZ382" s="1" t="n">
        <v>260</v>
      </c>
      <c r="CB382" s="1" t="s">
        <v>326</v>
      </c>
      <c r="CC382" s="1" t="s">
        <v>327</v>
      </c>
      <c r="CD382" s="1" t="str">
        <f aca="false">VLOOKUP(M382,Eras!$A$2:$C$10, 2, TRUE())</f>
        <v>big4</v>
      </c>
      <c r="CE382" s="1" t="s">
        <v>1478</v>
      </c>
      <c r="CF382" s="1" t="str">
        <f aca="false">CONCATENATE(CD382,"_",CE382)</f>
        <v>big4_Carriage</v>
      </c>
      <c r="CG382" s="1" t="str">
        <f aca="false">_xlfn.CONCAT(K382, "_",L382)</f>
        <v>luxury_carriage_RAIL</v>
      </c>
      <c r="CH382" s="7" t="str">
        <f aca="false">_xlfn.CONCAT("{BLACK}Length: {GOLD}", TEXT(ROUNDUP(IF(AT382&lt;&gt;"",SUM(VALUE(_xlfn.TEXTSPLIT(AT382, ","))), SUM(VALUE(_xlfn.TEXTSPLIT(AQ382, ",")))*IF(P382, P382, 1))/16, 1), "#,##0.0"), " tiles{}")</f>
        <v>{BLACK}Length: {GOLD}0.8 tiles{}</v>
      </c>
      <c r="CI382" s="1" t="n">
        <f aca="false">VLOOKUP($CG382, Constants!$M:$N, 2, FALSE())</f>
        <v>0</v>
      </c>
      <c r="CJ382" s="1" t="str">
        <f aca="false">IF(P382&gt;1,_xlfn.CONCAT("{BLACK}Cars: {GOLD}", P382),"")</f>
        <v/>
      </c>
      <c r="CK382" s="1" t="s">
        <v>1505</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{YELLOW}40% bonus for long distance travel{}</v>
      </c>
      <c r="CN382" s="1" t="str">
        <f aca="false">_xlfn.CONCAT(CI382,IF(CI382&lt;&gt;""," ",""),CJ382,IF(OR(CJ382&lt;&gt;"",CI382&lt;&gt;""),"{}",""),CH382,CM382,"{SILVER}",CK382,IF(CL382&lt;&gt;"","{}{}",""),CL382)</f>
        <v>{BLACK}Length: {GOLD}0.8 tiles{}{YELLOW}40% bonus for long distance travel{}{SILVER}The luxurious Pullman cars were large and heavy, with many still in use today for restaurant services.</v>
      </c>
    </row>
    <row r="383" customFormat="false" ht="14.25" hidden="false" customHeight="false" outlineLevel="0" collapsed="false">
      <c r="A383" s="1" t="s">
        <v>1506</v>
      </c>
      <c r="B383" s="15" t="s">
        <v>1507</v>
      </c>
      <c r="C383" s="1" t="n">
        <v>17</v>
      </c>
      <c r="E383" s="1" t="n">
        <v>1010</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198</v>
      </c>
      <c r="J383" s="1" t="s">
        <v>1476</v>
      </c>
      <c r="K383" s="1" t="s">
        <v>1501</v>
      </c>
      <c r="L383" s="1" t="s">
        <v>149</v>
      </c>
      <c r="M383" s="1" t="n">
        <v>1931</v>
      </c>
      <c r="O383" s="1" t="n">
        <v>1965</v>
      </c>
      <c r="Z383" s="1" t="n">
        <v>36</v>
      </c>
      <c r="AB383" s="1" t="n">
        <v>5</v>
      </c>
      <c r="AD383" s="4" t="str">
        <f aca="false">IF(AND(Z383&gt;0,AC383&gt;0),(AC383/((Z383+AA383)*10)),"")</f>
        <v/>
      </c>
      <c r="AE383" s="1" t="n">
        <v>130</v>
      </c>
      <c r="AF383" s="1" t="n">
        <f aca="false">ROUND(AE383*1.6, 0)</f>
        <v>208</v>
      </c>
      <c r="AI383" s="1" t="n">
        <v>17.7</v>
      </c>
      <c r="AJ383" s="1" t="n">
        <v>17.7</v>
      </c>
      <c r="AK383" s="1" t="n">
        <v>2.83</v>
      </c>
      <c r="AL383" s="1" t="n">
        <v>3.79</v>
      </c>
      <c r="AM383" s="5" t="n">
        <v>45</v>
      </c>
      <c r="AN383" s="1" t="str">
        <f aca="false">CONCATENATE(VLOOKUP(AO383, 'Voxel Sizes'!$A$2:$B$18,2,FALSE()),"x",INT(AK383*15), "x", INT(AL383*15))</f>
        <v>164x42x56</v>
      </c>
      <c r="AO383" s="1" t="n">
        <f aca="false">ROUND(15*((AJ383*10)/256),0)</f>
        <v>10</v>
      </c>
      <c r="AQ383" s="1" t="str">
        <f aca="false">CONCATENATE(VLOOKUP(AO383,Constants!$A$2:$C$16,IF(AP383&lt;&gt;"", 3, 2), FALSE()),IF(AP383&lt;&gt;"",CONCATENATE(",",VLOOKUP(AP383,$B:$AQ,39,FALSE())),""))</f>
        <v>4,2,4</v>
      </c>
      <c r="AZ383" s="1" t="s">
        <v>1508</v>
      </c>
      <c r="BA383" s="1" t="n">
        <v>30</v>
      </c>
      <c r="BB383" s="16" t="n">
        <f aca="false">IF(O383&lt;&gt;"",MAX(16,(O383-M383)+8),"")</f>
        <v>42</v>
      </c>
      <c r="BC383" s="1" t="n">
        <v>102</v>
      </c>
      <c r="BD383" s="1" t="n">
        <f aca="false">31*3</f>
        <v>93</v>
      </c>
      <c r="BE383" s="1" t="n">
        <f aca="false">MIN(AE383/150, 1)*30</f>
        <v>26</v>
      </c>
      <c r="BF383" s="1" t="n">
        <f aca="false">MIN(Q383/4000, 1)*20</f>
        <v>0</v>
      </c>
      <c r="BG383" s="1" t="n">
        <f aca="false">MIN(AC383/400,1)*20</f>
        <v>0</v>
      </c>
      <c r="BH383" s="4" t="n">
        <f aca="false">1-(MAX(M383-1900, 0)/750)</f>
        <v>0.958666666666667</v>
      </c>
      <c r="BI383" s="1" t="n">
        <f aca="false">((MAX($P383,1)*MIN($AM383/300,1)))*IF(J383="Wagon",50,10)</f>
        <v>7.5</v>
      </c>
      <c r="BJ383" s="1" t="n">
        <f aca="false">VLOOKUP($K383,Constants!$I:$K, 2, FALSE())</f>
        <v>1.5</v>
      </c>
      <c r="BK383" s="1" t="n">
        <f aca="false">VLOOKUP($K383,Constants!$I:$K, 3, FALSE())*IF(AND(J383="multiple_unit",AE383&lt;110),0.75,1)</f>
        <v>0.7</v>
      </c>
      <c r="BL383" s="1" t="n">
        <f aca="false">INT(POWER(((Constants!$G$2+$BE383+$BF383+$BG383+$BI383)*$BH383)*$BK383, 1.05))+$BD383</f>
        <v>123</v>
      </c>
      <c r="BM383" s="1" t="n">
        <f aca="false">INT(POWER((((Constants!$G$1+$BE383+$BF383+$BG383+$BI383)*($BH383))*$BJ383),IF($J383="wagon",1,1.2)))+$BC383</f>
        <v>171</v>
      </c>
      <c r="BN383" s="17" t="n">
        <f aca="false">BL383*IF($J383="wagon",62.5,781.25)</f>
        <v>7687.5</v>
      </c>
      <c r="BO383" s="17" t="n">
        <f aca="false">BM383*IF($J383="wagon",2.73,81.25)</f>
        <v>466.83</v>
      </c>
      <c r="BY383" s="1" t="n">
        <v>1</v>
      </c>
      <c r="BZ383" s="1" t="n">
        <v>222</v>
      </c>
      <c r="CB383" s="1" t="s">
        <v>326</v>
      </c>
      <c r="CC383" s="1" t="s">
        <v>327</v>
      </c>
      <c r="CD383" s="1" t="str">
        <f aca="false">VLOOKUP(M383,Eras!$A$2:$C$10, 2, TRUE())</f>
        <v>big4</v>
      </c>
      <c r="CE383" s="1" t="s">
        <v>1478</v>
      </c>
      <c r="CF383" s="1" t="str">
        <f aca="false">CONCATENATE(CD383,"_",CE383)</f>
        <v>big4_Carriage</v>
      </c>
      <c r="CG383" s="1" t="str">
        <f aca="false">_xlfn.CONCAT(K383, "_",L383)</f>
        <v>luxury_carriage_RAIL</v>
      </c>
      <c r="CH383" s="7" t="str">
        <f aca="false">_xlfn.CONCAT("{BLACK}Length: {GOLD}", TEXT(ROUNDUP(IF(AT383&lt;&gt;"",SUM(VALUE(_xlfn.TEXTSPLIT(AT383, ","))), SUM(VALUE(_xlfn.TEXTSPLIT(AQ383, ",")))*IF(P383, P383, 1))/16, 1), "#,##0.0"), " tiles{}")</f>
        <v>{BLACK}Length: {GOLD}0.7 tiles{}</v>
      </c>
      <c r="CI383" s="1" t="n">
        <f aca="false">VLOOKUP($CG383, Constants!$M:$N, 2, FALSE())</f>
        <v>0</v>
      </c>
      <c r="CJ383" s="1" t="str">
        <f aca="false">IF(P383&gt;1,_xlfn.CONCAT("{BLACK}Cars: {GOLD}", P383),"")</f>
        <v/>
      </c>
      <c r="CK383" s="1" t="s">
        <v>1509</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{YELLOW}20% bonus for long distance travel{}</v>
      </c>
      <c r="CN383" s="1" t="str">
        <f aca="false">_xlfn.CONCAT(CI383,IF(CI383&lt;&gt;""," ",""),CJ383,IF(OR(CJ383&lt;&gt;"",CI383&lt;&gt;""),"{}",""),CH383,CM383,"{SILVER}",CK383,IF(CL383&lt;&gt;"","{}{}",""),CL383)</f>
        <v>{BLACK}Length: {GOLD}0.7 tiles{}{YELLOW}20% bonus for long distance travel{}{SILVER}As express services increased in speed, carriages were streamlined with valances between bogies and flexible walls connecting each carriage.</v>
      </c>
    </row>
    <row r="384" customFormat="false" ht="13.5" hidden="false" customHeight="true" outlineLevel="0" collapsed="false">
      <c r="A384" s="1" t="s">
        <v>1510</v>
      </c>
      <c r="B384" s="15" t="s">
        <v>1511</v>
      </c>
      <c r="C384" s="1" t="n">
        <v>18</v>
      </c>
      <c r="E384" s="1" t="n">
        <v>1011</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198</v>
      </c>
      <c r="J384" s="1" t="s">
        <v>1476</v>
      </c>
      <c r="K384" s="1" t="s">
        <v>1477</v>
      </c>
      <c r="L384" s="1" t="s">
        <v>149</v>
      </c>
      <c r="M384" s="1" t="n">
        <v>1951</v>
      </c>
      <c r="N384" s="1" t="n">
        <v>1963</v>
      </c>
      <c r="O384" s="1" t="n">
        <v>1974</v>
      </c>
      <c r="Z384" s="1" t="n">
        <v>32.5</v>
      </c>
      <c r="AB384" s="1" t="n">
        <v>5</v>
      </c>
      <c r="AD384" s="4" t="str">
        <f aca="false">IF(AND(Z384&gt;0,AC384&gt;0),(AC384/((Z384+AA384)*10)),"")</f>
        <v/>
      </c>
      <c r="AE384" s="1" t="n">
        <v>100</v>
      </c>
      <c r="AF384" s="1" t="n">
        <f aca="false">ROUND(AE384*1.6, 0)</f>
        <v>160</v>
      </c>
      <c r="AI384" s="1" t="n">
        <v>19.3</v>
      </c>
      <c r="AJ384" s="1" t="n">
        <v>20</v>
      </c>
      <c r="AM384" s="5" t="n">
        <v>63</v>
      </c>
      <c r="AN384" s="1" t="str">
        <f aca="false">CONCATENATE(VLOOKUP(AO384, 'Voxel Sizes'!$A$2:$B$18,2,FALSE()),"x",INT(AK384*15), "x", INT(AL384*15))</f>
        <v>198x0x0</v>
      </c>
      <c r="AO384" s="1" t="n">
        <f aca="false">ROUND(15*((AJ384*10)/256),0)</f>
        <v>12</v>
      </c>
      <c r="AQ384" s="1" t="str">
        <f aca="false">CONCATENATE(VLOOKUP(AO384,Constants!$A$2:$C$16,IF(AP384&lt;&gt;"", 3, 2), FALSE()),IF(AP384&lt;&gt;"",CONCATENATE(",",VLOOKUP(AP384,$B:$AQ,39,FALSE())),""))</f>
        <v>4,4,4</v>
      </c>
      <c r="BA384" s="1" t="n">
        <v>30</v>
      </c>
      <c r="BB384" s="16" t="n">
        <f aca="false">IF(O384&lt;&gt;"",MAX(16,(O384-M384)+8),"")</f>
        <v>31</v>
      </c>
      <c r="BC384" s="1" t="n">
        <v>76</v>
      </c>
      <c r="BD384" s="1" t="n">
        <f aca="false">23*3</f>
        <v>69</v>
      </c>
      <c r="BE384" s="1" t="n">
        <f aca="false">MIN(AE384/150, 1)*30</f>
        <v>20</v>
      </c>
      <c r="BF384" s="1" t="n">
        <f aca="false">MIN(Q384/4000, 1)*20</f>
        <v>0</v>
      </c>
      <c r="BG384" s="1" t="n">
        <f aca="false">MIN(AC384/400,1)*20</f>
        <v>0</v>
      </c>
      <c r="BH384" s="4" t="n">
        <f aca="false">1-(MAX(M384-1900, 0)/750)</f>
        <v>0.932</v>
      </c>
      <c r="BI384" s="1" t="n">
        <f aca="false">((MAX($P384,1)*MIN($AM384/300,1)))*IF(J384="Wagon",50,10)</f>
        <v>10.5</v>
      </c>
      <c r="BJ384" s="1" t="n">
        <f aca="false">VLOOKUP($K384,Constants!$I:$K, 2, FALSE())</f>
        <v>1.2</v>
      </c>
      <c r="BK384" s="1" t="n">
        <f aca="false">VLOOKUP($K384,Constants!$I:$K, 3, FALSE())*IF(AND(J384="multiple_unit",AE384&lt;110),0.75,1)</f>
        <v>0.6</v>
      </c>
      <c r="BL384" s="1" t="n">
        <f aca="false">INT(POWER(((Constants!$G$2+$BE384+$BF384+$BG384+$BI384)*$BH384)*$BK384, 1.05))+$BD384</f>
        <v>92</v>
      </c>
      <c r="BM384" s="1" t="n">
        <f aca="false">INT(POWER((((Constants!$G$1+$BE384+$BF384+$BG384+$BI384)*($BH384))*$BJ384),IF($J384="wagon",1,1.2)))+$BC384</f>
        <v>126</v>
      </c>
      <c r="BN384" s="17" t="n">
        <f aca="false">BL384*IF($J384="wagon",62.5,781.25)</f>
        <v>5750</v>
      </c>
      <c r="BO384" s="17" t="n">
        <f aca="false">BM384*IF($J384="wagon",2.73,81.25)</f>
        <v>343.98</v>
      </c>
      <c r="BY384" s="1" t="n">
        <v>1</v>
      </c>
      <c r="BZ384" s="1" t="n">
        <v>185</v>
      </c>
      <c r="CB384" s="1" t="s">
        <v>326</v>
      </c>
      <c r="CC384" s="1" t="s">
        <v>327</v>
      </c>
      <c r="CD384" s="1" t="str">
        <f aca="false">VLOOKUP(M384,Eras!$A$2:$C$10, 2, TRUE())</f>
        <v>ebr</v>
      </c>
      <c r="CE384" s="1" t="s">
        <v>1478</v>
      </c>
      <c r="CF384" s="1" t="str">
        <f aca="false">CONCATENATE(CD384,"_",CE384)</f>
        <v>ebr_Carriage</v>
      </c>
      <c r="CG384" s="1" t="str">
        <f aca="false">_xlfn.CONCAT(K384, "_",L384)</f>
        <v>carriage_RAIL</v>
      </c>
      <c r="CH384" s="7" t="str">
        <f aca="false">_xlfn.CONCAT("{BLACK}Length: {GOLD}", TEXT(ROUNDUP(IF(AT384&lt;&gt;"",SUM(VALUE(_xlfn.TEXTSPLIT(AT384, ","))), SUM(VALUE(_xlfn.TEXTSPLIT(AQ384, ",")))*IF(P384, P384, 1))/16, 1), "#,##0.0"), " tiles{}")</f>
        <v>{BLACK}Length: {GOLD}0.8 tiles{}</v>
      </c>
      <c r="CI384" s="1" t="n">
        <f aca="false">VLOOKUP($CG384, Constants!$M:$N, 2, FALSE())</f>
        <v>0</v>
      </c>
      <c r="CJ384" s="1" t="str">
        <f aca="false">IF(P384&gt;1,_xlfn.CONCAT("{BLACK}Cars: {GOLD}", P384),"")</f>
        <v/>
      </c>
      <c r="CK384" s="1" t="s">
        <v>1512</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85" customFormat="false" ht="14.25" hidden="false" customHeight="false" outlineLevel="0" collapsed="false">
      <c r="A385" s="1" t="s">
        <v>1513</v>
      </c>
      <c r="B385" s="15" t="s">
        <v>1514</v>
      </c>
      <c r="C385" s="1" t="n">
        <v>19</v>
      </c>
      <c r="D385" s="1" t="n">
        <v>18</v>
      </c>
      <c r="E385" s="1" t="n">
        <v>1012</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198</v>
      </c>
      <c r="J385" s="1" t="s">
        <v>1476</v>
      </c>
      <c r="K385" s="1" t="s">
        <v>1477</v>
      </c>
      <c r="L385" s="1" t="s">
        <v>149</v>
      </c>
      <c r="M385" s="1" t="n">
        <v>1951</v>
      </c>
      <c r="N385" s="1" t="n">
        <v>1963</v>
      </c>
      <c r="O385" s="1" t="n">
        <v>1974</v>
      </c>
      <c r="Z385" s="1" t="n">
        <v>32.5</v>
      </c>
      <c r="AB385" s="1" t="n">
        <v>5</v>
      </c>
      <c r="AD385" s="4" t="str">
        <f aca="false">IF(AND(Z385&gt;0,AC385&gt;0),(AC385/((Z385+AA385)*10)),"")</f>
        <v/>
      </c>
      <c r="AE385" s="1" t="n">
        <v>100</v>
      </c>
      <c r="AF385" s="1" t="n">
        <f aca="false">ROUND(AE385*1.6, 0)</f>
        <v>160</v>
      </c>
      <c r="AI385" s="1" t="n">
        <v>19.3</v>
      </c>
      <c r="AJ385" s="1" t="n">
        <v>20</v>
      </c>
      <c r="AM385" s="5" t="n">
        <v>42</v>
      </c>
      <c r="AN385" s="1" t="str">
        <f aca="false">CONCATENATE(VLOOKUP(AO385, 'Voxel Sizes'!$A$2:$B$18,2,FALSE()),"x",INT(AK385*15), "x", INT(AL385*15))</f>
        <v>198x0x0</v>
      </c>
      <c r="AO385" s="1" t="n">
        <f aca="false">ROUND(15*((AJ385*10)/256),0)</f>
        <v>12</v>
      </c>
      <c r="AQ385" s="1" t="str">
        <f aca="false">CONCATENATE(VLOOKUP(AO385,Constants!$A$2:$C$16,IF(AP385&lt;&gt;"", 3, 2), FALSE()),IF(AP385&lt;&gt;"",CONCATENATE(",",VLOOKUP(AP385,$B:$AQ,39,FALSE())),""))</f>
        <v>4,4,4</v>
      </c>
      <c r="BA385" s="1" t="n">
        <v>30</v>
      </c>
      <c r="BB385" s="16" t="n">
        <f aca="false">IF(O385&lt;&gt;"",MAX(16,(O385-M385)+8),"")</f>
        <v>31</v>
      </c>
      <c r="BC385" s="1" t="n">
        <v>126</v>
      </c>
      <c r="BD385" s="1" t="n">
        <v>90</v>
      </c>
      <c r="BE385" s="1" t="n">
        <f aca="false">MIN(AE385/150, 1)*30</f>
        <v>20</v>
      </c>
      <c r="BF385" s="1" t="n">
        <f aca="false">MIN(Q385/4000, 1)*20</f>
        <v>0</v>
      </c>
      <c r="BG385" s="1" t="n">
        <f aca="false">MIN(AC385/400,1)*20</f>
        <v>0</v>
      </c>
      <c r="BH385" s="4" t="n">
        <f aca="false">1-(MAX(M385-1900, 0)/750)</f>
        <v>0.932</v>
      </c>
      <c r="BI385" s="1" t="n">
        <f aca="false">((MAX($P385,1)*MIN($AM385/300,1)))*IF(J385="Wagon",50,10)</f>
        <v>7</v>
      </c>
      <c r="BJ385" s="1" t="n">
        <f aca="false">VLOOKUP($K385,Constants!$I:$K, 2, FALSE())</f>
        <v>1.2</v>
      </c>
      <c r="BK385" s="1" t="n">
        <f aca="false">VLOOKUP($K385,Constants!$I:$K, 3, FALSE())*IF(AND(J385="multiple_unit",AE385&lt;110),0.75,1)</f>
        <v>0.6</v>
      </c>
      <c r="BL385" s="1" t="n">
        <f aca="false">INT(POWER(((Constants!$G$2+$BE385+$BF385+$BG385+$BI385)*$BH385)*$BK385, 1.05))+$BD385</f>
        <v>110</v>
      </c>
      <c r="BM385" s="1" t="n">
        <f aca="false">INT(POWER((((Constants!$G$1+$BE385+$BF385+$BG385+$BI385)*($BH385))*$BJ385),IF($J385="wagon",1,1.2)))+$BC385</f>
        <v>172</v>
      </c>
      <c r="BN385" s="17" t="n">
        <f aca="false">BL385*IF($J385="wagon",62.5,781.25)</f>
        <v>6875</v>
      </c>
      <c r="BO385" s="17" t="n">
        <f aca="false">BM385*IF($J385="wagon",2.73,81.25)</f>
        <v>469.56</v>
      </c>
      <c r="BY385" s="1" t="n">
        <v>1</v>
      </c>
      <c r="BZ385" s="1" t="n">
        <v>222</v>
      </c>
      <c r="CA385" s="1" t="s">
        <v>1515</v>
      </c>
      <c r="CB385" s="1" t="s">
        <v>326</v>
      </c>
      <c r="CC385" s="1" t="s">
        <v>327</v>
      </c>
      <c r="CD385" s="1" t="str">
        <f aca="false">VLOOKUP(M385,Eras!$A$2:$C$10, 2, TRUE())</f>
        <v>ebr</v>
      </c>
      <c r="CE385" s="1" t="s">
        <v>1478</v>
      </c>
      <c r="CF385" s="1" t="str">
        <f aca="false">CONCATENATE(CD385,"_",CE385)</f>
        <v>ebr_Carriage</v>
      </c>
      <c r="CG385" s="1" t="str">
        <f aca="false">_xlfn.CONCAT(K385, "_",L385)</f>
        <v>carriage_RAIL</v>
      </c>
      <c r="CH385" s="7" t="str">
        <f aca="false">_xlfn.CONCAT("{BLACK}Length: {GOLD}", TEXT(ROUNDUP(IF(AT385&lt;&gt;"",SUM(VALUE(_xlfn.TEXTSPLIT(AT385, ","))), SUM(VALUE(_xlfn.TEXTSPLIT(AQ385, ",")))*IF(P385, P385, 1))/16, 1), "#,##0.0"), " tiles{}")</f>
        <v>{BLACK}Length: {GOLD}0.8 tiles{}</v>
      </c>
      <c r="CI385" s="1" t="n">
        <f aca="false">VLOOKUP($CG385, Constants!$M:$N, 2, FALSE())</f>
        <v>0</v>
      </c>
      <c r="CJ385" s="1" t="str">
        <f aca="false">IF(P385&gt;1,_xlfn.CONCAT("{BLACK}Cars: {GOLD}", P385),"")</f>
        <v/>
      </c>
      <c r="CK385" s="1" t="s">
        <v>1516</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{YELLOW}20% bonus for long distance travel{}</v>
      </c>
      <c r="CN385" s="1" t="str">
        <f aca="false">_xlfn.CONCAT(CI385,IF(CI385&lt;&gt;""," ",""),CJ385,IF(OR(CJ385&lt;&gt;"",CI385&lt;&gt;""),"{}",""),CH385,CM385,"{SILVER}",CK385,IF(CL385&lt;&gt;"","{}{}",""),CL385)</f>
        <v>{BLACK}Length: {GOLD}0.8 tiles{}{YELLOW}20% bonus for long distance travel{}{SILVER}Mk1 FO (First Open) carriages had wider and more luxurious seating in a 2+1 arrangement in an open saloon.</v>
      </c>
    </row>
    <row r="386" customFormat="false" ht="14.25" hidden="false" customHeight="false" outlineLevel="0" collapsed="false">
      <c r="A386" s="1" t="s">
        <v>1517</v>
      </c>
      <c r="B386" s="15" t="s">
        <v>1518</v>
      </c>
      <c r="C386" s="1" t="n">
        <v>20</v>
      </c>
      <c r="D386" s="1" t="n">
        <v>18</v>
      </c>
      <c r="E386" s="1" t="n">
        <v>1013</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198</v>
      </c>
      <c r="J386" s="1" t="s">
        <v>1476</v>
      </c>
      <c r="K386" s="1" t="s">
        <v>1477</v>
      </c>
      <c r="L386" s="1" t="s">
        <v>149</v>
      </c>
      <c r="M386" s="1" t="n">
        <v>1951</v>
      </c>
      <c r="N386" s="1" t="n">
        <v>1963</v>
      </c>
      <c r="O386" s="1" t="n">
        <v>1974</v>
      </c>
      <c r="Z386" s="1" t="n">
        <v>32.5</v>
      </c>
      <c r="AB386" s="1" t="n">
        <v>4</v>
      </c>
      <c r="AD386" s="4" t="str">
        <f aca="false">IF(AND(Z386&gt;0,AC386&gt;0),(AC386/((Z386+AA386)*10)),"")</f>
        <v/>
      </c>
      <c r="AE386" s="1" t="n">
        <v>100</v>
      </c>
      <c r="AF386" s="1" t="n">
        <f aca="false">ROUND(AE386*1.6, 0)</f>
        <v>160</v>
      </c>
      <c r="AI386" s="1" t="n">
        <v>19.3</v>
      </c>
      <c r="AJ386" s="1" t="n">
        <v>20</v>
      </c>
      <c r="AM386" s="5" t="n">
        <v>48</v>
      </c>
      <c r="AN386" s="1" t="str">
        <f aca="false">CONCATENATE(VLOOKUP(AO386, 'Voxel Sizes'!$A$2:$B$18,2,FALSE()),"x",INT(AK386*15), "x", INT(AL386*15))</f>
        <v>198x0x0</v>
      </c>
      <c r="AO386" s="1" t="n">
        <f aca="false">ROUND(15*((AJ386*10)/256),0)</f>
        <v>12</v>
      </c>
      <c r="AQ386" s="1" t="str">
        <f aca="false">CONCATENATE(VLOOKUP(AO386,Constants!$A$2:$C$16,IF(AP386&lt;&gt;"", 3, 2), FALSE()),IF(AP386&lt;&gt;"",CONCATENATE(",",VLOOKUP(AP386,$B:$AQ,39,FALSE())),""))</f>
        <v>4,4,4</v>
      </c>
      <c r="BA386" s="1" t="n">
        <v>30</v>
      </c>
      <c r="BB386" s="16" t="n">
        <f aca="false">IF(O386&lt;&gt;"",MAX(16,(O386-M386)+8),"")</f>
        <v>31</v>
      </c>
      <c r="BC386" s="1" t="n">
        <v>76</v>
      </c>
      <c r="BD386" s="1" t="n">
        <f aca="false">23*3</f>
        <v>69</v>
      </c>
      <c r="BE386" s="1" t="n">
        <f aca="false">MIN(AE386/150, 1)*30</f>
        <v>20</v>
      </c>
      <c r="BF386" s="1" t="n">
        <f aca="false">MIN(Q386/4000, 1)*20</f>
        <v>0</v>
      </c>
      <c r="BG386" s="1" t="n">
        <f aca="false">MIN(AC386/400,1)*20</f>
        <v>0</v>
      </c>
      <c r="BH386" s="4" t="n">
        <f aca="false">1-(MAX(M386-1900, 0)/750)</f>
        <v>0.932</v>
      </c>
      <c r="BI386" s="1" t="n">
        <f aca="false">((MAX($P386,1)*MIN($AM386/300,1)))*IF(J386="Wagon",50,10)</f>
        <v>8</v>
      </c>
      <c r="BJ386" s="1" t="n">
        <f aca="false">VLOOKUP($K386,Constants!$I:$K, 2, FALSE())</f>
        <v>1.2</v>
      </c>
      <c r="BK386" s="1" t="n">
        <f aca="false">VLOOKUP($K386,Constants!$I:$K, 3, FALSE())*IF(AND(J386="multiple_unit",AE386&lt;110),0.75,1)</f>
        <v>0.6</v>
      </c>
      <c r="BL386" s="1" t="n">
        <f aca="false">INT(POWER(((Constants!$G$2+$BE386+$BF386+$BG386+$BI386)*$BH386)*$BK386, 1.05))+$BD386</f>
        <v>90</v>
      </c>
      <c r="BM386" s="1" t="n">
        <f aca="false">INT(POWER((((Constants!$G$1+$BE386+$BF386+$BG386+$BI386)*($BH386))*$BJ386),IF($J386="wagon",1,1.2)))+$BC386</f>
        <v>124</v>
      </c>
      <c r="BN386" s="17" t="n">
        <f aca="false">BL386*IF($J386="wagon",62.5,781.25)</f>
        <v>5625</v>
      </c>
      <c r="BO386" s="17" t="n">
        <f aca="false">BM386*IF($J386="wagon",2.73,81.25)</f>
        <v>338.52</v>
      </c>
      <c r="BY386" s="1" t="n">
        <v>1</v>
      </c>
      <c r="BZ386" s="1" t="n">
        <v>195</v>
      </c>
      <c r="CB386" s="1" t="s">
        <v>326</v>
      </c>
      <c r="CC386" s="1" t="s">
        <v>327</v>
      </c>
      <c r="CD386" s="1" t="str">
        <f aca="false">VLOOKUP(M386,Eras!$A$2:$C$10, 2, TRUE())</f>
        <v>ebr</v>
      </c>
      <c r="CE386" s="1" t="s">
        <v>1478</v>
      </c>
      <c r="CF386" s="1" t="str">
        <f aca="false">CONCATENATE(CD386,"_",CE386)</f>
        <v>ebr_Carriage</v>
      </c>
      <c r="CG386" s="1" t="str">
        <f aca="false">_xlfn.CONCAT(K386, "_",L386)</f>
        <v>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1" t="s">
        <v>1519</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{YELLOW}5% bonus for long distance travel{}</v>
      </c>
      <c r="CN386" s="1" t="str">
        <f aca="false">_xlfn.CONCAT(CI386,IF(CI386&lt;&gt;""," ",""),CJ386,IF(OR(CJ386&lt;&gt;"",CI386&lt;&gt;""),"{}",""),CH386,CM386,"{SILVER}",CK386,IF(CL386&lt;&gt;"","{}{}",""),CL386)</f>
        <v>{BLACK}Length: {GOLD}0.8 tiles{}{YELLOW}5% bonus for long distance travel{}{SILVER}Mk1 SK (Second/Standard Corridor) carriages were divided into 8 compartments, accessed by a gangway along one side of the carriage. This was the most common of all Mk1 carriage types.</v>
      </c>
    </row>
    <row r="387" customFormat="false" ht="14.25" hidden="false" customHeight="false" outlineLevel="0" collapsed="false">
      <c r="A387" s="1" t="s">
        <v>1520</v>
      </c>
      <c r="B387" s="15" t="s">
        <v>1521</v>
      </c>
      <c r="C387" s="1" t="n">
        <v>21</v>
      </c>
      <c r="D387" s="1" t="n">
        <v>18</v>
      </c>
      <c r="E387" s="1" t="n">
        <v>1014</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198</v>
      </c>
      <c r="J387" s="1" t="s">
        <v>1476</v>
      </c>
      <c r="K387" s="1" t="s">
        <v>1477</v>
      </c>
      <c r="L387" s="1" t="s">
        <v>149</v>
      </c>
      <c r="M387" s="1" t="n">
        <v>1951</v>
      </c>
      <c r="N387" s="1" t="n">
        <v>1963</v>
      </c>
      <c r="O387" s="1" t="n">
        <v>1974</v>
      </c>
      <c r="Z387" s="1" t="n">
        <v>32.5</v>
      </c>
      <c r="AB387" s="1" t="n">
        <v>4</v>
      </c>
      <c r="AD387" s="4" t="str">
        <f aca="false">IF(AND(Z387&gt;0,AC387&gt;0),(AC387/((Z387+AA387)*10)),"")</f>
        <v/>
      </c>
      <c r="AE387" s="1" t="n">
        <v>100</v>
      </c>
      <c r="AF387" s="1" t="n">
        <f aca="false">ROUND(AE387*1.6, 0)</f>
        <v>160</v>
      </c>
      <c r="AI387" s="1" t="n">
        <v>19.3</v>
      </c>
      <c r="AJ387" s="1" t="n">
        <v>20</v>
      </c>
      <c r="AM387" s="5" t="n">
        <v>42</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31</v>
      </c>
      <c r="BC387" s="1" t="n">
        <v>126</v>
      </c>
      <c r="BD387" s="1" t="n">
        <v>90</v>
      </c>
      <c r="BE387" s="1" t="n">
        <f aca="false">MIN(AE387/150, 1)*30</f>
        <v>20</v>
      </c>
      <c r="BF387" s="1" t="n">
        <f aca="false">MIN(Q387/4000, 1)*20</f>
        <v>0</v>
      </c>
      <c r="BG387" s="1" t="n">
        <f aca="false">MIN(AC387/400,1)*20</f>
        <v>0</v>
      </c>
      <c r="BH387" s="4" t="n">
        <f aca="false">1-(MAX(M387-1900, 0)/750)</f>
        <v>0.932</v>
      </c>
      <c r="BI387" s="1" t="n">
        <f aca="false">((MAX($P387,1)*MIN($AM387/300,1)))*IF(J387="Wagon",50,10)</f>
        <v>7</v>
      </c>
      <c r="BJ387" s="1" t="n">
        <f aca="false">VLOOKUP($K387,Constants!$I:$K, 2, FALSE())</f>
        <v>1.2</v>
      </c>
      <c r="BK387" s="1" t="n">
        <f aca="false">VLOOKUP($K387,Constants!$I:$K, 3, FALSE())*IF(AND(J387="multiple_unit",AE387&lt;110),0.75,1)</f>
        <v>0.6</v>
      </c>
      <c r="BL387" s="1" t="n">
        <f aca="false">INT(POWER(((Constants!$G$2+$BE387+$BF387+$BG387+$BI387)*$BH387)*$BK387, 1.05))+$BD387</f>
        <v>110</v>
      </c>
      <c r="BM387" s="1" t="n">
        <f aca="false">INT(POWER((((Constants!$G$1+$BE387+$BF387+$BG387+$BI387)*($BH387))*$BJ387),IF($J387="wagon",1,1.2)))+$BC387</f>
        <v>172</v>
      </c>
      <c r="BN387" s="17" t="n">
        <f aca="false">BL387*IF($J387="wagon",62.5,781.25)</f>
        <v>6875</v>
      </c>
      <c r="BO387" s="17" t="n">
        <f aca="false">BM387*IF($J387="wagon",2.73,81.25)</f>
        <v>469.56</v>
      </c>
      <c r="BY387" s="1" t="n">
        <v>1</v>
      </c>
      <c r="BZ387" s="1" t="n">
        <v>232</v>
      </c>
      <c r="CA387" s="1" t="s">
        <v>1515</v>
      </c>
      <c r="CB387" s="1" t="s">
        <v>326</v>
      </c>
      <c r="CC387" s="1" t="s">
        <v>327</v>
      </c>
      <c r="CD387" s="1" t="str">
        <f aca="false">VLOOKUP(M387,Eras!$A$2:$C$10, 2, TRUE())</f>
        <v>ebr</v>
      </c>
      <c r="CE387" s="1" t="s">
        <v>1478</v>
      </c>
      <c r="CF387" s="1" t="str">
        <f aca="false">CONCATENATE(CD387,"_",CE387)</f>
        <v>ebr_Carriage</v>
      </c>
      <c r="CG387" s="1" t="str">
        <f aca="false">_xlfn.CONCAT(K387, "_",L387)</f>
        <v>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1522</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{YELLOW}25% bonus for long distance travel{}</v>
      </c>
      <c r="CN387" s="1" t="str">
        <f aca="false">_xlfn.CONCAT(CI387,IF(CI387&lt;&gt;""," ",""),CJ387,IF(OR(CJ387&lt;&gt;"",CI387&lt;&gt;""),"{}",""),CH387,CM387,"{SILVER}",CK387,IF(CL387&lt;&gt;"","{}{}",""),CL387)</f>
        <v>{BLACK}Length: {GOLD}0.8 tiles{}{YELLOW}25% bonus for long distance travel{}{SILVER}MK1 FK (First Corridor) carriages were divided into 7 compartments, larger and more luxurious than the SK carriages.</v>
      </c>
    </row>
    <row r="388" customFormat="false" ht="14.25" hidden="false" customHeight="false" outlineLevel="0" collapsed="false">
      <c r="A388" s="1" t="s">
        <v>1523</v>
      </c>
      <c r="B388" s="15" t="s">
        <v>1524</v>
      </c>
      <c r="C388" s="1" t="n">
        <v>22</v>
      </c>
      <c r="D388" s="1" t="n">
        <v>18</v>
      </c>
      <c r="E388" s="1" t="n">
        <v>1015</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198</v>
      </c>
      <c r="J388" s="1" t="s">
        <v>1476</v>
      </c>
      <c r="K388" s="1" t="s">
        <v>1477</v>
      </c>
      <c r="L388" s="1" t="s">
        <v>149</v>
      </c>
      <c r="M388" s="1" t="n">
        <v>1957</v>
      </c>
      <c r="N388" s="1" t="n">
        <v>1963</v>
      </c>
      <c r="O388" s="1" t="n">
        <v>1974</v>
      </c>
      <c r="Z388" s="1" t="n">
        <v>35</v>
      </c>
      <c r="AB388" s="1" t="n">
        <v>4</v>
      </c>
      <c r="AD388" s="4" t="str">
        <f aca="false">IF(AND(Z388&gt;0,AC388&gt;0),(AC388/((Z388+AA388)*10)),"")</f>
        <v/>
      </c>
      <c r="AE388" s="1" t="n">
        <v>100</v>
      </c>
      <c r="AF388" s="1" t="n">
        <f aca="false">ROUND(AE388*1.6, 0)</f>
        <v>160</v>
      </c>
      <c r="AI388" s="1" t="n">
        <v>19.3</v>
      </c>
      <c r="AJ388" s="1" t="n">
        <v>20</v>
      </c>
      <c r="AM388" s="5" t="n">
        <v>42</v>
      </c>
      <c r="AN388" s="1" t="str">
        <f aca="false">CONCATENATE(VLOOKUP(AO388, 'Voxel Sizes'!$A$2:$B$18,2,FALSE()),"x",INT(AK388*15), "x", INT(AL388*15))</f>
        <v>198x0x0</v>
      </c>
      <c r="AO388" s="1" t="n">
        <f aca="false">ROUND(15*((AJ388*10)/256),0)</f>
        <v>12</v>
      </c>
      <c r="AQ388" s="1" t="str">
        <f aca="false">CONCATENATE(VLOOKUP(AO388,Constants!$A$2:$C$16,IF(AP388&lt;&gt;"", 3, 2), FALSE()),IF(AP388&lt;&gt;"",CONCATENATE(",",VLOOKUP(AP388,$B:$AQ,39,FALSE())),""))</f>
        <v>4,4,4</v>
      </c>
      <c r="BA388" s="1" t="n">
        <v>30</v>
      </c>
      <c r="BB388" s="16" t="n">
        <f aca="false">IF(O388&lt;&gt;"",MAX(16,(O388-M388)+8),"")</f>
        <v>25</v>
      </c>
      <c r="BC388" s="1" t="n">
        <v>1150</v>
      </c>
      <c r="BD388" s="1" t="n">
        <v>150</v>
      </c>
      <c r="BE388" s="1" t="n">
        <f aca="false">MIN(AE388/150, 1)*30</f>
        <v>20</v>
      </c>
      <c r="BF388" s="1" t="n">
        <f aca="false">MIN(Q388/4000, 1)*20</f>
        <v>0</v>
      </c>
      <c r="BG388" s="1" t="n">
        <f aca="false">MIN(AC388/400,1)*20</f>
        <v>0</v>
      </c>
      <c r="BH388" s="4" t="n">
        <f aca="false">1-(MAX(M388-1900, 0)/750)</f>
        <v>0.924</v>
      </c>
      <c r="BI388" s="1" t="n">
        <f aca="false">((MAX($P388,1)*MIN($AM388/300,1)))*IF(J388="Wagon",50,10)</f>
        <v>7</v>
      </c>
      <c r="BJ388" s="1" t="n">
        <f aca="false">VLOOKUP($K388,Constants!$I:$K, 2, FALSE())</f>
        <v>1.2</v>
      </c>
      <c r="BK388" s="1" t="n">
        <f aca="false">VLOOKUP($K388,Constants!$I:$K, 3, FALSE())*IF(AND(J388="multiple_unit",AE388&lt;110),0.75,1)</f>
        <v>0.6</v>
      </c>
      <c r="BL388" s="1" t="n">
        <f aca="false">INT(POWER(((Constants!$G$2+$BE388+$BF388+$BG388+$BI388)*$BH388)*$BK388, 1.05))+$BD388</f>
        <v>170</v>
      </c>
      <c r="BM388" s="1" t="n">
        <f aca="false">INT(POWER((((Constants!$G$1+$BE388+$BF388+$BG388+$BI388)*($BH388))*$BJ388),IF($J388="wagon",1,1.2)))+$BC388</f>
        <v>1196</v>
      </c>
      <c r="BN388" s="17" t="n">
        <f aca="false">BL388*IF($J388="wagon",62.5,781.25)</f>
        <v>10625</v>
      </c>
      <c r="BO388" s="17" t="n">
        <f aca="false">BM388*IF($J388="wagon",2.73,81.25)</f>
        <v>3265.08</v>
      </c>
      <c r="BY388" s="1" t="n">
        <v>1</v>
      </c>
      <c r="BZ388" s="1" t="n">
        <v>185</v>
      </c>
      <c r="CA388" s="1" t="s">
        <v>960</v>
      </c>
      <c r="CB388" s="1" t="s">
        <v>326</v>
      </c>
      <c r="CC388" s="1" t="s">
        <v>327</v>
      </c>
      <c r="CD388" s="1" t="str">
        <f aca="false">VLOOKUP(M388,Eras!$A$2:$C$10, 2, TRUE())</f>
        <v>dsl</v>
      </c>
      <c r="CE388" s="1" t="s">
        <v>1478</v>
      </c>
      <c r="CF388" s="1" t="str">
        <f aca="false">CONCATENATE(CD388,"_",CE388)</f>
        <v>dsl_Carriage</v>
      </c>
      <c r="CG388" s="1" t="str">
        <f aca="false">_xlfn.CONCAT(K388, "_",L388)</f>
        <v>carriage_RAIL</v>
      </c>
      <c r="CH388" s="7" t="str">
        <f aca="false">_xlfn.CONCAT("{BLACK}Length: {GOLD}", TEXT(ROUNDUP(IF(AT388&lt;&gt;"",SUM(VALUE(_xlfn.TEXTSPLIT(AT388, ","))), SUM(VALUE(_xlfn.TEXTSPLIT(AQ388, ",")))*IF(P388, P388, 1))/16, 1), "#,##0.0"), " tiles{}")</f>
        <v>{BLACK}Length: {GOLD}0.8 tiles{}</v>
      </c>
      <c r="CI388" s="1" t="n">
        <f aca="false">VLOOKUP($CG388, Constants!$M:$N, 2, FALSE())</f>
        <v>0</v>
      </c>
      <c r="CJ388" s="1" t="str">
        <f aca="false">IF(P388&gt;1,_xlfn.CONCAT("{BLACK}Cars: {GOLD}", P388),"")</f>
        <v/>
      </c>
      <c r="CK388" s="1" t="s">
        <v>1525</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{YELLOW}25% long distance bonus for consist{}</v>
      </c>
      <c r="CN388" s="1" t="str">
        <f aca="false">_xlfn.CONCAT(CI388,IF(CI388&lt;&gt;""," ",""),CJ388,IF(OR(CJ388&lt;&gt;"",CI388&lt;&gt;""),"{}",""),CH388,CM388,"{SILVER}",CK388,IF(CL388&lt;&gt;"","{}{}",""),CL388)</f>
        <v>{BLACK}Length: {GOLD}0.8 tiles{}{YELLOW}25% long distance bonus for consist{}{SILVER}The Mk1 RMB (Restaurant Mini Buffet) is a TSO carriage in which some of the seating rows have been replaced with a small buffet service restaurant.</v>
      </c>
    </row>
    <row r="389" s="25" customFormat="true" ht="14.25" hidden="false" customHeight="false" outlineLevel="0" collapsed="false">
      <c r="A389" s="25" t="s">
        <v>1526</v>
      </c>
      <c r="B389" s="26" t="s">
        <v>1527</v>
      </c>
      <c r="C389" s="1" t="n">
        <v>3122</v>
      </c>
      <c r="D389" s="1" t="n">
        <v>18</v>
      </c>
      <c r="E389" s="1" t="n">
        <v>1016</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25" t="s">
        <v>198</v>
      </c>
      <c r="J389" s="25" t="s">
        <v>1476</v>
      </c>
      <c r="K389" s="25" t="s">
        <v>1477</v>
      </c>
      <c r="L389" s="25" t="s">
        <v>149</v>
      </c>
      <c r="M389" s="25" t="n">
        <v>1955</v>
      </c>
      <c r="N389" s="25" t="n">
        <v>1981</v>
      </c>
      <c r="O389" s="25" t="n">
        <v>1987</v>
      </c>
      <c r="R389" s="2"/>
      <c r="S389" s="3"/>
      <c r="T389" s="3"/>
      <c r="U389" s="3"/>
      <c r="V389" s="3"/>
      <c r="W389" s="3"/>
      <c r="X389" s="3"/>
      <c r="Y389" s="3"/>
      <c r="Z389" s="25" t="n">
        <v>33</v>
      </c>
      <c r="AA389" s="2"/>
      <c r="AB389" s="25" t="n">
        <v>4</v>
      </c>
      <c r="AD389" s="4" t="str">
        <f aca="false">IF(AND(Z389&gt;0,AC389&gt;0),(AC389/((Z389+AA389)*10)),"")</f>
        <v/>
      </c>
      <c r="AE389" s="25" t="n">
        <v>100</v>
      </c>
      <c r="AF389" s="25" t="n">
        <f aca="false">ROUND(AE389*1.6, 0)</f>
        <v>160</v>
      </c>
      <c r="AI389" s="25" t="n">
        <v>21</v>
      </c>
      <c r="AJ389" s="25" t="n">
        <v>21</v>
      </c>
      <c r="AK389" s="25" t="n">
        <v>2.82</v>
      </c>
      <c r="AL389" s="25" t="n">
        <v>3.79</v>
      </c>
      <c r="AM389" s="5" t="n">
        <v>22</v>
      </c>
      <c r="AN389" s="1" t="str">
        <f aca="false">CONCATENATE(VLOOKUP(AO389, '[1]Voxel Sizes'!$A$2:$B$18,2,FALSE()),"x",INT(AK389*15), "x", INT(AL389*15))</f>
        <v>198x42x56</v>
      </c>
      <c r="AO389" s="25" t="n">
        <f aca="false">ROUND(15*((AJ389*10)/256),0)</f>
        <v>12</v>
      </c>
      <c r="AQ389" s="1" t="str">
        <f aca="false">CONCATENATE(VLOOKUP(AO389,Constants!$A$2:$C$16,IF(AP389&lt;&gt;"", 3, 2), FALSE()),IF(AP389&lt;&gt;"",CONCATENATE(",",VLOOKUP(AP389,$B:$AQ,42,FALSE())),""))</f>
        <v>4,4,4</v>
      </c>
      <c r="AS389" s="6"/>
      <c r="AT389" s="6"/>
      <c r="AZ389" s="1" t="s">
        <v>1528</v>
      </c>
      <c r="BA389" s="25" t="n">
        <v>30</v>
      </c>
      <c r="BB389" s="16" t="n">
        <f aca="false">IF(O389&lt;&gt;"",MAX(16,(O389-M389)+8),"")</f>
        <v>40</v>
      </c>
      <c r="BC389" s="25" t="n">
        <v>1000</v>
      </c>
      <c r="BD389" s="25" t="n">
        <v>110</v>
      </c>
      <c r="BE389" s="25" t="n">
        <f aca="false">MIN(AE389/150, 1)*30</f>
        <v>20</v>
      </c>
      <c r="BF389" s="25" t="n">
        <f aca="false">MIN(Q389/4000, 1)*20</f>
        <v>0</v>
      </c>
      <c r="BG389" s="25" t="n">
        <f aca="false">MIN(AC389/400,1)*20</f>
        <v>0</v>
      </c>
      <c r="BH389" s="4" t="n">
        <f aca="false">1-(MAX(M389-1900, 0)/750)</f>
        <v>0.926666666666667</v>
      </c>
      <c r="BI389" s="25" t="n">
        <f aca="false">((MAX($P389,1)*MIN($AM389/300,1)))*IF(J389="Wagon",50,10)</f>
        <v>3.66666666666667</v>
      </c>
      <c r="BJ389" s="1" t="n">
        <f aca="false">VLOOKUP($K389,Constants!$I:$K, 2, FALSE())</f>
        <v>1.2</v>
      </c>
      <c r="BK389" s="1" t="n">
        <f aca="false">VLOOKUP($K389,Constants!$I:$K, 3, FALSE())*IF(AND(J389="multiple_unit",AE389&lt;110),0.75,1)</f>
        <v>0.6</v>
      </c>
      <c r="BL389" s="25" t="n">
        <f aca="false">INT(POWER((([1]Constants!$G$2+$BE389+$BF389+$BG389+$BI389)*$BH389)*$BK389, 1.05))+$BD389</f>
        <v>128</v>
      </c>
      <c r="BM389" s="25" t="n">
        <f aca="false">INT(POWER(((([1]Constants!$G$1+$BE389+$BF389+$BG389+$BI389)*($BH389))*$BJ389),IF($J389="wagon",1,1.2)))+$BC389</f>
        <v>1042</v>
      </c>
      <c r="BN389" s="17" t="n">
        <f aca="false">BL389*IF($J389="wagon",62.5,781.25)</f>
        <v>8000</v>
      </c>
      <c r="BO389" s="17" t="n">
        <f aca="false">BM389*IF($J389="wagon",2.73,81.25)</f>
        <v>2844.66</v>
      </c>
      <c r="BY389" s="25" t="n">
        <v>2</v>
      </c>
      <c r="BZ389" s="25" t="n">
        <v>278</v>
      </c>
      <c r="CB389" s="25" t="s">
        <v>326</v>
      </c>
      <c r="CC389" s="25" t="s">
        <v>327</v>
      </c>
      <c r="CD389" s="25" t="str">
        <f aca="false">VLOOKUP(M389,[1]Eras!$A$2:$C$10, 2, TRUE())</f>
        <v>dsl</v>
      </c>
      <c r="CE389" s="25" t="s">
        <v>1478</v>
      </c>
      <c r="CF389" s="25" t="str">
        <f aca="false">CONCATENATE(CD389,"_",CE389)</f>
        <v>dsl_Carriage</v>
      </c>
      <c r="CG389" s="25"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25" t="s">
        <v>1529</v>
      </c>
      <c r="CM389" s="25" t="str">
        <f aca="false">IF(CA389="buffet","{YELLOW}25% long distance bonus for consist{}",IF(CD389="BRAKE","{YELLOW}Speed bonus for slow wagons{}",IF(BZ389&gt;190,CONCATENATE("{YELLOW}",INT((BZ389-185)/1.85),"% bonus for long distance travel{}"),IF(AND(BZ389&lt;180,BZ389&lt;&gt;0),CONCATENATE("{YELLOW}",INT((185-BZ389)/1.85),"% penalty for long distance travel{}"),""))))</f>
        <v>{YELLOW}50% bonus for long distance travel{}</v>
      </c>
      <c r="CN389" s="25" t="str">
        <f aca="false">_xlfn.CONCAT(CI389,IF(CI389 &lt;&gt; "", " ", ""),CJ389,IF(OR(CJ389&lt;&gt;"", CI389&lt;&gt;""), "{}",""), CH389, CM389,"{SILVER}", CK389)</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0" customFormat="false" ht="14.25" hidden="false" customHeight="false" outlineLevel="0" collapsed="false">
      <c r="A390" s="1" t="s">
        <v>1530</v>
      </c>
      <c r="B390" s="15" t="s">
        <v>1531</v>
      </c>
      <c r="C390" s="1" t="n">
        <v>23</v>
      </c>
      <c r="D390" s="1" t="n">
        <v>22</v>
      </c>
      <c r="E390" s="1" t="n">
        <v>1017</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1" t="s">
        <v>198</v>
      </c>
      <c r="J390" s="1" t="s">
        <v>1476</v>
      </c>
      <c r="K390" s="1" t="s">
        <v>1477</v>
      </c>
      <c r="L390" s="1" t="s">
        <v>149</v>
      </c>
      <c r="M390" s="1" t="n">
        <v>1957</v>
      </c>
      <c r="N390" s="1" t="n">
        <v>1963</v>
      </c>
      <c r="O390" s="1" t="n">
        <v>1974</v>
      </c>
      <c r="Z390" s="1" t="n">
        <v>35</v>
      </c>
      <c r="AB390" s="1" t="n">
        <v>4</v>
      </c>
      <c r="AD390" s="4" t="str">
        <f aca="false">IF(AND(Z390&gt;0,AC390&gt;0),(AC390/((Z390+AA390)*10)),"")</f>
        <v/>
      </c>
      <c r="AE390" s="1" t="n">
        <v>100</v>
      </c>
      <c r="AF390" s="1" t="n">
        <f aca="false">ROUND(AE390*1.6, 0)</f>
        <v>160</v>
      </c>
      <c r="AI390" s="1" t="n">
        <v>19.3</v>
      </c>
      <c r="AJ390" s="1" t="n">
        <v>20</v>
      </c>
      <c r="AM390" s="5" t="n">
        <v>42</v>
      </c>
      <c r="AN390" s="1" t="str">
        <f aca="false">CONCATENATE(VLOOKUP(AO390, 'Voxel Sizes'!$A$2:$B$18,2,FALSE()),"x",INT(AK390*15), "x", INT(AL390*15))</f>
        <v>198x0x0</v>
      </c>
      <c r="AO390" s="1" t="n">
        <f aca="false">ROUND(15*((AJ390*10)/256),0)</f>
        <v>12</v>
      </c>
      <c r="AQ390" s="1" t="str">
        <f aca="false">CONCATENATE(VLOOKUP(AO390,Constants!$A$2:$C$16,IF(AP390&lt;&gt;"", 3, 2), FALSE()),IF(AP390&lt;&gt;"",CONCATENATE(",",VLOOKUP(AP390,$B:$AQ,39,FALSE())),""))</f>
        <v>4,4,4</v>
      </c>
      <c r="BA390" s="1" t="n">
        <v>30</v>
      </c>
      <c r="BB390" s="16" t="n">
        <f aca="false">IF(O390&lt;&gt;"",MAX(16,(O390-M390)+8),"")</f>
        <v>25</v>
      </c>
      <c r="BC390" s="1" t="n">
        <v>1150</v>
      </c>
      <c r="BD390" s="1" t="n">
        <v>150</v>
      </c>
      <c r="BE390" s="1" t="n">
        <f aca="false">MIN(AE390/150, 1)*30</f>
        <v>20</v>
      </c>
      <c r="BF390" s="1" t="n">
        <f aca="false">MIN(Q390/4000, 1)*20</f>
        <v>0</v>
      </c>
      <c r="BG390" s="1" t="n">
        <f aca="false">MIN(AC390/400,1)*20</f>
        <v>0</v>
      </c>
      <c r="BH390" s="4" t="n">
        <f aca="false">1-(MAX(M390-1900, 0)/750)</f>
        <v>0.924</v>
      </c>
      <c r="BI390" s="1" t="n">
        <f aca="false">((MAX($P390,1)*MIN($AM390/300,1)))*IF(J390="Wagon",50,10)</f>
        <v>7</v>
      </c>
      <c r="BJ390" s="1" t="n">
        <f aca="false">VLOOKUP($K390,Constants!$I:$K, 2, FALSE())</f>
        <v>1.2</v>
      </c>
      <c r="BK390" s="1" t="n">
        <f aca="false">VLOOKUP($K390,Constants!$I:$K, 3, FALSE())*IF(AND(J390="multiple_unit",AE390&lt;110),0.75,1)</f>
        <v>0.6</v>
      </c>
      <c r="BL390" s="1" t="n">
        <f aca="false">INT(POWER(((Constants!$G$2+$BE390+$BF390+$BG390+$BI390)*$BH390)*$BK390, 1.05))+$BD390</f>
        <v>170</v>
      </c>
      <c r="BM390" s="1" t="n">
        <f aca="false">INT(POWER((((Constants!$G$1+$BE390+$BF390+$BG390+$BI390)*($BH390))*$BJ390),IF($J390="wagon",1,1.2)))+$BC390</f>
        <v>1196</v>
      </c>
      <c r="BN390" s="17" t="n">
        <f aca="false">BL390*IF($J390="wagon",62.5,781.25)</f>
        <v>10625</v>
      </c>
      <c r="BO390" s="17" t="n">
        <f aca="false">BM390*IF($J390="wagon",2.73,81.25)</f>
        <v>3265.08</v>
      </c>
      <c r="BY390" s="1" t="n">
        <v>1</v>
      </c>
      <c r="BZ390" s="1" t="n">
        <v>185</v>
      </c>
      <c r="CA390" s="1" t="s">
        <v>960</v>
      </c>
      <c r="CB390" s="1" t="s">
        <v>326</v>
      </c>
      <c r="CC390" s="1" t="s">
        <v>327</v>
      </c>
      <c r="CD390" s="1" t="str">
        <f aca="false">VLOOKUP(M390,Eras!$A$2:$C$10, 2, TRUE())</f>
        <v>dsl</v>
      </c>
      <c r="CE390" s="1" t="s">
        <v>1478</v>
      </c>
      <c r="CF390" s="1" t="str">
        <f aca="false">CONCATENATE(CD390,"_",CE390)</f>
        <v>dsl_Carriage</v>
      </c>
      <c r="CG390" s="1"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1" t="s">
        <v>1532</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{YELLOW}25% long distance bonus for consist{}</v>
      </c>
      <c r="CN390" s="1" t="str">
        <f aca="false">_xlfn.CONCAT(CI390,IF(CI390&lt;&gt;""," ",""),CJ390,IF(OR(CJ390&lt;&gt;"",CI390&lt;&gt;""),"{}",""),CH390,CM390,"{SILVER}",CK390,IF(CL390&lt;&gt;"","{}{}",""),CL390)</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1" customFormat="false" ht="14.25" hidden="false" customHeight="false" outlineLevel="0" collapsed="false">
      <c r="A391" s="1" t="s">
        <v>1533</v>
      </c>
      <c r="B391" s="19" t="s">
        <v>1534</v>
      </c>
      <c r="C391" s="1" t="n">
        <v>1011</v>
      </c>
      <c r="D391" s="1" t="n">
        <v>18</v>
      </c>
      <c r="E391" s="1" t="n">
        <v>1018</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198</v>
      </c>
      <c r="J391" s="1" t="s">
        <v>1476</v>
      </c>
      <c r="K391" s="1" t="s">
        <v>1477</v>
      </c>
      <c r="L391" s="1" t="s">
        <v>149</v>
      </c>
      <c r="M391" s="1" t="n">
        <v>1952</v>
      </c>
      <c r="N391" s="1" t="n">
        <v>1963</v>
      </c>
      <c r="O391" s="1" t="n">
        <v>1977</v>
      </c>
      <c r="Z391" s="1" t="n">
        <v>30</v>
      </c>
      <c r="AB391" s="1" t="n">
        <v>6</v>
      </c>
      <c r="AD391" s="4" t="str">
        <f aca="false">IF(AND(Z391&gt;0,AC391&gt;0),(AC391/((Z391+AA391)*10)),"")</f>
        <v/>
      </c>
      <c r="AE391" s="1" t="n">
        <v>100</v>
      </c>
      <c r="AF391" s="1" t="n">
        <f aca="false">ROUND(AE391*1.6, 0)</f>
        <v>160</v>
      </c>
      <c r="AI391" s="1" t="n">
        <v>19.3</v>
      </c>
      <c r="AJ391" s="1" t="n">
        <v>20</v>
      </c>
      <c r="AM391" s="5" t="n">
        <v>66</v>
      </c>
      <c r="AN391" s="16" t="s">
        <v>741</v>
      </c>
      <c r="AO391" s="16" t="n">
        <f aca="false">ROUND(15*((AJ391*10)/256),0)</f>
        <v>12</v>
      </c>
      <c r="AQ391" s="16" t="s">
        <v>1535</v>
      </c>
      <c r="BA391" s="1" t="n">
        <v>30</v>
      </c>
      <c r="BB391" s="16" t="n">
        <f aca="false">IF(O391&lt;&gt;"",MAX(16,(O391-M391)+8),"")</f>
        <v>33</v>
      </c>
      <c r="BC391" s="1" t="n">
        <v>76</v>
      </c>
      <c r="BD391" s="1" t="n">
        <f aca="false">23*3</f>
        <v>69</v>
      </c>
      <c r="BE391" s="20" t="n">
        <f aca="false">MIN(AE391/150, 1)*30</f>
        <v>20</v>
      </c>
      <c r="BF391" s="20" t="n">
        <f aca="false">MIN(Q391/4000, 1)*20</f>
        <v>0</v>
      </c>
      <c r="BG391" s="20" t="n">
        <f aca="false">MIN(AC391/400,1)*20</f>
        <v>0</v>
      </c>
      <c r="BH391" s="21" t="n">
        <f aca="false">1-(MAX(M391-1900, 0)/750)</f>
        <v>0.930666666666667</v>
      </c>
      <c r="BI391" s="20" t="n">
        <f aca="false">((MAX($P391,1)*MIN($AM391/300,1)))*IF(J391="Wagon",50,10)</f>
        <v>11</v>
      </c>
      <c r="BJ391" s="1" t="n">
        <f aca="false">VLOOKUP($K391,Constants!$I:$K, 2, FALSE())</f>
        <v>1.2</v>
      </c>
      <c r="BK391" s="1" t="n">
        <f aca="false">VLOOKUP($K391,Constants!$I:$K, 3, FALSE())*IF(AND(J391="multiple_unit",AE391&lt;110),0.75,1)</f>
        <v>0.6</v>
      </c>
      <c r="BL391" s="1" t="n">
        <f aca="false">INT(POWER(((Constants!$G$2+$BE391+$BF391+$BG391+$BI391)*$BH391)*$BK391, 1.05))+$BD391</f>
        <v>92</v>
      </c>
      <c r="BM391" s="1" t="n">
        <f aca="false">INT(POWER((((Constants!$G$1+$BE391+$BF391+$BG391+$BI391)*($BH391))*$BJ391),IF($J391="wagon",1,1.2)))+$BC391</f>
        <v>127</v>
      </c>
      <c r="BN391" s="17" t="n">
        <f aca="false">BL391*IF($J391="wagon",62.5,781.25)</f>
        <v>5750</v>
      </c>
      <c r="BO391" s="22" t="n">
        <f aca="false">BM391*IF($J391="wagon",2.73,81.25)</f>
        <v>346.71</v>
      </c>
      <c r="BY391" s="1" t="n">
        <v>1</v>
      </c>
      <c r="BZ391" s="1" t="n">
        <v>165</v>
      </c>
      <c r="CB391" s="1" t="s">
        <v>326</v>
      </c>
      <c r="CC391" s="1" t="s">
        <v>327</v>
      </c>
      <c r="CD391" s="23" t="s">
        <v>538</v>
      </c>
      <c r="CE391" s="25" t="s">
        <v>1478</v>
      </c>
      <c r="CF391" s="23" t="str">
        <f aca="false">CONCATENATE(CD391,"_",CE391)</f>
        <v>ebr_Carriage</v>
      </c>
      <c r="CG391" s="23"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1536</v>
      </c>
      <c r="CL391" s="1" t="str">
        <f aca="false">IF($BX391="!param_no_gameplay_units","{GREEN}Included for gameplay purposes","")</f>
        <v/>
      </c>
      <c r="CM391" s="1" t="str">
        <f aca="false">IF(CA391="buffet","{YELLOW}25% long distance bonus for consist{}",IF(CB391="DANDY","{YELLOW}Faster downhill speeds for horse-drawn trains (1 required per 2 horses){}",IF(CB391="BRAKE","{YELLOW}Speed bonus for slow wagons{}",IF(CB391="NGPassengers","{YELLOW}Preserved railway bonus: passengers pay more when hauled by old locomotives{}",IF(AND(BZ391&gt;190,NOT(AND(L391="NARROW_GAUGE",CB391&lt;&gt;"PASS"))),CONCATENATE("{YELLOW}",INT((BZ391-185)/1.85),"% bonus for long distance travel{}"),IF(AND(BZ391&lt;180,BZ391&lt;&gt;0),CONCATENATE("{YELLOW}",INT((185-BZ391)/1.85),"% penalty for long distance travel{}"),""))))))</f>
        <v>{YELLOW}10% penalty for long distance travel{}</v>
      </c>
      <c r="CN391" s="1" t="str">
        <f aca="false">_xlfn.CONCAT(CI391,IF(CI391&lt;&gt;""," ",""),CJ391,IF(OR(CJ391&lt;&gt;"",CI391&lt;&gt;""),"{}",""),CH391,CM391,"{SILVER}",CK391,IF(CL391&lt;&gt;"","{}{}",""),CL391)</f>
        <v>{BLACK}Length: {GOLD}0.8 tiles{}{YELLOW}10% penalty for long distance travel{}{SILVER}BR built many suburban Mk1 carriages with no gangways, although typically only one or two would be used per train across most of the country.</v>
      </c>
    </row>
    <row r="392" customFormat="false" ht="14.25" hidden="false" customHeight="false" outlineLevel="0" collapsed="false">
      <c r="A392" s="1" t="s">
        <v>1537</v>
      </c>
      <c r="B392" s="15" t="s">
        <v>1538</v>
      </c>
      <c r="C392" s="1" t="n">
        <v>25</v>
      </c>
      <c r="E392" s="1" t="n">
        <v>1019</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198</v>
      </c>
      <c r="J392" s="1" t="s">
        <v>1476</v>
      </c>
      <c r="K392" s="1" t="s">
        <v>1477</v>
      </c>
      <c r="L392" s="1" t="s">
        <v>149</v>
      </c>
      <c r="M392" s="1" t="n">
        <v>1964</v>
      </c>
      <c r="O392" s="1" t="n">
        <v>2010</v>
      </c>
      <c r="Z392" s="1" t="n">
        <v>40</v>
      </c>
      <c r="AB392" s="1" t="n">
        <v>5</v>
      </c>
      <c r="AD392" s="4" t="str">
        <f aca="false">IF(AND(Z392&gt;0,AC392&gt;0),(AC392/((Z392+AA392)*10)),"")</f>
        <v/>
      </c>
      <c r="AE392" s="1" t="n">
        <v>110</v>
      </c>
      <c r="AF392" s="1" t="n">
        <f aca="false">ROUND(AE392*1.6, 0)</f>
        <v>176</v>
      </c>
      <c r="AI392" s="1" t="n">
        <v>19.66</v>
      </c>
      <c r="AJ392" s="1" t="n">
        <v>19.66</v>
      </c>
      <c r="AK392" s="1" t="n">
        <v>2.83</v>
      </c>
      <c r="AL392" s="1" t="n">
        <v>3.79</v>
      </c>
      <c r="AM392" s="5" t="n">
        <v>63</v>
      </c>
      <c r="AN392" s="1" t="str">
        <f aca="false">CONCATENATE(VLOOKUP(AO392, 'Voxel Sizes'!$A$2:$B$18,2,FALSE()),"x",INT(AK392*15), "x", INT(AL392*15))</f>
        <v>198x42x56</v>
      </c>
      <c r="AO392" s="1" t="n">
        <f aca="false">ROUND(15*((AJ392*10)/256),0)</f>
        <v>12</v>
      </c>
      <c r="AQ392" s="1" t="str">
        <f aca="false">CONCATENATE(VLOOKUP(AO392,Constants!$A$2:$C$16,IF(AP392&lt;&gt;"", 3, 2), FALSE()),IF(AP392&lt;&gt;"",CONCATENATE(",",VLOOKUP(AP392,$B:$AQ,39,FALSE())),""))</f>
        <v>4,4,4</v>
      </c>
      <c r="BA392" s="1" t="n">
        <v>30</v>
      </c>
      <c r="BB392" s="16" t="n">
        <f aca="false">IF(O392&lt;&gt;"",MAX(16,(O392-M392)+8),"")</f>
        <v>54</v>
      </c>
      <c r="BC392" s="1" t="n">
        <v>79</v>
      </c>
      <c r="BD392" s="1" t="n">
        <f aca="false">25*3</f>
        <v>75</v>
      </c>
      <c r="BE392" s="1" t="n">
        <f aca="false">MIN(AE392/150, 1)*30</f>
        <v>22</v>
      </c>
      <c r="BF392" s="1" t="n">
        <f aca="false">MIN(Q392/4000, 1)*20</f>
        <v>0</v>
      </c>
      <c r="BG392" s="1" t="n">
        <f aca="false">MIN(AC392/400,1)*20</f>
        <v>0</v>
      </c>
      <c r="BH392" s="4" t="n">
        <f aca="false">1-(MAX(M392-1900, 0)/750)</f>
        <v>0.914666666666667</v>
      </c>
      <c r="BI392" s="1" t="n">
        <f aca="false">((MAX($P392,1)*MIN($AM392/300,1)))*IF(J392="Wagon",50,10)</f>
        <v>10.5</v>
      </c>
      <c r="BJ392" s="1" t="n">
        <f aca="false">VLOOKUP($K392,Constants!$I:$K, 2, FALSE())</f>
        <v>1.2</v>
      </c>
      <c r="BK392" s="1" t="n">
        <f aca="false">VLOOKUP($K392,Constants!$I:$K, 3, FALSE())*IF(AND(J392="multiple_unit",AE392&lt;110),0.75,1)</f>
        <v>0.6</v>
      </c>
      <c r="BL392" s="1" t="n">
        <f aca="false">INT(POWER(((Constants!$G$2+$BE392+$BF392+$BG392+$BI392)*$BH392)*$BK392, 1.05))+$BD392</f>
        <v>98</v>
      </c>
      <c r="BM392" s="1" t="n">
        <f aca="false">INT(POWER((((Constants!$G$1+$BE392+$BF392+$BG392+$BI392)*($BH392))*$BJ392),IF($J392="wagon",1,1.2)))+$BC392</f>
        <v>131</v>
      </c>
      <c r="BN392" s="17" t="n">
        <f aca="false">BL392*IF($J392="wagon",62.5,781.25)</f>
        <v>6125</v>
      </c>
      <c r="BO392" s="17" t="n">
        <f aca="false">BM392*IF($J392="wagon",2.73,81.25)</f>
        <v>357.63</v>
      </c>
      <c r="BY392" s="1" t="n">
        <v>1</v>
      </c>
      <c r="BZ392" s="1" t="n">
        <v>185</v>
      </c>
      <c r="CB392" s="1" t="s">
        <v>326</v>
      </c>
      <c r="CC392" s="1" t="s">
        <v>327</v>
      </c>
      <c r="CD392" s="1" t="str">
        <f aca="false">VLOOKUP(M392,Eras!$A$2:$C$10, 2, TRUE())</f>
        <v>dsl</v>
      </c>
      <c r="CE392" s="1" t="s">
        <v>1478</v>
      </c>
      <c r="CF392" s="1" t="str">
        <f aca="false">CONCATENATE(CD392,"_",CE392)</f>
        <v>dsl_Carriage</v>
      </c>
      <c r="CG392" s="1"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1539</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
      </c>
      <c r="CN392" s="1" t="str">
        <f aca="false">_xlfn.CONCAT(CI392,IF(CI392&lt;&gt;""," ",""),CJ392,IF(OR(CJ392&lt;&gt;"",CI392&lt;&gt;""),"{}",""),CH392,CM392,"{SILVER}",CK392,IF(CL392&lt;&gt;"","{}{}",""),CL392)</f>
        <v>{BLACK}Length: {GOLD}0.8 tiles{}{SILVER}The Mk2 carriage is the second BR carriage design. It was built to be stronger than the Mk1, giving better corrosion resistance and being safer for passengers in an accident.</v>
      </c>
    </row>
    <row r="393" customFormat="false" ht="14.25" hidden="false" customHeight="false" outlineLevel="0" collapsed="false">
      <c r="A393" s="1" t="s">
        <v>1540</v>
      </c>
      <c r="B393" s="15" t="s">
        <v>1541</v>
      </c>
      <c r="C393" s="1" t="n">
        <v>26</v>
      </c>
      <c r="D393" s="1" t="n">
        <v>25</v>
      </c>
      <c r="E393" s="1" t="n">
        <v>1020</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198</v>
      </c>
      <c r="J393" s="1" t="s">
        <v>1476</v>
      </c>
      <c r="K393" s="1" t="s">
        <v>1477</v>
      </c>
      <c r="L393" s="1" t="s">
        <v>149</v>
      </c>
      <c r="M393" s="1" t="n">
        <v>1964</v>
      </c>
      <c r="O393" s="1" t="n">
        <v>2010</v>
      </c>
      <c r="Z393" s="1" t="n">
        <v>40</v>
      </c>
      <c r="AB393" s="1" t="n">
        <v>5</v>
      </c>
      <c r="AD393" s="4" t="str">
        <f aca="false">IF(AND(Z393&gt;0,AC393&gt;0),(AC393/((Z393+AA393)*10)),"")</f>
        <v/>
      </c>
      <c r="AE393" s="1" t="n">
        <v>110</v>
      </c>
      <c r="AF393" s="1" t="n">
        <f aca="false">ROUND(AE393*1.6, 0)</f>
        <v>176</v>
      </c>
      <c r="AI393" s="1" t="n">
        <v>19.66</v>
      </c>
      <c r="AJ393" s="1" t="n">
        <v>19.66</v>
      </c>
      <c r="AK393" s="1" t="n">
        <v>2.83</v>
      </c>
      <c r="AL393" s="1" t="n">
        <v>3.79</v>
      </c>
      <c r="AM393" s="5" t="n">
        <v>42</v>
      </c>
      <c r="AN393" s="1" t="str">
        <f aca="false">CONCATENATE(VLOOKUP(AO393, 'Voxel Sizes'!$A$2:$B$18,2,FALSE()),"x",INT(AK393*15), "x", INT(AL393*15))</f>
        <v>198x42x56</v>
      </c>
      <c r="AO393" s="1" t="n">
        <f aca="false">ROUND(15*((AJ393*10)/256),0)</f>
        <v>12</v>
      </c>
      <c r="AQ393" s="1" t="str">
        <f aca="false">CONCATENATE(VLOOKUP(AO393,Constants!$A$2:$C$16,IF(AP393&lt;&gt;"", 3, 2), FALSE()),IF(AP393&lt;&gt;"",CONCATENATE(",",VLOOKUP(AP393,$B:$AQ,39,FALSE())),""))</f>
        <v>4,4,4</v>
      </c>
      <c r="BA393" s="1" t="n">
        <v>30</v>
      </c>
      <c r="BB393" s="16" t="n">
        <f aca="false">IF(O393&lt;&gt;"",MAX(16,(O393-M393)+8),"")</f>
        <v>54</v>
      </c>
      <c r="BC393" s="1" t="n">
        <v>135</v>
      </c>
      <c r="BD393" s="1" t="n">
        <v>105</v>
      </c>
      <c r="BE393" s="1" t="n">
        <f aca="false">MIN(AE393/150, 1)*30</f>
        <v>22</v>
      </c>
      <c r="BF393" s="1" t="n">
        <f aca="false">MIN(Q393/4000, 1)*20</f>
        <v>0</v>
      </c>
      <c r="BG393" s="1" t="n">
        <f aca="false">MIN(AC393/400,1)*20</f>
        <v>0</v>
      </c>
      <c r="BH393" s="4" t="n">
        <f aca="false">1-(MAX(M393-1900, 0)/750)</f>
        <v>0.914666666666667</v>
      </c>
      <c r="BI393" s="1" t="n">
        <f aca="false">((MAX($P393,1)*MIN($AM393/300,1)))*IF(J393="Wagon",50,10)</f>
        <v>7</v>
      </c>
      <c r="BJ393" s="1" t="n">
        <f aca="false">VLOOKUP($K393,Constants!$I:$K, 2, FALSE())</f>
        <v>1.2</v>
      </c>
      <c r="BK393" s="1" t="n">
        <f aca="false">VLOOKUP($K393,Constants!$I:$K, 3, FALSE())*IF(AND(J393="multiple_unit",AE393&lt;110),0.75,1)</f>
        <v>0.6</v>
      </c>
      <c r="BL393" s="1" t="n">
        <f aca="false">INT(POWER(((Constants!$G$2+$BE393+$BF393+$BG393+$BI393)*$BH393)*$BK393, 1.05))+$BD393</f>
        <v>126</v>
      </c>
      <c r="BM393" s="1" t="n">
        <f aca="false">INT(POWER((((Constants!$G$1+$BE393+$BF393+$BG393+$BI393)*($BH393))*$BJ393),IF($J393="wagon",1,1.2)))+$BC393</f>
        <v>183</v>
      </c>
      <c r="BN393" s="17" t="n">
        <f aca="false">BL393*IF($J393="wagon",62.5,781.25)</f>
        <v>7875</v>
      </c>
      <c r="BO393" s="17" t="n">
        <f aca="false">BM393*IF($J393="wagon",2.73,81.25)</f>
        <v>499.59</v>
      </c>
      <c r="BY393" s="1" t="n">
        <v>1</v>
      </c>
      <c r="BZ393" s="1" t="n">
        <v>222</v>
      </c>
      <c r="CA393" s="1" t="s">
        <v>1515</v>
      </c>
      <c r="CB393" s="1" t="s">
        <v>326</v>
      </c>
      <c r="CC393" s="1" t="s">
        <v>327</v>
      </c>
      <c r="CD393" s="1" t="str">
        <f aca="false">VLOOKUP(M393,Eras!$A$2:$C$10, 2, TRUE())</f>
        <v>dsl</v>
      </c>
      <c r="CE393" s="1" t="s">
        <v>1478</v>
      </c>
      <c r="CF393" s="1" t="str">
        <f aca="false">CONCATENATE(CD393,"_",CE393)</f>
        <v>dsl_Carriage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1542</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{YELLOW}20% bonus for long distance travel{}</v>
      </c>
      <c r="CN393" s="1" t="str">
        <f aca="false">_xlfn.CONCAT(CI393,IF(CI393&lt;&gt;""," ",""),CJ393,IF(OR(CJ393&lt;&gt;"",CI393&lt;&gt;""),"{}",""),CH393,CM393,"{SILVER}",CK393,IF(CL393&lt;&gt;"","{}{}",""),CL393)</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394" customFormat="false" ht="14.25" hidden="false" customHeight="false" outlineLevel="0" collapsed="false">
      <c r="A394" s="1" t="s">
        <v>1543</v>
      </c>
      <c r="B394" s="15" t="s">
        <v>1544</v>
      </c>
      <c r="C394" s="1" t="n">
        <v>27</v>
      </c>
      <c r="D394" s="1" t="n">
        <v>25</v>
      </c>
      <c r="E394" s="1" t="n">
        <v>1021</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198</v>
      </c>
      <c r="J394" s="1" t="s">
        <v>1476</v>
      </c>
      <c r="K394" s="1" t="s">
        <v>1477</v>
      </c>
      <c r="L394" s="1" t="s">
        <v>149</v>
      </c>
      <c r="M394" s="1" t="n">
        <v>1964</v>
      </c>
      <c r="O394" s="1" t="n">
        <v>2010</v>
      </c>
      <c r="Z394" s="1" t="n">
        <v>40</v>
      </c>
      <c r="AB394" s="1" t="n">
        <v>4</v>
      </c>
      <c r="AD394" s="4" t="str">
        <f aca="false">IF(AND(Z394&gt;0,AC394&gt;0),(AC394/((Z394+AA394)*10)),"")</f>
        <v/>
      </c>
      <c r="AE394" s="1" t="n">
        <v>110</v>
      </c>
      <c r="AF394" s="1" t="n">
        <f aca="false">ROUND(AE394*1.6, 0)</f>
        <v>176</v>
      </c>
      <c r="AI394" s="1" t="n">
        <v>19.66</v>
      </c>
      <c r="AJ394" s="1" t="n">
        <v>19.66</v>
      </c>
      <c r="AK394" s="1" t="n">
        <v>2.83</v>
      </c>
      <c r="AL394" s="1" t="n">
        <v>3.79</v>
      </c>
      <c r="AM394" s="5" t="n">
        <v>42</v>
      </c>
      <c r="AN394" s="1" t="str">
        <f aca="false">CONCATENATE(VLOOKUP(AO394, 'Voxel Sizes'!$A$2:$B$18,2,FALSE()),"x",INT(AK394*15), "x", INT(AL394*15))</f>
        <v>198x42x56</v>
      </c>
      <c r="AO394" s="1" t="n">
        <f aca="false">ROUND(15*((AJ394*10)/256),0)</f>
        <v>12</v>
      </c>
      <c r="AQ394" s="1" t="str">
        <f aca="false">CONCATENATE(VLOOKUP(AO394,Constants!$A$2:$C$16,IF(AP394&lt;&gt;"", 3, 2), FALSE()),IF(AP394&lt;&gt;"",CONCATENATE(",",VLOOKUP(AP394,$B:$AQ,39,FALSE())),""))</f>
        <v>4,4,4</v>
      </c>
      <c r="BA394" s="1" t="n">
        <v>30</v>
      </c>
      <c r="BB394" s="16" t="n">
        <f aca="false">IF(O394&lt;&gt;"",MAX(16,(O394-M394)+8),"")</f>
        <v>54</v>
      </c>
      <c r="BC394" s="1" t="n">
        <v>135</v>
      </c>
      <c r="BD394" s="1" t="n">
        <v>107</v>
      </c>
      <c r="BE394" s="1" t="n">
        <f aca="false">MIN(AE394/150, 1)*30</f>
        <v>22</v>
      </c>
      <c r="BF394" s="1" t="n">
        <f aca="false">MIN(Q394/4000, 1)*20</f>
        <v>0</v>
      </c>
      <c r="BG394" s="1" t="n">
        <f aca="false">MIN(AC394/400,1)*20</f>
        <v>0</v>
      </c>
      <c r="BH394" s="4" t="n">
        <f aca="false">1-(MAX(M394-1900, 0)/750)</f>
        <v>0.914666666666667</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128</v>
      </c>
      <c r="BM394" s="1" t="n">
        <f aca="false">INT(POWER((((Constants!$G$1+$BE394+$BF394+$BG394+$BI394)*($BH394))*$BJ394),IF($J394="wagon",1,1.2)))+$BC394</f>
        <v>183</v>
      </c>
      <c r="BN394" s="17" t="n">
        <f aca="false">BL394*IF($J394="wagon",62.5,781.25)</f>
        <v>8000</v>
      </c>
      <c r="BO394" s="17" t="n">
        <f aca="false">BM394*IF($J394="wagon",2.73,81.25)</f>
        <v>499.59</v>
      </c>
      <c r="BY394" s="1" t="n">
        <v>1</v>
      </c>
      <c r="BZ394" s="1" t="n">
        <v>232</v>
      </c>
      <c r="CA394" s="1" t="s">
        <v>1515</v>
      </c>
      <c r="CB394" s="1" t="s">
        <v>326</v>
      </c>
      <c r="CC394" s="1" t="s">
        <v>327</v>
      </c>
      <c r="CD394" s="1" t="str">
        <f aca="false">VLOOKUP(M394,Eras!$A$2:$C$10, 2, TRUE())</f>
        <v>dsl</v>
      </c>
      <c r="CE394" s="1" t="s">
        <v>1478</v>
      </c>
      <c r="CF394" s="1" t="str">
        <f aca="false">CONCATENATE(CD394,"_",CE394)</f>
        <v>dsl_Carriage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1545</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{YELLOW}25% bonus for long distance travel{}</v>
      </c>
      <c r="CN394" s="1" t="str">
        <f aca="false">_xlfn.CONCAT(CI394,IF(CI394&lt;&gt;""," ",""),CJ394,IF(OR(CJ394&lt;&gt;"",CI394&lt;&gt;""),"{}",""),CH394,CM394,"{SILVER}",CK394,IF(CL394&lt;&gt;"","{}{}",""),CL394)</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395" customFormat="false" ht="14.25" hidden="false" customHeight="false" outlineLevel="0" collapsed="false">
      <c r="A395" s="1" t="s">
        <v>1546</v>
      </c>
      <c r="B395" s="19" t="s">
        <v>1547</v>
      </c>
      <c r="C395" s="1" t="n">
        <v>1012</v>
      </c>
      <c r="E395" s="1" t="n">
        <v>1022</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198</v>
      </c>
      <c r="J395" s="1" t="s">
        <v>1476</v>
      </c>
      <c r="K395" s="1" t="s">
        <v>1477</v>
      </c>
      <c r="L395" s="1" t="s">
        <v>149</v>
      </c>
      <c r="M395" s="1" t="n">
        <v>1973</v>
      </c>
      <c r="Z395" s="1" t="n">
        <v>40</v>
      </c>
      <c r="AB395" s="1" t="n">
        <v>5</v>
      </c>
      <c r="AD395" s="4" t="str">
        <f aca="false">IF(AND(Z395&gt;0,AC395&gt;0),(AC395/((Z395+AA395)*10)),"")</f>
        <v/>
      </c>
      <c r="AE395" s="1" t="n">
        <v>110</v>
      </c>
      <c r="AF395" s="1" t="n">
        <f aca="false">ROUND(AE395*1.6, 0)</f>
        <v>176</v>
      </c>
      <c r="AI395" s="1" t="n">
        <v>19.66</v>
      </c>
      <c r="AJ395" s="1" t="n">
        <v>19.66</v>
      </c>
      <c r="AM395" s="5" t="n">
        <v>63</v>
      </c>
      <c r="AN395" s="16" t="s">
        <v>741</v>
      </c>
      <c r="AO395" s="16" t="n">
        <f aca="false">ROUND(15*((AJ395*10)/256),0)</f>
        <v>12</v>
      </c>
      <c r="AQ395" s="16" t="s">
        <v>1535</v>
      </c>
      <c r="BA395" s="1" t="n">
        <v>30</v>
      </c>
      <c r="BB395" s="16" t="str">
        <f aca="false">IF(O395&lt;&gt;"",MAX(16,(O395-M395)+8),"")</f>
        <v/>
      </c>
      <c r="BC395" s="1" t="n">
        <v>79</v>
      </c>
      <c r="BD395" s="1" t="n">
        <f aca="false">25*3</f>
        <v>75</v>
      </c>
      <c r="BE395" s="20" t="n">
        <f aca="false">MIN(AE395/150, 1)*30</f>
        <v>22</v>
      </c>
      <c r="BF395" s="20" t="n">
        <f aca="false">MIN(Q395/4000, 1)*20</f>
        <v>0</v>
      </c>
      <c r="BG395" s="20" t="n">
        <f aca="false">MIN(AC395/400,1)*20</f>
        <v>0</v>
      </c>
      <c r="BH395" s="21" t="n">
        <f aca="false">1-(MAX(M395-1900, 0)/750)</f>
        <v>0.902666666666667</v>
      </c>
      <c r="BI395" s="20" t="n">
        <f aca="false">((MAX($P395,1)*MIN($AM395/300,1)))*IF(J395="Wagon",50,10)</f>
        <v>10.5</v>
      </c>
      <c r="BJ395" s="1" t="n">
        <f aca="false">VLOOKUP($K395,Constants!$I:$K, 2, FALSE())</f>
        <v>1.2</v>
      </c>
      <c r="BK395" s="1" t="n">
        <f aca="false">VLOOKUP($K395,Constants!$I:$K, 3, FALSE())*IF(AND(J395="multiple_unit",AE395&lt;110),0.75,1)</f>
        <v>0.6</v>
      </c>
      <c r="BL395" s="1" t="n">
        <f aca="false">INT(POWER(((Constants!$G$2+$BE395+$BF395+$BG395+$BI395)*$BH395)*$BK395, 1.05))+$BD395</f>
        <v>98</v>
      </c>
      <c r="BM395" s="1" t="n">
        <f aca="false">INT(POWER((((Constants!$G$1+$BE395+$BF395+$BG395+$BI395)*($BH395))*$BJ395),IF($J395="wagon",1,1.2)))+$BC395</f>
        <v>130</v>
      </c>
      <c r="BN395" s="17" t="n">
        <f aca="false">BL395*IF($J395="wagon",62.5,781.25)</f>
        <v>6125</v>
      </c>
      <c r="BO395" s="22" t="n">
        <f aca="false">BM395*IF($J395="wagon",2.73,81.25)</f>
        <v>354.9</v>
      </c>
      <c r="BY395" s="1" t="n">
        <v>1</v>
      </c>
      <c r="CB395" s="1" t="s">
        <v>326</v>
      </c>
      <c r="CC395" s="1" t="s">
        <v>327</v>
      </c>
      <c r="CD395" s="23" t="s">
        <v>605</v>
      </c>
      <c r="CE395" s="25" t="s">
        <v>1478</v>
      </c>
      <c r="CF395" s="23" t="str">
        <f aca="false">CONCATENATE(CD395,"_",CE395)</f>
        <v>lbr_Carriage</v>
      </c>
      <c r="CG395" s="23"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1548</v>
      </c>
      <c r="CL395" s="1" t="str">
        <f aca="false">IF($BX395="!param_no_gameplay_units","{GREEN}Included for gameplay purposes","")</f>
        <v/>
      </c>
      <c r="CM395" s="1" t="str">
        <f aca="false">IF(CA395="buffet","{YELLOW}25% long distance bonus for consist{}",IF(CB395="DANDY","{YELLOW}Faster downhill speeds for horse-drawn trains (1 required per 2 horses){}",IF(CB395="BRAKE","{YELLOW}Speed bonus for slow wagons{}",IF(CB395="NGPassengers","{YELLOW}Preserved railway bonus: passengers pay more when hauled by old locomotives{}",IF(AND(BZ395&gt;190,NOT(AND(L395="NARROW_GAUGE",CB395&lt;&gt;"PASS"))),CONCATENATE("{YELLOW}",INT((BZ395-185)/1.85),"% bonus for long distance travel{}"),IF(AND(BZ395&lt;180,BZ395&lt;&gt;0),CONCATENATE("{YELLOW}",INT((185-BZ395)/1.85),"% penalty for long distance travel{}"),""))))))</f>
        <v/>
      </c>
      <c r="CN395" s="1" t="str">
        <f aca="false">_xlfn.CONCAT(CI395,IF(CI395&lt;&gt;""," ",""),CJ395,IF(OR(CJ395&lt;&gt;"",CI395&lt;&gt;""),"{}",""),CH395,CM395,"{SILVER}",CK395,IF(CL395&lt;&gt;"","{}{}",""),CL395)</f>
        <v>{BLACK}Length: {GOLD}0.8 tiles{}{SILVER}The Mark 2F was the final development of the Mark 2 carriage, introducing many features which would be used on the Mark 3 Intercity carriages.</v>
      </c>
    </row>
    <row r="396" customFormat="false" ht="14.25" hidden="false" customHeight="false" outlineLevel="0" collapsed="false">
      <c r="A396" s="1" t="s">
        <v>1549</v>
      </c>
      <c r="B396" s="19" t="s">
        <v>1550</v>
      </c>
      <c r="C396" s="1" t="n">
        <v>1013</v>
      </c>
      <c r="D396" s="1" t="n">
        <v>1012</v>
      </c>
      <c r="E396" s="1" t="n">
        <v>1023</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198</v>
      </c>
      <c r="J396" s="1" t="s">
        <v>1476</v>
      </c>
      <c r="K396" s="1" t="s">
        <v>1477</v>
      </c>
      <c r="L396" s="1" t="s">
        <v>149</v>
      </c>
      <c r="M396" s="1" t="n">
        <v>1973</v>
      </c>
      <c r="Z396" s="1" t="n">
        <v>40</v>
      </c>
      <c r="AB396" s="1" t="n">
        <v>5</v>
      </c>
      <c r="AD396" s="4" t="str">
        <f aca="false">IF(AND(Z396&gt;0,AC396&gt;0),(AC396/((Z396+AA396)*10)),"")</f>
        <v/>
      </c>
      <c r="AE396" s="1" t="n">
        <v>110</v>
      </c>
      <c r="AF396" s="1" t="n">
        <f aca="false">ROUND(AE396*1.6, 0)</f>
        <v>176</v>
      </c>
      <c r="AI396" s="1" t="n">
        <v>19.66</v>
      </c>
      <c r="AJ396" s="1" t="n">
        <v>19.66</v>
      </c>
      <c r="AM396" s="5" t="n">
        <v>42</v>
      </c>
      <c r="AN396" s="16" t="s">
        <v>741</v>
      </c>
      <c r="AO396" s="16" t="n">
        <f aca="false">ROUND(15*((AJ396*10)/256),0)</f>
        <v>12</v>
      </c>
      <c r="AQ396" s="16" t="s">
        <v>1535</v>
      </c>
      <c r="BA396" s="1" t="n">
        <v>30</v>
      </c>
      <c r="BB396" s="16" t="str">
        <f aca="false">IF(O396&lt;&gt;"",MAX(16,(O396-M396)+8),"")</f>
        <v/>
      </c>
      <c r="BC396" s="1" t="n">
        <v>135</v>
      </c>
      <c r="BD396" s="1" t="n">
        <v>105</v>
      </c>
      <c r="BE396" s="20" t="n">
        <f aca="false">MIN(AE396/150, 1)*30</f>
        <v>22</v>
      </c>
      <c r="BF396" s="20" t="n">
        <f aca="false">MIN(Q396/4000, 1)*20</f>
        <v>0</v>
      </c>
      <c r="BG396" s="20" t="n">
        <f aca="false">MIN(AC396/400,1)*20</f>
        <v>0</v>
      </c>
      <c r="BH396" s="21" t="n">
        <f aca="false">1-(MAX(M396-1900, 0)/750)</f>
        <v>0.902666666666667</v>
      </c>
      <c r="BI396" s="20" t="n">
        <f aca="false">((MAX($P396,1)*MIN($AM396/300,1)))*IF(J396="Wagon",50,10)</f>
        <v>7</v>
      </c>
      <c r="BJ396" s="1" t="n">
        <f aca="false">VLOOKUP($K396,Constants!$I:$K, 2, FALSE())</f>
        <v>1.2</v>
      </c>
      <c r="BK396" s="1" t="n">
        <f aca="false">VLOOKUP($K396,Constants!$I:$K, 3, FALSE())*IF(AND(J396="multiple_unit",AE396&lt;110),0.75,1)</f>
        <v>0.6</v>
      </c>
      <c r="BL396" s="1" t="n">
        <f aca="false">INT(POWER(((Constants!$G$2+$BE396+$BF396+$BG396+$BI396)*$BH396)*$BK396, 1.05))+$BD396</f>
        <v>126</v>
      </c>
      <c r="BM396" s="1" t="n">
        <f aca="false">INT(POWER((((Constants!$G$1+$BE396+$BF396+$BG396+$BI396)*($BH396))*$BJ396),IF($J396="wagon",1,1.2)))+$BC396</f>
        <v>182</v>
      </c>
      <c r="BN396" s="17" t="n">
        <f aca="false">BL396*IF($J396="wagon",62.5,781.25)</f>
        <v>7875</v>
      </c>
      <c r="BO396" s="22" t="n">
        <f aca="false">BM396*IF($J396="wagon",2.73,81.25)</f>
        <v>496.86</v>
      </c>
      <c r="BY396" s="1" t="n">
        <v>1</v>
      </c>
      <c r="BZ396" s="1" t="n">
        <v>222</v>
      </c>
      <c r="CB396" s="1" t="s">
        <v>326</v>
      </c>
      <c r="CC396" s="1" t="s">
        <v>327</v>
      </c>
      <c r="CD396" s="23" t="s">
        <v>605</v>
      </c>
      <c r="CE396" s="25" t="s">
        <v>1478</v>
      </c>
      <c r="CF396" s="23" t="str">
        <f aca="false">CONCATENATE(CD396,"_",CE396)</f>
        <v>lbr_Carriage</v>
      </c>
      <c r="CG396" s="23"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1551</v>
      </c>
      <c r="CL396" s="1" t="str">
        <f aca="false">IF($BX396="!param_no_gameplay_units","{GREEN}Included for gameplay purposes","")</f>
        <v/>
      </c>
      <c r="CM396" s="1" t="str">
        <f aca="false">IF(CA396="buffet","{YELLOW}25% long distance bonus for consist{}",IF(CB396="DANDY","{YELLOW}Faster downhill speeds for horse-drawn trains (1 required per 2 horses){}",IF(CB396="BRAKE","{YELLOW}Speed bonus for slow wagons{}",IF(CB396="NGPassengers","{YELLOW}Preserved railway bonus: passengers pay more when hauled by old locomotives{}",IF(AND(BZ396&gt;190,NOT(AND(L396="NARROW_GAUGE",CB396&lt;&gt;"PASS"))),CONCATENATE("{YELLOW}",INT((BZ396-185)/1.85),"% bonus for long distance travel{}"),IF(AND(BZ396&lt;180,BZ396&lt;&gt;0),CONCATENATE("{YELLOW}",INT((185-BZ396)/1.85),"% penalty for long distance travel{}"),""))))))</f>
        <v>{YELLOW}20% bonus for long distance travel{}</v>
      </c>
      <c r="CN396" s="1" t="str">
        <f aca="false">_xlfn.CONCAT(CI396,IF(CI396&lt;&gt;""," ",""),CJ396,IF(OR(CJ396&lt;&gt;"",CI396&lt;&gt;""),"{}",""),CH396,CM396,"{SILVER}",CK396,IF(CL396&lt;&gt;"","{}{}",""),CL396)</f>
        <v>{BLACK}Length: {GOLD}0.8 tiles{}{YELLOW}20% bonus for long distance travel{}{SILVER}By the point of the Mk2F, BR had abandoned corridor carriage layouts, using only open saloons even for first class.</v>
      </c>
    </row>
    <row r="397" customFormat="false" ht="14.25" hidden="false" customHeight="false" outlineLevel="0" collapsed="false">
      <c r="A397" s="1" t="s">
        <v>1552</v>
      </c>
      <c r="B397" s="19" t="s">
        <v>1553</v>
      </c>
      <c r="C397" s="1" t="n">
        <v>1014</v>
      </c>
      <c r="D397" s="1" t="n">
        <v>1012</v>
      </c>
      <c r="E397" s="1" t="n">
        <v>1024</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198</v>
      </c>
      <c r="J397" s="1" t="s">
        <v>1476</v>
      </c>
      <c r="K397" s="1" t="s">
        <v>1477</v>
      </c>
      <c r="L397" s="1" t="s">
        <v>149</v>
      </c>
      <c r="M397" s="1" t="n">
        <v>1973</v>
      </c>
      <c r="Z397" s="1" t="n">
        <v>44</v>
      </c>
      <c r="AB397" s="1" t="n">
        <v>5</v>
      </c>
      <c r="AD397" s="4" t="str">
        <f aca="false">IF(AND(Z397&gt;0,AC397&gt;0),(AC397/((Z397+AA397)*10)),"")</f>
        <v/>
      </c>
      <c r="AE397" s="1" t="n">
        <v>110</v>
      </c>
      <c r="AF397" s="1" t="n">
        <f aca="false">ROUND(AE397*1.6, 0)</f>
        <v>176</v>
      </c>
      <c r="AI397" s="1" t="n">
        <v>19.66</v>
      </c>
      <c r="AJ397" s="1" t="n">
        <v>19.66</v>
      </c>
      <c r="AM397" s="5" t="n">
        <v>24</v>
      </c>
      <c r="AN397" s="16" t="s">
        <v>741</v>
      </c>
      <c r="AO397" s="16" t="n">
        <f aca="false">ROUND(15*((AJ397*10)/256),0)</f>
        <v>12</v>
      </c>
      <c r="AQ397" s="16" t="s">
        <v>1535</v>
      </c>
      <c r="BA397" s="1" t="n">
        <v>30</v>
      </c>
      <c r="BB397" s="16" t="str">
        <f aca="false">IF(O397&lt;&gt;"",MAX(16,(O397-M397)+8),"")</f>
        <v/>
      </c>
      <c r="BC397" s="1" t="n">
        <v>1150</v>
      </c>
      <c r="BD397" s="1" t="n">
        <v>150</v>
      </c>
      <c r="BE397" s="20" t="n">
        <f aca="false">MIN(AE397/150, 1)*30</f>
        <v>22</v>
      </c>
      <c r="BF397" s="20" t="n">
        <f aca="false">MIN(Q397/4000, 1)*20</f>
        <v>0</v>
      </c>
      <c r="BG397" s="20" t="n">
        <f aca="false">MIN(AC397/400,1)*20</f>
        <v>0</v>
      </c>
      <c r="BH397" s="21" t="n">
        <f aca="false">1-(MAX(M397-1900, 0)/750)</f>
        <v>0.902666666666667</v>
      </c>
      <c r="BI397" s="20" t="n">
        <f aca="false">((MAX($P397,1)*MIN($AM397/300,1)))*IF(J397="Wagon",50,10)</f>
        <v>4</v>
      </c>
      <c r="BJ397" s="1" t="n">
        <f aca="false">VLOOKUP($K397,Constants!$I:$K, 2, FALSE())</f>
        <v>1.2</v>
      </c>
      <c r="BK397" s="1" t="n">
        <f aca="false">VLOOKUP($K397,Constants!$I:$K, 3, FALSE())*IF(AND(J397="multiple_unit",AE397&lt;110),0.75,1)</f>
        <v>0.6</v>
      </c>
      <c r="BL397" s="1" t="n">
        <f aca="false">INT(POWER(((Constants!$G$2+$BE397+$BF397+$BG397+$BI397)*$BH397)*$BK397, 1.05))+$BD397</f>
        <v>169</v>
      </c>
      <c r="BM397" s="1" t="n">
        <f aca="false">INT(POWER((((Constants!$G$1+$BE397+$BF397+$BG397+$BI397)*($BH397))*$BJ397),IF($J397="wagon",1,1.2)))+$BC397</f>
        <v>1194</v>
      </c>
      <c r="BN397" s="17" t="n">
        <f aca="false">BL397*IF($J397="wagon",62.5,781.25)</f>
        <v>10562.5</v>
      </c>
      <c r="BO397" s="22" t="n">
        <f aca="false">BM397*IF($J397="wagon",2.73,81.25)</f>
        <v>3259.62</v>
      </c>
      <c r="BY397" s="1" t="n">
        <v>1</v>
      </c>
      <c r="BZ397" s="1" t="n">
        <v>222</v>
      </c>
      <c r="CA397" s="1" t="s">
        <v>960</v>
      </c>
      <c r="CB397" s="1" t="s">
        <v>326</v>
      </c>
      <c r="CC397" s="1" t="s">
        <v>327</v>
      </c>
      <c r="CD397" s="23" t="s">
        <v>605</v>
      </c>
      <c r="CE397" s="25" t="s">
        <v>1478</v>
      </c>
      <c r="CF397" s="23" t="str">
        <f aca="false">CONCATENATE(CD397,"_",CE397)</f>
        <v>lbr_Carriage</v>
      </c>
      <c r="CG397" s="23"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1554</v>
      </c>
      <c r="CL397" s="1" t="str">
        <f aca="false">IF($BX397="!param_no_gameplay_units","{GREEN}Included for gameplay purposes","")</f>
        <v/>
      </c>
      <c r="CM397" s="1" t="str">
        <f aca="false">IF(CA397="buffet","{YELLOW}25% long distance bonus for consist{}",IF(CB397="DANDY","{YELLOW}Faster downhill speeds for horse-drawn trains (1 required per 2 horses){}",IF(CB397="BRAKE","{YELLOW}Speed bonus for slow wagons{}",IF(CB397="NGPassengers","{YELLOW}Preserved railway bonus: passengers pay more when hauled by old locomotives{}",IF(AND(BZ397&gt;190,NOT(AND(L397="NARROW_GAUGE",CB397&lt;&gt;"PASS"))),CONCATENATE("{YELLOW}",INT((BZ397-185)/1.85),"% bonus for long distance travel{}"),IF(AND(BZ397&lt;180,BZ397&lt;&gt;0),CONCATENATE("{YELLOW}",INT((185-BZ397)/1.85),"% penalty for long distance travel{}"),""))))))</f>
        <v>{YELLOW}25% long distance bonus for consist{}</v>
      </c>
      <c r="CN397" s="1" t="str">
        <f aca="false">_xlfn.CONCAT(CI397,IF(CI397&lt;&gt;""," ",""),CJ397,IF(OR(CJ397&lt;&gt;"",CI397&lt;&gt;""),"{}",""),CH397,CM397,"{SILVER}",CK397,IF(CL397&lt;&gt;"","{}{}",""),CL397)</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398" customFormat="false" ht="14.25" hidden="false" customHeight="false" outlineLevel="0" collapsed="false">
      <c r="A398" s="1" t="s">
        <v>1555</v>
      </c>
      <c r="B398" s="19" t="s">
        <v>1556</v>
      </c>
      <c r="C398" s="1" t="n">
        <v>1015</v>
      </c>
      <c r="D398" s="1" t="n">
        <v>1012</v>
      </c>
      <c r="E398" s="1" t="n">
        <v>1025</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198</v>
      </c>
      <c r="J398" s="1" t="s">
        <v>1476</v>
      </c>
      <c r="K398" s="1" t="s">
        <v>1477</v>
      </c>
      <c r="L398" s="1" t="s">
        <v>149</v>
      </c>
      <c r="M398" s="1" t="n">
        <v>1973</v>
      </c>
      <c r="Z398" s="1" t="n">
        <v>40</v>
      </c>
      <c r="AB398" s="1" t="n">
        <v>5</v>
      </c>
      <c r="AD398" s="4" t="str">
        <f aca="false">IF(AND(Z398&gt;0,AC398&gt;0),(AC398/((Z398+AA398)*10)),"")</f>
        <v/>
      </c>
      <c r="AE398" s="1" t="n">
        <v>110</v>
      </c>
      <c r="AF398" s="1" t="n">
        <f aca="false">ROUND(AE398*1.6, 0)</f>
        <v>176</v>
      </c>
      <c r="AI398" s="1" t="n">
        <v>19.66</v>
      </c>
      <c r="AJ398" s="1" t="n">
        <v>19.66</v>
      </c>
      <c r="AM398" s="5" t="n">
        <v>69</v>
      </c>
      <c r="AN398" s="16" t="s">
        <v>741</v>
      </c>
      <c r="AO398" s="16" t="n">
        <f aca="false">ROUND(15*((AJ398*10)/256),0)</f>
        <v>12</v>
      </c>
      <c r="AQ398" s="16" t="s">
        <v>1535</v>
      </c>
      <c r="BA398" s="1" t="n">
        <v>30</v>
      </c>
      <c r="BB398" s="16" t="str">
        <f aca="false">IF(O398&lt;&gt;"",MAX(16,(O398-M398)+8),"")</f>
        <v/>
      </c>
      <c r="BC398" s="1" t="n">
        <v>79</v>
      </c>
      <c r="BD398" s="1" t="n">
        <f aca="false">25*3</f>
        <v>75</v>
      </c>
      <c r="BE398" s="20" t="n">
        <f aca="false">MIN(AE398/150, 1)*30</f>
        <v>22</v>
      </c>
      <c r="BF398" s="20" t="n">
        <f aca="false">MIN(Q398/4000, 1)*20</f>
        <v>0</v>
      </c>
      <c r="BG398" s="20" t="n">
        <f aca="false">MIN(AC398/400,1)*20</f>
        <v>0</v>
      </c>
      <c r="BH398" s="21" t="n">
        <f aca="false">1-(MAX(M398-1900, 0)/750)</f>
        <v>0.902666666666667</v>
      </c>
      <c r="BI398" s="20" t="n">
        <f aca="false">((MAX($P398,1)*MIN($AM398/300,1)))*IF(J398="Wagon",50,10)</f>
        <v>11.5</v>
      </c>
      <c r="BJ398" s="1" t="n">
        <f aca="false">VLOOKUP($K398,Constants!$I:$K, 2, FALSE())</f>
        <v>1.2</v>
      </c>
      <c r="BK398" s="1" t="n">
        <f aca="false">VLOOKUP($K398,Constants!$I:$K, 3, FALSE())*IF(AND(J398="multiple_unit",AE398&lt;110),0.75,1)</f>
        <v>0.6</v>
      </c>
      <c r="BL398" s="1" t="n">
        <f aca="false">INT(POWER(((Constants!$G$2+$BE398+$BF398+$BG398+$BI398)*$BH398)*$BK398, 1.05))+$BD398</f>
        <v>99</v>
      </c>
      <c r="BM398" s="1" t="n">
        <f aca="false">INT(POWER((((Constants!$G$1+$BE398+$BF398+$BG398+$BI398)*($BH398))*$BJ398),IF($J398="wagon",1,1.2)))+$BC398</f>
        <v>131</v>
      </c>
      <c r="BN398" s="17" t="n">
        <f aca="false">BL398*IF($J398="wagon",62.5,781.25)</f>
        <v>6187.5</v>
      </c>
      <c r="BO398" s="22" t="n">
        <f aca="false">BM398*IF($J398="wagon",2.73,81.25)</f>
        <v>357.63</v>
      </c>
      <c r="BX398" s="1" t="s">
        <v>1557</v>
      </c>
      <c r="BY398" s="1" t="n">
        <v>1</v>
      </c>
      <c r="CB398" s="1" t="s">
        <v>661</v>
      </c>
      <c r="CC398" s="1" t="s">
        <v>662</v>
      </c>
      <c r="CD398" s="23" t="s">
        <v>605</v>
      </c>
      <c r="CE398" s="25" t="s">
        <v>1478</v>
      </c>
      <c r="CF398" s="23" t="str">
        <f aca="false">CONCATENATE(CD398,"_",CE398)</f>
        <v>lbr_Carriage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1558</v>
      </c>
      <c r="CL398" s="1" t="str">
        <f aca="false">IF($BX398="!param_no_gameplay_units","{GREEN}Included for gameplay purposes","")</f>
        <v>{GREEN}Included for gameplay purposes</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
      </c>
      <c r="CN398" s="1" t="str">
        <f aca="false">_xlfn.CONCAT(CI398,IF(CI398&lt;&gt;""," ",""),CJ398,IF(OR(CJ398&lt;&gt;"",CI398&lt;&gt;""),"{}",""),CH398,CM398,"{SILVER}",CK398,IF(CL398&lt;&gt;"","{}{}",""),CL398)</f>
        <v>{BLACK}Length: {GOLD}0.8 tiles{}{SILVER}By the 1970s BR had ceased to build carriages with the intention of adding parcel vans to passenger services, but that hasn't stopped railfans and modellers wondering what could have been.{}{}{GREEN}Included for gameplay purposes</v>
      </c>
    </row>
    <row r="399" customFormat="false" ht="14.25" hidden="false" customHeight="false" outlineLevel="0" collapsed="false">
      <c r="A399" s="1" t="s">
        <v>1559</v>
      </c>
      <c r="B399" s="15" t="s">
        <v>1560</v>
      </c>
      <c r="C399" s="1" t="n">
        <v>29</v>
      </c>
      <c r="E399" s="1" t="n">
        <v>1026</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198</v>
      </c>
      <c r="J399" s="1" t="s">
        <v>1476</v>
      </c>
      <c r="K399" s="1" t="s">
        <v>1477</v>
      </c>
      <c r="L399" s="1" t="s">
        <v>149</v>
      </c>
      <c r="M399" s="1" t="n">
        <v>1975</v>
      </c>
      <c r="Z399" s="1" t="n">
        <v>34</v>
      </c>
      <c r="AB399" s="1" t="n">
        <v>5</v>
      </c>
      <c r="AD399" s="4" t="str">
        <f aca="false">IF(AND(Z399&gt;0,AC399&gt;0),(AC399/((Z399+AA399)*10)),"")</f>
        <v/>
      </c>
      <c r="AE399" s="1" t="n">
        <v>125</v>
      </c>
      <c r="AF399" s="1" t="n">
        <f aca="false">ROUND(AE399*1.6, 0)</f>
        <v>200</v>
      </c>
      <c r="AI399" s="1" t="n">
        <v>23</v>
      </c>
      <c r="AJ399" s="1" t="n">
        <v>23</v>
      </c>
      <c r="AK399" s="1" t="n">
        <v>2.82</v>
      </c>
      <c r="AL399" s="1" t="n">
        <v>3.79</v>
      </c>
      <c r="AM399" s="5" t="n">
        <v>72</v>
      </c>
      <c r="AN399" s="1" t="str">
        <f aca="false">CONCATENATE(VLOOKUP(AO399, 'Voxel Sizes'!$A$2:$B$18,2,FALSE()),"x",INT(AK399*15), "x", INT(AL399*15))</f>
        <v>214x42x56</v>
      </c>
      <c r="AO399" s="1" t="n">
        <f aca="false">ROUND(15*((AJ399*10)/256),0)</f>
        <v>13</v>
      </c>
      <c r="AQ399" s="1" t="str">
        <f aca="false">CONCATENATE(VLOOKUP(AO399,Constants!$A$2:$C$16,IF(AP399&lt;&gt;"", 3, 2), FALSE()),IF(AP399&lt;&gt;"",CONCATENATE(",",VLOOKUP(AP399,$B:$AQ,39,FALSE())),""))</f>
        <v>4,5,4</v>
      </c>
      <c r="BA399" s="1" t="n">
        <v>30</v>
      </c>
      <c r="BB399" s="16" t="str">
        <f aca="false">IF(O399&lt;&gt;"",MAX(16,(O399-M399)+8),"")</f>
        <v/>
      </c>
      <c r="BC399" s="1" t="n">
        <v>86</v>
      </c>
      <c r="BD399" s="1" t="n">
        <f aca="false">29*3</f>
        <v>87</v>
      </c>
      <c r="BE399" s="1" t="n">
        <f aca="false">MIN(AE399/150, 1)*30</f>
        <v>25</v>
      </c>
      <c r="BF399" s="1" t="n">
        <f aca="false">MIN(Q399/4000, 1)*20</f>
        <v>0</v>
      </c>
      <c r="BG399" s="1" t="n">
        <f aca="false">MIN(AC399/400,1)*20</f>
        <v>0</v>
      </c>
      <c r="BH399" s="4" t="n">
        <f aca="false">1-(MAX(M399-1900, 0)/750)</f>
        <v>0.9</v>
      </c>
      <c r="BI399" s="1" t="n">
        <f aca="false">((MAX($P399,1)*MIN($AM399/300,1)))*IF(J399="Wagon",50,10)</f>
        <v>12</v>
      </c>
      <c r="BJ399" s="1" t="n">
        <f aca="false">VLOOKUP($K399,Constants!$I:$K, 2, FALSE())</f>
        <v>1.2</v>
      </c>
      <c r="BK399" s="1" t="n">
        <f aca="false">VLOOKUP($K399,Constants!$I:$K, 3, FALSE())*IF(AND(J399="multiple_unit",AE399&lt;110),0.75,1)</f>
        <v>0.6</v>
      </c>
      <c r="BL399" s="1" t="n">
        <f aca="false">INT(POWER(((Constants!$G$2+$BE399+$BF399+$BG399+$BI399)*$BH399)*$BK399, 1.05))+$BD399</f>
        <v>113</v>
      </c>
      <c r="BM399" s="1" t="n">
        <f aca="false">INT(POWER((((Constants!$G$1+$BE399+$BF399+$BG399+$BI399)*($BH399))*$BJ399),IF($J399="wagon",1,1.2)))+$BC399</f>
        <v>142</v>
      </c>
      <c r="BN399" s="17" t="n">
        <f aca="false">BL399*IF($J399="wagon",62.5,781.25)</f>
        <v>7062.5</v>
      </c>
      <c r="BO399" s="17" t="n">
        <f aca="false">BM399*IF($J399="wagon",2.73,81.25)</f>
        <v>387.66</v>
      </c>
      <c r="BY399" s="1" t="n">
        <v>2</v>
      </c>
      <c r="BZ399" s="1" t="n">
        <v>205</v>
      </c>
      <c r="CB399" s="1" t="s">
        <v>326</v>
      </c>
      <c r="CC399" s="1" t="s">
        <v>327</v>
      </c>
      <c r="CD399" s="1" t="str">
        <f aca="false">VLOOKUP(M399,Eras!$A$2:$C$10, 2, TRUE())</f>
        <v>lbr</v>
      </c>
      <c r="CE399" s="1" t="s">
        <v>1478</v>
      </c>
      <c r="CF399" s="1" t="str">
        <f aca="false">CONCATENATE(CD399,"_",CE399)</f>
        <v>lbr_Carriage</v>
      </c>
      <c r="CG399" s="1" t="str">
        <f aca="false">_xlfn.CONCAT(K399, "_",L399)</f>
        <v>carriage_RAIL</v>
      </c>
      <c r="CH399" s="7" t="str">
        <f aca="false">_xlfn.CONCAT("{BLACK}Length: {GOLD}", TEXT(ROUNDUP(IF(AT399&lt;&gt;"",SUM(VALUE(_xlfn.TEXTSPLIT(AT399, ","))), SUM(VALUE(_xlfn.TEXTSPLIT(AQ399, ",")))*IF(P399, P399, 1))/16, 1), "#,##0.0"), " tiles{}")</f>
        <v>{BLACK}Length: {GOLD}0.9 tiles{}</v>
      </c>
      <c r="CI399" s="1" t="n">
        <f aca="false">VLOOKUP($CG399, Constants!$M:$N, 2, FALSE())</f>
        <v>0</v>
      </c>
      <c r="CJ399" s="1" t="str">
        <f aca="false">IF(P399&gt;1,_xlfn.CONCAT("{BLACK}Cars: {GOLD}", P399),"")</f>
        <v/>
      </c>
      <c r="CK399" s="1" t="s">
        <v>1561</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{YELLOW}10% bonus for long distance travel{}</v>
      </c>
      <c r="CN399" s="1" t="str">
        <f aca="false">_xlfn.CONCAT(CI399,IF(CI399&lt;&gt;""," ",""),CJ399,IF(OR(CJ399&lt;&gt;"",CI399&lt;&gt;""),"{}",""),CH399,CM399,"{SILVER}",CK399,IF(CL399&lt;&gt;"","{}{}",""),CL399)</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0" customFormat="false" ht="14.25" hidden="false" customHeight="false" outlineLevel="0" collapsed="false">
      <c r="A400" s="1" t="s">
        <v>1562</v>
      </c>
      <c r="B400" s="15" t="s">
        <v>1563</v>
      </c>
      <c r="C400" s="1" t="n">
        <v>30</v>
      </c>
      <c r="D400" s="1" t="n">
        <v>29</v>
      </c>
      <c r="E400" s="1" t="n">
        <v>1027</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198</v>
      </c>
      <c r="J400" s="1" t="s">
        <v>1476</v>
      </c>
      <c r="K400" s="1" t="s">
        <v>1477</v>
      </c>
      <c r="L400" s="1" t="s">
        <v>149</v>
      </c>
      <c r="M400" s="1" t="n">
        <v>1975</v>
      </c>
      <c r="Z400" s="1" t="n">
        <v>34</v>
      </c>
      <c r="AB400" s="1" t="n">
        <v>4</v>
      </c>
      <c r="AD400" s="4" t="str">
        <f aca="false">IF(AND(Z400&gt;0,AC400&gt;0),(AC400/((Z400+AA400)*10)),"")</f>
        <v/>
      </c>
      <c r="AE400" s="1" t="n">
        <v>125</v>
      </c>
      <c r="AF400" s="1" t="n">
        <f aca="false">ROUND(AE400*1.6, 0)</f>
        <v>200</v>
      </c>
      <c r="AI400" s="1" t="n">
        <v>23</v>
      </c>
      <c r="AJ400" s="1" t="n">
        <v>23</v>
      </c>
      <c r="AK400" s="1" t="n">
        <v>2.82</v>
      </c>
      <c r="AL400" s="1" t="n">
        <v>3.79</v>
      </c>
      <c r="AM400" s="5" t="n">
        <v>48</v>
      </c>
      <c r="AN400" s="1" t="str">
        <f aca="false">CONCATENATE(VLOOKUP(AO400, 'Voxel Sizes'!$A$2:$B$18,2,FALSE()),"x",INT(AK400*15), "x", INT(AL400*15))</f>
        <v>214x42x56</v>
      </c>
      <c r="AO400" s="1" t="n">
        <f aca="false">ROUND(15*((AJ400*10)/256),0)</f>
        <v>13</v>
      </c>
      <c r="AQ400" s="1" t="str">
        <f aca="false">CONCATENATE(VLOOKUP(AO400,Constants!$A$2:$C$16,IF(AP400&lt;&gt;"", 3, 2), FALSE()),IF(AP400&lt;&gt;"",CONCATENATE(",",VLOOKUP(AP400,$B:$AQ,39,FALSE())),""))</f>
        <v>4,5,4</v>
      </c>
      <c r="BA400" s="1" t="n">
        <v>30</v>
      </c>
      <c r="BB400" s="16" t="str">
        <f aca="false">IF(O400&lt;&gt;"",MAX(16,(O400-M400)+8),"")</f>
        <v/>
      </c>
      <c r="BC400" s="1" t="n">
        <v>136</v>
      </c>
      <c r="BD400" s="1" t="n">
        <v>117</v>
      </c>
      <c r="BE400" s="1" t="n">
        <f aca="false">MIN(AE400/150, 1)*30</f>
        <v>25</v>
      </c>
      <c r="BF400" s="1" t="n">
        <f aca="false">MIN(Q400/4000, 1)*20</f>
        <v>0</v>
      </c>
      <c r="BG400" s="1" t="n">
        <f aca="false">MIN(AC400/400,1)*20</f>
        <v>0</v>
      </c>
      <c r="BH400" s="4" t="n">
        <f aca="false">1-(MAX(M400-1900, 0)/750)</f>
        <v>0.9</v>
      </c>
      <c r="BI400" s="1" t="n">
        <f aca="false">((MAX($P400,1)*MIN($AM400/300,1)))*IF(J400="Wagon",50,10)</f>
        <v>8</v>
      </c>
      <c r="BJ400" s="1" t="n">
        <f aca="false">VLOOKUP($K400,Constants!$I:$K, 2, FALSE())</f>
        <v>1.2</v>
      </c>
      <c r="BK400" s="1" t="n">
        <f aca="false">VLOOKUP($K400,Constants!$I:$K, 3, FALSE())*IF(AND(J400="multiple_unit",AE400&lt;110),0.75,1)</f>
        <v>0.6</v>
      </c>
      <c r="BL400" s="1" t="n">
        <f aca="false">INT(POWER(((Constants!$G$2+$BE400+$BF400+$BG400+$BI400)*$BH400)*$BK400, 1.05))+$BD400</f>
        <v>140</v>
      </c>
      <c r="BM400" s="1" t="n">
        <f aca="false">INT(POWER((((Constants!$G$1+$BE400+$BF400+$BG400+$BI400)*($BH400))*$BJ400),IF($J400="wagon",1,1.2)))+$BC400</f>
        <v>187</v>
      </c>
      <c r="BN400" s="17" t="n">
        <f aca="false">BL400*IF($J400="wagon",62.5,781.25)</f>
        <v>8750</v>
      </c>
      <c r="BO400" s="17" t="n">
        <f aca="false">BM400*IF($J400="wagon",2.73,81.25)</f>
        <v>510.51</v>
      </c>
      <c r="BY400" s="1" t="n">
        <v>2</v>
      </c>
      <c r="BZ400" s="1" t="n">
        <v>242</v>
      </c>
      <c r="CB400" s="1" t="s">
        <v>326</v>
      </c>
      <c r="CC400" s="1" t="s">
        <v>327</v>
      </c>
      <c r="CD400" s="1" t="str">
        <f aca="false">VLOOKUP(M400,Eras!$A$2:$C$10, 2, TRUE())</f>
        <v>lbr</v>
      </c>
      <c r="CE400" s="1" t="s">
        <v>1478</v>
      </c>
      <c r="CF400" s="1" t="str">
        <f aca="false">CONCATENATE(CD400,"_",CE400)</f>
        <v>lbr_Carriage</v>
      </c>
      <c r="CG400" s="1" t="str">
        <f aca="false">_xlfn.CONCAT(K400, "_",L400)</f>
        <v>carriage_RAIL</v>
      </c>
      <c r="CH400" s="7" t="str">
        <f aca="false">_xlfn.CONCAT("{BLACK}Length: {GOLD}", TEXT(ROUNDUP(IF(AT400&lt;&gt;"",SUM(VALUE(_xlfn.TEXTSPLIT(AT400, ","))), SUM(VALUE(_xlfn.TEXTSPLIT(AQ400, ",")))*IF(P400, P400, 1))/16, 1), "#,##0.0"), " tiles{}")</f>
        <v>{BLACK}Length: {GOLD}0.9 tiles{}</v>
      </c>
      <c r="CI400" s="1" t="n">
        <f aca="false">VLOOKUP($CG400, Constants!$M:$N, 2, FALSE())</f>
        <v>0</v>
      </c>
      <c r="CJ400" s="1" t="str">
        <f aca="false">IF(P400&gt;1,_xlfn.CONCAT("{BLACK}Cars: {GOLD}", P400),"")</f>
        <v/>
      </c>
      <c r="CK400" s="1" t="s">
        <v>1564</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{YELLOW}30% bonus for long distance travel{}</v>
      </c>
      <c r="CN400" s="1" t="str">
        <f aca="false">_xlfn.CONCAT(CI400,IF(CI400&lt;&gt;""," ",""),CJ400,IF(OR(CJ400&lt;&gt;"",CI400&lt;&gt;""),"{}",""),CH400,CM400,"{SILVER}",CK400,IF(CL400&lt;&gt;"","{}{}",""),CL400)</f>
        <v>{BLACK}Length: {GOLD}0.9 tiles{}{YELLOW}30% bonus for long distance travel{}{SILVER}Mk3 carriages followed the by now standard practice of first class vehicles featuring an open saloon with lower seating density than standard class.</v>
      </c>
    </row>
    <row r="401" customFormat="false" ht="14.25" hidden="false" customHeight="false" outlineLevel="0" collapsed="false">
      <c r="A401" s="1" t="s">
        <v>1565</v>
      </c>
      <c r="B401" s="15" t="s">
        <v>1566</v>
      </c>
      <c r="C401" s="1" t="n">
        <v>31</v>
      </c>
      <c r="D401" s="1" t="n">
        <v>29</v>
      </c>
      <c r="E401" s="1" t="n">
        <v>1028</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198</v>
      </c>
      <c r="J401" s="1" t="s">
        <v>1476</v>
      </c>
      <c r="K401" s="1" t="s">
        <v>1477</v>
      </c>
      <c r="L401" s="1" t="s">
        <v>149</v>
      </c>
      <c r="M401" s="1" t="n">
        <v>1980</v>
      </c>
      <c r="Z401" s="1" t="n">
        <v>38</v>
      </c>
      <c r="AB401" s="1" t="n">
        <v>4</v>
      </c>
      <c r="AD401" s="4" t="str">
        <f aca="false">IF(AND(Z401&gt;0,AC401&gt;0),(AC401/((Z401+AA401)*10)),"")</f>
        <v/>
      </c>
      <c r="AE401" s="1" t="n">
        <v>125</v>
      </c>
      <c r="AF401" s="1" t="n">
        <f aca="false">ROUND(AE401*1.6, 0)</f>
        <v>200</v>
      </c>
      <c r="AI401" s="1" t="n">
        <v>23</v>
      </c>
      <c r="AJ401" s="1" t="n">
        <v>23</v>
      </c>
      <c r="AK401" s="1" t="n">
        <v>2.82</v>
      </c>
      <c r="AL401" s="1" t="n">
        <v>3.79</v>
      </c>
      <c r="AM401" s="5" t="n">
        <v>24</v>
      </c>
      <c r="AN401" s="1" t="str">
        <f aca="false">CONCATENATE(VLOOKUP(AO401, 'Voxel Sizes'!$A$2:$B$18,2,FALSE()),"x",INT(AK401*15), "x", INT(AL401*15))</f>
        <v>214x42x56</v>
      </c>
      <c r="AO401" s="1" t="n">
        <f aca="false">ROUND(15*((AJ401*10)/256),0)</f>
        <v>13</v>
      </c>
      <c r="AQ401" s="1" t="str">
        <f aca="false">CONCATENATE(VLOOKUP(AO401,Constants!$A$2:$C$16,IF(AP401&lt;&gt;"", 3, 2), FALSE()),IF(AP401&lt;&gt;"",CONCATENATE(",",VLOOKUP(AP401,$B:$AQ,39,FALSE())),""))</f>
        <v>4,5,4</v>
      </c>
      <c r="BA401" s="1" t="n">
        <v>30</v>
      </c>
      <c r="BB401" s="16" t="str">
        <f aca="false">IF(O401&lt;&gt;"",MAX(16,(O401-M401)+8),"")</f>
        <v/>
      </c>
      <c r="BC401" s="1" t="n">
        <v>1150</v>
      </c>
      <c r="BD401" s="1" t="n">
        <v>160</v>
      </c>
      <c r="BE401" s="1" t="n">
        <f aca="false">MIN(AE401/150, 1)*30</f>
        <v>25</v>
      </c>
      <c r="BF401" s="1" t="n">
        <f aca="false">MIN(Q401/4000, 1)*20</f>
        <v>0</v>
      </c>
      <c r="BG401" s="1" t="n">
        <f aca="false">MIN(AC401/400,1)*20</f>
        <v>0</v>
      </c>
      <c r="BH401" s="4" t="n">
        <f aca="false">1-(MAX(M401-1900, 0)/750)</f>
        <v>0.893333333333333</v>
      </c>
      <c r="BI401" s="1" t="n">
        <f aca="false">((MAX($P401,1)*MIN($AM401/300,1)))*IF(J401="Wagon",50,10)</f>
        <v>4</v>
      </c>
      <c r="BJ401" s="1" t="n">
        <f aca="false">VLOOKUP($K401,Constants!$I:$K, 2, FALSE())</f>
        <v>1.2</v>
      </c>
      <c r="BK401" s="1" t="n">
        <f aca="false">VLOOKUP($K401,Constants!$I:$K, 3, FALSE())*IF(AND(J401="multiple_unit",AE401&lt;110),0.75,1)</f>
        <v>0.6</v>
      </c>
      <c r="BL401" s="1" t="n">
        <f aca="false">INT(POWER(((Constants!$G$2+$BE401+$BF401+$BG401+$BI401)*$BH401)*$BK401, 1.05))+$BD401</f>
        <v>181</v>
      </c>
      <c r="BM401" s="1" t="n">
        <f aca="false">INT(POWER((((Constants!$G$1+$BE401+$BF401+$BG401+$BI401)*($BH401))*$BJ401),IF($J401="wagon",1,1.2)))+$BC401</f>
        <v>1197</v>
      </c>
      <c r="BN401" s="17" t="n">
        <f aca="false">BL401*IF($J401="wagon",62.5,781.25)</f>
        <v>11312.5</v>
      </c>
      <c r="BO401" s="17" t="n">
        <f aca="false">BM401*IF($J401="wagon",2.73,81.25)</f>
        <v>3267.81</v>
      </c>
      <c r="BY401" s="1" t="n">
        <v>6</v>
      </c>
      <c r="BZ401" s="1" t="n">
        <v>205</v>
      </c>
      <c r="CA401" s="1" t="s">
        <v>960</v>
      </c>
      <c r="CB401" s="1" t="s">
        <v>326</v>
      </c>
      <c r="CC401" s="1" t="s">
        <v>327</v>
      </c>
      <c r="CD401" s="1" t="str">
        <f aca="false">VLOOKUP(M401,Eras!$A$2:$C$10, 2, TRUE())</f>
        <v>lbr</v>
      </c>
      <c r="CE401" s="1" t="s">
        <v>1478</v>
      </c>
      <c r="CF401" s="1" t="str">
        <f aca="false">CONCATENATE(CD401,"_",CE401)</f>
        <v>lbr_Carriage</v>
      </c>
      <c r="CG401" s="1" t="str">
        <f aca="false">_xlfn.CONCAT(K401, "_",L401)</f>
        <v>carriage_RAIL</v>
      </c>
      <c r="CH401" s="7" t="str">
        <f aca="false">_xlfn.CONCAT("{BLACK}Length: {GOLD}", TEXT(ROUNDUP(IF(AT401&lt;&gt;"",SUM(VALUE(_xlfn.TEXTSPLIT(AT401, ","))), SUM(VALUE(_xlfn.TEXTSPLIT(AQ401, ",")))*IF(P401, P401, 1))/16, 1), "#,##0.0"), " tiles{}")</f>
        <v>{BLACK}Length: {GOLD}0.9 tiles{}</v>
      </c>
      <c r="CI401" s="1" t="n">
        <f aca="false">VLOOKUP($CG401, Constants!$M:$N, 2, FALSE())</f>
        <v>0</v>
      </c>
      <c r="CJ401" s="1" t="str">
        <f aca="false">IF(P401&gt;1,_xlfn.CONCAT("{BLACK}Cars: {GOLD}", P401),"")</f>
        <v/>
      </c>
      <c r="CK401" s="1" t="s">
        <v>1567</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{YELLOW}25% long distance bonus for consist{}</v>
      </c>
      <c r="CN401" s="1" t="str">
        <f aca="false">_xlfn.CONCAT(CI401,IF(CI401&lt;&gt;""," ",""),CJ401,IF(OR(CJ401&lt;&gt;"",CI401&lt;&gt;""),"{}",""),CH401,CM401,"{SILVER}",CK401,IF(CL401&lt;&gt;"","{}{}",""),CL401)</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2" customFormat="false" ht="14.25" hidden="false" customHeight="false" outlineLevel="0" collapsed="false">
      <c r="A402" s="1" t="s">
        <v>1568</v>
      </c>
      <c r="B402" s="15" t="s">
        <v>1569</v>
      </c>
      <c r="C402" s="1" t="n">
        <v>32</v>
      </c>
      <c r="D402" s="1" t="n">
        <v>29</v>
      </c>
      <c r="E402" s="1" t="n">
        <v>1029</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198</v>
      </c>
      <c r="J402" s="1" t="s">
        <v>1476</v>
      </c>
      <c r="K402" s="1" t="s">
        <v>1477</v>
      </c>
      <c r="L402" s="1" t="s">
        <v>149</v>
      </c>
      <c r="M402" s="1" t="n">
        <v>1987</v>
      </c>
      <c r="Z402" s="1" t="n">
        <v>38</v>
      </c>
      <c r="AB402" s="1" t="n">
        <v>4</v>
      </c>
      <c r="AD402" s="4" t="str">
        <f aca="false">IF(AND(Z402&gt;0,AC402&gt;0),(AC402/((Z402+AA402)*10)),"")</f>
        <v/>
      </c>
      <c r="AE402" s="1" t="n">
        <v>125</v>
      </c>
      <c r="AF402" s="1" t="n">
        <f aca="false">ROUND(AE402*1.6, 0)</f>
        <v>200</v>
      </c>
      <c r="AI402" s="1" t="n">
        <v>23</v>
      </c>
      <c r="AJ402" s="1" t="n">
        <v>23</v>
      </c>
      <c r="AK402" s="1" t="n">
        <v>2.82</v>
      </c>
      <c r="AL402" s="1" t="n">
        <v>3.79</v>
      </c>
      <c r="AM402" s="5" t="n">
        <v>30</v>
      </c>
      <c r="AN402" s="1" t="str">
        <f aca="false">CONCATENATE(VLOOKUP(AO402, 'Voxel Sizes'!$A$2:$B$18,2,FALSE()),"x",INT(AK402*15), "x", INT(AL402*15))</f>
        <v>214x42x56</v>
      </c>
      <c r="AO402" s="1" t="n">
        <f aca="false">ROUND(15*((AJ402*10)/256),0)</f>
        <v>13</v>
      </c>
      <c r="AQ402" s="1" t="str">
        <f aca="false">CONCATENATE(VLOOKUP(AO402,Constants!$A$2:$C$16,IF(AP402&lt;&gt;"", 3, 2), FALSE()),IF(AP402&lt;&gt;"",CONCATENATE(",",VLOOKUP(AP402,$B:$AQ,39,FALSE())),""))</f>
        <v>4,5,4</v>
      </c>
      <c r="BA402" s="1" t="n">
        <v>30</v>
      </c>
      <c r="BB402" s="16" t="str">
        <f aca="false">IF(O402&lt;&gt;"",MAX(16,(O402-M402)+8),"")</f>
        <v/>
      </c>
      <c r="BC402" s="1" t="n">
        <v>1200</v>
      </c>
      <c r="BD402" s="1" t="n">
        <v>170</v>
      </c>
      <c r="BE402" s="1" t="n">
        <f aca="false">MIN(AE402/150, 1)*30</f>
        <v>25</v>
      </c>
      <c r="BF402" s="1" t="n">
        <f aca="false">MIN(Q402/4000, 1)*20</f>
        <v>0</v>
      </c>
      <c r="BG402" s="1" t="n">
        <f aca="false">MIN(AC402/400,1)*20</f>
        <v>0</v>
      </c>
      <c r="BH402" s="4" t="n">
        <f aca="false">1-(MAX(M402-1900, 0)/750)</f>
        <v>0.884</v>
      </c>
      <c r="BI402" s="1" t="n">
        <f aca="false">((MAX($P402,1)*MIN($AM402/300,1)))*IF(J402="Wagon",50,10)</f>
        <v>5</v>
      </c>
      <c r="BJ402" s="1" t="n">
        <f aca="false">VLOOKUP($K402,Constants!$I:$K, 2, FALSE())</f>
        <v>1.2</v>
      </c>
      <c r="BK402" s="1" t="n">
        <f aca="false">VLOOKUP($K402,Constants!$I:$K, 3, FALSE())*IF(AND(J402="multiple_unit",AE402&lt;110),0.75,1)</f>
        <v>0.6</v>
      </c>
      <c r="BL402" s="1" t="n">
        <f aca="false">INT(POWER(((Constants!$G$2+$BE402+$BF402+$BG402+$BI402)*$BH402)*$BK402, 1.05))+$BD402</f>
        <v>191</v>
      </c>
      <c r="BM402" s="1" t="n">
        <f aca="false">INT(POWER((((Constants!$G$1+$BE402+$BF402+$BG402+$BI402)*($BH402))*$BJ402),IF($J402="wagon",1,1.2)))+$BC402</f>
        <v>1247</v>
      </c>
      <c r="BN402" s="17" t="n">
        <f aca="false">BL402*IF($J402="wagon",62.5,781.25)</f>
        <v>11937.5</v>
      </c>
      <c r="BO402" s="17" t="n">
        <f aca="false">BM402*IF($J402="wagon",2.73,81.25)</f>
        <v>3404.31</v>
      </c>
      <c r="BY402" s="1" t="n">
        <v>6</v>
      </c>
      <c r="BZ402" s="1" t="n">
        <v>242</v>
      </c>
      <c r="CA402" s="1" t="s">
        <v>960</v>
      </c>
      <c r="CB402" s="1" t="s">
        <v>326</v>
      </c>
      <c r="CC402" s="1" t="s">
        <v>327</v>
      </c>
      <c r="CD402" s="1" t="str">
        <f aca="false">VLOOKUP(M402,Eras!$A$2:$C$10, 2, TRUE())</f>
        <v>lbr</v>
      </c>
      <c r="CE402" s="1" t="s">
        <v>1478</v>
      </c>
      <c r="CF402" s="1" t="str">
        <f aca="false">CONCATENATE(CD402,"_",CE402)</f>
        <v>lbr_Carriage</v>
      </c>
      <c r="CG402" s="1" t="str">
        <f aca="false">_xlfn.CONCAT(K402, "_",L402)</f>
        <v>carriage_RAIL</v>
      </c>
      <c r="CH402" s="7" t="str">
        <f aca="false">_xlfn.CONCAT("{BLACK}Length: {GOLD}", TEXT(ROUNDUP(IF(AT402&lt;&gt;"",SUM(VALUE(_xlfn.TEXTSPLIT(AT402, ","))), SUM(VALUE(_xlfn.TEXTSPLIT(AQ402, ",")))*IF(P402, P402, 1))/16, 1), "#,##0.0"), " tiles{}")</f>
        <v>{BLACK}Length: {GOLD}0.9 tiles{}</v>
      </c>
      <c r="CI402" s="1" t="n">
        <f aca="false">VLOOKUP($CG402, Constants!$M:$N, 2, FALSE())</f>
        <v>0</v>
      </c>
      <c r="CJ402" s="1" t="str">
        <f aca="false">IF(P402&gt;1,_xlfn.CONCAT("{BLACK}Cars: {GOLD}", P402),"")</f>
        <v/>
      </c>
      <c r="CK402" s="1" t="s">
        <v>1570</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{YELLOW}25% long distance bonus for consist{}</v>
      </c>
      <c r="CN402" s="1" t="str">
        <f aca="false">_xlfn.CONCAT(CI402,IF(CI402&lt;&gt;""," ",""),CJ402,IF(OR(CJ402&lt;&gt;"",CI402&lt;&gt;""),"{}",""),CH402,CM402,"{SILVER}",CK402,IF(CL402&lt;&gt;"","{}{}",""),CL402)</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3" s="25" customFormat="true" ht="14.25" hidden="false" customHeight="false" outlineLevel="0" collapsed="false">
      <c r="A403" s="25" t="s">
        <v>1571</v>
      </c>
      <c r="B403" s="26" t="s">
        <v>1572</v>
      </c>
      <c r="C403" s="1" t="n">
        <v>3123</v>
      </c>
      <c r="D403" s="25" t="n">
        <v>29</v>
      </c>
      <c r="E403" s="1" t="n">
        <v>1030</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25" t="s">
        <v>198</v>
      </c>
      <c r="J403" s="25" t="s">
        <v>1476</v>
      </c>
      <c r="K403" s="25" t="s">
        <v>1477</v>
      </c>
      <c r="L403" s="25" t="s">
        <v>149</v>
      </c>
      <c r="M403" s="25" t="n">
        <v>1975</v>
      </c>
      <c r="R403" s="2"/>
      <c r="S403" s="3"/>
      <c r="T403" s="3"/>
      <c r="U403" s="3"/>
      <c r="V403" s="3"/>
      <c r="W403" s="3"/>
      <c r="X403" s="3"/>
      <c r="Y403" s="3"/>
      <c r="Z403" s="25" t="n">
        <v>34</v>
      </c>
      <c r="AA403" s="2"/>
      <c r="AB403" s="25" t="n">
        <v>3</v>
      </c>
      <c r="AD403" s="4" t="str">
        <f aca="false">IF(AND(Z403&gt;0,AC403&gt;0),(AC403/((Z403+AA403)*10)),"")</f>
        <v/>
      </c>
      <c r="AE403" s="25" t="n">
        <v>125</v>
      </c>
      <c r="AF403" s="25" t="n">
        <f aca="false">ROUND(AE403*1.6, 0)</f>
        <v>200</v>
      </c>
      <c r="AI403" s="25" t="n">
        <v>23</v>
      </c>
      <c r="AJ403" s="25" t="n">
        <v>23</v>
      </c>
      <c r="AK403" s="25" t="n">
        <v>2.82</v>
      </c>
      <c r="AL403" s="25" t="n">
        <v>3.79</v>
      </c>
      <c r="AM403" s="5" t="n">
        <v>24</v>
      </c>
      <c r="AN403" s="1" t="str">
        <f aca="false">CONCATENATE(VLOOKUP(AO403, '[1]Voxel Sizes'!$A$2:$B$18,2,FALSE()),"x",INT(AK403*15), "x", INT(AL403*15))</f>
        <v>214x42x56</v>
      </c>
      <c r="AO403" s="25" t="n">
        <f aca="false">ROUND(15*((AJ403*10)/256),0)</f>
        <v>13</v>
      </c>
      <c r="AQ403" s="1" t="str">
        <f aca="false">CONCATENATE(VLOOKUP(AO403,Constants!$A$2:$C$16,IF(AP403&lt;&gt;"", 3, 2), FALSE()),IF(AP403&lt;&gt;"",CONCATENATE(",",VLOOKUP(AP403,$B:$AQ,42,FALSE())),""))</f>
        <v>4,5,4</v>
      </c>
      <c r="AS403" s="6"/>
      <c r="AT403" s="6"/>
      <c r="AZ403" s="1" t="s">
        <v>1573</v>
      </c>
      <c r="BA403" s="25" t="n">
        <v>30</v>
      </c>
      <c r="BB403" s="16" t="str">
        <f aca="false">IF(O403&lt;&gt;"",MAX(16,(O403-M403)+8),"")</f>
        <v/>
      </c>
      <c r="BC403" s="25" t="n">
        <v>1150</v>
      </c>
      <c r="BD403" s="25" t="n">
        <v>150</v>
      </c>
      <c r="BE403" s="25" t="n">
        <f aca="false">MIN(AE403/150, 1)*30</f>
        <v>25</v>
      </c>
      <c r="BF403" s="25" t="n">
        <f aca="false">MIN(Q403/4000, 1)*20</f>
        <v>0</v>
      </c>
      <c r="BG403" s="25" t="n">
        <f aca="false">MIN(AC403/400,1)*20</f>
        <v>0</v>
      </c>
      <c r="BH403" s="4" t="n">
        <f aca="false">1-(MAX(M403-1900, 0)/750)</f>
        <v>0.9</v>
      </c>
      <c r="BI403" s="25" t="n">
        <f aca="false">((MAX($P403,1)*MIN($AM403/300,1)))*IF(J403="Wagon",50,10)</f>
        <v>4</v>
      </c>
      <c r="BJ403" s="1" t="n">
        <f aca="false">VLOOKUP($K403,Constants!$I:$K, 2, FALSE())</f>
        <v>1.2</v>
      </c>
      <c r="BK403" s="1" t="n">
        <f aca="false">VLOOKUP($K403,Constants!$I:$K, 3, FALSE())*IF(AND(J403="multiple_unit",AE403&lt;110),0.75,1)</f>
        <v>0.6</v>
      </c>
      <c r="BL403" s="25" t="n">
        <f aca="false">INT(POWER((([1]Constants!$G$2+$BE403+$BF403+$BG403+$BI403)*$BH403)*$BK403, 1.05))+$BD403</f>
        <v>171</v>
      </c>
      <c r="BM403" s="25" t="n">
        <f aca="false">INT(POWER(((([1]Constants!$G$1+$BE403+$BF403+$BG403+$BI403)*($BH403))*$BJ403),IF($J403="wagon",1,1.2)))+$BC403</f>
        <v>1197</v>
      </c>
      <c r="BN403" s="17" t="n">
        <f aca="false">BL403*IF($J403="wagon",62.5,781.25)</f>
        <v>10687.5</v>
      </c>
      <c r="BO403" s="17" t="n">
        <f aca="false">BM403*IF($J403="wagon",2.73,81.25)</f>
        <v>3267.81</v>
      </c>
      <c r="BY403" s="25" t="n">
        <v>2</v>
      </c>
      <c r="BZ403" s="25" t="n">
        <v>278</v>
      </c>
      <c r="CB403" s="25" t="s">
        <v>326</v>
      </c>
      <c r="CC403" s="25" t="s">
        <v>327</v>
      </c>
      <c r="CD403" s="25" t="str">
        <f aca="false">VLOOKUP(M403,[1]Eras!$A$2:$C$10, 2, TRUE())</f>
        <v>lbr</v>
      </c>
      <c r="CE403" s="25" t="s">
        <v>1478</v>
      </c>
      <c r="CF403" s="25" t="str">
        <f aca="false">CONCATENATE(CD403,"_",CE403)</f>
        <v>lbr_Carriage</v>
      </c>
      <c r="CG403" s="25" t="str">
        <f aca="false">_xlfn.CONCAT(K403, "_",L403)</f>
        <v>carriage_RAIL</v>
      </c>
      <c r="CH403" s="7" t="str">
        <f aca="false">_xlfn.CONCAT("{BLACK}Length: {GOLD}", TEXT(ROUNDUP(IF(AT403&lt;&gt;"",SUM(VALUE(_xlfn.TEXTSPLIT(AT403, ","))), SUM(VALUE(_xlfn.TEXTSPLIT(AQ403, ",")))*IF(P403, P403, 1))/16, 1), "#,##0.0"), " tiles{}")</f>
        <v>{BLACK}Length: {GOLD}0.9 tiles{}</v>
      </c>
      <c r="CI403" s="1" t="n">
        <f aca="false">VLOOKUP($CG403, Constants!$M:$N, 2, FALSE())</f>
        <v>0</v>
      </c>
      <c r="CJ403" s="1" t="str">
        <f aca="false">IF(P403&gt;1,_xlfn.CONCAT("{BLACK}Cars: {GOLD}", P403),"")</f>
        <v/>
      </c>
      <c r="CK403" s="25" t="s">
        <v>1574</v>
      </c>
      <c r="CM403" s="25" t="str">
        <f aca="false">IF(CA403="buffet","{YELLOW}25% long distance bonus for consist{}",IF(CD403="BRAKE","{YELLOW}Speed bonus for slow wagons{}",IF(BZ403&gt;190,CONCATENATE("{YELLOW}",INT((BZ403-185)/1.85),"% bonus for long distance travel{}"),IF(AND(BZ403&lt;180,BZ403&lt;&gt;0),CONCATENATE("{YELLOW}",INT((185-BZ403)/1.85),"% penalty for long distance travel{}"),""))))</f>
        <v>{YELLOW}50% bonus for long distance travel{}</v>
      </c>
      <c r="CN403" s="25" t="str">
        <f aca="false">_xlfn.CONCAT(CI403,IF(CI403 &lt;&gt; "", " ", ""),CJ403,IF(OR(CJ403&lt;&gt;"", CI403&lt;&gt;""), "{}",""), CH403, CM403,"{SILVER}", CK403)</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04" customFormat="false" ht="14.25" hidden="false" customHeight="false" outlineLevel="0" collapsed="false">
      <c r="A404" s="25" t="s">
        <v>1575</v>
      </c>
      <c r="B404" s="28" t="s">
        <v>1576</v>
      </c>
      <c r="C404" s="1" t="n">
        <v>4129</v>
      </c>
      <c r="D404" s="25" t="n">
        <v>29</v>
      </c>
      <c r="E404" s="1" t="n">
        <v>1031</v>
      </c>
      <c r="F404" s="25"/>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25" t="s">
        <v>198</v>
      </c>
      <c r="J404" s="25" t="s">
        <v>1476</v>
      </c>
      <c r="K404" s="25" t="s">
        <v>1477</v>
      </c>
      <c r="L404" s="25" t="s">
        <v>149</v>
      </c>
      <c r="M404" s="25" t="n">
        <v>1985</v>
      </c>
      <c r="N404" s="25"/>
      <c r="O404" s="25"/>
      <c r="P404" s="25"/>
      <c r="Q404" s="25"/>
      <c r="Z404" s="25" t="n">
        <v>34</v>
      </c>
      <c r="AB404" s="25" t="n">
        <v>3</v>
      </c>
      <c r="AC404" s="25"/>
      <c r="AD404" s="4" t="str">
        <f aca="false">IF(AND(Z404&gt;0,AC404&gt;0),(AC404/((Z404+AA404)*10)),"")</f>
        <v/>
      </c>
      <c r="AE404" s="25" t="n">
        <v>125</v>
      </c>
      <c r="AF404" s="25" t="n">
        <f aca="false">ROUND(AE404*1.6, 0)</f>
        <v>200</v>
      </c>
      <c r="AG404" s="25"/>
      <c r="AH404" s="25"/>
      <c r="AI404" s="25" t="n">
        <v>23</v>
      </c>
      <c r="AJ404" s="25" t="n">
        <v>23</v>
      </c>
      <c r="AK404" s="25" t="n">
        <v>2.82</v>
      </c>
      <c r="AL404" s="25" t="n">
        <v>3.79</v>
      </c>
      <c r="AM404" s="5" t="n">
        <v>24</v>
      </c>
      <c r="AN404" s="1" t="str">
        <f aca="false">CONCATENATE(VLOOKUP(AO404, '[1]Voxel Sizes'!$A$2:$B$18,2,FALSE()),"x",INT(AK404*15), "x", INT(AL404*15))</f>
        <v>214x42x56</v>
      </c>
      <c r="AO404" s="25" t="n">
        <f aca="false">ROUND(15*((AJ404*10)/256),0)</f>
        <v>13</v>
      </c>
      <c r="AP404" s="25"/>
      <c r="AQ404" s="1" t="str">
        <f aca="false">CONCATENATE(VLOOKUP(AO404,Constants!$A$2:$C$16,IF(AP404&lt;&gt;"", 3, 2), FALSE()),IF(AP404&lt;&gt;"",CONCATENATE(",",VLOOKUP(AP404,$B:$AQ,42,FALSE())),""))</f>
        <v>4,5,4</v>
      </c>
      <c r="AR404" s="25"/>
      <c r="AU404" s="25"/>
      <c r="AV404" s="25"/>
      <c r="AW404" s="25"/>
      <c r="AX404" s="25"/>
      <c r="AY404" s="25"/>
      <c r="AZ404" s="1" t="s">
        <v>1577</v>
      </c>
      <c r="BA404" s="25" t="n">
        <v>30</v>
      </c>
      <c r="BB404" s="16" t="str">
        <f aca="false">IF(O404&lt;&gt;"",MAX(16,(O404-M404)+8),"")</f>
        <v/>
      </c>
      <c r="BC404" s="25" t="n">
        <v>1150</v>
      </c>
      <c r="BD404" s="25" t="n">
        <v>150</v>
      </c>
      <c r="BE404" s="25" t="n">
        <f aca="false">MIN(AE404/150, 1)*30</f>
        <v>25</v>
      </c>
      <c r="BF404" s="25" t="n">
        <f aca="false">MIN(Q404/4000, 1)*20</f>
        <v>0</v>
      </c>
      <c r="BG404" s="25" t="n">
        <f aca="false">MIN(AC404/400,1)*20</f>
        <v>0</v>
      </c>
      <c r="BH404" s="4" t="n">
        <f aca="false">1-(MAX(M404-1900, 0)/750)</f>
        <v>0.886666666666667</v>
      </c>
      <c r="BI404" s="25" t="n">
        <f aca="false">((MAX($P404,1)*MIN($AM404/300,1)))*IF(J404="Wagon",50,10)</f>
        <v>4</v>
      </c>
      <c r="BJ404" s="1" t="n">
        <f aca="false">VLOOKUP($K404,Constants!$I:$K, 2, FALSE())</f>
        <v>1.2</v>
      </c>
      <c r="BK404" s="1" t="n">
        <f aca="false">VLOOKUP($K404,Constants!$I:$K, 3, FALSE())*IF(AND(J404="multiple_unit",AE404&lt;110),0.75,1)</f>
        <v>0.6</v>
      </c>
      <c r="BL404" s="25" t="n">
        <f aca="false">INT(POWER((([1]Constants!$G$2+$BE404+$BF404+$BG404+$BI404)*$BH404)*$BK404, 1.05))+$BD404</f>
        <v>170</v>
      </c>
      <c r="BM404" s="25" t="n">
        <f aca="false">INT(POWER(((([1]Constants!$G$1+$BE404+$BF404+$BG404+$BI404)*($BH404))*$BJ404),IF($J404="wagon",1,1.2)))+$BC404</f>
        <v>1196</v>
      </c>
      <c r="BN404" s="17" t="n">
        <f aca="false">BL404*IF($J404="wagon",62.5,781.25)</f>
        <v>10625</v>
      </c>
      <c r="BO404" s="17" t="n">
        <f aca="false">BM404*IF($J404="wagon",2.73,81.25)</f>
        <v>3265.08</v>
      </c>
      <c r="BP404" s="25"/>
      <c r="BQ404" s="25"/>
      <c r="BR404" s="25"/>
      <c r="BS404" s="25"/>
      <c r="BT404" s="25"/>
      <c r="BU404" s="25"/>
      <c r="BV404" s="25"/>
      <c r="BW404" s="25"/>
      <c r="BX404" s="25"/>
      <c r="BY404" s="25" t="n">
        <v>2</v>
      </c>
      <c r="BZ404" s="25" t="n">
        <v>278</v>
      </c>
      <c r="CA404" s="25"/>
      <c r="CB404" s="25" t="s">
        <v>326</v>
      </c>
      <c r="CC404" s="25" t="s">
        <v>327</v>
      </c>
      <c r="CD404" s="25" t="str">
        <f aca="false">VLOOKUP(M404,[1]Eras!$A$2:$C$10, 2, TRUE())</f>
        <v>lbr</v>
      </c>
      <c r="CE404" s="25" t="s">
        <v>1478</v>
      </c>
      <c r="CF404" s="25" t="str">
        <f aca="false">CONCATENATE(CD404,"_",CE404)</f>
        <v>lbr_Carriage</v>
      </c>
      <c r="CG404" s="25" t="str">
        <f aca="false">_xlfn.CONCAT(K404, "_",L404)</f>
        <v>carriage_RAIL</v>
      </c>
      <c r="CH404" s="7" t="str">
        <f aca="false">_xlfn.CONCAT("{BLACK}Length: {GOLD}", TEXT(ROUNDUP(IF(AT404&lt;&gt;"",SUM(VALUE(_xlfn.TEXTSPLIT(AT404, ","))), SUM(VALUE(_xlfn.TEXTSPLIT(AQ404, ",")))*IF(P404, P404, 1))/16, 1), "#,##0.0"), " tiles{}")</f>
        <v>{BLACK}Length: {GOLD}0.9 tiles{}</v>
      </c>
      <c r="CI404" s="1" t="n">
        <f aca="false">VLOOKUP($CG404, Constants!$M:$N, 2, FALSE())</f>
        <v>0</v>
      </c>
      <c r="CJ404" s="1" t="str">
        <f aca="false">IF(P404&gt;1,_xlfn.CONCAT("{BLACK}Cars: {GOLD}", P404),"")</f>
        <v/>
      </c>
      <c r="CK404" s="25" t="s">
        <v>1574</v>
      </c>
      <c r="CL404" s="25"/>
      <c r="CM404" s="25" t="str">
        <f aca="false">IF(CA404="buffet","{YELLOW}25% long distance bonus for consist{}",IF(CD404="BRAKE","{YELLOW}Speed bonus for slow wagons{}",IF(BZ404&gt;190,CONCATENATE("{YELLOW}",INT((BZ404-185)/1.85),"% bonus for long distance travel{}"),IF(AND(BZ404&lt;180,BZ404&lt;&gt;0),CONCATENATE("{YELLOW}",INT((185-BZ404)/1.85),"% penalty for long distance travel{}"),""))))</f>
        <v>{YELLOW}50% bonus for long distance travel{}</v>
      </c>
      <c r="CN404" s="25" t="str">
        <f aca="false">_xlfn.CONCAT(CI404,IF(CI404 &lt;&gt; "", " ", ""),CJ404,IF(OR(CJ404&lt;&gt;"", CI404&lt;&gt;""), "{}",""), CH404, CM404,"{SILVER}", CK404)</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O404" s="25"/>
      <c r="CP404" s="25"/>
    </row>
    <row r="405" customFormat="false" ht="14.25" hidden="false" customHeight="false" outlineLevel="0" collapsed="false">
      <c r="A405" s="25" t="s">
        <v>1578</v>
      </c>
      <c r="B405" s="28" t="s">
        <v>1579</v>
      </c>
      <c r="C405" s="1" t="n">
        <v>4130</v>
      </c>
      <c r="D405" s="25" t="n">
        <v>29</v>
      </c>
      <c r="E405" s="1" t="n">
        <v>1032</v>
      </c>
      <c r="F405" s="25"/>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25" t="s">
        <v>198</v>
      </c>
      <c r="J405" s="25" t="s">
        <v>1476</v>
      </c>
      <c r="K405" s="25" t="s">
        <v>1477</v>
      </c>
      <c r="L405" s="25" t="s">
        <v>149</v>
      </c>
      <c r="M405" s="25" t="n">
        <v>1985</v>
      </c>
      <c r="N405" s="25"/>
      <c r="O405" s="25"/>
      <c r="P405" s="25"/>
      <c r="Q405" s="25"/>
      <c r="Z405" s="25" t="n">
        <v>34</v>
      </c>
      <c r="AB405" s="25" t="n">
        <v>3</v>
      </c>
      <c r="AC405" s="25"/>
      <c r="AD405" s="4" t="str">
        <f aca="false">IF(AND(Z405&gt;0,AC405&gt;0),(AC405/((Z405+AA405)*10)),"")</f>
        <v/>
      </c>
      <c r="AE405" s="25" t="n">
        <v>125</v>
      </c>
      <c r="AF405" s="25" t="n">
        <f aca="false">ROUND(AE405*1.6, 0)</f>
        <v>200</v>
      </c>
      <c r="AG405" s="25"/>
      <c r="AH405" s="25"/>
      <c r="AI405" s="25" t="n">
        <v>23</v>
      </c>
      <c r="AJ405" s="25" t="n">
        <v>23</v>
      </c>
      <c r="AK405" s="25" t="n">
        <v>2.82</v>
      </c>
      <c r="AL405" s="25" t="n">
        <v>3.79</v>
      </c>
      <c r="AM405" s="5" t="n">
        <v>24</v>
      </c>
      <c r="AN405" s="1" t="str">
        <f aca="false">CONCATENATE(VLOOKUP(AO405, '[1]Voxel Sizes'!$A$2:$B$18,2,FALSE()),"x",INT(AK405*15), "x", INT(AL405*15))</f>
        <v>214x42x56</v>
      </c>
      <c r="AO405" s="25" t="n">
        <f aca="false">ROUND(15*((AJ405*10)/256),0)</f>
        <v>13</v>
      </c>
      <c r="AP405" s="25"/>
      <c r="AQ405" s="1" t="str">
        <f aca="false">CONCATENATE(VLOOKUP(AO405,Constants!$A$2:$C$16,IF(AP405&lt;&gt;"", 3, 2), FALSE()),IF(AP405&lt;&gt;"",CONCATENATE(",",VLOOKUP(AP405,$B:$AQ,42,FALSE())),""))</f>
        <v>4,5,4</v>
      </c>
      <c r="AR405" s="25"/>
      <c r="AU405" s="25"/>
      <c r="AV405" s="25"/>
      <c r="AW405" s="25"/>
      <c r="AX405" s="25"/>
      <c r="AY405" s="25"/>
      <c r="AZ405" s="1" t="s">
        <v>1580</v>
      </c>
      <c r="BA405" s="25" t="n">
        <v>30</v>
      </c>
      <c r="BB405" s="16" t="str">
        <f aca="false">IF(O405&lt;&gt;"",MAX(16,(O405-M405)+8),"")</f>
        <v/>
      </c>
      <c r="BC405" s="25" t="n">
        <v>1150</v>
      </c>
      <c r="BD405" s="25" t="n">
        <v>150</v>
      </c>
      <c r="BE405" s="25" t="n">
        <f aca="false">MIN(AE405/150, 1)*30</f>
        <v>25</v>
      </c>
      <c r="BF405" s="25" t="n">
        <f aca="false">MIN(Q405/4000, 1)*20</f>
        <v>0</v>
      </c>
      <c r="BG405" s="25" t="n">
        <f aca="false">MIN(AC405/400,1)*20</f>
        <v>0</v>
      </c>
      <c r="BH405" s="4" t="n">
        <f aca="false">1-(MAX(M405-1900, 0)/750)</f>
        <v>0.886666666666667</v>
      </c>
      <c r="BI405" s="25" t="n">
        <f aca="false">((MAX($P405,1)*MIN($AM405/300,1)))*IF(J405="Wagon",50,10)</f>
        <v>4</v>
      </c>
      <c r="BJ405" s="1" t="n">
        <f aca="false">VLOOKUP($K405,Constants!$I:$K, 2, FALSE())</f>
        <v>1.2</v>
      </c>
      <c r="BK405" s="1" t="n">
        <f aca="false">VLOOKUP($K405,Constants!$I:$K, 3, FALSE())*IF(AND(J405="multiple_unit",AE405&lt;110),0.75,1)</f>
        <v>0.6</v>
      </c>
      <c r="BL405" s="25" t="n">
        <f aca="false">INT(POWER((([1]Constants!$G$2+$BE405+$BF405+$BG405+$BI405)*$BH405)*$BK405, 1.05))+$BD405</f>
        <v>170</v>
      </c>
      <c r="BM405" s="25" t="n">
        <f aca="false">INT(POWER(((([1]Constants!$G$1+$BE405+$BF405+$BG405+$BI405)*($BH405))*$BJ405),IF($J405="wagon",1,1.2)))+$BC405</f>
        <v>1196</v>
      </c>
      <c r="BN405" s="17" t="n">
        <f aca="false">BL405*IF($J405="wagon",62.5,781.25)</f>
        <v>10625</v>
      </c>
      <c r="BO405" s="17" t="n">
        <f aca="false">BM405*IF($J405="wagon",2.73,81.25)</f>
        <v>3265.08</v>
      </c>
      <c r="BP405" s="25"/>
      <c r="BQ405" s="25"/>
      <c r="BR405" s="25"/>
      <c r="BS405" s="25"/>
      <c r="BT405" s="25"/>
      <c r="BU405" s="25"/>
      <c r="BV405" s="25"/>
      <c r="BW405" s="25"/>
      <c r="BX405" s="25"/>
      <c r="BY405" s="25" t="n">
        <v>2</v>
      </c>
      <c r="BZ405" s="25" t="n">
        <v>278</v>
      </c>
      <c r="CA405" s="25"/>
      <c r="CB405" s="25" t="s">
        <v>326</v>
      </c>
      <c r="CC405" s="25" t="s">
        <v>327</v>
      </c>
      <c r="CD405" s="25" t="str">
        <f aca="false">VLOOKUP(M405,[1]Eras!$A$2:$C$10, 2, TRUE())</f>
        <v>lbr</v>
      </c>
      <c r="CE405" s="25" t="s">
        <v>1478</v>
      </c>
      <c r="CF405" s="25" t="str">
        <f aca="false">CONCATENATE(CD405,"_",CE405)</f>
        <v>lbr_Carriage</v>
      </c>
      <c r="CG405" s="25" t="str">
        <f aca="false">_xlfn.CONCAT(K405, "_",L405)</f>
        <v>carriage_RAIL</v>
      </c>
      <c r="CH405" s="7" t="str">
        <f aca="false">_xlfn.CONCAT("{BLACK}Length: {GOLD}", TEXT(ROUNDUP(IF(AT405&lt;&gt;"",SUM(VALUE(_xlfn.TEXTSPLIT(AT405, ","))), SUM(VALUE(_xlfn.TEXTSPLIT(AQ405, ",")))*IF(P405, P405, 1))/16, 1), "#,##0.0"), " tiles{}")</f>
        <v>{BLACK}Length: {GOLD}0.9 tiles{}</v>
      </c>
      <c r="CI405" s="1" t="n">
        <f aca="false">VLOOKUP($CG405, Constants!$M:$N, 2, FALSE())</f>
        <v>0</v>
      </c>
      <c r="CJ405" s="1" t="str">
        <f aca="false">IF(P405&gt;1,_xlfn.CONCAT("{BLACK}Cars: {GOLD}", P405),"")</f>
        <v/>
      </c>
      <c r="CK405" s="25" t="s">
        <v>1574</v>
      </c>
      <c r="CL405" s="25"/>
      <c r="CM405" s="25" t="str">
        <f aca="false">IF(CA405="buffet","{YELLOW}25% long distance bonus for consist{}",IF(CD405="BRAKE","{YELLOW}Speed bonus for slow wagons{}",IF(BZ405&gt;190,CONCATENATE("{YELLOW}",INT((BZ405-185)/1.85),"% bonus for long distance travel{}"),IF(AND(BZ405&lt;180,BZ405&lt;&gt;0),CONCATENATE("{YELLOW}",INT((185-BZ405)/1.85),"% penalty for long distance travel{}"),""))))</f>
        <v>{YELLOW}50% bonus for long distance travel{}</v>
      </c>
      <c r="CN405" s="25" t="str">
        <f aca="false">_xlfn.CONCAT(CI405,IF(CI405 &lt;&gt; "", " ", ""),CJ405,IF(OR(CJ405&lt;&gt;"", CI405&lt;&gt;""), "{}",""), CH405, CM405,"{SILVER}", CK405)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O405" s="25"/>
      <c r="CP405" s="25"/>
    </row>
    <row r="406" customFormat="false" ht="14.25" hidden="false" customHeight="false" outlineLevel="0" collapsed="false">
      <c r="A406" s="1" t="s">
        <v>1581</v>
      </c>
      <c r="B406" s="15" t="s">
        <v>1582</v>
      </c>
      <c r="C406" s="1" t="n">
        <v>33</v>
      </c>
      <c r="D406" s="1" t="n">
        <v>29</v>
      </c>
      <c r="E406" s="1" t="n">
        <v>1033</v>
      </c>
      <c r="G406" s="1" t="str">
        <f aca="false">IF($F406&lt;&gt;"",_xlfn.CONCAT(VLOOKUP($CE406, Constants!$T:$U, 2, FALSE()),",",$F406),VLOOKUP($CE406, Constants!$T:$U, 2, FALSE()))</f>
        <v>role/mail</v>
      </c>
      <c r="H406" s="1" t="str">
        <f aca="false">IF($G406&lt;&gt;"",_xlfn.CONCAT(VLOOKUP($CG406, Constants!$M:$P, 4, FALSE()),",",$G406),VLOOKUP($CG406, Constants!$M:$P, 4, FALSE()))</f>
        <v>flag/GB,role/mail</v>
      </c>
      <c r="I406" s="1" t="s">
        <v>198</v>
      </c>
      <c r="J406" s="1" t="s">
        <v>1476</v>
      </c>
      <c r="K406" s="1" t="s">
        <v>1477</v>
      </c>
      <c r="L406" s="1" t="s">
        <v>149</v>
      </c>
      <c r="M406" s="1" t="n">
        <v>1978</v>
      </c>
      <c r="Z406" s="1" t="n">
        <v>34</v>
      </c>
      <c r="AB406" s="1" t="n">
        <v>5</v>
      </c>
      <c r="AD406" s="4" t="str">
        <f aca="false">IF(AND(Z406&gt;0,AC406&gt;0),(AC406/((Z406+AA406)*10)),"")</f>
        <v/>
      </c>
      <c r="AE406" s="1" t="n">
        <v>125</v>
      </c>
      <c r="AF406" s="1" t="n">
        <f aca="false">ROUND(AE406*1.6, 0)</f>
        <v>200</v>
      </c>
      <c r="AI406" s="1" t="n">
        <v>23</v>
      </c>
      <c r="AJ406" s="1" t="n">
        <v>23</v>
      </c>
      <c r="AK406" s="1" t="n">
        <v>2.82</v>
      </c>
      <c r="AL406" s="1" t="n">
        <v>3.79</v>
      </c>
      <c r="AM406" s="5" t="n">
        <v>78</v>
      </c>
      <c r="AN406" s="1" t="str">
        <f aca="false">CONCATENATE(VLOOKUP(AO406, 'Voxel Sizes'!$A$2:$B$18,2,FALSE()),"x",INT(AK406*15), "x", INT(AL406*15))</f>
        <v>214x42x56</v>
      </c>
      <c r="AO406" s="1" t="n">
        <f aca="false">ROUND(15*((AJ406*10)/256),0)</f>
        <v>13</v>
      </c>
      <c r="AQ406" s="1" t="str">
        <f aca="false">CONCATENATE(VLOOKUP(AO406,Constants!$A$2:$C$16,IF(AP406&lt;&gt;"", 3, 2), FALSE()),IF(AP406&lt;&gt;"",CONCATENATE(",",VLOOKUP(AP406,$B:$AQ,39,FALSE())),""))</f>
        <v>4,5,4</v>
      </c>
      <c r="BA406" s="1" t="n">
        <v>30</v>
      </c>
      <c r="BB406" s="16" t="str">
        <f aca="false">IF(O406&lt;&gt;"",MAX(16,(O406-M406)+8),"")</f>
        <v/>
      </c>
      <c r="BC406" s="1" t="n">
        <v>86</v>
      </c>
      <c r="BD406" s="1" t="n">
        <f aca="false">29*3</f>
        <v>87</v>
      </c>
      <c r="BE406" s="1" t="n">
        <f aca="false">MIN(AE406/150, 1)*30</f>
        <v>25</v>
      </c>
      <c r="BF406" s="1" t="n">
        <f aca="false">MIN(Q406/4000, 1)*20</f>
        <v>0</v>
      </c>
      <c r="BG406" s="1" t="n">
        <f aca="false">MIN(AC406/400,1)*20</f>
        <v>0</v>
      </c>
      <c r="BH406" s="4" t="n">
        <f aca="false">1-(MAX(M406-1900, 0)/750)</f>
        <v>0.896</v>
      </c>
      <c r="BI406" s="1" t="n">
        <f aca="false">((MAX($P406,1)*MIN($AM406/300,1)))*IF(J406="Wagon",50,10)</f>
        <v>13</v>
      </c>
      <c r="BJ406" s="1" t="n">
        <f aca="false">VLOOKUP($K406,Constants!$I:$K, 2, FALSE())</f>
        <v>1.2</v>
      </c>
      <c r="BK406" s="1" t="n">
        <f aca="false">VLOOKUP($K406,Constants!$I:$K, 3, FALSE())*IF(AND(J406="multiple_unit",AE406&lt;110),0.75,1)</f>
        <v>0.6</v>
      </c>
      <c r="BL406" s="1" t="n">
        <f aca="false">INT(POWER(((Constants!$G$2+$BE406+$BF406+$BG406+$BI406)*$BH406)*$BK406, 1.05))+$BD406</f>
        <v>114</v>
      </c>
      <c r="BM406" s="1" t="n">
        <f aca="false">INT(POWER((((Constants!$G$1+$BE406+$BF406+$BG406+$BI406)*($BH406))*$BJ406),IF($J406="wagon",1,1.2)))+$BC406</f>
        <v>142</v>
      </c>
      <c r="BN406" s="17" t="n">
        <f aca="false">BL406*IF($J406="wagon",62.5,781.25)</f>
        <v>7125</v>
      </c>
      <c r="BO406" s="17" t="n">
        <f aca="false">BM406*IF($J406="wagon",2.73,81.25)</f>
        <v>387.66</v>
      </c>
      <c r="BX406" s="1" t="s">
        <v>1557</v>
      </c>
      <c r="BY406" s="1" t="n">
        <v>2</v>
      </c>
      <c r="BZ406" s="1" t="n">
        <v>185</v>
      </c>
      <c r="CB406" s="1" t="s">
        <v>661</v>
      </c>
      <c r="CC406" s="1" t="s">
        <v>662</v>
      </c>
      <c r="CD406" s="1" t="str">
        <f aca="false">VLOOKUP(M406,Eras!$A$2:$C$10, 2, TRUE())</f>
        <v>lbr</v>
      </c>
      <c r="CE406" s="1" t="s">
        <v>1583</v>
      </c>
      <c r="CF406" s="1" t="str">
        <f aca="false">CONCATENATE(CD406,"_",CE406)</f>
        <v>lbr_Mail Carriage</v>
      </c>
      <c r="CG406" s="1" t="str">
        <f aca="false">_xlfn.CONCAT(K406, "_",L406)</f>
        <v>carriage_RAIL</v>
      </c>
      <c r="CH406" s="7" t="str">
        <f aca="false">_xlfn.CONCAT("{BLACK}Length: {GOLD}", TEXT(ROUNDUP(IF(AT406&lt;&gt;"",SUM(VALUE(_xlfn.TEXTSPLIT(AT406, ","))), SUM(VALUE(_xlfn.TEXTSPLIT(AQ406, ",")))*IF(P406, P406, 1))/16, 1), "#,##0.0"), " tiles{}")</f>
        <v>{BLACK}Length: {GOLD}0.9 tiles{}</v>
      </c>
      <c r="CI406" s="1" t="n">
        <f aca="false">VLOOKUP($CG406, Constants!$M:$N, 2, FALSE())</f>
        <v>0</v>
      </c>
      <c r="CJ406" s="1" t="str">
        <f aca="false">IF(P406&gt;1,_xlfn.CONCAT("{BLACK}Cars: {GOLD}", P406),"")</f>
        <v/>
      </c>
      <c r="CK406" s="1" t="s">
        <v>1584</v>
      </c>
      <c r="CL406" s="1" t="str">
        <f aca="false">IF($BX406="!param_no_gameplay_units","{GREEN}Included for gameplay purposes","")</f>
        <v>{GREEN}Included for gameplay purposes</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
      </c>
      <c r="CN406" s="1" t="str">
        <f aca="false">_xlfn.CONCAT(CI406,IF(CI406&lt;&gt;""," ",""),CJ406,IF(OR(CJ406&lt;&gt;"",CI406&lt;&gt;""),"{}",""),CH406,CM406,"{SILVER}",CK406,IF(CL406&lt;&gt;"","{}{}",""),CL406)</f>
        <v>{BLACK}Length: {GOLD}0.9 tiles{}{SILVER}BR did not build any carriage-based utility vans after the Mk1, but this vehicle is included as a "what could have been" if HSTs and express services had included a high speed parcels car.{}{}{GREEN}Included for gameplay purposes</v>
      </c>
    </row>
    <row r="407" s="25" customFormat="true" ht="14.25" hidden="false" customHeight="false" outlineLevel="0" collapsed="false">
      <c r="A407" s="25" t="s">
        <v>1585</v>
      </c>
      <c r="B407" s="26" t="s">
        <v>1586</v>
      </c>
      <c r="C407" s="1" t="n">
        <v>3058</v>
      </c>
      <c r="D407" s="25" t="n">
        <v>3059</v>
      </c>
      <c r="E407" s="1" t="n">
        <v>1034</v>
      </c>
      <c r="G407" s="1" t="str">
        <f aca="false">IF($F407&lt;&gt;"",_xlfn.CONCAT(VLOOKUP($CE407, Constants!$T:$U, 2, FALSE()),",",$F407),VLOOKUP($CE407, Constants!$T:$U, 2, FALSE()))</f>
        <v>role/express_passenger</v>
      </c>
      <c r="H407" s="1" t="str">
        <f aca="false">IF($G407&lt;&gt;"",_xlfn.CONCAT(VLOOKUP($CG407, Constants!$M:$P, 4, FALSE()),",",$G407),VLOOKUP($CG407, Constants!$M:$P, 4, FALSE()))</f>
        <v>flag/GB,role/express_passenger</v>
      </c>
      <c r="I407" s="25" t="s">
        <v>198</v>
      </c>
      <c r="J407" s="25" t="s">
        <v>998</v>
      </c>
      <c r="K407" s="25" t="s">
        <v>659</v>
      </c>
      <c r="L407" s="25" t="s">
        <v>149</v>
      </c>
      <c r="M407" s="25" t="n">
        <v>1986</v>
      </c>
      <c r="N407" s="25" t="n">
        <v>1991</v>
      </c>
      <c r="O407" s="25" t="n">
        <v>1994</v>
      </c>
      <c r="P407" s="25" t="n">
        <v>10</v>
      </c>
      <c r="Q407" s="25" t="n">
        <v>10</v>
      </c>
      <c r="R407" s="2"/>
      <c r="S407" s="3"/>
      <c r="T407" s="3"/>
      <c r="U407" s="3"/>
      <c r="V407" s="3"/>
      <c r="W407" s="3"/>
      <c r="X407" s="3"/>
      <c r="Y407" s="3"/>
      <c r="Z407" s="25" t="n">
        <v>258.2</v>
      </c>
      <c r="AA407" s="2"/>
      <c r="AB407" s="25" t="n">
        <v>4</v>
      </c>
      <c r="AC407" s="25" t="n">
        <v>5</v>
      </c>
      <c r="AD407" s="4" t="n">
        <f aca="false">IF(AND(Z407&gt;0,AC407&gt;0),(AC407/((Z407+AA407)*10)),"")</f>
        <v>0.00193648334624322</v>
      </c>
      <c r="AE407" s="25" t="n">
        <v>140</v>
      </c>
      <c r="AF407" s="25" t="n">
        <f aca="false">ROUND(AE407*1.6, 0)</f>
        <v>224</v>
      </c>
      <c r="AI407" s="25" t="n">
        <v>20.9</v>
      </c>
      <c r="AJ407" s="25" t="n">
        <v>20.9</v>
      </c>
      <c r="AK407" s="25" t="n">
        <v>2.7</v>
      </c>
      <c r="AL407" s="25" t="n">
        <v>3.5</v>
      </c>
      <c r="AM407" s="5" t="n">
        <v>49</v>
      </c>
      <c r="AN407" s="1" t="str">
        <f aca="false">CONCATENATE(VLOOKUP(AO407, '[1]Voxel Sizes'!$A$2:$B$18,2,FALSE()),"x",INT(AK407*15), "x", INT(AL407*15))</f>
        <v>198x40x52</v>
      </c>
      <c r="AO407" s="25" t="n">
        <f aca="false">ROUND(15*((AJ407*10)/256),0)</f>
        <v>12</v>
      </c>
      <c r="AQ407" s="1" t="str">
        <f aca="false">CONCATENATE(VLOOKUP(AO407,Constants!$A$2:$C$16,IF(AP407&lt;&gt;"", 3, 2), FALSE()),IF(AP407&lt;&gt;"",CONCATENATE(",",VLOOKUP(AP407,$B:$AQ,42,FALSE())),""))</f>
        <v>4,4,4</v>
      </c>
      <c r="AS407" s="6"/>
      <c r="AT407" s="6"/>
      <c r="AU407" s="25" t="s">
        <v>1587</v>
      </c>
      <c r="AW407" s="25" t="s">
        <v>1588</v>
      </c>
      <c r="AX407" s="25" t="s">
        <v>1589</v>
      </c>
      <c r="BA407" s="25" t="n">
        <v>20</v>
      </c>
      <c r="BB407" s="16" t="n">
        <f aca="false">IF(O407&lt;&gt;"",MAX(16,(O407-M407)+8),"")</f>
        <v>16</v>
      </c>
      <c r="BC407" s="25" t="n">
        <v>-45</v>
      </c>
      <c r="BD407" s="25" t="n">
        <v>-65</v>
      </c>
      <c r="BE407" s="25" t="n">
        <f aca="false">MIN(AE407/150, 1)*30</f>
        <v>28</v>
      </c>
      <c r="BF407" s="25" t="n">
        <f aca="false">MIN(Q407/4000, 1)*20</f>
        <v>0.05</v>
      </c>
      <c r="BG407" s="25" t="n">
        <f aca="false">MIN(AC407/400,1)*20</f>
        <v>0.25</v>
      </c>
      <c r="BH407" s="4" t="n">
        <f aca="false">1-(MAX(M407-1900, 0)/750)</f>
        <v>0.885333333333333</v>
      </c>
      <c r="BI407" s="25" t="n">
        <f aca="false">((MAX($P407,1)*MIN($AM407/300,1)))*IF(J407="Wagon",50,10)</f>
        <v>16.3333333333333</v>
      </c>
      <c r="BJ407" s="1" t="n">
        <f aca="false">VLOOKUP($K407,Constants!$I:$K, 2, FALSE())</f>
        <v>0.85</v>
      </c>
      <c r="BK407" s="1" t="n">
        <f aca="false">VLOOKUP($K407,Constants!$I:$K, 3, FALSE())*IF(AND(J407="multiple_unit",AE407&lt;110),0.75,1)</f>
        <v>2.3</v>
      </c>
      <c r="BL407" s="25" t="n">
        <f aca="false">INT(POWER((([1]Constants!$G$2+$BE407+$BF407+$BG407+$BI407)*$BH407)*$BK407, 1.05))+$BD407</f>
        <v>62</v>
      </c>
      <c r="BM407" s="25" t="n">
        <f aca="false">INT(POWER(((([1]Constants!$G$1+$BE407+$BF407+$BG407+$BI407)*($BH407))*$BJ407),IF($J407="wagon",1,1.2)))+$BC407</f>
        <v>51</v>
      </c>
      <c r="BN407" s="17" t="n">
        <f aca="false">BL407*IF($J407="wagon",62.5,781.25)</f>
        <v>48437.5</v>
      </c>
      <c r="BO407" s="17" t="n">
        <f aca="false">BM407*IF($J407="wagon",2.73,81.25)</f>
        <v>4143.75</v>
      </c>
      <c r="BS407" s="25" t="n">
        <v>1</v>
      </c>
      <c r="BT407" s="25" t="n">
        <v>1</v>
      </c>
      <c r="BU407" s="25" t="s">
        <v>1590</v>
      </c>
      <c r="BX407" s="25" t="s">
        <v>1591</v>
      </c>
      <c r="BY407" s="25" t="n">
        <v>7</v>
      </c>
      <c r="BZ407" s="25" t="n">
        <v>222</v>
      </c>
      <c r="CC407" s="25" t="s">
        <v>327</v>
      </c>
      <c r="CD407" s="25" t="str">
        <f aca="false">VLOOKUP(M407,[1]Eras!$A$2:$C$10, 2, TRUE())</f>
        <v>lbr</v>
      </c>
      <c r="CE407" s="25" t="s">
        <v>842</v>
      </c>
      <c r="CF407" s="25" t="str">
        <f aca="false">CONCATENATE(CD407,"_",CE407)</f>
        <v>lbr_EMU (Express)</v>
      </c>
      <c r="CG407" s="25" t="str">
        <f aca="false">_xlfn.CONCAT(K407, "_",L407)</f>
        <v>none_RAIL</v>
      </c>
      <c r="CH407" s="7" t="str">
        <f aca="false">_xlfn.CONCAT("{BLACK}Length: {GOLD}", TEXT(ROUNDUP(IF(AT407&lt;&gt;"",SUM(VALUE(_xlfn.TEXTSPLIT(AT407, ","))), SUM(VALUE(_xlfn.TEXTSPLIT(AQ407, ",")))*IF(P407, P407, 1))/16, 1), "#,##0.0"), " tiles{}")</f>
        <v>{BLACK}Length: {GOLD}7.5 tiles{}</v>
      </c>
      <c r="CI407" s="1" t="n">
        <f aca="false">VLOOKUP($CG407, Constants!$M:$N, 2, FALSE())</f>
        <v>0</v>
      </c>
      <c r="CJ407" s="1" t="str">
        <f aca="false">IF(P407&gt;1,_xlfn.CONCAT("{BLACK}Cars: {GOLD}", P407),"")</f>
        <v>{BLACK}Cars: {GOLD}10</v>
      </c>
      <c r="CK407" s="25" t="s">
        <v>1592</v>
      </c>
      <c r="CM407" s="25" t="str">
        <f aca="false">IF(CA407="buffet","{YELLOW}25% long distance bonus for consist{}",IF(CD407="BRAKE","{YELLOW}Speed bonus for slow wagons{}",IF(BZ407&gt;190,CONCATENATE("{YELLOW}",INT((BZ407-185)/1.85),"% bonus for long distance travel{}"),IF(AND(BZ407&lt;180,BZ407&lt;&gt;0),CONCATENATE("{YELLOW}",INT((185-BZ407)/1.85),"% penalty for long distance travel{}"),""))))</f>
        <v>{YELLOW}20% bonus for long distance travel{}</v>
      </c>
      <c r="CN407" s="25" t="str">
        <f aca="false">_xlfn.CONCAT(CI407,IF(CI407 &lt;&gt; "", " ", ""),CJ407,IF(OR(CJ407&lt;&gt;"", CI407&lt;&gt;""), "{}",""), CH407, CM407,"{SILVER}", CK407)</f>
        <v>{BLACK}Cars: {GOLD}10{}{BLACK}Length: {GOLD}7.5 tiles{}{YELLOW}20% bonus for long distance travel{}{SILVER}An articulated trailer rake of APT-S Vehicles, intended to run with a Driving Motor and a DVT but also usable in other weird combinations.</v>
      </c>
    </row>
    <row r="408" s="25" customFormat="true" ht="14.25" hidden="false" customHeight="false" outlineLevel="0" collapsed="false">
      <c r="A408" s="25" t="s">
        <v>1593</v>
      </c>
      <c r="B408" s="26" t="s">
        <v>1594</v>
      </c>
      <c r="C408" s="1" t="n">
        <v>3059</v>
      </c>
      <c r="E408" s="1" t="n">
        <v>1035</v>
      </c>
      <c r="G408" s="1" t="str">
        <f aca="false">IF($F408&lt;&gt;"",_xlfn.CONCAT(VLOOKUP($CE408, Constants!$T:$U, 2, FALSE()),",",$F408),VLOOKUP($CE408, Constants!$T:$U, 2, FALSE()))</f>
        <v>role/express_passenger</v>
      </c>
      <c r="H408" s="1" t="str">
        <f aca="false">IF($G408&lt;&gt;"",_xlfn.CONCAT(VLOOKUP($CG408, Constants!$M:$P, 4, FALSE()),",",$G408),VLOOKUP($CG408, Constants!$M:$P, 4, FALSE()))</f>
        <v>flag/GB,role/express_passenger</v>
      </c>
      <c r="I408" s="25" t="s">
        <v>198</v>
      </c>
      <c r="J408" s="25" t="s">
        <v>998</v>
      </c>
      <c r="K408" s="25" t="s">
        <v>659</v>
      </c>
      <c r="L408" s="25" t="s">
        <v>149</v>
      </c>
      <c r="M408" s="25" t="n">
        <v>1986</v>
      </c>
      <c r="N408" s="25" t="n">
        <v>1991</v>
      </c>
      <c r="O408" s="25" t="n">
        <v>1994</v>
      </c>
      <c r="P408" s="25" t="n">
        <v>6</v>
      </c>
      <c r="Q408" s="25" t="n">
        <v>10</v>
      </c>
      <c r="R408" s="2"/>
      <c r="S408" s="3"/>
      <c r="T408" s="3"/>
      <c r="U408" s="3"/>
      <c r="V408" s="3"/>
      <c r="W408" s="3"/>
      <c r="X408" s="3"/>
      <c r="Y408" s="3"/>
      <c r="Z408" s="25" t="n">
        <v>209.6</v>
      </c>
      <c r="AA408" s="2"/>
      <c r="AB408" s="25" t="n">
        <v>4</v>
      </c>
      <c r="AC408" s="25" t="n">
        <v>5</v>
      </c>
      <c r="AD408" s="4" t="n">
        <f aca="false">IF(AND(Z408&gt;0,AC408&gt;0),(AC408/((Z408+AA408)*10)),"")</f>
        <v>0.00238549618320611</v>
      </c>
      <c r="AE408" s="25" t="n">
        <v>140</v>
      </c>
      <c r="AF408" s="25" t="n">
        <f aca="false">ROUND(AE408*1.6, 0)</f>
        <v>224</v>
      </c>
      <c r="AI408" s="25" t="n">
        <v>20.9</v>
      </c>
      <c r="AJ408" s="25" t="n">
        <v>20.9</v>
      </c>
      <c r="AK408" s="25" t="n">
        <v>2.7</v>
      </c>
      <c r="AL408" s="25" t="n">
        <v>3.5</v>
      </c>
      <c r="AM408" s="5" t="n">
        <v>50</v>
      </c>
      <c r="AN408" s="1" t="str">
        <f aca="false">CONCATENATE(VLOOKUP(AO408, '[1]Voxel Sizes'!$A$2:$B$18,2,FALSE()),"x",INT(AK408*15), "x", INT(AL408*15))</f>
        <v>198x40x52</v>
      </c>
      <c r="AO408" s="25" t="n">
        <f aca="false">ROUND(15*((AJ408*10)/256),0)</f>
        <v>12</v>
      </c>
      <c r="AQ408" s="1" t="str">
        <f aca="false">CONCATENATE(VLOOKUP(AO408,Constants!$A$2:$C$16,IF(AP408&lt;&gt;"", 3, 2), FALSE()),IF(AP408&lt;&gt;"",CONCATENATE(",",VLOOKUP(AP408,$B:$AQ,42,FALSE())),""))</f>
        <v>4,4,4</v>
      </c>
      <c r="AS408" s="6"/>
      <c r="AT408" s="6"/>
      <c r="AU408" s="25" t="s">
        <v>1595</v>
      </c>
      <c r="AW408" s="25" t="s">
        <v>822</v>
      </c>
      <c r="AX408" s="25" t="s">
        <v>1589</v>
      </c>
      <c r="BA408" s="25" t="n">
        <v>20</v>
      </c>
      <c r="BB408" s="16" t="n">
        <f aca="false">IF(O408&lt;&gt;"",MAX(16,(O408-M408)+8),"")</f>
        <v>16</v>
      </c>
      <c r="BC408" s="25" t="n">
        <v>-45</v>
      </c>
      <c r="BD408" s="25" t="n">
        <v>-65</v>
      </c>
      <c r="BE408" s="25" t="n">
        <f aca="false">MIN(AE408/150, 1)*30</f>
        <v>28</v>
      </c>
      <c r="BF408" s="25" t="n">
        <f aca="false">MIN(Q408/4000, 1)*20</f>
        <v>0.05</v>
      </c>
      <c r="BG408" s="25" t="n">
        <f aca="false">MIN(AC408/400,1)*20</f>
        <v>0.25</v>
      </c>
      <c r="BH408" s="4" t="n">
        <f aca="false">1-(MAX(M408-1900, 0)/750)</f>
        <v>0.885333333333333</v>
      </c>
      <c r="BI408" s="25" t="n">
        <f aca="false">((MAX($P408,1)*MIN($AM408/300,1)))*IF(J408="Wagon",50,10)</f>
        <v>10</v>
      </c>
      <c r="BJ408" s="1" t="n">
        <f aca="false">VLOOKUP($K408,Constants!$I:$K, 2, FALSE())</f>
        <v>0.85</v>
      </c>
      <c r="BK408" s="1" t="n">
        <f aca="false">VLOOKUP($K408,Constants!$I:$K, 3, FALSE())*IF(AND(J408="multiple_unit",AE408&lt;110),0.75,1)</f>
        <v>2.3</v>
      </c>
      <c r="BL408" s="25" t="n">
        <f aca="false">INT(POWER((([1]Constants!$G$2+$BE408+$BF408+$BG408+$BI408)*$BH408)*$BK408, 1.05))+$BD408</f>
        <v>45</v>
      </c>
      <c r="BM408" s="25" t="n">
        <f aca="false">INT(POWER(((([1]Constants!$G$1+$BE408+$BF408+$BG408+$BI408)*($BH408))*$BJ408),IF($J408="wagon",1,1.2)))+$BC408</f>
        <v>38</v>
      </c>
      <c r="BN408" s="17" t="n">
        <f aca="false">BL408*IF($J408="wagon",62.5,781.25)</f>
        <v>35156.25</v>
      </c>
      <c r="BO408" s="17" t="n">
        <f aca="false">BM408*IF($J408="wagon",2.73,81.25)</f>
        <v>3087.5</v>
      </c>
      <c r="BS408" s="25" t="n">
        <v>1</v>
      </c>
      <c r="BT408" s="25" t="n">
        <v>1</v>
      </c>
      <c r="BU408" s="25" t="s">
        <v>1596</v>
      </c>
      <c r="BX408" s="25" t="s">
        <v>1597</v>
      </c>
      <c r="BY408" s="25" t="n">
        <v>7</v>
      </c>
      <c r="BZ408" s="25" t="n">
        <v>222</v>
      </c>
      <c r="CC408" s="25" t="s">
        <v>327</v>
      </c>
      <c r="CD408" s="25" t="str">
        <f aca="false">VLOOKUP(M408,[1]Eras!$A$2:$C$10, 2, TRUE())</f>
        <v>lbr</v>
      </c>
      <c r="CE408" s="25" t="s">
        <v>842</v>
      </c>
      <c r="CF408" s="25" t="str">
        <f aca="false">CONCATENATE(CD408,"_",CE408)</f>
        <v>lbr_EMU (Express)</v>
      </c>
      <c r="CG408" s="25" t="str">
        <f aca="false">_xlfn.CONCAT(K408, "_",L408)</f>
        <v>none_RAIL</v>
      </c>
      <c r="CH408" s="7" t="str">
        <f aca="false">_xlfn.CONCAT("{BLACK}Length: {GOLD}", TEXT(ROUNDUP(IF(AT408&lt;&gt;"",SUM(VALUE(_xlfn.TEXTSPLIT(AT408, ","))), SUM(VALUE(_xlfn.TEXTSPLIT(AQ408, ",")))*IF(P408, P408, 1))/16, 1), "#,##0.0"), " tiles{}")</f>
        <v>{BLACK}Length: {GOLD}4.5 tiles{}</v>
      </c>
      <c r="CI408" s="1" t="n">
        <f aca="false">VLOOKUP($CG408, Constants!$M:$N, 2, FALSE())</f>
        <v>0</v>
      </c>
      <c r="CJ408" s="1" t="str">
        <f aca="false">IF(P408&gt;1,_xlfn.CONCAT("{BLACK}Cars: {GOLD}", P408),"")</f>
        <v>{BLACK}Cars: {GOLD}6</v>
      </c>
      <c r="CK408" s="25" t="s">
        <v>1592</v>
      </c>
      <c r="CM408" s="25" t="str">
        <f aca="false">IF(CA408="buffet","{YELLOW}25% long distance bonus for consist{}",IF(CD408="BRAKE","{YELLOW}Speed bonus for slow wagons{}",IF(BZ408&gt;190,CONCATENATE("{YELLOW}",INT((BZ408-185)/1.85),"% bonus for long distance travel{}"),IF(AND(BZ408&lt;180,BZ408&lt;&gt;0),CONCATENATE("{YELLOW}",INT((185-BZ408)/1.85),"% penalty for long distance travel{}"),""))))</f>
        <v>{YELLOW}20% bonus for long distance travel{}</v>
      </c>
      <c r="CN408" s="25" t="str">
        <f aca="false">_xlfn.CONCAT(CI408,IF(CI408 &lt;&gt; "", " ", ""),CJ408,IF(OR(CJ408&lt;&gt;"", CI408&lt;&gt;""), "{}",""), CH408, CM408,"{SILVER}", CK408)</f>
        <v>{BLACK}Cars: {GOLD}6{}{BLACK}Length: {GOLD}4.5 tiles{}{YELLOW}20% bonus for long distance travel{}{SILVER}An articulated trailer rake of APT-S Vehicles, intended to run with a Driving Motor and a DVT but also usable in other weird combinations.</v>
      </c>
    </row>
    <row r="409" customFormat="false" ht="14.25" hidden="false" customHeight="false" outlineLevel="0" collapsed="false">
      <c r="A409" s="1" t="s">
        <v>1598</v>
      </c>
      <c r="B409" s="15" t="s">
        <v>1599</v>
      </c>
      <c r="C409" s="1" t="n">
        <v>34</v>
      </c>
      <c r="E409" s="1" t="n">
        <v>1036</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198</v>
      </c>
      <c r="J409" s="1" t="s">
        <v>1476</v>
      </c>
      <c r="K409" s="1" t="s">
        <v>1477</v>
      </c>
      <c r="L409" s="1" t="s">
        <v>149</v>
      </c>
      <c r="M409" s="1" t="n">
        <v>1988</v>
      </c>
      <c r="Z409" s="1" t="n">
        <v>40</v>
      </c>
      <c r="AB409" s="1" t="n">
        <v>5</v>
      </c>
      <c r="AD409" s="4" t="str">
        <f aca="false">IF(AND(Z409&gt;0,AC409&gt;0),(AC409/((Z409+AA409)*10)),"")</f>
        <v/>
      </c>
      <c r="AE409" s="1" t="n">
        <v>140</v>
      </c>
      <c r="AF409" s="1" t="n">
        <f aca="false">ROUND(AE409*1.6, 0)</f>
        <v>224</v>
      </c>
      <c r="AI409" s="1" t="n">
        <v>23</v>
      </c>
      <c r="AJ409" s="1" t="n">
        <v>23</v>
      </c>
      <c r="AK409" s="1" t="n">
        <v>2.82</v>
      </c>
      <c r="AL409" s="1" t="n">
        <v>3.79</v>
      </c>
      <c r="AM409" s="5" t="n">
        <v>72</v>
      </c>
      <c r="AN409" s="1" t="str">
        <f aca="false">CONCATENATE(VLOOKUP(AO409, 'Voxel Sizes'!$A$2:$B$18,2,FALSE()),"x",INT(AK409*15), "x", INT(AL409*15))</f>
        <v>214x42x56</v>
      </c>
      <c r="AO409" s="1" t="n">
        <f aca="false">ROUND(15*((AJ409*10)/256),0)</f>
        <v>13</v>
      </c>
      <c r="AQ409" s="1" t="str">
        <f aca="false">CONCATENATE(VLOOKUP(AO409,Constants!$A$2:$C$16,IF(AP409&lt;&gt;"", 3, 2), FALSE()),IF(AP409&lt;&gt;"",CONCATENATE(",",VLOOKUP(AP409,$B:$AQ,39,FALSE())),""))</f>
        <v>4,5,4</v>
      </c>
      <c r="BA409" s="1" t="n">
        <v>30</v>
      </c>
      <c r="BB409" s="16" t="str">
        <f aca="false">IF(O409&lt;&gt;"",MAX(16,(O409-M409)+8),"")</f>
        <v/>
      </c>
      <c r="BC409" s="1" t="n">
        <v>90</v>
      </c>
      <c r="BD409" s="1" t="n">
        <f aca="false">31*3</f>
        <v>93</v>
      </c>
      <c r="BE409" s="1" t="n">
        <f aca="false">MIN(AE409/150, 1)*30</f>
        <v>28</v>
      </c>
      <c r="BF409" s="1" t="n">
        <f aca="false">MIN(Q409/4000, 1)*20</f>
        <v>0</v>
      </c>
      <c r="BG409" s="1" t="n">
        <f aca="false">MIN(AC409/400,1)*20</f>
        <v>0</v>
      </c>
      <c r="BH409" s="4" t="n">
        <f aca="false">1-(MAX(M409-1900, 0)/750)</f>
        <v>0.882666666666667</v>
      </c>
      <c r="BI409" s="1" t="n">
        <f aca="false">((MAX($P409,1)*MIN($AM409/300,1)))*IF(J409="Wagon",50,10)</f>
        <v>12</v>
      </c>
      <c r="BJ409" s="1" t="n">
        <f aca="false">VLOOKUP($K409,Constants!$I:$K, 2, FALSE())</f>
        <v>1.2</v>
      </c>
      <c r="BK409" s="1" t="n">
        <f aca="false">VLOOKUP($K409,Constants!$I:$K, 3, FALSE())*IF(AND(J409="multiple_unit",AE409&lt;110),0.75,1)</f>
        <v>0.6</v>
      </c>
      <c r="BL409" s="1" t="n">
        <f aca="false">INT(POWER(((Constants!$G$2+$BE409+$BF409+$BG409+$BI409)*$BH409)*$BK409, 1.05))+$BD409</f>
        <v>120</v>
      </c>
      <c r="BM409" s="1" t="n">
        <f aca="false">INT(POWER((((Constants!$G$1+$BE409+$BF409+$BG409+$BI409)*($BH409))*$BJ409),IF($J409="wagon",1,1.2)))+$BC409</f>
        <v>148</v>
      </c>
      <c r="BN409" s="17" t="n">
        <f aca="false">BL409*IF($J409="wagon",62.5,781.25)</f>
        <v>7500</v>
      </c>
      <c r="BO409" s="17" t="n">
        <f aca="false">BM409*IF($J409="wagon",2.73,81.25)</f>
        <v>404.04</v>
      </c>
      <c r="BY409" s="1" t="n">
        <v>7</v>
      </c>
      <c r="BZ409" s="1" t="n">
        <v>222</v>
      </c>
      <c r="CB409" s="1" t="s">
        <v>326</v>
      </c>
      <c r="CC409" s="1" t="s">
        <v>327</v>
      </c>
      <c r="CD409" s="1" t="str">
        <f aca="false">VLOOKUP(M409,Eras!$A$2:$C$10, 2, TRUE())</f>
        <v>lbr</v>
      </c>
      <c r="CE409" s="1" t="s">
        <v>1478</v>
      </c>
      <c r="CF409" s="1" t="str">
        <f aca="false">CONCATENATE(CD409,"_",CE409)</f>
        <v>lbr_Carriage</v>
      </c>
      <c r="CG409" s="1" t="str">
        <f aca="false">_xlfn.CONCAT(K409, "_",L409)</f>
        <v>carriage_RAIL</v>
      </c>
      <c r="CH409" s="7" t="str">
        <f aca="false">_xlfn.CONCAT("{BLACK}Length: {GOLD}", TEXT(ROUNDUP(IF(AT409&lt;&gt;"",SUM(VALUE(_xlfn.TEXTSPLIT(AT409, ","))), SUM(VALUE(_xlfn.TEXTSPLIT(AQ409, ",")))*IF(P409, P409, 1))/16, 1), "#,##0.0"), " tiles{}")</f>
        <v>{BLACK}Length: {GOLD}0.9 tiles{}</v>
      </c>
      <c r="CI409" s="1" t="n">
        <f aca="false">VLOOKUP($CG409, Constants!$M:$N, 2, FALSE())</f>
        <v>0</v>
      </c>
      <c r="CJ409" s="1" t="str">
        <f aca="false">IF(P409&gt;1,_xlfn.CONCAT("{BLACK}Cars: {GOLD}", P409),"")</f>
        <v/>
      </c>
      <c r="CK409" s="1" t="s">
        <v>1600</v>
      </c>
      <c r="CL409" s="1" t="str">
        <f aca="fals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{YELLOW}20% bonus for long distance travel{}</v>
      </c>
      <c r="CN409" s="1" t="str">
        <f aca="false">_xlfn.CONCAT(CI409,IF(CI409&lt;&gt;""," ",""),CJ409,IF(OR(CJ409&lt;&gt;"",CI409&lt;&gt;""),"{}",""),CH409,CM409,"{SILVER}",CK409,IF(CL409&lt;&gt;"","{}{}",""),CL409)</f>
        <v>{BLACK}Length: {GOLD}0.9 tiles{}{YELLOW}20% bonus for long distance travel{}{SILVER}The Mk4 carriage is a further improvement on the Mk3. It's designed for use with the Class 91 for Intercity 225 services. Access is improved with greater consideration for wheelchair users.</v>
      </c>
    </row>
    <row r="410" customFormat="false" ht="14.25" hidden="false" customHeight="false" outlineLevel="0" collapsed="false">
      <c r="A410" s="1" t="s">
        <v>1601</v>
      </c>
      <c r="B410" s="15" t="s">
        <v>1602</v>
      </c>
      <c r="C410" s="1" t="n">
        <v>35</v>
      </c>
      <c r="D410" s="1" t="n">
        <v>34</v>
      </c>
      <c r="E410" s="1" t="n">
        <v>1037</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198</v>
      </c>
      <c r="J410" s="1" t="s">
        <v>1476</v>
      </c>
      <c r="K410" s="1" t="s">
        <v>1477</v>
      </c>
      <c r="L410" s="1" t="s">
        <v>149</v>
      </c>
      <c r="M410" s="1" t="n">
        <v>1988</v>
      </c>
      <c r="Z410" s="1" t="n">
        <v>40</v>
      </c>
      <c r="AB410" s="1" t="n">
        <v>4</v>
      </c>
      <c r="AD410" s="4" t="str">
        <f aca="false">IF(AND(Z410&gt;0,AC410&gt;0),(AC410/((Z410+AA410)*10)),"")</f>
        <v/>
      </c>
      <c r="AE410" s="1" t="n">
        <v>140</v>
      </c>
      <c r="AF410" s="1" t="n">
        <f aca="false">ROUND(AE410*1.6, 0)</f>
        <v>224</v>
      </c>
      <c r="AI410" s="1" t="n">
        <v>23</v>
      </c>
      <c r="AJ410" s="1" t="n">
        <v>23</v>
      </c>
      <c r="AK410" s="1" t="n">
        <v>2.82</v>
      </c>
      <c r="AL410" s="1" t="n">
        <v>3.79</v>
      </c>
      <c r="AM410" s="5" t="n">
        <v>48</v>
      </c>
      <c r="AN410" s="1" t="str">
        <f aca="false">CONCATENATE(VLOOKUP(AO410, 'Voxel Sizes'!$A$2:$B$18,2,FALSE()),"x",INT(AK410*15), "x", INT(AL410*15))</f>
        <v>214x42x56</v>
      </c>
      <c r="AO410" s="1" t="n">
        <f aca="false">ROUND(15*((AJ410*10)/256),0)</f>
        <v>13</v>
      </c>
      <c r="AQ410" s="1" t="str">
        <f aca="false">CONCATENATE(VLOOKUP(AO410,Constants!$A$2:$C$16,IF(AP410&lt;&gt;"", 3, 2), FALSE()),IF(AP410&lt;&gt;"",CONCATENATE(",",VLOOKUP(AP410,$B:$AQ,39,FALSE())),""))</f>
        <v>4,5,4</v>
      </c>
      <c r="BA410" s="1" t="n">
        <v>30</v>
      </c>
      <c r="BB410" s="16" t="str">
        <f aca="false">IF(O410&lt;&gt;"",MAX(16,(O410-M410)+8),"")</f>
        <v/>
      </c>
      <c r="BC410" s="1" t="n">
        <v>145</v>
      </c>
      <c r="BD410" s="1" t="n">
        <v>123</v>
      </c>
      <c r="BE410" s="1" t="n">
        <f aca="false">MIN(AE410/150, 1)*30</f>
        <v>28</v>
      </c>
      <c r="BF410" s="1" t="n">
        <f aca="false">MIN(Q410/4000, 1)*20</f>
        <v>0</v>
      </c>
      <c r="BG410" s="1" t="n">
        <f aca="false">MIN(AC410/400,1)*20</f>
        <v>0</v>
      </c>
      <c r="BH410" s="4" t="n">
        <f aca="false">1-(MAX(M410-1900, 0)/750)</f>
        <v>0.882666666666667</v>
      </c>
      <c r="BI410" s="1" t="n">
        <f aca="false">((MAX($P410,1)*MIN($AM410/300,1)))*IF(J410="Wagon",50,10)</f>
        <v>8</v>
      </c>
      <c r="BJ410" s="1" t="n">
        <f aca="false">VLOOKUP($K410,Constants!$I:$K, 2, FALSE())</f>
        <v>1.2</v>
      </c>
      <c r="BK410" s="1" t="n">
        <f aca="false">VLOOKUP($K410,Constants!$I:$K, 3, FALSE())*IF(AND(J410="multiple_unit",AE410&lt;110),0.75,1)</f>
        <v>0.6</v>
      </c>
      <c r="BL410" s="1" t="n">
        <f aca="false">INT(POWER(((Constants!$G$2+$BE410+$BF410+$BG410+$BI410)*$BH410)*$BK410, 1.05))+$BD410</f>
        <v>148</v>
      </c>
      <c r="BM410" s="1" t="n">
        <f aca="false">INT(POWER((((Constants!$G$1+$BE410+$BF410+$BG410+$BI410)*($BH410))*$BJ410),IF($J410="wagon",1,1.2)))+$BC410</f>
        <v>199</v>
      </c>
      <c r="BN410" s="17" t="n">
        <f aca="false">BL410*IF($J410="wagon",62.5,781.25)</f>
        <v>9250</v>
      </c>
      <c r="BO410" s="17" t="n">
        <f aca="false">BM410*IF($J410="wagon",2.73,81.25)</f>
        <v>543.27</v>
      </c>
      <c r="BY410" s="1" t="n">
        <v>7</v>
      </c>
      <c r="BZ410" s="1" t="n">
        <v>250</v>
      </c>
      <c r="CB410" s="1" t="s">
        <v>326</v>
      </c>
      <c r="CC410" s="1" t="s">
        <v>327</v>
      </c>
      <c r="CD410" s="1" t="str">
        <f aca="false">VLOOKUP(M410,Eras!$A$2:$C$10, 2, TRUE())</f>
        <v>lbr</v>
      </c>
      <c r="CE410" s="1" t="s">
        <v>1478</v>
      </c>
      <c r="CF410" s="1" t="str">
        <f aca="false">CONCATENATE(CD410,"_",CE410)</f>
        <v>lbr_Carriage</v>
      </c>
      <c r="CG410" s="1"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1" t="s">
        <v>1603</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{YELLOW}35% bonus for long distance travel{}</v>
      </c>
      <c r="CN410" s="1" t="str">
        <f aca="false">_xlfn.CONCAT(CI410,IF(CI410&lt;&gt;""," ",""),CJ410,IF(OR(CJ410&lt;&gt;"",CI410&lt;&gt;""),"{}",""),CH410,CM410,"{SILVER}",CK410,IF(CL410&lt;&gt;"","{}{}",""),CL410)</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1" customFormat="false" ht="14.25" hidden="false" customHeight="false" outlineLevel="0" collapsed="false">
      <c r="A411" s="1" t="s">
        <v>1604</v>
      </c>
      <c r="B411" s="15" t="s">
        <v>1605</v>
      </c>
      <c r="C411" s="1" t="n">
        <v>36</v>
      </c>
      <c r="D411" s="1" t="n">
        <v>34</v>
      </c>
      <c r="E411" s="1" t="n">
        <v>1038</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198</v>
      </c>
      <c r="J411" s="1" t="s">
        <v>1476</v>
      </c>
      <c r="K411" s="1" t="s">
        <v>1477</v>
      </c>
      <c r="L411" s="1" t="s">
        <v>149</v>
      </c>
      <c r="M411" s="1" t="n">
        <v>1988</v>
      </c>
      <c r="Z411" s="1" t="n">
        <v>42</v>
      </c>
      <c r="AB411" s="1" t="n">
        <v>4</v>
      </c>
      <c r="AD411" s="4" t="str">
        <f aca="false">IF(AND(Z411&gt;0,AC411&gt;0),(AC411/((Z411+AA411)*10)),"")</f>
        <v/>
      </c>
      <c r="AE411" s="1" t="n">
        <v>140</v>
      </c>
      <c r="AF411" s="1" t="n">
        <f aca="false">ROUND(AE411*1.6, 0)</f>
        <v>224</v>
      </c>
      <c r="AI411" s="1" t="n">
        <v>23</v>
      </c>
      <c r="AJ411" s="1" t="n">
        <v>23</v>
      </c>
      <c r="AK411" s="1" t="n">
        <v>2.82</v>
      </c>
      <c r="AL411" s="1" t="n">
        <v>3.79</v>
      </c>
      <c r="AM411" s="5" t="n">
        <v>24</v>
      </c>
      <c r="AN411" s="1" t="str">
        <f aca="false">CONCATENATE(VLOOKUP(AO411, 'Voxel Sizes'!$A$2:$B$18,2,FALSE()),"x",INT(AK411*15), "x", INT(AL411*15))</f>
        <v>214x42x56</v>
      </c>
      <c r="AO411" s="1" t="n">
        <f aca="false">ROUND(15*((AJ411*10)/256),0)</f>
        <v>13</v>
      </c>
      <c r="AQ411" s="1" t="str">
        <f aca="false">CONCATENATE(VLOOKUP(AO411,Constants!$A$2:$C$16,IF(AP411&lt;&gt;"", 3, 2), FALSE()),IF(AP411&lt;&gt;"",CONCATENATE(",",VLOOKUP(AP411,$B:$AQ,39,FALSE())),""))</f>
        <v>4,5,4</v>
      </c>
      <c r="BA411" s="1" t="n">
        <v>30</v>
      </c>
      <c r="BB411" s="16" t="str">
        <f aca="false">IF(O411&lt;&gt;"",MAX(16,(O411-M411)+8),"")</f>
        <v/>
      </c>
      <c r="BC411" s="1" t="n">
        <v>1350</v>
      </c>
      <c r="BD411" s="1" t="n">
        <v>190</v>
      </c>
      <c r="BE411" s="1" t="n">
        <f aca="false">MIN(AE411/150, 1)*30</f>
        <v>28</v>
      </c>
      <c r="BF411" s="1" t="n">
        <f aca="false">MIN(Q411/4000, 1)*20</f>
        <v>0</v>
      </c>
      <c r="BG411" s="1" t="n">
        <f aca="false">MIN(AC411/400,1)*20</f>
        <v>0</v>
      </c>
      <c r="BH411" s="4" t="n">
        <f aca="false">1-(MAX(M411-1900, 0)/750)</f>
        <v>0.882666666666667</v>
      </c>
      <c r="BI411" s="1" t="n">
        <f aca="false">((MAX($P411,1)*MIN($AM411/300,1)))*IF(J411="Wagon",50,10)</f>
        <v>4</v>
      </c>
      <c r="BJ411" s="1" t="n">
        <f aca="false">VLOOKUP($K411,Constants!$I:$K, 2, FALSE())</f>
        <v>1.2</v>
      </c>
      <c r="BK411" s="1" t="n">
        <f aca="false">VLOOKUP($K411,Constants!$I:$K, 3, FALSE())*IF(AND(J411="multiple_unit",AE411&lt;110),0.75,1)</f>
        <v>0.6</v>
      </c>
      <c r="BL411" s="1" t="n">
        <f aca="false">INT(POWER(((Constants!$G$2+$BE411+$BF411+$BG411+$BI411)*$BH411)*$BK411, 1.05))+$BD411</f>
        <v>212</v>
      </c>
      <c r="BM411" s="1" t="n">
        <f aca="false">INT(POWER((((Constants!$G$1+$BE411+$BF411+$BG411+$BI411)*($BH411))*$BJ411),IF($J411="wagon",1,1.2)))+$BC411</f>
        <v>1399</v>
      </c>
      <c r="BN411" s="17" t="n">
        <f aca="false">BL411*IF($J411="wagon",62.5,781.25)</f>
        <v>13250</v>
      </c>
      <c r="BO411" s="17" t="n">
        <f aca="false">BM411*IF($J411="wagon",2.73,81.25)</f>
        <v>3819.27</v>
      </c>
      <c r="BY411" s="1" t="n">
        <v>7</v>
      </c>
      <c r="BZ411" s="1" t="n">
        <v>250</v>
      </c>
      <c r="CA411" s="1" t="s">
        <v>960</v>
      </c>
      <c r="CB411" s="1" t="s">
        <v>326</v>
      </c>
      <c r="CC411" s="1" t="s">
        <v>327</v>
      </c>
      <c r="CD411" s="1" t="str">
        <f aca="false">VLOOKUP(M411,Eras!$A$2:$C$10, 2, TRUE())</f>
        <v>lbr</v>
      </c>
      <c r="CE411" s="1" t="s">
        <v>1478</v>
      </c>
      <c r="CF411" s="1" t="str">
        <f aca="false">CONCATENATE(CD411,"_",CE411)</f>
        <v>lbr_Carriage</v>
      </c>
      <c r="CG411" s="1"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1" t="s">
        <v>1606</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{YELLOW}25% long distance bonus for consist{}</v>
      </c>
      <c r="CN411" s="1" t="str">
        <f aca="false">_xlfn.CONCAT(CI411,IF(CI411&lt;&gt;""," ",""),CJ411,IF(OR(CJ411&lt;&gt;"",CI411&lt;&gt;""),"{}",""),CH411,CM411,"{SILVER}",CK411,IF(CL411&lt;&gt;"","{}{}",""),CL411)</f>
        <v>{BLACK}Length: {GOLD}0.9 tiles{}{YELLOW}25% long distance bonus for consist{}{SILVER}Intercity 225 formations included restaurant cars from their introduction, initially as first class RFB cars.</v>
      </c>
    </row>
    <row r="412" customFormat="false" ht="14.25" hidden="false" customHeight="false" outlineLevel="0" collapsed="false">
      <c r="A412" s="1" t="s">
        <v>1607</v>
      </c>
      <c r="B412" s="15" t="s">
        <v>1608</v>
      </c>
      <c r="C412" s="1" t="n">
        <v>37</v>
      </c>
      <c r="D412" s="1" t="n">
        <v>34</v>
      </c>
      <c r="E412" s="1" t="n">
        <v>1039</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198</v>
      </c>
      <c r="J412" s="1" t="s">
        <v>1476</v>
      </c>
      <c r="K412" s="1" t="s">
        <v>1477</v>
      </c>
      <c r="L412" s="1" t="s">
        <v>149</v>
      </c>
      <c r="M412" s="1" t="n">
        <v>2018</v>
      </c>
      <c r="Z412" s="1" t="n">
        <v>42</v>
      </c>
      <c r="AB412" s="1" t="n">
        <v>4</v>
      </c>
      <c r="AD412" s="4" t="str">
        <f aca="false">IF(AND(Z412&gt;0,AC412&gt;0),(AC412/((Z412+AA412)*10)),"")</f>
        <v/>
      </c>
      <c r="AE412" s="1" t="n">
        <v>140</v>
      </c>
      <c r="AF412" s="1" t="n">
        <f aca="false">ROUND(AE412*1.6, 0)</f>
        <v>224</v>
      </c>
      <c r="AI412" s="1" t="n">
        <v>23</v>
      </c>
      <c r="AJ412" s="1" t="n">
        <v>23</v>
      </c>
      <c r="AK412" s="1" t="n">
        <v>2.82</v>
      </c>
      <c r="AL412" s="1" t="n">
        <v>3.79</v>
      </c>
      <c r="AM412" s="5" t="n">
        <v>30</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1150</v>
      </c>
      <c r="BD412" s="1" t="n">
        <v>160</v>
      </c>
      <c r="BE412" s="1" t="n">
        <f aca="false">MIN(AE412/150, 1)*30</f>
        <v>28</v>
      </c>
      <c r="BF412" s="1" t="n">
        <f aca="false">MIN(Q412/4000, 1)*20</f>
        <v>0</v>
      </c>
      <c r="BG412" s="1" t="n">
        <f aca="false">MIN(AC412/400,1)*20</f>
        <v>0</v>
      </c>
      <c r="BH412" s="4" t="n">
        <f aca="false">1-(MAX(M412-1900, 0)/750)</f>
        <v>0.842666666666667</v>
      </c>
      <c r="BI412" s="1" t="n">
        <f aca="false">((MAX($P412,1)*MIN($AM412/300,1)))*IF(J412="Wagon",50,10)</f>
        <v>5</v>
      </c>
      <c r="BJ412" s="1" t="n">
        <f aca="false">VLOOKUP($K412,Constants!$I:$K, 2, FALSE())</f>
        <v>1.2</v>
      </c>
      <c r="BK412" s="1" t="n">
        <f aca="false">VLOOKUP($K412,Constants!$I:$K, 3, FALSE())*IF(AND(J412="multiple_unit",AE412&lt;110),0.75,1)</f>
        <v>0.6</v>
      </c>
      <c r="BL412" s="1" t="n">
        <f aca="false">INT(POWER(((Constants!$G$2+$BE412+$BF412+$BG412+$BI412)*$BH412)*$BK412, 1.05))+$BD412</f>
        <v>182</v>
      </c>
      <c r="BM412" s="1" t="n">
        <f aca="false">INT(POWER((((Constants!$G$1+$BE412+$BF412+$BG412+$BI412)*($BH412))*$BJ412),IF($J412="wagon",1,1.2)))+$BC412</f>
        <v>1198</v>
      </c>
      <c r="BN412" s="17" t="n">
        <f aca="false">BL412*IF($J412="wagon",62.5,781.25)</f>
        <v>11375</v>
      </c>
      <c r="BO412" s="17" t="n">
        <f aca="false">BM412*IF($J412="wagon",2.73,81.25)</f>
        <v>3270.54</v>
      </c>
      <c r="BY412" s="1" t="n">
        <v>2</v>
      </c>
      <c r="BZ412" s="1" t="n">
        <v>222</v>
      </c>
      <c r="CA412" s="1" t="s">
        <v>960</v>
      </c>
      <c r="CB412" s="1" t="s">
        <v>326</v>
      </c>
      <c r="CC412" s="1" t="s">
        <v>327</v>
      </c>
      <c r="CD412" s="1" t="str">
        <f aca="false">VLOOKUP(M412,Eras!$A$2:$C$10, 2, TRUE())</f>
        <v>mod</v>
      </c>
      <c r="CE412" s="1" t="s">
        <v>1478</v>
      </c>
      <c r="CF412" s="1" t="str">
        <f aca="false">CONCATENATE(CD412,"_",CE412)</f>
        <v>mod_Carriage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1609</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{YELLOW}25% long distance bonus for consist{}</v>
      </c>
      <c r="CN412" s="1" t="str">
        <f aca="false">_xlfn.CONCAT(CI412,IF(CI412&lt;&gt;""," ",""),CJ412,IF(OR(CJ412&lt;&gt;"",CI412&lt;&gt;""),"{}",""),CH412,CM412,"{SILVER}",CK412,IF(CL412&lt;&gt;"","{}{}",""),CL412)</f>
        <v>{BLACK}Length: {GOLD}0.9 tiles{}{YELLOW}25% long distance bonus for consist{}{SILVER}As LNER took over East Coast Express services, RSB cars with standard-class seating were introduced, allowing more passengers to sit in the buffet car.</v>
      </c>
    </row>
    <row r="413" customFormat="false" ht="14.25" hidden="false" customHeight="false" outlineLevel="0" collapsed="false">
      <c r="A413" s="1" t="s">
        <v>1610</v>
      </c>
      <c r="B413" s="15" t="s">
        <v>1611</v>
      </c>
      <c r="C413" s="1" t="n">
        <v>38</v>
      </c>
      <c r="D413" s="1" t="n">
        <v>34</v>
      </c>
      <c r="E413" s="1" t="n">
        <v>1040</v>
      </c>
      <c r="G413" s="1" t="str">
        <f aca="false">IF($F413&lt;&gt;"",_xlfn.CONCAT(VLOOKUP($CE413, Constants!$T:$U, 2, FALSE()),",",$F413),VLOOKUP($CE413, Constants!$T:$U, 2, FALSE()))</f>
        <v>role/mail</v>
      </c>
      <c r="H413" s="1" t="str">
        <f aca="false">IF($G413&lt;&gt;"",_xlfn.CONCAT(VLOOKUP($CG413, Constants!$M:$P, 4, FALSE()),",",$G413),VLOOKUP($CG413, Constants!$M:$P, 4, FALSE()))</f>
        <v>flag/GB,role/mail</v>
      </c>
      <c r="I413" s="1" t="s">
        <v>198</v>
      </c>
      <c r="J413" s="1" t="s">
        <v>1476</v>
      </c>
      <c r="K413" s="1" t="s">
        <v>1477</v>
      </c>
      <c r="L413" s="1" t="s">
        <v>149</v>
      </c>
      <c r="M413" s="1" t="n">
        <v>1991</v>
      </c>
      <c r="Z413" s="1" t="n">
        <v>40</v>
      </c>
      <c r="AB413" s="1" t="n">
        <v>5</v>
      </c>
      <c r="AD413" s="4" t="str">
        <f aca="false">IF(AND(Z413&gt;0,AC413&gt;0),(AC413/((Z413+AA413)*10)),"")</f>
        <v/>
      </c>
      <c r="AE413" s="1" t="n">
        <v>140</v>
      </c>
      <c r="AF413" s="1" t="n">
        <f aca="false">ROUND(AE413*1.6, 0)</f>
        <v>224</v>
      </c>
      <c r="AI413" s="1" t="n">
        <v>23</v>
      </c>
      <c r="AJ413" s="1" t="n">
        <v>23</v>
      </c>
      <c r="AK413" s="1" t="n">
        <v>2.82</v>
      </c>
      <c r="AL413" s="1" t="n">
        <v>3.79</v>
      </c>
      <c r="AM413" s="5" t="n">
        <v>78</v>
      </c>
      <c r="AN413" s="1" t="str">
        <f aca="false">CONCATENATE(VLOOKUP(AO413, 'Voxel Sizes'!$A$2:$B$18,2,FALSE()),"x",INT(AK413*15), "x", INT(AL413*15))</f>
        <v>214x42x56</v>
      </c>
      <c r="AO413" s="1" t="n">
        <f aca="false">ROUND(15*((AJ413*10)/256),0)</f>
        <v>13</v>
      </c>
      <c r="AQ413" s="1" t="str">
        <f aca="false">CONCATENATE(VLOOKUP(AO413,Constants!$A$2:$C$16,IF(AP413&lt;&gt;"", 3, 2), FALSE()),IF(AP413&lt;&gt;"",CONCATENATE(",",VLOOKUP(AP413,$B:$AQ,39,FALSE())),""))</f>
        <v>4,5,4</v>
      </c>
      <c r="BA413" s="1" t="n">
        <v>30</v>
      </c>
      <c r="BB413" s="16" t="str">
        <f aca="false">IF(O413&lt;&gt;"",MAX(16,(O413-M413)+8),"")</f>
        <v/>
      </c>
      <c r="BC413" s="1" t="n">
        <v>90</v>
      </c>
      <c r="BD413" s="1" t="n">
        <f aca="false">31*3</f>
        <v>93</v>
      </c>
      <c r="BE413" s="1" t="n">
        <f aca="false">MIN(AE413/150, 1)*30</f>
        <v>28</v>
      </c>
      <c r="BF413" s="1" t="n">
        <f aca="false">MIN(Q413/4000, 1)*20</f>
        <v>0</v>
      </c>
      <c r="BG413" s="1" t="n">
        <f aca="false">MIN(AC413/400,1)*20</f>
        <v>0</v>
      </c>
      <c r="BH413" s="4" t="n">
        <f aca="false">1-(MAX(M413-1900, 0)/750)</f>
        <v>0.878666666666667</v>
      </c>
      <c r="BI413" s="1" t="n">
        <f aca="false">((MAX($P413,1)*MIN($AM413/300,1)))*IF(J413="Wagon",50,10)</f>
        <v>13</v>
      </c>
      <c r="BJ413" s="1" t="n">
        <f aca="false">VLOOKUP($K413,Constants!$I:$K, 2, FALSE())</f>
        <v>1.2</v>
      </c>
      <c r="BK413" s="1" t="n">
        <f aca="false">VLOOKUP($K413,Constants!$I:$K, 3, FALSE())*IF(AND(J413="multiple_unit",AE413&lt;110),0.75,1)</f>
        <v>0.6</v>
      </c>
      <c r="BL413" s="1" t="n">
        <f aca="false">INT(POWER(((Constants!$G$2+$BE413+$BF413+$BG413+$BI413)*$BH413)*$BK413, 1.05))+$BD413</f>
        <v>121</v>
      </c>
      <c r="BM413" s="1" t="n">
        <f aca="false">INT(POWER((((Constants!$G$1+$BE413+$BF413+$BG413+$BI413)*($BH413))*$BJ413),IF($J413="wagon",1,1.2)))+$BC413</f>
        <v>149</v>
      </c>
      <c r="BN413" s="17" t="n">
        <f aca="false">BL413*IF($J413="wagon",62.5,781.25)</f>
        <v>7562.5</v>
      </c>
      <c r="BO413" s="17" t="n">
        <f aca="false">BM413*IF($J413="wagon",2.73,81.25)</f>
        <v>406.77</v>
      </c>
      <c r="BX413" s="1" t="s">
        <v>1557</v>
      </c>
      <c r="BY413" s="1" t="n">
        <v>5</v>
      </c>
      <c r="BZ413" s="1" t="n">
        <v>185</v>
      </c>
      <c r="CB413" s="1" t="s">
        <v>661</v>
      </c>
      <c r="CC413" s="1" t="s">
        <v>662</v>
      </c>
      <c r="CD413" s="1" t="str">
        <f aca="false">VLOOKUP(M413,Eras!$A$2:$C$10, 2, TRUE())</f>
        <v>lbr</v>
      </c>
      <c r="CE413" s="1" t="s">
        <v>1583</v>
      </c>
      <c r="CF413" s="1" t="str">
        <f aca="false">CONCATENATE(CD413,"_",CE413)</f>
        <v>lbr_Mail Carriage</v>
      </c>
      <c r="CG413" s="1" t="str">
        <f aca="false">_xlfn.CONCAT(K413, "_",L413)</f>
        <v>carriage_RAIL</v>
      </c>
      <c r="CH413" s="7" t="str">
        <f aca="false">_xlfn.CONCAT("{BLACK}Length: {GOLD}", TEXT(ROUNDUP(IF(AT413&lt;&gt;"",SUM(VALUE(_xlfn.TEXTSPLIT(AT413, ","))), SUM(VALUE(_xlfn.TEXTSPLIT(AQ413, ",")))*IF(P413, P413, 1))/16, 1), "#,##0.0"), " tiles{}")</f>
        <v>{BLACK}Length: {GOLD}0.9 tiles{}</v>
      </c>
      <c r="CI413" s="1" t="n">
        <f aca="false">VLOOKUP($CG413, Constants!$M:$N, 2, FALSE())</f>
        <v>0</v>
      </c>
      <c r="CJ413" s="1" t="str">
        <f aca="false">IF(P413&gt;1,_xlfn.CONCAT("{BLACK}Cars: {GOLD}", P413),"")</f>
        <v/>
      </c>
      <c r="CK413" s="1" t="s">
        <v>1612</v>
      </c>
      <c r="CL413" s="1" t="str">
        <f aca="false">IF($BX413="!param_no_gameplay_units","{GREEN}Included for gameplay purposes","")</f>
        <v>{GREEN}Included for gameplay purposes</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
      </c>
      <c r="CN413" s="1" t="str">
        <f aca="false">_xlfn.CONCAT(CI413,IF(CI413&lt;&gt;""," ",""),CJ413,IF(OR(CJ413&lt;&gt;"",CI413&lt;&gt;""),"{}",""),CH413,CM413,"{SILVER}",CK413,IF(CL413&lt;&gt;"","{}{}",""),CL413)</f>
        <v>{BLACK}Length: {GOLD}0.9 tiles{}{SILVER}By the time the Mk4 was introduced, the end of post on the rail was in sight, with Travelling Post Office services ceasing in 1996. But what if BR had continued to build parcel vans?{}{}{GREEN}Included for gameplay purposes</v>
      </c>
    </row>
    <row r="414" s="25" customFormat="true" ht="14.25" hidden="false" customHeight="false" outlineLevel="0" collapsed="false">
      <c r="A414" s="25" t="s">
        <v>1613</v>
      </c>
      <c r="B414" s="26" t="s">
        <v>1614</v>
      </c>
      <c r="C414" s="1" t="n">
        <v>3124</v>
      </c>
      <c r="D414" s="25" t="n">
        <v>3125</v>
      </c>
      <c r="E414" s="1" t="n">
        <v>1041</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25" t="s">
        <v>198</v>
      </c>
      <c r="J414" s="25" t="s">
        <v>998</v>
      </c>
      <c r="K414" s="25" t="s">
        <v>1501</v>
      </c>
      <c r="L414" s="25" t="s">
        <v>149</v>
      </c>
      <c r="M414" s="25" t="n">
        <v>1997</v>
      </c>
      <c r="P414" s="25" t="n">
        <v>7</v>
      </c>
      <c r="R414" s="2"/>
      <c r="S414" s="3"/>
      <c r="T414" s="3"/>
      <c r="U414" s="3"/>
      <c r="V414" s="3"/>
      <c r="W414" s="3"/>
      <c r="X414" s="3"/>
      <c r="Y414" s="3"/>
      <c r="Z414" s="25" t="n">
        <v>363.4</v>
      </c>
      <c r="AA414" s="2"/>
      <c r="AB414" s="25" t="n">
        <v>3</v>
      </c>
      <c r="AD414" s="4" t="str">
        <f aca="false">IF(AND(Z414&gt;0,AC414&gt;0),(AC414/((Z414+AA414)*10)),"")</f>
        <v/>
      </c>
      <c r="AE414" s="25" t="n">
        <v>125</v>
      </c>
      <c r="AF414" s="25" t="n">
        <f aca="false">ROUND(AE414*1.6, 0)</f>
        <v>200</v>
      </c>
      <c r="AI414" s="25" t="n">
        <v>23</v>
      </c>
      <c r="AJ414" s="25" t="n">
        <v>23</v>
      </c>
      <c r="AK414" s="25" t="n">
        <v>2.82</v>
      </c>
      <c r="AL414" s="25" t="n">
        <v>3.79</v>
      </c>
      <c r="AM414" s="5" t="n">
        <v>25</v>
      </c>
      <c r="AN414" s="1" t="str">
        <f aca="false">CONCATENATE(VLOOKUP(AO414, '[1]Voxel Sizes'!$A$2:$B$18,2,FALSE()),"x",INT(AK414*15), "x", INT(AL414*15))</f>
        <v>214x42x56</v>
      </c>
      <c r="AO414" s="25" t="n">
        <f aca="false">ROUND(15*((AJ414*10)/256),0)</f>
        <v>13</v>
      </c>
      <c r="AQ414" s="1" t="str">
        <f aca="false">CONCATENATE(VLOOKUP(AO414,Constants!$A$2:$C$16,IF(AP414&lt;&gt;"", 3, 2), FALSE()),IF(AP414&lt;&gt;"",CONCATENATE(",",VLOOKUP(AP414,$B:$AQ,42,FALSE())),""))</f>
        <v>4,5,4</v>
      </c>
      <c r="AS414" s="6"/>
      <c r="AT414" s="6"/>
      <c r="AU414" s="25" t="s">
        <v>1615</v>
      </c>
      <c r="AW414" s="25" t="s">
        <v>1616</v>
      </c>
      <c r="AX414" s="25" t="s">
        <v>1617</v>
      </c>
      <c r="AZ414" s="1"/>
      <c r="BA414" s="25" t="n">
        <v>30</v>
      </c>
      <c r="BB414" s="16" t="str">
        <f aca="false">IF(O414&lt;&gt;"",MAX(16,(O414-M414)+8),"")</f>
        <v/>
      </c>
      <c r="BC414" s="25" t="n">
        <v>170</v>
      </c>
      <c r="BD414" s="25" t="n">
        <v>80</v>
      </c>
      <c r="BE414" s="25" t="n">
        <f aca="false">MIN(AE414/150, 1)*30</f>
        <v>25</v>
      </c>
      <c r="BF414" s="25" t="n">
        <f aca="false">MIN(Q414/4000, 1)*20</f>
        <v>0</v>
      </c>
      <c r="BG414" s="25" t="n">
        <f aca="false">MIN(AC414/400,1)*20</f>
        <v>0</v>
      </c>
      <c r="BH414" s="4" t="n">
        <f aca="false">1-(MAX(M414-1900, 0)/750)</f>
        <v>0.870666666666667</v>
      </c>
      <c r="BI414" s="25" t="n">
        <f aca="false">((MAX($P414,1)*MIN($AM414/300,1)))*IF(J414="Wagon",50,10)</f>
        <v>5.83333333333333</v>
      </c>
      <c r="BJ414" s="1" t="n">
        <f aca="false">VLOOKUP($K414,Constants!$I:$K, 2, FALSE())</f>
        <v>1.5</v>
      </c>
      <c r="BK414" s="1" t="n">
        <f aca="false">VLOOKUP($K414,Constants!$I:$K, 3, FALSE())*IF(AND(J414="multiple_unit",AE414&lt;110),0.75,1)</f>
        <v>0.7</v>
      </c>
      <c r="BL414" s="25" t="n">
        <f aca="false">INT(POWER((([1]Constants!$G$2+$BE414+$BF414+$BG414+$BI414)*$BH414)*$BK414, 1.05))+$BD414</f>
        <v>105</v>
      </c>
      <c r="BM414" s="25" t="n">
        <f aca="false">INT(POWER(((([1]Constants!$G$1+$BE414+$BF414+$BG414+$BI414)*($BH414))*$BJ414),IF($J414="wagon",1,1.2)))+$BC414</f>
        <v>305</v>
      </c>
      <c r="BN414" s="17" t="n">
        <f aca="false">BL414*IF($J414="wagon",62.5,781.25)</f>
        <v>82031.25</v>
      </c>
      <c r="BO414" s="17" t="n">
        <f aca="false">BM414*IF($J414="wagon",2.73,81.25)</f>
        <v>24781.25</v>
      </c>
      <c r="BY414" s="25" t="n">
        <v>2</v>
      </c>
      <c r="BZ414" s="25" t="n">
        <v>185</v>
      </c>
      <c r="CA414" s="25" t="s">
        <v>1618</v>
      </c>
      <c r="CB414" s="25" t="s">
        <v>326</v>
      </c>
      <c r="CC414" s="25" t="s">
        <v>327</v>
      </c>
      <c r="CD414" s="25" t="str">
        <f aca="false">VLOOKUP(M414,[1]Eras!$A$2:$C$10, 2, TRUE())</f>
        <v>prv</v>
      </c>
      <c r="CE414" s="25" t="s">
        <v>1478</v>
      </c>
      <c r="CF414" s="25" t="str">
        <f aca="false">CONCATENATE(CD414,"_",CE414)</f>
        <v>prv_Carriage</v>
      </c>
      <c r="CG414" s="25" t="str">
        <f aca="false">_xlfn.CONCAT(K414, "_",L414)</f>
        <v>luxury_carriage_RAIL</v>
      </c>
      <c r="CH414" s="7" t="str">
        <f aca="false">_xlfn.CONCAT("{BLACK}Length: {GOLD}", TEXT(ROUNDUP(IF(AT414&lt;&gt;"",SUM(VALUE(_xlfn.TEXTSPLIT(AT414, ","))), SUM(VALUE(_xlfn.TEXTSPLIT(AQ414, ",")))*IF(P414, P414, 1))/16, 1), "#,##0.0"), " tiles{}")</f>
        <v>{BLACK}Length: {GOLD}5.7 tiles{}</v>
      </c>
      <c r="CI414" s="1" t="n">
        <f aca="false">VLOOKUP($CG414, Constants!$M:$N, 2, FALSE())</f>
        <v>0</v>
      </c>
      <c r="CJ414" s="1" t="str">
        <f aca="false">IF(P414&gt;1,_xlfn.CONCAT("{BLACK}Cars: {GOLD}", P414),"")</f>
        <v>{BLACK}Cars: {GOLD}7</v>
      </c>
      <c r="CK414" s="25" t="s">
        <v>1619</v>
      </c>
      <c r="CM414" s="25" t="s">
        <v>1620</v>
      </c>
      <c r="CN414" s="25" t="str">
        <f aca="false">_xlfn.CONCAT(CI414,IF(CI414 &lt;&gt; "", " ", ""),CJ414,IF(OR(CJ414&lt;&gt;"", CI414&lt;&gt;""), "{}",""), CH414, CM414,"{SILVER}", CK414)</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15" s="25" customFormat="true" ht="14.25" hidden="false" customHeight="false" outlineLevel="0" collapsed="false">
      <c r="A415" s="25" t="s">
        <v>1621</v>
      </c>
      <c r="B415" s="26" t="s">
        <v>1622</v>
      </c>
      <c r="C415" s="1" t="n">
        <v>3125</v>
      </c>
      <c r="E415" s="1" t="n">
        <v>1042</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25" t="s">
        <v>198</v>
      </c>
      <c r="J415" s="25" t="s">
        <v>998</v>
      </c>
      <c r="K415" s="25" t="s">
        <v>1501</v>
      </c>
      <c r="L415" s="25" t="s">
        <v>149</v>
      </c>
      <c r="M415" s="25" t="n">
        <v>1997</v>
      </c>
      <c r="P415" s="25" t="n">
        <v>8</v>
      </c>
      <c r="R415" s="2"/>
      <c r="S415" s="3"/>
      <c r="T415" s="3"/>
      <c r="U415" s="3"/>
      <c r="V415" s="3"/>
      <c r="W415" s="3"/>
      <c r="X415" s="3"/>
      <c r="Y415" s="3"/>
      <c r="Z415" s="25" t="n">
        <v>419.8</v>
      </c>
      <c r="AA415" s="2"/>
      <c r="AB415" s="25" t="n">
        <v>3</v>
      </c>
      <c r="AD415" s="4" t="str">
        <f aca="false">IF(AND(Z415&gt;0,AC415&gt;0),(AC415/((Z415+AA415)*10)),"")</f>
        <v/>
      </c>
      <c r="AE415" s="25" t="n">
        <v>125</v>
      </c>
      <c r="AF415" s="25" t="n">
        <f aca="false">ROUND(AE415*1.6, 0)</f>
        <v>200</v>
      </c>
      <c r="AI415" s="25" t="n">
        <v>23</v>
      </c>
      <c r="AJ415" s="25" t="n">
        <v>23</v>
      </c>
      <c r="AK415" s="25" t="n">
        <v>2.82</v>
      </c>
      <c r="AL415" s="25" t="n">
        <v>3.79</v>
      </c>
      <c r="AM415" s="5" t="n">
        <v>25</v>
      </c>
      <c r="AN415" s="1" t="str">
        <f aca="false">CONCATENATE(VLOOKUP(AO415, '[1]Voxel Sizes'!$A$2:$B$18,2,FALSE()),"x",INT(AK415*15), "x", INT(AL415*15))</f>
        <v>214x42x56</v>
      </c>
      <c r="AO415" s="25" t="n">
        <f aca="false">ROUND(15*((AJ415*10)/256),0)</f>
        <v>13</v>
      </c>
      <c r="AQ415" s="1" t="str">
        <f aca="false">CONCATENATE(VLOOKUP(AO415,Constants!$A$2:$C$16,IF(AP415&lt;&gt;"", 3, 2), FALSE()),IF(AP415&lt;&gt;"",CONCATENATE(",",VLOOKUP(AP415,$B:$AQ,42,FALSE())),""))</f>
        <v>4,5,4</v>
      </c>
      <c r="AS415" s="6"/>
      <c r="AT415" s="6"/>
      <c r="AU415" s="25" t="s">
        <v>1623</v>
      </c>
      <c r="AW415" s="25" t="s">
        <v>943</v>
      </c>
      <c r="AX415" s="25" t="s">
        <v>1617</v>
      </c>
      <c r="AZ415" s="1"/>
      <c r="BA415" s="25" t="n">
        <v>30</v>
      </c>
      <c r="BB415" s="16" t="str">
        <f aca="false">IF(O415&lt;&gt;"",MAX(16,(O415-M415)+8),"")</f>
        <v/>
      </c>
      <c r="BC415" s="25" t="n">
        <v>180</v>
      </c>
      <c r="BD415" s="25" t="n">
        <v>90</v>
      </c>
      <c r="BE415" s="25" t="n">
        <f aca="false">MIN(AE415/150, 1)*30</f>
        <v>25</v>
      </c>
      <c r="BF415" s="25" t="n">
        <f aca="false">MIN(Q415/4000, 1)*20</f>
        <v>0</v>
      </c>
      <c r="BG415" s="25" t="n">
        <f aca="false">MIN(AC415/400,1)*20</f>
        <v>0</v>
      </c>
      <c r="BH415" s="4" t="n">
        <f aca="false">1-(MAX(M415-1900, 0)/750)</f>
        <v>0.870666666666667</v>
      </c>
      <c r="BI415" s="25" t="n">
        <f aca="false">((MAX($P415,1)*MIN($AM415/300,1)))*IF(J415="Wagon",50,10)</f>
        <v>6.66666666666667</v>
      </c>
      <c r="BJ415" s="1" t="n">
        <f aca="false">VLOOKUP($K415,Constants!$I:$K, 2, FALSE())</f>
        <v>1.5</v>
      </c>
      <c r="BK415" s="1" t="n">
        <f aca="false">VLOOKUP($K415,Constants!$I:$K, 3, FALSE())*IF(AND(J415="multiple_unit",AE415&lt;110),0.75,1)</f>
        <v>0.7</v>
      </c>
      <c r="BL415" s="25" t="n">
        <f aca="false">INT(POWER((([1]Constants!$G$2+$BE415+$BF415+$BG415+$BI415)*$BH415)*$BK415, 1.05))+$BD415</f>
        <v>116</v>
      </c>
      <c r="BM415" s="25" t="n">
        <f aca="false">INT(POWER(((([1]Constants!$G$1+$BE415+$BF415+$BG415+$BI415)*($BH415))*$BJ415),IF($J415="wagon",1,1.2)))+$BC415</f>
        <v>318</v>
      </c>
      <c r="BN415" s="17" t="n">
        <f aca="false">BL415*IF($J415="wagon",62.5,781.25)</f>
        <v>90625</v>
      </c>
      <c r="BO415" s="17" t="n">
        <f aca="false">BM415*IF($J415="wagon",2.73,81.25)</f>
        <v>25837.5</v>
      </c>
      <c r="BY415" s="25" t="n">
        <v>2</v>
      </c>
      <c r="BZ415" s="25" t="n">
        <v>185</v>
      </c>
      <c r="CA415" s="25" t="s">
        <v>1618</v>
      </c>
      <c r="CB415" s="25" t="s">
        <v>326</v>
      </c>
      <c r="CC415" s="25" t="s">
        <v>327</v>
      </c>
      <c r="CD415" s="25" t="str">
        <f aca="false">VLOOKUP(M415,[1]Eras!$A$2:$C$10, 2, TRUE())</f>
        <v>prv</v>
      </c>
      <c r="CE415" s="25" t="s">
        <v>1478</v>
      </c>
      <c r="CF415" s="25" t="str">
        <f aca="false">CONCATENATE(CD415,"_",CE415)</f>
        <v>prv_Carriage</v>
      </c>
      <c r="CG415" s="25" t="str">
        <f aca="false">_xlfn.CONCAT(K415, "_",L415)</f>
        <v>luxury_carriage_RAIL</v>
      </c>
      <c r="CH415" s="7" t="str">
        <f aca="false">_xlfn.CONCAT("{BLACK}Length: {GOLD}", TEXT(ROUNDUP(IF(AT415&lt;&gt;"",SUM(VALUE(_xlfn.TEXTSPLIT(AT415, ","))), SUM(VALUE(_xlfn.TEXTSPLIT(AQ415, ",")))*IF(P415, P415, 1))/16, 1), "#,##0.0"), " tiles{}")</f>
        <v>{BLACK}Length: {GOLD}6.5 tiles{}</v>
      </c>
      <c r="CI415" s="1" t="n">
        <f aca="false">VLOOKUP($CG415, Constants!$M:$N, 2, FALSE())</f>
        <v>0</v>
      </c>
      <c r="CJ415" s="1" t="str">
        <f aca="false">IF(P415&gt;1,_xlfn.CONCAT("{BLACK}Cars: {GOLD}", P415),"")</f>
        <v>{BLACK}Cars: {GOLD}8</v>
      </c>
      <c r="CK415" s="25" t="s">
        <v>1624</v>
      </c>
      <c r="CM415" s="25" t="s">
        <v>1620</v>
      </c>
      <c r="CN415" s="25" t="str">
        <f aca="false">_xlfn.CONCAT(CI415,IF(CI415 &lt;&gt; "", " ", ""),CJ415,IF(OR(CJ415&lt;&gt;"", CI415&lt;&gt;""), "{}",""), CH415, CM415,"{SILVER}", CK415)</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16" s="25" customFormat="true" ht="14.25" hidden="false" customHeight="false" outlineLevel="0" collapsed="false">
      <c r="A416" s="25" t="s">
        <v>1625</v>
      </c>
      <c r="B416" s="26" t="s">
        <v>1626</v>
      </c>
      <c r="C416" s="1" t="n">
        <v>3126</v>
      </c>
      <c r="D416" s="25" t="n">
        <v>3125</v>
      </c>
      <c r="E416" s="1" t="n">
        <v>1043</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25" t="s">
        <v>198</v>
      </c>
      <c r="J416" s="25" t="s">
        <v>1476</v>
      </c>
      <c r="K416" s="25" t="s">
        <v>1627</v>
      </c>
      <c r="L416" s="25" t="s">
        <v>149</v>
      </c>
      <c r="M416" s="25" t="n">
        <v>1997</v>
      </c>
      <c r="R416" s="2"/>
      <c r="S416" s="3"/>
      <c r="T416" s="3"/>
      <c r="U416" s="3"/>
      <c r="V416" s="3"/>
      <c r="W416" s="3"/>
      <c r="X416" s="3"/>
      <c r="Y416" s="3"/>
      <c r="Z416" s="25" t="n">
        <v>46.1</v>
      </c>
      <c r="AA416" s="2"/>
      <c r="AB416" s="25" t="n">
        <v>3</v>
      </c>
      <c r="AD416" s="4" t="str">
        <f aca="false">IF(AND(Z416&gt;0,AC416&gt;0),(AC416/((Z416+AA416)*10)),"")</f>
        <v/>
      </c>
      <c r="AE416" s="25" t="n">
        <v>125</v>
      </c>
      <c r="AF416" s="25" t="n">
        <f aca="false">ROUND(AE416*1.6, 0)</f>
        <v>200</v>
      </c>
      <c r="AI416" s="25" t="n">
        <v>23</v>
      </c>
      <c r="AJ416" s="25" t="n">
        <v>23</v>
      </c>
      <c r="AK416" s="25" t="n">
        <v>2.82</v>
      </c>
      <c r="AL416" s="25" t="n">
        <v>3.79</v>
      </c>
      <c r="AM416" s="5" t="n">
        <v>0</v>
      </c>
      <c r="AN416" s="1" t="str">
        <f aca="false">CONCATENATE(VLOOKUP(AO416, '[1]Voxel Sizes'!$A$2:$B$18,2,FALSE()),"x",INT(AK416*15), "x", INT(AL416*15))</f>
        <v>214x42x56</v>
      </c>
      <c r="AO416" s="25" t="n">
        <f aca="false">ROUND(15*((AJ416*10)/256),0)</f>
        <v>13</v>
      </c>
      <c r="AQ416" s="1" t="str">
        <f aca="false">CONCATENATE(VLOOKUP(AO416,Constants!$A$2:$C$16,IF(AP416&lt;&gt;"", 3, 2), FALSE()),IF(AP416&lt;&gt;"",CONCATENATE(",",VLOOKUP(AP416,$B:$AQ,42,FALSE())),""))</f>
        <v>4,5,4</v>
      </c>
      <c r="AS416" s="6"/>
      <c r="AT416" s="6"/>
      <c r="AZ416" s="1"/>
      <c r="BA416" s="25" t="n">
        <v>30</v>
      </c>
      <c r="BB416" s="16" t="str">
        <f aca="false">IF(O416&lt;&gt;"",MAX(16,(O416-M416)+8),"")</f>
        <v/>
      </c>
      <c r="BC416" s="25" t="n">
        <v>1250</v>
      </c>
      <c r="BD416" s="25" t="n">
        <v>150</v>
      </c>
      <c r="BE416" s="25" t="n">
        <f aca="false">MIN(AE416/150, 1)*30</f>
        <v>25</v>
      </c>
      <c r="BF416" s="25" t="n">
        <f aca="false">MIN(Q416/4000, 1)*20</f>
        <v>0</v>
      </c>
      <c r="BG416" s="25" t="n">
        <f aca="false">MIN(AC416/400,1)*20</f>
        <v>0</v>
      </c>
      <c r="BH416" s="4" t="n">
        <f aca="false">1-(MAX(M416-1900, 0)/750)</f>
        <v>0.870666666666667</v>
      </c>
      <c r="BI416" s="25" t="n">
        <f aca="false">((MAX($P416,1)*MIN($AM416/300,1)))*IF(J416="Wagon",50,10)</f>
        <v>0</v>
      </c>
      <c r="BJ416" s="1" t="n">
        <f aca="false">VLOOKUP($K416,Constants!$I:$K, 2, FALSE())</f>
        <v>1</v>
      </c>
      <c r="BK416" s="1" t="n">
        <f aca="false">VLOOKUP($K416,Constants!$I:$K, 3, FALSE())*IF(AND(J416="multiple_unit",AE416&lt;110),0.75,1)</f>
        <v>1.5</v>
      </c>
      <c r="BL416" s="25" t="n">
        <f aca="false">INT(POWER((([1]Constants!$G$2+$BE416+$BF416+$BG416+$BI416)*$BH416)*$BK416, 1.05))+$BD416</f>
        <v>197</v>
      </c>
      <c r="BM416" s="25" t="n">
        <f aca="false">INT(POWER(((([1]Constants!$G$1+$BE416+$BF416+$BG416+$BI416)*($BH416))*$BJ416),IF($J416="wagon",1,1.2)))+$BC416</f>
        <v>1284</v>
      </c>
      <c r="BN416" s="17" t="n">
        <f aca="false">BL416*IF($J416="wagon",62.5,781.25)</f>
        <v>12312.5</v>
      </c>
      <c r="BO416" s="17" t="n">
        <f aca="false">BM416*IF($J416="wagon",2.73,81.25)</f>
        <v>3505.32</v>
      </c>
      <c r="BY416" s="25" t="n">
        <v>2</v>
      </c>
      <c r="BZ416" s="25" t="n">
        <v>185</v>
      </c>
      <c r="CA416" s="25" t="s">
        <v>1627</v>
      </c>
      <c r="CB416" s="25" t="s">
        <v>326</v>
      </c>
      <c r="CC416" s="25" t="s">
        <v>327</v>
      </c>
      <c r="CD416" s="25" t="str">
        <f aca="false">VLOOKUP(M416,[1]Eras!$A$2:$C$10, 2, TRUE())</f>
        <v>prv</v>
      </c>
      <c r="CE416" s="25" t="s">
        <v>1478</v>
      </c>
      <c r="CF416" s="25" t="str">
        <f aca="false">CONCATENATE(CD416,"_",CE416)</f>
        <v>prv_Carriage</v>
      </c>
      <c r="CG416" s="25" t="str">
        <f aca="false">_xlfn.CONCAT(K416, "_",L416)</f>
        <v>generator_car_RAIL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25" t="s">
        <v>1628</v>
      </c>
      <c r="CM416" s="25" t="str">
        <f aca="false">IF(CA416="buffet","{YELLOW}25% long distance bonus for consist{}",IF(CD416="BRAKE","{YELLOW}Speed bonus for slow wagons{}",IF(BZ416&gt;190,CONCATENATE("{YELLOW}",INT((BZ416-185)/1.85),"% bonus for long distance travel{}"),IF(AND(BZ416&lt;180,BZ416&lt;&gt;0),CONCATENATE("{YELLOW}",INT((185-BZ416)/1.85),"% penalty for long distance travel{}"),""))))</f>
        <v/>
      </c>
      <c r="CN416" s="25" t="str">
        <f aca="false">_xlfn.CONCAT(CI416,IF(CI416 &lt;&gt; "", " ", ""),CJ416,IF(OR(CJ416&lt;&gt;"", CI416&lt;&gt;""), "{}",""), CH416, CM416,"{SILVER}", CK416)</f>
        <v>{BLACK}Length: {GOLD}0.9 tiles{}{SILVER}The Nightstar rolling stock was so power-hungry that a number of Mk3 Sleepers were converted with 450 kVA generator sets for use when away from electrified areas.</v>
      </c>
    </row>
    <row r="417" s="25" customFormat="true" ht="14.25" hidden="false" customHeight="false" outlineLevel="0" collapsed="false">
      <c r="A417" s="25" t="s">
        <v>1629</v>
      </c>
      <c r="B417" s="26" t="s">
        <v>1630</v>
      </c>
      <c r="C417" s="1" t="n">
        <v>3127</v>
      </c>
      <c r="D417" s="25" t="n">
        <v>3125</v>
      </c>
      <c r="E417" s="1" t="n">
        <v>1044</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25" t="s">
        <v>198</v>
      </c>
      <c r="J417" s="25" t="s">
        <v>1476</v>
      </c>
      <c r="K417" s="25" t="s">
        <v>1627</v>
      </c>
      <c r="L417" s="25" t="s">
        <v>149</v>
      </c>
      <c r="M417" s="25" t="n">
        <v>1997</v>
      </c>
      <c r="R417" s="2"/>
      <c r="S417" s="3"/>
      <c r="T417" s="3"/>
      <c r="U417" s="3"/>
      <c r="V417" s="3"/>
      <c r="W417" s="3"/>
      <c r="X417" s="3"/>
      <c r="Y417" s="3"/>
      <c r="Z417" s="25" t="n">
        <v>46.1</v>
      </c>
      <c r="AA417" s="2"/>
      <c r="AB417" s="25" t="n">
        <v>3</v>
      </c>
      <c r="AD417" s="4" t="str">
        <f aca="false">IF(AND(Z417&gt;0,AC417&gt;0),(AC417/((Z417+AA417)*10)),"")</f>
        <v/>
      </c>
      <c r="AE417" s="25" t="n">
        <v>125</v>
      </c>
      <c r="AF417" s="25" t="n">
        <f aca="false">ROUND(AE417*1.6, 0)</f>
        <v>200</v>
      </c>
      <c r="AI417" s="25" t="n">
        <v>23</v>
      </c>
      <c r="AJ417" s="25" t="n">
        <v>23</v>
      </c>
      <c r="AK417" s="25" t="n">
        <v>2.82</v>
      </c>
      <c r="AL417" s="25" t="n">
        <v>3.79</v>
      </c>
      <c r="AM417" s="5" t="n">
        <v>0</v>
      </c>
      <c r="AN417" s="1" t="str">
        <f aca="false">CONCATENATE(VLOOKUP(AO417, '[1]Voxel Sizes'!$A$2:$B$18,2,FALSE()),"x",INT(AK417*15), "x", INT(AL417*15))</f>
        <v>214x42x56</v>
      </c>
      <c r="AO417" s="25" t="n">
        <f aca="false">ROUND(15*((AJ417*10)/256),0)</f>
        <v>13</v>
      </c>
      <c r="AQ417" s="1" t="str">
        <f aca="false">CONCATENATE(VLOOKUP(AO417,Constants!$A$2:$C$16,IF(AP417&lt;&gt;"", 3, 2), FALSE()),IF(AP417&lt;&gt;"",CONCATENATE(",",VLOOKUP(AP417,$B:$AQ,42,FALSE())),""))</f>
        <v>4,5,4</v>
      </c>
      <c r="AS417" s="6"/>
      <c r="AT417" s="6"/>
      <c r="AZ417" s="1"/>
      <c r="BA417" s="25" t="n">
        <v>30</v>
      </c>
      <c r="BB417" s="16" t="str">
        <f aca="false">IF(O417&lt;&gt;"",MAX(16,(O417-M417)+8),"")</f>
        <v/>
      </c>
      <c r="BC417" s="25" t="n">
        <v>1250</v>
      </c>
      <c r="BD417" s="25" t="n">
        <v>150</v>
      </c>
      <c r="BE417" s="25" t="n">
        <f aca="false">MIN(AE417/150, 1)*30</f>
        <v>25</v>
      </c>
      <c r="BF417" s="25" t="n">
        <f aca="false">MIN(Q417/4000, 1)*20</f>
        <v>0</v>
      </c>
      <c r="BG417" s="25" t="n">
        <f aca="false">MIN(AC417/400,1)*20</f>
        <v>0</v>
      </c>
      <c r="BH417" s="4" t="n">
        <f aca="false">1-(MAX(M417-1900, 0)/750)</f>
        <v>0.870666666666667</v>
      </c>
      <c r="BI417" s="25" t="n">
        <f aca="false">((MAX($P417,1)*MIN($AM417/300,1)))*IF(J417="Wagon",50,10)</f>
        <v>0</v>
      </c>
      <c r="BJ417" s="1" t="n">
        <f aca="false">VLOOKUP($K417,Constants!$I:$K, 2, FALSE())</f>
        <v>1</v>
      </c>
      <c r="BK417" s="1" t="n">
        <f aca="false">VLOOKUP($K417,Constants!$I:$K, 3, FALSE())*IF(AND(J417="multiple_unit",AE417&lt;110),0.75,1)</f>
        <v>1.5</v>
      </c>
      <c r="BL417" s="25" t="n">
        <f aca="false">INT(POWER((([1]Constants!$G$2+$BE417+$BF417+$BG417+$BI417)*$BH417)*$BK417, 1.05))+$BD417</f>
        <v>197</v>
      </c>
      <c r="BM417" s="25" t="n">
        <f aca="false">INT(POWER(((([1]Constants!$G$1+$BE417+$BF417+$BG417+$BI417)*($BH417))*$BJ417),IF($J417="wagon",1,1.2)))+$BC417</f>
        <v>1284</v>
      </c>
      <c r="BN417" s="17" t="n">
        <f aca="false">BL417*IF($J417="wagon",62.5,781.25)</f>
        <v>12312.5</v>
      </c>
      <c r="BO417" s="17" t="n">
        <f aca="false">BM417*IF($J417="wagon",2.73,81.25)</f>
        <v>3505.32</v>
      </c>
      <c r="BY417" s="25" t="n">
        <v>2</v>
      </c>
      <c r="BZ417" s="25" t="n">
        <v>185</v>
      </c>
      <c r="CA417" s="25" t="s">
        <v>1627</v>
      </c>
      <c r="CB417" s="25" t="s">
        <v>326</v>
      </c>
      <c r="CC417" s="25" t="s">
        <v>327</v>
      </c>
      <c r="CD417" s="25" t="str">
        <f aca="false">VLOOKUP(M417,[1]Eras!$A$2:$C$10, 2, TRUE())</f>
        <v>prv</v>
      </c>
      <c r="CE417" s="25" t="s">
        <v>1478</v>
      </c>
      <c r="CF417" s="25" t="str">
        <f aca="false">CONCATENATE(CD417,"_",CE417)</f>
        <v>prv_Carriage</v>
      </c>
      <c r="CG417" s="25" t="str">
        <f aca="false">_xlfn.CONCAT(K417, "_",L417)</f>
        <v>generator_car_RAIL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25" t="s">
        <v>1628</v>
      </c>
      <c r="CM417" s="25" t="str">
        <f aca="false">IF(CA417="buffet","{YELLOW}25% long distance bonus for consist{}",IF(CD417="BRAKE","{YELLOW}Speed bonus for slow wagons{}",IF(BZ417&gt;190,CONCATENATE("{YELLOW}",INT((BZ417-185)/1.85),"% bonus for long distance travel{}"),IF(AND(BZ417&lt;180,BZ417&lt;&gt;0),CONCATENATE("{YELLOW}",INT((185-BZ417)/1.85),"% penalty for long distance travel{}"),""))))</f>
        <v/>
      </c>
      <c r="CN417" s="25" t="str">
        <f aca="false">_xlfn.CONCAT(CI417,IF(CI417 &lt;&gt; "", " ", ""),CJ417,IF(OR(CJ417&lt;&gt;"", CI417&lt;&gt;""), "{}",""), CH417, CM417,"{SILVER}", CK417)</f>
        <v>{BLACK}Length: {GOLD}0.9 tiles{}{SILVER}The Nightstar rolling stock was so power-hungry that a number of Mk3 Sleepers were converted with 450 kVA generator sets for use when away from electrified areas.</v>
      </c>
    </row>
    <row r="418" customFormat="false" ht="14.25" hidden="false" customHeight="false" outlineLevel="0" collapsed="false">
      <c r="A418" s="1" t="s">
        <v>1631</v>
      </c>
      <c r="B418" s="19" t="s">
        <v>1632</v>
      </c>
      <c r="C418" s="1" t="n">
        <v>1017</v>
      </c>
      <c r="E418" s="1" t="n">
        <v>1045</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1" t="s">
        <v>198</v>
      </c>
      <c r="J418" s="1" t="s">
        <v>1476</v>
      </c>
      <c r="K418" s="1" t="s">
        <v>1477</v>
      </c>
      <c r="L418" s="1" t="s">
        <v>149</v>
      </c>
      <c r="M418" s="1" t="n">
        <v>2017</v>
      </c>
      <c r="Z418" s="1" t="n">
        <v>40</v>
      </c>
      <c r="AB418" s="1" t="n">
        <v>5</v>
      </c>
      <c r="AD418" s="4" t="str">
        <f aca="false">IF(AND(Z418&gt;0,AC418&gt;0),(AC418/((Z418+AA418)*10)),"")</f>
        <v/>
      </c>
      <c r="AE418" s="1" t="n">
        <v>125</v>
      </c>
      <c r="AF418" s="1" t="n">
        <f aca="false">ROUND(AE418*1.6, 0)</f>
        <v>200</v>
      </c>
      <c r="AI418" s="1" t="n">
        <v>23</v>
      </c>
      <c r="AJ418" s="1" t="n">
        <v>23</v>
      </c>
      <c r="AM418" s="5" t="n">
        <v>57</v>
      </c>
      <c r="AN418" s="16" t="s">
        <v>753</v>
      </c>
      <c r="AO418" s="16" t="n">
        <f aca="false">ROUND(15*((AJ418*10)/256),0)</f>
        <v>13</v>
      </c>
      <c r="AQ418" s="16" t="s">
        <v>1633</v>
      </c>
      <c r="BA418" s="1" t="n">
        <v>30</v>
      </c>
      <c r="BB418" s="16" t="str">
        <f aca="false">IF(O418&lt;&gt;"",MAX(16,(O418-M418)+8),"")</f>
        <v/>
      </c>
      <c r="BC418" s="1" t="n">
        <v>85</v>
      </c>
      <c r="BD418" s="1" t="n">
        <v>85</v>
      </c>
      <c r="BE418" s="20" t="n">
        <f aca="false">MIN(AE418/150, 1)*30</f>
        <v>25</v>
      </c>
      <c r="BF418" s="20" t="n">
        <f aca="false">MIN(Q418/4000, 1)*20</f>
        <v>0</v>
      </c>
      <c r="BG418" s="20" t="n">
        <f aca="false">MIN(AC418/400,1)*20</f>
        <v>0</v>
      </c>
      <c r="BH418" s="21" t="n">
        <f aca="false">1-(MAX(M418-1900, 0)/750)</f>
        <v>0.844</v>
      </c>
      <c r="BI418" s="20" t="n">
        <f aca="false">((MAX($P418,1)*MIN($AM418/300,1)))*IF(J418="Wagon",50,10)</f>
        <v>9.5</v>
      </c>
      <c r="BJ418" s="1" t="n">
        <f aca="false">VLOOKUP($K418,Constants!$I:$K, 2, FALSE())</f>
        <v>1.2</v>
      </c>
      <c r="BK418" s="1" t="n">
        <f aca="false">VLOOKUP($K418,Constants!$I:$K, 3, FALSE())*IF(AND(J418="multiple_unit",AE418&lt;110),0.75,1)</f>
        <v>0.6</v>
      </c>
      <c r="BL418" s="1" t="n">
        <f aca="false">INT(POWER(((Constants!$G$2+$BE418+$BF418+$BG418+$BI418)*$BH418)*$BK418, 1.05))+$BD418</f>
        <v>108</v>
      </c>
      <c r="BM418" s="1" t="n">
        <f aca="false">INT(POWER((((Constants!$G$1+$BE418+$BF418+$BG418+$BI418)*($BH418))*$BJ418),IF($J418="wagon",1,1.2)))+$BC418</f>
        <v>135</v>
      </c>
      <c r="BN418" s="17" t="n">
        <f aca="false">BL418*IF($J418="wagon",62.5,781.25)</f>
        <v>6750</v>
      </c>
      <c r="BO418" s="17" t="n">
        <f aca="false">BM418*IF($J418="wagon",2.73,81.25)</f>
        <v>368.55</v>
      </c>
      <c r="BY418" s="1" t="n">
        <v>1</v>
      </c>
      <c r="BZ418" s="1" t="n">
        <v>222</v>
      </c>
      <c r="CB418" s="1" t="s">
        <v>326</v>
      </c>
      <c r="CC418" s="1" t="s">
        <v>327</v>
      </c>
      <c r="CD418" s="23" t="s">
        <v>754</v>
      </c>
      <c r="CE418" s="25" t="s">
        <v>1478</v>
      </c>
      <c r="CF418" s="23" t="str">
        <f aca="false">CONCATENATE(CD418,"_",CE418)</f>
        <v>mod_Carriage</v>
      </c>
      <c r="CG418" s="23" t="str">
        <f aca="false">_xlfn.CONCAT(K418, "_",L418)</f>
        <v>carriage_RAIL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1" t="s">
        <v>1634</v>
      </c>
      <c r="CL418" s="1" t="str">
        <f aca="false">IF($BX418="!param_no_gameplay_units","{GREEN}Included for gameplay purposes","")</f>
        <v/>
      </c>
      <c r="CM418" s="1" t="str">
        <f aca="false">IF(CA418="buffet","{YELLOW}25% long distance bonus for consist{}",IF(CB418="DANDY","{YELLOW}Faster downhill speeds for horse-drawn trains (1 required per 2 horses){}",IF(CB418="BRAKE","{YELLOW}Speed bonus for slow wagons{}",IF(CB418="NGPassengers","{YELLOW}Preserved railway bonus: passengers pay more when hauled by old locomotives{}",IF(AND(BZ418&gt;190,NOT(AND(L418="NARROW_GAUGE",CB418&lt;&gt;"PASS"))),CONCATENATE("{YELLOW}",INT((BZ418-185)/1.85),"% bonus for long distance travel{}"),IF(AND(BZ418&lt;180,BZ418&lt;&gt;0),CONCATENATE("{YELLOW}",INT((185-BZ418)/1.85),"% penalty for long distance travel{}"),""))))))</f>
        <v>{YELLOW}20% bonus for long distance travel{}</v>
      </c>
      <c r="CN418" s="1" t="str">
        <f aca="false">_xlfn.CONCAT(CI418,IF(CI418&lt;&gt;""," ",""),CJ418,IF(OR(CJ418&lt;&gt;"",CI418&lt;&gt;""),"{}",""),CH418,CM418,"{SILVER}",CK418,IF(CL418&lt;&gt;"","{}{}",""),CL418)</f>
        <v>{BLACK}Length: {GOLD}0.9 tiles{}{YELLOW}20% bonus for long distance travel{}{SILVER}The Mark 5A was built for loco-hauled services on the TransPennine Express, but was withdrawn barely four years after introduction.</v>
      </c>
    </row>
    <row r="419" s="25" customFormat="true" ht="14.25" hidden="false" customHeight="false" outlineLevel="0" collapsed="false">
      <c r="A419" s="25" t="s">
        <v>1635</v>
      </c>
      <c r="B419" s="26" t="s">
        <v>1636</v>
      </c>
      <c r="C419" s="1" t="n">
        <v>3128</v>
      </c>
      <c r="E419" s="1" t="n">
        <v>1046</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5" t="s">
        <v>198</v>
      </c>
      <c r="J419" s="25" t="s">
        <v>1476</v>
      </c>
      <c r="K419" s="25" t="s">
        <v>1477</v>
      </c>
      <c r="L419" s="25" t="s">
        <v>149</v>
      </c>
      <c r="M419" s="25" t="n">
        <v>2018</v>
      </c>
      <c r="R419" s="2"/>
      <c r="S419" s="3"/>
      <c r="T419" s="3"/>
      <c r="U419" s="3"/>
      <c r="V419" s="3"/>
      <c r="W419" s="3"/>
      <c r="X419" s="3"/>
      <c r="Y419" s="3"/>
      <c r="Z419" s="25" t="n">
        <v>43</v>
      </c>
      <c r="AA419" s="2"/>
      <c r="AB419" s="25" t="n">
        <v>3</v>
      </c>
      <c r="AD419" s="4" t="str">
        <f aca="false">IF(AND(Z419&gt;0,AC419&gt;0),(AC419/((Z419+AA419)*10)),"")</f>
        <v/>
      </c>
      <c r="AE419" s="25" t="n">
        <v>125</v>
      </c>
      <c r="AF419" s="25" t="n">
        <f aca="false">ROUND(AE419*1.6, 0)</f>
        <v>200</v>
      </c>
      <c r="AI419" s="25" t="n">
        <v>22.2</v>
      </c>
      <c r="AJ419" s="25" t="n">
        <v>22</v>
      </c>
      <c r="AK419" s="25" t="n">
        <v>2.75</v>
      </c>
      <c r="AL419" s="25" t="n">
        <v>3.79</v>
      </c>
      <c r="AM419" s="5" t="n">
        <v>10</v>
      </c>
      <c r="AN419" s="1" t="str">
        <f aca="false">CONCATENATE(VLOOKUP(AO419, '[1]Voxel Sizes'!$A$2:$B$18,2,FALSE()),"x",INT(AK419*15), "x", INT(AL419*15))</f>
        <v>214x41x56</v>
      </c>
      <c r="AO419" s="25" t="n">
        <f aca="false">ROUND(15*((AJ419*10)/256),0)</f>
        <v>13</v>
      </c>
      <c r="AQ419" s="1" t="str">
        <f aca="false">CONCATENATE(VLOOKUP(AO419,Constants!$A$2:$C$16,IF(AP419&lt;&gt;"", 3, 2), FALSE()),IF(AP419&lt;&gt;"",CONCATENATE(",",VLOOKUP(AP419,$B:$AQ,42,FALSE())),""))</f>
        <v>4,5,4</v>
      </c>
      <c r="AS419" s="6"/>
      <c r="AT419" s="6"/>
      <c r="AZ419" s="1" t="s">
        <v>1637</v>
      </c>
      <c r="BA419" s="25" t="n">
        <v>30</v>
      </c>
      <c r="BB419" s="16" t="str">
        <f aca="false">IF(O419&lt;&gt;"",MAX(16,(O419-M419)+8),"")</f>
        <v/>
      </c>
      <c r="BC419" s="25" t="n">
        <v>1150</v>
      </c>
      <c r="BD419" s="25" t="n">
        <v>150</v>
      </c>
      <c r="BE419" s="25" t="n">
        <f aca="false">MIN(AE419/150, 1)*30</f>
        <v>25</v>
      </c>
      <c r="BF419" s="25" t="n">
        <f aca="false">MIN(Q419/4000, 1)*20</f>
        <v>0</v>
      </c>
      <c r="BG419" s="25" t="n">
        <f aca="false">MIN(AC419/400,1)*20</f>
        <v>0</v>
      </c>
      <c r="BH419" s="4" t="n">
        <f aca="false">1-(MAX(M419-1900, 0)/750)</f>
        <v>0.842666666666667</v>
      </c>
      <c r="BI419" s="25" t="n">
        <f aca="false">((MAX($P419,1)*MIN($AM419/300,1)))*IF(J419="Wagon",50,10)</f>
        <v>1.66666666666667</v>
      </c>
      <c r="BJ419" s="1" t="n">
        <f aca="false">VLOOKUP($K419,Constants!$I:$K, 2, FALSE())</f>
        <v>1.2</v>
      </c>
      <c r="BK419" s="1" t="n">
        <f aca="false">VLOOKUP($K419,Constants!$I:$K, 3, FALSE())*IF(AND(J419="multiple_unit",AE419&lt;110),0.75,1)</f>
        <v>0.6</v>
      </c>
      <c r="BL419" s="25" t="n">
        <f aca="false">INT(POWER((([1]Constants!$G$2+$BE419+$BF419+$BG419+$BI419)*$BH419)*$BK419, 1.05))+$BD419</f>
        <v>168</v>
      </c>
      <c r="BM419" s="25" t="n">
        <f aca="false">INT(POWER(((([1]Constants!$G$1+$BE419+$BF419+$BG419+$BI419)*($BH419))*$BJ419),IF($J419="wagon",1,1.2)))+$BC419</f>
        <v>1192</v>
      </c>
      <c r="BN419" s="17" t="n">
        <f aca="false">BL419*IF($J419="wagon",62.5,781.25)</f>
        <v>10500</v>
      </c>
      <c r="BO419" s="17" t="n">
        <f aca="false">BM419*IF($J419="wagon",2.73,81.25)</f>
        <v>3254.16</v>
      </c>
      <c r="BY419" s="25" t="n">
        <v>2</v>
      </c>
      <c r="BZ419" s="25" t="n">
        <v>278</v>
      </c>
      <c r="CB419" s="25" t="s">
        <v>326</v>
      </c>
      <c r="CC419" s="25" t="s">
        <v>327</v>
      </c>
      <c r="CD419" s="25" t="str">
        <f aca="false">VLOOKUP(M419,[1]Eras!$A$2:$C$10, 2, TRUE())</f>
        <v>mod</v>
      </c>
      <c r="CE419" s="25" t="s">
        <v>1478</v>
      </c>
      <c r="CF419" s="25" t="str">
        <f aca="false">CONCATENATE(CD419,"_",CE419)</f>
        <v>mod_Carriage</v>
      </c>
      <c r="CG419" s="25"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25" t="s">
        <v>1638</v>
      </c>
      <c r="CM419" s="25"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{YELLOW}50% bonus for long distance travel{}</v>
      </c>
      <c r="CN419" s="25" t="str">
        <f aca="false">_xlfn.CONCAT(CI419,IF(CI419 &lt;&gt; "", " ", ""),CJ419,IF(OR(CJ419&lt;&gt;"", CI419&lt;&gt;""), "{}",""), CH419, CM419,"{SILVER}", CK419)</f>
        <v>{BLACK}Length: {GOLD}0.9 tiles{}{YELLOW}50% bonus for long distance travel{}{SILVER}The Mk5 sleeper trains were procured to replace Mk3 sleepers. With the end of double berths, these trains have an even lower capacity than what they replaced!</v>
      </c>
    </row>
    <row r="420" s="25" customFormat="true" ht="14.25" hidden="false" customHeight="false" outlineLevel="0" collapsed="false">
      <c r="A420" s="25" t="s">
        <v>1639</v>
      </c>
      <c r="B420" s="26" t="s">
        <v>1640</v>
      </c>
      <c r="C420" s="1" t="n">
        <v>3129</v>
      </c>
      <c r="D420" s="25" t="n">
        <v>3128</v>
      </c>
      <c r="E420" s="1" t="n">
        <v>1047</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5" t="s">
        <v>198</v>
      </c>
      <c r="J420" s="25" t="s">
        <v>1476</v>
      </c>
      <c r="K420" s="25" t="s">
        <v>1477</v>
      </c>
      <c r="L420" s="25" t="s">
        <v>149</v>
      </c>
      <c r="M420" s="25" t="n">
        <v>2018</v>
      </c>
      <c r="R420" s="2"/>
      <c r="S420" s="3"/>
      <c r="T420" s="3"/>
      <c r="U420" s="3"/>
      <c r="V420" s="3"/>
      <c r="W420" s="3"/>
      <c r="X420" s="3"/>
      <c r="Y420" s="3"/>
      <c r="Z420" s="25" t="n">
        <v>43</v>
      </c>
      <c r="AA420" s="2"/>
      <c r="AB420" s="25" t="n">
        <v>3</v>
      </c>
      <c r="AD420" s="4" t="str">
        <f aca="false">IF(AND(Z420&gt;0,AC420&gt;0),(AC420/((Z420+AA420)*10)),"")</f>
        <v/>
      </c>
      <c r="AE420" s="25" t="n">
        <v>125</v>
      </c>
      <c r="AF420" s="25" t="n">
        <f aca="false">ROUND(AE420*1.6, 0)</f>
        <v>200</v>
      </c>
      <c r="AI420" s="25" t="n">
        <v>22.2</v>
      </c>
      <c r="AJ420" s="25" t="n">
        <v>22</v>
      </c>
      <c r="AK420" s="25" t="n">
        <v>2.75</v>
      </c>
      <c r="AL420" s="25" t="n">
        <v>3.79</v>
      </c>
      <c r="AM420" s="5" t="n">
        <v>30</v>
      </c>
      <c r="AN420" s="1" t="str">
        <f aca="false">CONCATENATE(VLOOKUP(AO420, '[1]Voxel Sizes'!$A$2:$B$18,2,FALSE()),"x",INT(AK420*15), "x", INT(AL420*15))</f>
        <v>214x41x56</v>
      </c>
      <c r="AO420" s="25" t="n">
        <f aca="false">ROUND(15*((AJ420*10)/256),0)</f>
        <v>13</v>
      </c>
      <c r="AQ420" s="1" t="str">
        <f aca="false">CONCATENATE(VLOOKUP(AO420,Constants!$A$2:$C$16,IF(AP420&lt;&gt;"", 3, 2), FALSE()),IF(AP420&lt;&gt;"",CONCATENATE(",",VLOOKUP(AP420,$B:$AQ,42,FALSE())),""))</f>
        <v>4,5,4</v>
      </c>
      <c r="AS420" s="6"/>
      <c r="AT420" s="6"/>
      <c r="AZ420" s="1" t="s">
        <v>1641</v>
      </c>
      <c r="BA420" s="25" t="n">
        <v>30</v>
      </c>
      <c r="BB420" s="16" t="str">
        <f aca="false">IF(O420&lt;&gt;"",MAX(16,(O420-M420)+8),"")</f>
        <v/>
      </c>
      <c r="BC420" s="25" t="n">
        <v>1150</v>
      </c>
      <c r="BD420" s="25" t="n">
        <v>150</v>
      </c>
      <c r="BE420" s="25" t="n">
        <f aca="false">MIN(AE420/150, 1)*30</f>
        <v>25</v>
      </c>
      <c r="BF420" s="25" t="n">
        <f aca="false">MIN(Q420/4000, 1)*20</f>
        <v>0</v>
      </c>
      <c r="BG420" s="25" t="n">
        <f aca="false">MIN(AC420/400,1)*20</f>
        <v>0</v>
      </c>
      <c r="BH420" s="4" t="n">
        <f aca="false">1-(MAX(M420-1900, 0)/750)</f>
        <v>0.842666666666667</v>
      </c>
      <c r="BI420" s="25" t="n">
        <f aca="false">((MAX($P420,1)*MIN($AM420/300,1)))*IF(J420="Wagon",50,10)</f>
        <v>5</v>
      </c>
      <c r="BJ420" s="1" t="n">
        <f aca="false">VLOOKUP($K420,Constants!$I:$K, 2, FALSE())</f>
        <v>1.2</v>
      </c>
      <c r="BK420" s="1" t="n">
        <f aca="false">VLOOKUP($K420,Constants!$I:$K, 3, FALSE())*IF(AND(J420="multiple_unit",AE420&lt;110),0.75,1)</f>
        <v>0.6</v>
      </c>
      <c r="BL420" s="25" t="n">
        <f aca="false">INT(POWER((([1]Constants!$G$2+$BE420+$BF420+$BG420+$BI420)*$BH420)*$BK420, 1.05))+$BD420</f>
        <v>170</v>
      </c>
      <c r="BM420" s="25" t="n">
        <f aca="false">INT(POWER(((([1]Constants!$G$1+$BE420+$BF420+$BG420+$BI420)*($BH420))*$BJ420),IF($J420="wagon",1,1.2)))+$BC420</f>
        <v>1195</v>
      </c>
      <c r="BN420" s="17" t="n">
        <f aca="false">BL420*IF($J420="wagon",62.5,781.25)</f>
        <v>10625</v>
      </c>
      <c r="BO420" s="17" t="n">
        <f aca="false">BM420*IF($J420="wagon",2.73,81.25)</f>
        <v>3262.35</v>
      </c>
      <c r="BY420" s="25" t="n">
        <v>2</v>
      </c>
      <c r="BZ420" s="25" t="n">
        <v>222</v>
      </c>
      <c r="CB420" s="25" t="s">
        <v>326</v>
      </c>
      <c r="CC420" s="25" t="s">
        <v>327</v>
      </c>
      <c r="CD420" s="25" t="str">
        <f aca="false">VLOOKUP(M420,[1]Eras!$A$2:$C$10, 2, TRUE())</f>
        <v>mod</v>
      </c>
      <c r="CE420" s="25" t="s">
        <v>1478</v>
      </c>
      <c r="CF420" s="25" t="str">
        <f aca="false">CONCATENATE(CD420,"_",CE420)</f>
        <v>mod_Carriage</v>
      </c>
      <c r="CG420" s="25"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5" t="s">
        <v>1642</v>
      </c>
      <c r="CM420" s="25"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{YELLOW}20% bonus for long distance travel{}</v>
      </c>
      <c r="CN420" s="25" t="str">
        <f aca="false">_xlfn.CONCAT(CI420,IF(CI420 &lt;&gt; "", " ", ""),CJ420,IF(OR(CJ420&lt;&gt;"", CI420&lt;&gt;""), "{}",""), CH420, CM420,"{SILVER}", CK420)</f>
        <v>{BLACK}Length: {GOLD}0.9 tiles{}{YELLOW}20% bonus for long distance travel{}{SILVER}Mk5 sleeper services make up for their pathetic berth count with conventional seated stock, featuring a 2+1 airline style seating and not enough recline in the seats.</v>
      </c>
    </row>
    <row r="421" s="25" customFormat="true" ht="14.25" hidden="false" customHeight="false" outlineLevel="0" collapsed="false">
      <c r="A421" s="25" t="s">
        <v>1643</v>
      </c>
      <c r="B421" s="26" t="s">
        <v>1644</v>
      </c>
      <c r="C421" s="1" t="n">
        <v>3130</v>
      </c>
      <c r="D421" s="25" t="n">
        <v>3128</v>
      </c>
      <c r="E421" s="1" t="n">
        <v>1048</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25" t="s">
        <v>198</v>
      </c>
      <c r="J421" s="25" t="s">
        <v>1476</v>
      </c>
      <c r="K421" s="25" t="s">
        <v>1477</v>
      </c>
      <c r="L421" s="25" t="s">
        <v>149</v>
      </c>
      <c r="M421" s="25" t="n">
        <v>2018</v>
      </c>
      <c r="R421" s="2"/>
      <c r="S421" s="3"/>
      <c r="T421" s="3"/>
      <c r="U421" s="3"/>
      <c r="V421" s="3"/>
      <c r="W421" s="3"/>
      <c r="X421" s="3"/>
      <c r="Y421" s="3"/>
      <c r="Z421" s="25" t="n">
        <v>43</v>
      </c>
      <c r="AA421" s="2"/>
      <c r="AB421" s="25" t="n">
        <v>3</v>
      </c>
      <c r="AD421" s="4" t="str">
        <f aca="false">IF(AND(Z421&gt;0,AC421&gt;0),(AC421/((Z421+AA421)*10)),"")</f>
        <v/>
      </c>
      <c r="AE421" s="25" t="n">
        <v>125</v>
      </c>
      <c r="AF421" s="25" t="n">
        <f aca="false">ROUND(AE421*1.6, 0)</f>
        <v>200</v>
      </c>
      <c r="AI421" s="25" t="n">
        <v>22.2</v>
      </c>
      <c r="AJ421" s="25" t="n">
        <v>22</v>
      </c>
      <c r="AK421" s="25" t="n">
        <v>2.75</v>
      </c>
      <c r="AL421" s="25" t="n">
        <v>3.79</v>
      </c>
      <c r="AM421" s="5" t="n">
        <v>0</v>
      </c>
      <c r="AN421" s="1" t="str">
        <f aca="false">CONCATENATE(VLOOKUP(AO421, '[1]Voxel Sizes'!$A$2:$B$18,2,FALSE()),"x",INT(AK421*15), "x", INT(AL421*15))</f>
        <v>214x41x56</v>
      </c>
      <c r="AO421" s="25" t="n">
        <f aca="false">ROUND(15*((AJ421*10)/256),0)</f>
        <v>13</v>
      </c>
      <c r="AQ421" s="1" t="str">
        <f aca="false">CONCATENATE(VLOOKUP(AO421,Constants!$A$2:$C$16,IF(AP421&lt;&gt;"", 3, 2), FALSE()),IF(AP421&lt;&gt;"",CONCATENATE(",",VLOOKUP(AP421,$B:$AQ,42,FALSE())),""))</f>
        <v>4,5,4</v>
      </c>
      <c r="AS421" s="6"/>
      <c r="AT421" s="6"/>
      <c r="AZ421" s="1" t="s">
        <v>1645</v>
      </c>
      <c r="BA421" s="25" t="n">
        <v>30</v>
      </c>
      <c r="BB421" s="16" t="str">
        <f aca="false">IF(O421&lt;&gt;"",MAX(16,(O421-M421)+8),"")</f>
        <v/>
      </c>
      <c r="BC421" s="25" t="n">
        <v>1150</v>
      </c>
      <c r="BD421" s="25" t="n">
        <v>150</v>
      </c>
      <c r="BE421" s="25" t="n">
        <f aca="false">MIN(AE421/150, 1)*30</f>
        <v>25</v>
      </c>
      <c r="BF421" s="25" t="n">
        <f aca="false">MIN(Q421/4000, 1)*20</f>
        <v>0</v>
      </c>
      <c r="BG421" s="25" t="n">
        <f aca="false">MIN(AC421/400,1)*20</f>
        <v>0</v>
      </c>
      <c r="BH421" s="4" t="n">
        <f aca="false">1-(MAX(M421-1900, 0)/750)</f>
        <v>0.842666666666667</v>
      </c>
      <c r="BI421" s="25" t="n">
        <f aca="false">((MAX($P421,1)*MIN($AM421/300,1)))*IF(J421="Wagon",50,10)</f>
        <v>0</v>
      </c>
      <c r="BJ421" s="1" t="n">
        <f aca="false">VLOOKUP($K421,Constants!$I:$K, 2, FALSE())</f>
        <v>1.2</v>
      </c>
      <c r="BK421" s="1" t="n">
        <f aca="false">VLOOKUP($K421,Constants!$I:$K, 3, FALSE())*IF(AND(J421="multiple_unit",AE421&lt;110),0.75,1)</f>
        <v>0.6</v>
      </c>
      <c r="BL421" s="25" t="n">
        <f aca="false">INT(POWER((([1]Constants!$G$2+$BE421+$BF421+$BG421+$BI421)*$BH421)*$BK421, 1.05))+$BD421</f>
        <v>167</v>
      </c>
      <c r="BM421" s="25" t="n">
        <f aca="false">INT(POWER(((([1]Constants!$G$1+$BE421+$BF421+$BG421+$BI421)*($BH421))*$BJ421),IF($J421="wagon",1,1.2)))+$BC421</f>
        <v>1190</v>
      </c>
      <c r="BN421" s="17" t="n">
        <f aca="false">BL421*IF($J421="wagon",62.5,781.25)</f>
        <v>10437.5</v>
      </c>
      <c r="BO421" s="17" t="n">
        <f aca="false">BM421*IF($J421="wagon",2.73,81.25)</f>
        <v>3248.7</v>
      </c>
      <c r="BY421" s="25" t="n">
        <v>2</v>
      </c>
      <c r="BZ421" s="25" t="n">
        <v>278</v>
      </c>
      <c r="CA421" s="25" t="s">
        <v>960</v>
      </c>
      <c r="CB421" s="25" t="s">
        <v>326</v>
      </c>
      <c r="CC421" s="25" t="s">
        <v>327</v>
      </c>
      <c r="CD421" s="25" t="str">
        <f aca="false">VLOOKUP(M421,[1]Eras!$A$2:$C$10, 2, TRUE())</f>
        <v>mod</v>
      </c>
      <c r="CE421" s="25" t="s">
        <v>1478</v>
      </c>
      <c r="CF421" s="25" t="str">
        <f aca="false">CONCATENATE(CD421,"_",CE421)</f>
        <v>mod_Carriage</v>
      </c>
      <c r="CG421" s="25"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25" t="s">
        <v>1646</v>
      </c>
      <c r="CM421" s="25" t="str">
        <f aca="false">IF(CA421="buffet","{YELLOW}25% long distance bonus for consist{}",IF(CD421="BRAKE","{YELLOW}Speed bonus for slow wagons{}",IF(BZ421&gt;190,CONCATENATE("{YELLOW}",INT((BZ421-185)/1.85),"% bonus for long distance travel{}"),IF(AND(BZ421&lt;180,BZ421&lt;&gt;0),CONCATENATE("{YELLOW}",INT((185-BZ421)/1.85),"% penalty for long distance travel{}"),""))))</f>
        <v>{YELLOW}25% long distance bonus for consist{}</v>
      </c>
      <c r="CN421" s="25" t="str">
        <f aca="false">_xlfn.CONCAT(CI421,IF(CI421 &lt;&gt; "", " ", ""),CJ421,IF(OR(CJ421&lt;&gt;"", CI421&lt;&gt;""), "{}",""), CH421, CM421,"{SILVER}", CK421)</f>
        <v>{BLACK}Length: {GOLD}0.9 tiles{}{YELLOW}25% long distance bonus for consist{}{SILVER}The Mk5 ‘Club Car’ is the dining facility for sleeper services, but the 30 seats within are not bookable for travel.</v>
      </c>
    </row>
    <row r="422" s="25" customFormat="true" ht="14.25" hidden="false" customHeight="false" outlineLevel="0" collapsed="false">
      <c r="A422" s="25" t="s">
        <v>1647</v>
      </c>
      <c r="B422" s="26" t="s">
        <v>1648</v>
      </c>
      <c r="C422" s="1" t="n">
        <v>3117</v>
      </c>
      <c r="D422" s="1" t="n">
        <v>18</v>
      </c>
      <c r="E422" s="1" t="n">
        <v>1049</v>
      </c>
      <c r="G422" s="1" t="str">
        <f aca="false">IF($F422&lt;&gt;"",_xlfn.CONCAT(VLOOKUP($CE422, Constants!$T:$U, 2, FALSE()),",",$F422),VLOOKUP($CE422, Constants!$T:$U, 2, FALSE()))</f>
        <v>role/mail</v>
      </c>
      <c r="H422" s="1" t="str">
        <f aca="false">IF($G422&lt;&gt;"",_xlfn.CONCAT(VLOOKUP($CG422, Constants!$M:$P, 4, FALSE()),",",$G422),VLOOKUP($CG422, Constants!$M:$P, 4, FALSE()))</f>
        <v>flag/GB,role/mail</v>
      </c>
      <c r="I422" s="25" t="s">
        <v>198</v>
      </c>
      <c r="J422" s="25" t="s">
        <v>1476</v>
      </c>
      <c r="K422" s="25" t="s">
        <v>1477</v>
      </c>
      <c r="L422" s="25" t="s">
        <v>149</v>
      </c>
      <c r="M422" s="25" t="n">
        <v>1957</v>
      </c>
      <c r="N422" s="25" t="n">
        <v>1981</v>
      </c>
      <c r="O422" s="25" t="n">
        <v>2002</v>
      </c>
      <c r="R422" s="2"/>
      <c r="S422" s="3"/>
      <c r="T422" s="3"/>
      <c r="U422" s="3"/>
      <c r="V422" s="3"/>
      <c r="W422" s="3"/>
      <c r="X422" s="3"/>
      <c r="Y422" s="3"/>
      <c r="Z422" s="25" t="n">
        <v>33</v>
      </c>
      <c r="AA422" s="2"/>
      <c r="AB422" s="25" t="n">
        <v>4</v>
      </c>
      <c r="AD422" s="4" t="str">
        <f aca="false">IF(AND(Z422&gt;0,AC422&gt;0),(AC422/((Z422+AA422)*10)),"")</f>
        <v/>
      </c>
      <c r="AE422" s="25" t="n">
        <v>100</v>
      </c>
      <c r="AF422" s="25" t="n">
        <f aca="false">ROUND(AE422*1.6, 0)</f>
        <v>160</v>
      </c>
      <c r="AI422" s="25" t="n">
        <v>18.4</v>
      </c>
      <c r="AJ422" s="25" t="n">
        <v>18</v>
      </c>
      <c r="AK422" s="25" t="n">
        <v>2.82</v>
      </c>
      <c r="AL422" s="25" t="n">
        <v>3.79</v>
      </c>
      <c r="AM422" s="5" t="n">
        <v>65</v>
      </c>
      <c r="AN422" s="1" t="str">
        <f aca="false">CONCATENATE(VLOOKUP(AO422, '[1]Voxel Sizes'!$A$2:$B$18,2,FALSE()),"x",INT(AK422*15), "x", INT(AL422*15))</f>
        <v>186x42x56</v>
      </c>
      <c r="AO422" s="25" t="n">
        <f aca="false">ROUND(15*((AJ422*10)/256),0)</f>
        <v>11</v>
      </c>
      <c r="AQ422" s="1" t="str">
        <f aca="false">CONCATENATE(VLOOKUP(AO422,Constants!$A$2:$C$16,IF(AP422&lt;&gt;"", 3, 2), FALSE()),IF(AP422&lt;&gt;"",CONCATENATE(",",VLOOKUP(AP422,$B:$AQ,42,FALSE())),""))</f>
        <v>4,3,4</v>
      </c>
      <c r="AS422" s="6"/>
      <c r="AT422" s="6"/>
      <c r="AZ422" s="1"/>
      <c r="BA422" s="25" t="n">
        <v>30</v>
      </c>
      <c r="BB422" s="16" t="n">
        <f aca="false">IF(O422&lt;&gt;"",MAX(16,(O422-M422)+8),"")</f>
        <v>53</v>
      </c>
      <c r="BC422" s="25" t="n">
        <v>55</v>
      </c>
      <c r="BD422" s="25" t="n">
        <v>25</v>
      </c>
      <c r="BE422" s="25" t="n">
        <f aca="false">MIN(AE422/150, 1)*30</f>
        <v>20</v>
      </c>
      <c r="BF422" s="25" t="n">
        <f aca="false">MIN(Q422/4000, 1)*20</f>
        <v>0</v>
      </c>
      <c r="BG422" s="25" t="n">
        <f aca="false">MIN(AC422/400,1)*20</f>
        <v>0</v>
      </c>
      <c r="BH422" s="4" t="n">
        <f aca="false">1-(MAX(M422-1900, 0)/750)</f>
        <v>0.924</v>
      </c>
      <c r="BI422" s="25" t="n">
        <f aca="false">((MAX($P422,1)*MIN($AM422/300,1)))*IF(J422="Wagon",50,10)</f>
        <v>10.8333333333333</v>
      </c>
      <c r="BJ422" s="1" t="n">
        <f aca="false">VLOOKUP($K422,Constants!$I:$K, 2, FALSE())</f>
        <v>1.2</v>
      </c>
      <c r="BK422" s="1" t="n">
        <f aca="false">VLOOKUP($K422,Constants!$I:$K, 3, FALSE())*IF(AND(J422="multiple_unit",AE422&lt;110),0.75,1)</f>
        <v>0.6</v>
      </c>
      <c r="BL422" s="25" t="n">
        <f aca="false">INT(POWER((([1]Constants!$G$2+$BE422+$BF422+$BG422+$BI422)*$BH422)*$BK422, 1.05))+$BD422</f>
        <v>48</v>
      </c>
      <c r="BM422" s="25" t="n">
        <f aca="false">INT(POWER(((([1]Constants!$G$1+$BE422+$BF422+$BG422+$BI422)*($BH422))*$BJ422),IF($J422="wagon",1,1.2)))+$BC422</f>
        <v>105</v>
      </c>
      <c r="BN422" s="17" t="n">
        <f aca="false">BL422*IF($J422="wagon",62.5,781.25)</f>
        <v>3000</v>
      </c>
      <c r="BO422" s="17" t="n">
        <f aca="false">BM422*IF($J422="wagon",2.73,81.25)</f>
        <v>286.65</v>
      </c>
      <c r="BY422" s="25" t="n">
        <v>1</v>
      </c>
      <c r="BZ422" s="25" t="n">
        <v>185</v>
      </c>
      <c r="CB422" s="25" t="s">
        <v>661</v>
      </c>
      <c r="CC422" s="25" t="s">
        <v>662</v>
      </c>
      <c r="CD422" s="25" t="str">
        <f aca="false">VLOOKUP(M422,[1]Eras!$A$2:$C$10, 2, TRUE())</f>
        <v>dsl</v>
      </c>
      <c r="CE422" s="25" t="s">
        <v>1583</v>
      </c>
      <c r="CF422" s="25" t="str">
        <f aca="false">CONCATENATE(CD422,"_",CE422)</f>
        <v>dsl_Mail Carriage</v>
      </c>
      <c r="CG422" s="25" t="str">
        <f aca="false">_xlfn.CONCAT(K422, "_",L422)</f>
        <v>carriage_RAIL</v>
      </c>
      <c r="CH422" s="7" t="str">
        <f aca="false">_xlfn.CONCAT("{BLACK}Length: {GOLD}", TEXT(ROUNDUP(IF(AT422&lt;&gt;"",SUM(VALUE(_xlfn.TEXTSPLIT(AT422, ","))), SUM(VALUE(_xlfn.TEXTSPLIT(AQ422, ",")))*IF(P422, P422, 1))/16, 1), "#,##0.0"), " tiles{}")</f>
        <v>{BLACK}Length: {GOLD}0.7 tiles{}</v>
      </c>
      <c r="CI422" s="1" t="n">
        <f aca="false">VLOOKUP($CG422, Constants!$M:$N, 2, FALSE())</f>
        <v>0</v>
      </c>
      <c r="CJ422" s="1" t="str">
        <f aca="false">IF(P422&gt;1,_xlfn.CONCAT("{BLACK}Cars: {GOLD}", P422),"")</f>
        <v/>
      </c>
      <c r="CK422" s="25" t="s">
        <v>1649</v>
      </c>
      <c r="CM422" s="25"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
      </c>
      <c r="CN422" s="25" t="str">
        <f aca="false">_xlfn.CONCAT(CI422,IF(CI422 &lt;&gt; "", " ", ""),CJ422,IF(OR(CJ422&lt;&gt;"", CI422&lt;&gt;""), "{}",""), CH422, CM422,"{SILVER}", CK422)</f>
        <v>{BLACK}Length: {GOLD}0.7 tiles{}{SILVER}The standard parcels and baggage car on British Rail for decades, the Mk1 Brake Gangwayed was extremely versatile. This represents a standard 57’ frame example, making it noticably shorter than the standard Mk1 coach.</v>
      </c>
    </row>
    <row r="423" s="25" customFormat="true" ht="14.25" hidden="false" customHeight="false" outlineLevel="0" collapsed="false">
      <c r="A423" s="25" t="s">
        <v>1650</v>
      </c>
      <c r="B423" s="26" t="s">
        <v>1651</v>
      </c>
      <c r="C423" s="1" t="n">
        <v>3118</v>
      </c>
      <c r="D423" s="1" t="n">
        <v>18</v>
      </c>
      <c r="E423" s="1" t="n">
        <v>1050</v>
      </c>
      <c r="G423" s="1" t="str">
        <f aca="false">IF($F423&lt;&gt;"",_xlfn.CONCAT(VLOOKUP($CE423, Constants!$T:$U, 2, FALSE()),",",$F423),VLOOKUP($CE423, Constants!$T:$U, 2, FALSE()))</f>
        <v>role/mail</v>
      </c>
      <c r="H423" s="1" t="str">
        <f aca="false">IF($G423&lt;&gt;"",_xlfn.CONCAT(VLOOKUP($CG423, Constants!$M:$P, 4, FALSE()),",",$G423),VLOOKUP($CG423, Constants!$M:$P, 4, FALSE()))</f>
        <v>flag/GB,role/mail</v>
      </c>
      <c r="I423" s="25" t="s">
        <v>198</v>
      </c>
      <c r="J423" s="25" t="s">
        <v>1476</v>
      </c>
      <c r="K423" s="25" t="s">
        <v>1477</v>
      </c>
      <c r="L423" s="25" t="s">
        <v>149</v>
      </c>
      <c r="M423" s="25" t="n">
        <v>1975</v>
      </c>
      <c r="N423" s="25" t="n">
        <v>1998</v>
      </c>
      <c r="O423" s="25" t="n">
        <v>2002</v>
      </c>
      <c r="R423" s="2"/>
      <c r="S423" s="3"/>
      <c r="T423" s="3"/>
      <c r="U423" s="3"/>
      <c r="V423" s="3"/>
      <c r="W423" s="3"/>
      <c r="X423" s="3"/>
      <c r="Y423" s="3"/>
      <c r="Z423" s="25" t="n">
        <v>33</v>
      </c>
      <c r="AA423" s="2"/>
      <c r="AB423" s="25" t="n">
        <v>4</v>
      </c>
      <c r="AD423" s="4" t="str">
        <f aca="false">IF(AND(Z423&gt;0,AC423&gt;0),(AC423/((Z423+AA423)*10)),"")</f>
        <v/>
      </c>
      <c r="AE423" s="25" t="n">
        <v>110</v>
      </c>
      <c r="AF423" s="25" t="n">
        <f aca="false">ROUND(AE423*1.6, 0)</f>
        <v>176</v>
      </c>
      <c r="AI423" s="25" t="n">
        <v>18.4</v>
      </c>
      <c r="AJ423" s="25" t="n">
        <v>18</v>
      </c>
      <c r="AK423" s="25" t="n">
        <v>2.82</v>
      </c>
      <c r="AL423" s="25" t="n">
        <v>3.79</v>
      </c>
      <c r="AM423" s="5" t="n">
        <v>65</v>
      </c>
      <c r="AN423" s="1" t="str">
        <f aca="false">CONCATENATE(VLOOKUP(AO423, '[1]Voxel Sizes'!$A$2:$B$18,2,FALSE()),"x",INT(AK423*15), "x", INT(AL423*15))</f>
        <v>186x42x56</v>
      </c>
      <c r="AO423" s="25" t="n">
        <f aca="false">ROUND(15*((AJ423*10)/256),0)</f>
        <v>11</v>
      </c>
      <c r="AQ423" s="1" t="str">
        <f aca="false">CONCATENATE(VLOOKUP(AO423,Constants!$A$2:$C$16,IF(AP423&lt;&gt;"", 3, 2), FALSE()),IF(AP423&lt;&gt;"",CONCATENATE(",",VLOOKUP(AP423,$B:$AQ,42,FALSE())),""))</f>
        <v>4,3,4</v>
      </c>
      <c r="AS423" s="6"/>
      <c r="AT423" s="6"/>
      <c r="AZ423" s="1"/>
      <c r="BA423" s="25" t="n">
        <v>30</v>
      </c>
      <c r="BB423" s="16" t="n">
        <f aca="false">IF(O423&lt;&gt;"",MAX(16,(O423-M423)+8),"")</f>
        <v>35</v>
      </c>
      <c r="BC423" s="25" t="n">
        <v>75</v>
      </c>
      <c r="BD423" s="25" t="n">
        <v>35</v>
      </c>
      <c r="BE423" s="25" t="n">
        <f aca="false">MIN(AE423/150, 1)*30</f>
        <v>22</v>
      </c>
      <c r="BF423" s="25" t="n">
        <f aca="false">MIN(Q423/4000, 1)*20</f>
        <v>0</v>
      </c>
      <c r="BG423" s="25" t="n">
        <f aca="false">MIN(AC423/400,1)*20</f>
        <v>0</v>
      </c>
      <c r="BH423" s="4" t="n">
        <f aca="false">1-(MAX(M423-1900, 0)/750)</f>
        <v>0.9</v>
      </c>
      <c r="BI423" s="25" t="n">
        <f aca="false">((MAX($P423,1)*MIN($AM423/300,1)))*IF(J423="Wagon",50,10)</f>
        <v>10.8333333333333</v>
      </c>
      <c r="BJ423" s="1" t="n">
        <f aca="false">VLOOKUP($K423,Constants!$I:$K, 2, FALSE())</f>
        <v>1.2</v>
      </c>
      <c r="BK423" s="1" t="n">
        <f aca="false">VLOOKUP($K423,Constants!$I:$K, 3, FALSE())*IF(AND(J423="multiple_unit",AE423&lt;110),0.75,1)</f>
        <v>0.6</v>
      </c>
      <c r="BL423" s="25" t="n">
        <f aca="false">INT(POWER((([1]Constants!$G$2+$BE423+$BF423+$BG423+$BI423)*$BH423)*$BK423, 1.05))+$BD423</f>
        <v>58</v>
      </c>
      <c r="BM423" s="25" t="n">
        <f aca="false">INT(POWER(((([1]Constants!$G$1+$BE423+$BF423+$BG423+$BI423)*($BH423))*$BJ423),IF($J423="wagon",1,1.2)))+$BC423</f>
        <v>126</v>
      </c>
      <c r="BN423" s="17" t="n">
        <f aca="false">BL423*IF($J423="wagon",62.5,781.25)</f>
        <v>3625</v>
      </c>
      <c r="BO423" s="17" t="n">
        <f aca="false">BM423*IF($J423="wagon",2.73,81.25)</f>
        <v>343.98</v>
      </c>
      <c r="BY423" s="25" t="n">
        <v>1</v>
      </c>
      <c r="BZ423" s="25" t="n">
        <v>185</v>
      </c>
      <c r="CB423" s="25" t="s">
        <v>661</v>
      </c>
      <c r="CC423" s="25" t="s">
        <v>662</v>
      </c>
      <c r="CD423" s="25" t="str">
        <f aca="false">VLOOKUP(M423,[1]Eras!$A$2:$C$10, 2, TRUE())</f>
        <v>lbr</v>
      </c>
      <c r="CE423" s="25" t="s">
        <v>1583</v>
      </c>
      <c r="CF423" s="25" t="str">
        <f aca="false">CONCATENATE(CD423,"_",CE423)</f>
        <v>lbr_Mail Carriage</v>
      </c>
      <c r="CG423" s="25" t="str">
        <f aca="false">_xlfn.CONCAT(K423, "_",L423)</f>
        <v>carriage_RAIL</v>
      </c>
      <c r="CH423" s="7" t="str">
        <f aca="false">_xlfn.CONCAT("{BLACK}Length: {GOLD}", TEXT(ROUNDUP(IF(AT423&lt;&gt;"",SUM(VALUE(_xlfn.TEXTSPLIT(AT423, ","))), SUM(VALUE(_xlfn.TEXTSPLIT(AQ423, ",")))*IF(P423, P423, 1))/16, 1), "#,##0.0"), " tiles{}")</f>
        <v>{BLACK}Length: {GOLD}0.7 tiles{}</v>
      </c>
      <c r="CI423" s="1" t="n">
        <f aca="false">VLOOKUP($CG423, Constants!$M:$N, 2, FALSE())</f>
        <v>0</v>
      </c>
      <c r="CJ423" s="1" t="str">
        <f aca="false">IF(P423&gt;1,_xlfn.CONCAT("{BLACK}Cars: {GOLD}", P423),"")</f>
        <v/>
      </c>
      <c r="CK423" s="25" t="s">
        <v>1652</v>
      </c>
      <c r="CM423" s="25"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
      </c>
      <c r="CN423" s="25" t="str">
        <f aca="false">_xlfn.CONCAT(CI423,IF(CI423 &lt;&gt; "", " ", ""),CJ423,IF(OR(CJ423&lt;&gt;"", CI423&lt;&gt;""), "{}",""), CH423, CM423,"{SILVER}", CK423)</f>
        <v>{BLACK}Length: {GOLD}0.7 tiles{}{SILVER}In the 1980s a number of BG vehicles were upgraded with B4 bogies and cleared for travel at 110mph, to provide additional capacity within fast passenger services, which were typically run with Mark 2 stock.</v>
      </c>
    </row>
    <row r="424" s="25" customFormat="true" ht="14.25" hidden="false" customHeight="false" outlineLevel="0" collapsed="false">
      <c r="A424" s="25" t="s">
        <v>1653</v>
      </c>
      <c r="B424" s="26" t="s">
        <v>1654</v>
      </c>
      <c r="C424" s="1" t="n">
        <v>3119</v>
      </c>
      <c r="D424" s="1" t="n">
        <v>18</v>
      </c>
      <c r="E424" s="1" t="n">
        <v>1051</v>
      </c>
      <c r="G424" s="1" t="str">
        <f aca="false">IF($F424&lt;&gt;"",_xlfn.CONCAT(VLOOKUP($CE424, Constants!$T:$U, 2, FALSE()),",",$F424),VLOOKUP($CE424, Constants!$T:$U, 2, FALSE()))</f>
        <v>role/mail</v>
      </c>
      <c r="H424" s="1" t="str">
        <f aca="false">IF($G424&lt;&gt;"",_xlfn.CONCAT(VLOOKUP($CG424, Constants!$M:$P, 4, FALSE()),",",$G424),VLOOKUP($CG424, Constants!$M:$P, 4, FALSE()))</f>
        <v>flag/GB,role/mail</v>
      </c>
      <c r="I424" s="25" t="s">
        <v>198</v>
      </c>
      <c r="J424" s="25" t="s">
        <v>1476</v>
      </c>
      <c r="K424" s="25" t="s">
        <v>1477</v>
      </c>
      <c r="L424" s="25" t="s">
        <v>149</v>
      </c>
      <c r="M424" s="25" t="n">
        <v>1989</v>
      </c>
      <c r="N424" s="25" t="n">
        <v>2002</v>
      </c>
      <c r="O424" s="25" t="n">
        <v>2002</v>
      </c>
      <c r="R424" s="2"/>
      <c r="S424" s="3"/>
      <c r="T424" s="3"/>
      <c r="U424" s="3"/>
      <c r="V424" s="3"/>
      <c r="W424" s="3"/>
      <c r="X424" s="3"/>
      <c r="Y424" s="3"/>
      <c r="Z424" s="25" t="n">
        <v>33</v>
      </c>
      <c r="AA424" s="2"/>
      <c r="AB424" s="25" t="n">
        <v>5</v>
      </c>
      <c r="AD424" s="4" t="str">
        <f aca="false">IF(AND(Z424&gt;0,AC424&gt;0),(AC424/((Z424+AA424)*10)),"")</f>
        <v/>
      </c>
      <c r="AE424" s="25" t="n">
        <v>100</v>
      </c>
      <c r="AF424" s="25" t="n">
        <f aca="false">ROUND(AE424*1.6, 0)</f>
        <v>160</v>
      </c>
      <c r="AI424" s="25" t="n">
        <v>18.4</v>
      </c>
      <c r="AJ424" s="25" t="n">
        <v>18</v>
      </c>
      <c r="AK424" s="25" t="n">
        <v>2.82</v>
      </c>
      <c r="AL424" s="25" t="n">
        <v>3.79</v>
      </c>
      <c r="AM424" s="5" t="n">
        <v>72</v>
      </c>
      <c r="AN424" s="1" t="str">
        <f aca="false">CONCATENATE(VLOOKUP(AO424, '[1]Voxel Sizes'!$A$2:$B$18,2,FALSE()),"x",INT(AK424*15), "x", INT(AL424*15))</f>
        <v>186x42x56</v>
      </c>
      <c r="AO424" s="25" t="n">
        <f aca="false">ROUND(15*((AJ424*10)/256),0)</f>
        <v>11</v>
      </c>
      <c r="AQ424" s="1" t="str">
        <f aca="false">CONCATENATE(VLOOKUP(AO424,Constants!$A$2:$C$16,IF(AP424&lt;&gt;"", 3, 2), FALSE()),IF(AP424&lt;&gt;"",CONCATENATE(",",VLOOKUP(AP424,$B:$AQ,42,FALSE())),""))</f>
        <v>4,3,4</v>
      </c>
      <c r="AS424" s="6"/>
      <c r="AT424" s="6"/>
      <c r="AZ424" s="1"/>
      <c r="BA424" s="25" t="n">
        <v>30</v>
      </c>
      <c r="BB424" s="16" t="n">
        <f aca="false">IF(O424&lt;&gt;"",MAX(16,(O424-M424)+8),"")</f>
        <v>21</v>
      </c>
      <c r="BC424" s="25" t="n">
        <v>65</v>
      </c>
      <c r="BD424" s="25" t="n">
        <v>45</v>
      </c>
      <c r="BE424" s="25" t="n">
        <f aca="false">MIN(AE424/150, 1)*30</f>
        <v>20</v>
      </c>
      <c r="BF424" s="25" t="n">
        <f aca="false">MIN(Q424/4000, 1)*20</f>
        <v>0</v>
      </c>
      <c r="BG424" s="25" t="n">
        <f aca="false">MIN(AC424/400,1)*20</f>
        <v>0</v>
      </c>
      <c r="BH424" s="4" t="n">
        <f aca="false">1-(MAX(M424-1900, 0)/750)</f>
        <v>0.881333333333333</v>
      </c>
      <c r="BI424" s="25" t="n">
        <f aca="false">((MAX($P424,1)*MIN($AM424/300,1)))*IF(J424="Wagon",50,10)</f>
        <v>12</v>
      </c>
      <c r="BJ424" s="1" t="n">
        <f aca="false">VLOOKUP($K424,Constants!$I:$K, 2, FALSE())</f>
        <v>1.2</v>
      </c>
      <c r="BK424" s="1" t="n">
        <f aca="false">VLOOKUP($K424,Constants!$I:$K, 3, FALSE())*IF(AND(J424="multiple_unit",AE424&lt;110),0.75,1)</f>
        <v>0.6</v>
      </c>
      <c r="BL424" s="25" t="n">
        <f aca="false">INT(POWER((([1]Constants!$G$2+$BE424+$BF424+$BG424+$BI424)*$BH424)*$BK424, 1.05))+$BD424</f>
        <v>67</v>
      </c>
      <c r="BM424" s="25" t="n">
        <f aca="false">INT(POWER(((([1]Constants!$G$1+$BE424+$BF424+$BG424+$BI424)*($BH424))*$BJ424),IF($J424="wagon",1,1.2)))+$BC424</f>
        <v>114</v>
      </c>
      <c r="BN424" s="17" t="n">
        <f aca="false">BL424*IF($J424="wagon",62.5,781.25)</f>
        <v>4187.5</v>
      </c>
      <c r="BO424" s="17" t="n">
        <f aca="false">BM424*IF($J424="wagon",2.73,81.25)</f>
        <v>311.22</v>
      </c>
      <c r="BY424" s="25" t="n">
        <v>1</v>
      </c>
      <c r="BZ424" s="25" t="n">
        <v>185</v>
      </c>
      <c r="CB424" s="25" t="s">
        <v>661</v>
      </c>
      <c r="CC424" s="25" t="s">
        <v>662</v>
      </c>
      <c r="CD424" s="25" t="str">
        <f aca="false">VLOOKUP(M424,[1]Eras!$A$2:$C$10, 2, TRUE())</f>
        <v>lbr</v>
      </c>
      <c r="CE424" s="25" t="s">
        <v>1583</v>
      </c>
      <c r="CF424" s="25" t="str">
        <f aca="false">CONCATENATE(CD424,"_",CE424)</f>
        <v>lbr_Mail Carriage</v>
      </c>
      <c r="CG424" s="25" t="str">
        <f aca="false">_xlfn.CONCAT(K424, "_",L424)</f>
        <v>carriage_RAIL</v>
      </c>
      <c r="CH424" s="7" t="str">
        <f aca="false">_xlfn.CONCAT("{BLACK}Length: {GOLD}", TEXT(ROUNDUP(IF(AT424&lt;&gt;"",SUM(VALUE(_xlfn.TEXTSPLIT(AT424, ","))), SUM(VALUE(_xlfn.TEXTSPLIT(AQ424, ",")))*IF(P424, P424, 1))/16, 1), "#,##0.0"), " tiles{}")</f>
        <v>{BLACK}Length: {GOLD}0.7 tiles{}</v>
      </c>
      <c r="CI424" s="1" t="n">
        <f aca="false">VLOOKUP($CG424, Constants!$M:$N, 2, FALSE())</f>
        <v>0</v>
      </c>
      <c r="CJ424" s="1" t="str">
        <f aca="false">IF(P424&gt;1,_xlfn.CONCAT("{BLACK}Cars: {GOLD}", P424),"")</f>
        <v/>
      </c>
      <c r="CK424" s="25" t="s">
        <v>1655</v>
      </c>
      <c r="CM424" s="25" t="str">
        <f aca="false">IF(CA424="buffet","{YELLOW}25% long distance bonus for consist{}",IF(CD424="BRAKE","{YELLOW}Speed bonus for slow wagons{}",IF(BZ424&gt;190,CONCATENATE("{YELLOW}",INT((BZ424-185)/1.85),"% bonus for long distance travel{}"),IF(AND(BZ424&lt;180,BZ424&lt;&gt;0),CONCATENATE("{YELLOW}",INT((185-BZ424)/1.85),"% penalty for long distance travel{}"),""))))</f>
        <v/>
      </c>
      <c r="CN424" s="25" t="str">
        <f aca="false">_xlfn.CONCAT(CI424,IF(CI424 &lt;&gt; "", " ", ""),CJ424,IF(OR(CJ424&lt;&gt;"", CI424&lt;&gt;""), "{}",""), CH424, CM424,"{SILVER}", CK424)</f>
        <v>{BLACK}Length: {GOLD}0.7 tiles{}{SILVER}By the 90s parcels traffic was in decline on the railway, and increasingly movement focused on fixed flows between mail terminals. As a result, a number of vehicles were rebuilt with roller shutter doors for faster loading.</v>
      </c>
    </row>
    <row r="425" s="1" customFormat="true" ht="14.25" hidden="false" customHeight="false" outlineLevel="0" collapsed="false">
      <c r="A425" s="25" t="s">
        <v>1656</v>
      </c>
      <c r="B425" s="26" t="s">
        <v>1657</v>
      </c>
      <c r="C425" s="1" t="n">
        <v>3120</v>
      </c>
      <c r="D425" s="25"/>
      <c r="E425" s="1" t="n">
        <v>1052</v>
      </c>
      <c r="F425" s="25"/>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25" t="s">
        <v>198</v>
      </c>
      <c r="J425" s="25" t="s">
        <v>1476</v>
      </c>
      <c r="K425" s="25" t="s">
        <v>1476</v>
      </c>
      <c r="L425" s="25" t="s">
        <v>149</v>
      </c>
      <c r="M425" s="25" t="n">
        <v>1958</v>
      </c>
      <c r="N425" s="25" t="n">
        <v>1975</v>
      </c>
      <c r="O425" s="25" t="n">
        <v>1990</v>
      </c>
      <c r="P425" s="25"/>
      <c r="Q425" s="25"/>
      <c r="R425" s="2"/>
      <c r="S425" s="3"/>
      <c r="T425" s="3"/>
      <c r="U425" s="3"/>
      <c r="V425" s="3"/>
      <c r="W425" s="3"/>
      <c r="X425" s="3"/>
      <c r="Y425" s="3"/>
      <c r="Z425" s="25" t="n">
        <v>21</v>
      </c>
      <c r="AA425" s="2"/>
      <c r="AB425" s="25" t="n">
        <v>4</v>
      </c>
      <c r="AC425" s="25"/>
      <c r="AD425" s="4" t="str">
        <f aca="false">IF(AND(Z425&gt;0,AC425&gt;0),(AC425/((Z425+AA425)*10)),"")</f>
        <v/>
      </c>
      <c r="AE425" s="25" t="n">
        <v>80</v>
      </c>
      <c r="AF425" s="25" t="n">
        <f aca="false">ROUND(AE425*1.6, 0)</f>
        <v>128</v>
      </c>
      <c r="AG425" s="25"/>
      <c r="AH425" s="25"/>
      <c r="AI425" s="25" t="n">
        <v>19.8</v>
      </c>
      <c r="AJ425" s="25" t="n">
        <v>20</v>
      </c>
      <c r="AK425" s="25" t="n">
        <v>2.82</v>
      </c>
      <c r="AL425" s="25" t="n">
        <v>3.79</v>
      </c>
      <c r="AM425" s="5" t="n">
        <v>12</v>
      </c>
      <c r="AN425" s="1" t="str">
        <f aca="false">CONCATENATE(VLOOKUP(AO425, '[1]Voxel Sizes'!$A$2:$B$18,2,FALSE()),"x",INT(AK425*15), "x", INT(AL425*15))</f>
        <v>198x42x56</v>
      </c>
      <c r="AO425" s="25" t="n">
        <f aca="false">ROUND(15*((AJ425*10)/256),0)</f>
        <v>12</v>
      </c>
      <c r="AP425" s="25"/>
      <c r="AQ425" s="1" t="str">
        <f aca="false">CONCATENATE(VLOOKUP(AO425,Constants!$A$2:$C$16,IF(AP425&lt;&gt;"", 3, 2), FALSE()),IF(AP425&lt;&gt;"",CONCATENATE(",",VLOOKUP(AP425,$B:$AQ,42,FALSE())),""))</f>
        <v>4,4,4</v>
      </c>
      <c r="AR425" s="25"/>
      <c r="AS425" s="6"/>
      <c r="AT425" s="6"/>
      <c r="AU425" s="25"/>
      <c r="AV425" s="25"/>
      <c r="AW425" s="25"/>
      <c r="AX425" s="25"/>
      <c r="AY425" s="25"/>
      <c r="BA425" s="25" t="n">
        <v>30</v>
      </c>
      <c r="BB425" s="16" t="n">
        <f aca="false">IF(O425&lt;&gt;"",MAX(16,(O425-M425)+8),"")</f>
        <v>40</v>
      </c>
      <c r="BC425" s="25"/>
      <c r="BD425" s="25"/>
      <c r="BE425" s="25" t="n">
        <f aca="false">MIN(AE425/150, 1)*30</f>
        <v>16</v>
      </c>
      <c r="BF425" s="25" t="n">
        <f aca="false">MIN(Q425/4000, 1)*20</f>
        <v>0</v>
      </c>
      <c r="BG425" s="25" t="n">
        <f aca="false">MIN(AC425/400,1)*20</f>
        <v>0</v>
      </c>
      <c r="BH425" s="4" t="n">
        <f aca="false">1-(MAX(M425-1900, 0)/750)</f>
        <v>0.922666666666667</v>
      </c>
      <c r="BI425" s="25" t="n">
        <f aca="false">((MAX($P425,1)*MIN($AM425/300,1)))*IF(J425="Wagon",50,10)</f>
        <v>2</v>
      </c>
      <c r="BJ425" s="1" t="n">
        <f aca="false">VLOOKUP($K425,Constants!$I:$K, 2, FALSE())</f>
        <v>1</v>
      </c>
      <c r="BK425" s="1" t="n">
        <f aca="false">VLOOKUP($K425,Constants!$I:$K, 3, FALSE())*IF(AND(J425="multiple_unit",AE425&lt;110),0.75,1)</f>
        <v>0.45</v>
      </c>
      <c r="BL425" s="25" t="n">
        <f aca="false">INT(POWER((([1]Constants!$G$2+$BE425+$BF425+$BG425+$BI425)*$BH425)*$BK425, 1.05))+$BD425</f>
        <v>10</v>
      </c>
      <c r="BM425" s="25" t="n">
        <f aca="false">INT(POWER(((([1]Constants!$G$1+$BE425+$BF425+$BG425+$BI425)*($BH425))*$BJ425),IF($J425="wagon",1,1.2)))+$BC425</f>
        <v>30</v>
      </c>
      <c r="BN425" s="17" t="n">
        <f aca="false">BL425*IF($J425="wagon",62.5,781.25)</f>
        <v>625</v>
      </c>
      <c r="BO425" s="17" t="n">
        <f aca="false">BM425*IF($J425="wagon",2.73,81.25)</f>
        <v>81.9</v>
      </c>
      <c r="BP425" s="25"/>
      <c r="BQ425" s="25"/>
      <c r="BR425" s="25"/>
      <c r="BS425" s="25"/>
      <c r="BT425" s="25"/>
      <c r="BU425" s="25"/>
      <c r="BV425" s="25"/>
      <c r="BW425" s="25"/>
      <c r="BX425" s="25"/>
      <c r="BY425" s="25" t="n">
        <v>2</v>
      </c>
      <c r="BZ425" s="25" t="n">
        <v>278</v>
      </c>
      <c r="CA425" s="25"/>
      <c r="CB425" s="25" t="s">
        <v>1658</v>
      </c>
      <c r="CC425" s="25" t="s">
        <v>327</v>
      </c>
      <c r="CD425" s="25" t="str">
        <f aca="false">VLOOKUP(M425,[1]Eras!$A$2:$C$10, 2, TRUE())</f>
        <v>dsl</v>
      </c>
      <c r="CE425" s="25" t="s">
        <v>1478</v>
      </c>
      <c r="CF425" s="25" t="str">
        <f aca="false">CONCATENATE(CD425,"_",CE425)</f>
        <v>dsl_Carriage</v>
      </c>
      <c r="CG425" s="25" t="str">
        <f aca="false">_xlfn.CONCAT(K425, "_",L425)</f>
        <v>wagon_RAIL</v>
      </c>
      <c r="CH425" s="7" t="str">
        <f aca="false">_xlfn.CONCAT("{BLACK}Length: {GOLD}", TEXT(ROUNDUP(IF(AT425&lt;&gt;"",SUM(VALUE(_xlfn.TEXTSPLIT(AT425, ","))), SUM(VALUE(_xlfn.TEXTSPLIT(AQ425, ",")))*IF(P425, P425, 1))/16, 1), "#,##0.0"), " tiles{}")</f>
        <v>{BLACK}Length: {GOLD}0.8 tiles{}</v>
      </c>
      <c r="CI425" s="1" t="n">
        <f aca="false">VLOOKUP($CG425, Constants!$M:$N, 2, FALSE())</f>
        <v>0</v>
      </c>
      <c r="CJ425" s="1" t="str">
        <f aca="false">IF(P425&gt;1,_xlfn.CONCAT("{BLACK}Cars: {GOLD}", P425),"")</f>
        <v/>
      </c>
      <c r="CK425" s="25" t="s">
        <v>1659</v>
      </c>
      <c r="CL425" s="25"/>
      <c r="CM425" s="25" t="str">
        <f aca="false">IF(CA425="buffet","{YELLOW}25% long distance bonus for consist{}",IF(CD425="BRAKE","{YELLOW}Speed bonus for slow wagons{}",IF(BZ425&gt;190,CONCATENATE("{YELLOW}",INT((BZ425-185)/1.85),"% bonus for long distance travel (for passengers){}"),IF(AND(BZ425&lt;180,BZ425&lt;&gt;0),CONCATENATE("{YELLOW}",INT((185-BZ425)/1.85),"% penalty for long distance travel{}"),""))))</f>
        <v>{YELLOW}50% bonus for long distance travel (for passengers){}</v>
      </c>
      <c r="CN425" s="25" t="str">
        <f aca="false">_xlfn.CONCAT(CI425,IF(CI425 &lt;&gt; "", " ", ""),CJ425,IF(OR(CJ425&lt;&gt;"", CI425&lt;&gt;""), "{}",""), CH425, CM425,"{SILVER}", CK425)</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26" s="1" customFormat="true" ht="14.25" hidden="false" customHeight="false" outlineLevel="0" collapsed="false">
      <c r="A426" s="25" t="s">
        <v>1660</v>
      </c>
      <c r="B426" s="26" t="s">
        <v>1661</v>
      </c>
      <c r="C426" s="1" t="n">
        <v>3121</v>
      </c>
      <c r="D426" s="25"/>
      <c r="E426" s="1" t="n">
        <v>1053</v>
      </c>
      <c r="F426" s="25"/>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5" t="s">
        <v>198</v>
      </c>
      <c r="J426" s="25" t="s">
        <v>998</v>
      </c>
      <c r="K426" s="25" t="s">
        <v>1476</v>
      </c>
      <c r="L426" s="25" t="s">
        <v>149</v>
      </c>
      <c r="M426" s="25" t="n">
        <v>1964</v>
      </c>
      <c r="N426" s="25" t="n">
        <v>1985</v>
      </c>
      <c r="O426" s="25" t="n">
        <v>1990</v>
      </c>
      <c r="P426" s="25" t="n">
        <v>4</v>
      </c>
      <c r="Q426" s="25"/>
      <c r="R426" s="2"/>
      <c r="S426" s="3"/>
      <c r="T426" s="3"/>
      <c r="U426" s="3"/>
      <c r="V426" s="3"/>
      <c r="W426" s="3"/>
      <c r="X426" s="3"/>
      <c r="Y426" s="3"/>
      <c r="Z426" s="25" t="n">
        <v>87</v>
      </c>
      <c r="AA426" s="2"/>
      <c r="AB426" s="25" t="n">
        <v>4</v>
      </c>
      <c r="AC426" s="25"/>
      <c r="AD426" s="4" t="str">
        <f aca="false">IF(AND(Z426&gt;0,AC426&gt;0),(AC426/((Z426+AA426)*10)),"")</f>
        <v/>
      </c>
      <c r="AE426" s="25" t="n">
        <v>75</v>
      </c>
      <c r="AF426" s="25" t="n">
        <f aca="false">ROUND(AE426*1.6, 0)</f>
        <v>120</v>
      </c>
      <c r="AG426" s="25"/>
      <c r="AH426" s="25"/>
      <c r="AI426" s="25" t="n">
        <v>16.4</v>
      </c>
      <c r="AJ426" s="25" t="n">
        <v>15</v>
      </c>
      <c r="AK426" s="25" t="n">
        <v>2.82</v>
      </c>
      <c r="AL426" s="25" t="n">
        <v>3.79</v>
      </c>
      <c r="AM426" s="5" t="n">
        <v>18</v>
      </c>
      <c r="AN426" s="1" t="str">
        <f aca="false">CONCATENATE(VLOOKUP(AO426, '[1]Voxel Sizes'!$A$2:$B$18,2,FALSE()),"x",INT(AK426*15), "x", INT(AL426*15))</f>
        <v>152x42x56</v>
      </c>
      <c r="AO426" s="25" t="n">
        <f aca="false">ROUND(15*((AJ426*10)/256),0)</f>
        <v>9</v>
      </c>
      <c r="AP426" s="25"/>
      <c r="AQ426" s="1" t="str">
        <f aca="false">CONCATENATE(VLOOKUP(AO426,Constants!$A$2:$C$16,IF(AP426&lt;&gt;"", 3, 2), FALSE()),IF(AP426&lt;&gt;"",CONCATENATE(",",VLOOKUP(AP426,$B:$AQ,42,FALSE())),""))</f>
        <v>2,5,2</v>
      </c>
      <c r="AR426" s="25"/>
      <c r="AS426" s="29" t="s">
        <v>1662</v>
      </c>
      <c r="AT426" s="6" t="s">
        <v>1663</v>
      </c>
      <c r="AU426" s="25" t="s">
        <v>1664</v>
      </c>
      <c r="AV426" s="25"/>
      <c r="AW426" s="25" t="s">
        <v>847</v>
      </c>
      <c r="AX426" s="25" t="s">
        <v>1665</v>
      </c>
      <c r="AY426" s="25"/>
      <c r="BA426" s="25" t="n">
        <v>30</v>
      </c>
      <c r="BB426" s="16" t="n">
        <f aca="false">IF(O426&lt;&gt;"",MAX(16,(O426-M426)+8),"")</f>
        <v>34</v>
      </c>
      <c r="BC426" s="25"/>
      <c r="BD426" s="25"/>
      <c r="BE426" s="25" t="n">
        <f aca="false">MIN(AE426/150, 1)*30</f>
        <v>15</v>
      </c>
      <c r="BF426" s="25" t="n">
        <f aca="false">MIN(Q426/4000, 1)*20</f>
        <v>0</v>
      </c>
      <c r="BG426" s="25" t="n">
        <f aca="false">MIN(AC426/400,1)*20</f>
        <v>0</v>
      </c>
      <c r="BH426" s="4" t="n">
        <f aca="false">1-(MAX(M426-1900, 0)/750)</f>
        <v>0.914666666666667</v>
      </c>
      <c r="BI426" s="25" t="n">
        <f aca="false">((MAX($P426,1)*MIN($AM426/300,1)))*IF(J426="Wagon",50,10)</f>
        <v>2.4</v>
      </c>
      <c r="BJ426" s="1" t="n">
        <f aca="false">VLOOKUP($K426,Constants!$I:$K, 2, FALSE())</f>
        <v>1</v>
      </c>
      <c r="BK426" s="1" t="n">
        <f aca="false">VLOOKUP($K426,Constants!$I:$K, 3, FALSE())*IF(AND(J426="multiple_unit",AE426&lt;110),0.75,1)</f>
        <v>0.45</v>
      </c>
      <c r="BL426" s="25" t="n">
        <f aca="false">INT(POWER((([1]Constants!$G$2+$BE426+$BF426+$BG426+$BI426)*$BH426)*$BK426, 1.05))+$BD426</f>
        <v>10</v>
      </c>
      <c r="BM426" s="25" t="n">
        <f aca="false">INT(POWER(((([1]Constants!$G$1+$BE426+$BF426+$BG426+$BI426)*($BH426))*$BJ426),IF($J426="wagon",1,1.2)))+$BC426</f>
        <v>58</v>
      </c>
      <c r="BN426" s="17" t="n">
        <f aca="false">BL426*IF($J426="wagon",62.5,781.25)</f>
        <v>7812.5</v>
      </c>
      <c r="BO426" s="17" t="n">
        <f aca="false">BM426*IF($J426="wagon",2.73,81.25)</f>
        <v>4712.5</v>
      </c>
      <c r="BP426" s="25"/>
      <c r="BQ426" s="25"/>
      <c r="BR426" s="25"/>
      <c r="BS426" s="25"/>
      <c r="BT426" s="25"/>
      <c r="BU426" s="25"/>
      <c r="BV426" s="25"/>
      <c r="BW426" s="25"/>
      <c r="BX426" s="25"/>
      <c r="BY426" s="25" t="n">
        <v>2</v>
      </c>
      <c r="BZ426" s="25" t="n">
        <v>278</v>
      </c>
      <c r="CA426" s="25"/>
      <c r="CB426" s="25" t="s">
        <v>1658</v>
      </c>
      <c r="CC426" s="25" t="s">
        <v>327</v>
      </c>
      <c r="CD426" s="25" t="str">
        <f aca="false">VLOOKUP(M426,[1]Eras!$A$2:$C$10, 2, TRUE())</f>
        <v>dsl</v>
      </c>
      <c r="CE426" s="25" t="s">
        <v>1478</v>
      </c>
      <c r="CF426" s="25" t="str">
        <f aca="false">CONCATENATE(CD426,"_",CE426)</f>
        <v>dsl_Carriage</v>
      </c>
      <c r="CG426" s="25" t="str">
        <f aca="false">_xlfn.CONCAT(K426, "_",L426)</f>
        <v>wagon_RAIL</v>
      </c>
      <c r="CH426" s="7" t="str">
        <f aca="false">_xlfn.CONCAT("{BLACK}Length: {GOLD}", TEXT(ROUNDUP(IF(AT426&lt;&gt;"",SUM(VALUE(_xlfn.TEXTSPLIT(AT426, ","))), SUM(VALUE(_xlfn.TEXTSPLIT(AQ426, ",")))*IF(P426, P426, 1))/16, 1), "#,##0.0"), " tiles{}")</f>
        <v>{BLACK}Length: {GOLD}2.4 tiles{}</v>
      </c>
      <c r="CI426" s="1" t="n">
        <f aca="false">VLOOKUP($CG426, Constants!$M:$N, 2, FALSE())</f>
        <v>0</v>
      </c>
      <c r="CJ426" s="1" t="str">
        <f aca="false">IF(P426&gt;1,_xlfn.CONCAT("{BLACK}Cars: {GOLD}", P426),"")</f>
        <v>{BLACK}Cars: {GOLD}4</v>
      </c>
      <c r="CK426" s="25" t="s">
        <v>1666</v>
      </c>
      <c r="CL426" s="25"/>
      <c r="CM426" s="25" t="str">
        <f aca="false">IF(CA426="buffet","{YELLOW}25% long distance bonus for consist{}",IF(CD426="BRAKE","{YELLOW}Speed bonus for slow wagons{}",IF(BZ426&gt;190,CONCATENATE("{YELLOW}",INT((BZ426-185)/1.85),"% bonus for long distance travel (for passengers){}"),IF(AND(BZ426&lt;180,BZ426&lt;&gt;0),CONCATENATE("{YELLOW}",INT((185-BZ426)/1.85),"% penalty for long distance travel{}"),""))))</f>
        <v>{YELLOW}50% bonus for long distance travel (for passengers){}</v>
      </c>
      <c r="CN426" s="25" t="str">
        <f aca="false">_xlfn.CONCAT(CI426,IF(CI426 &lt;&gt; "", " ", ""),CJ426,IF(OR(CJ426&lt;&gt;"", CI426&lt;&gt;""), "{}",""), CH426, CM426,"{SILVER}", CK426)</f>
        <v>{BLACK}Cars: {GOLD}4{}{BLACK}Length: {GOLD}2.4 tiles{}{YELLOW}50% bonus for long distance travel (for passengers){}{SILVER}Large and articulated, the cartic 4 sets were built for motorail services and used to move new cars from factories to export.</v>
      </c>
    </row>
    <row r="427" s="25" customFormat="true" ht="14.25" hidden="false" customHeight="false" outlineLevel="0" collapsed="false">
      <c r="A427" s="25" t="s">
        <v>1667</v>
      </c>
      <c r="B427" s="26" t="s">
        <v>1668</v>
      </c>
      <c r="C427" s="1" t="n">
        <v>3115</v>
      </c>
      <c r="E427" s="1" t="n">
        <v>1054</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25" t="s">
        <v>198</v>
      </c>
      <c r="J427" s="25" t="s">
        <v>1476</v>
      </c>
      <c r="K427" s="25" t="s">
        <v>1501</v>
      </c>
      <c r="L427" s="25" t="s">
        <v>149</v>
      </c>
      <c r="M427" s="25" t="n">
        <v>1936</v>
      </c>
      <c r="N427" s="25" t="n">
        <v>1974</v>
      </c>
      <c r="O427" s="25" t="n">
        <v>1980</v>
      </c>
      <c r="R427" s="2"/>
      <c r="S427" s="3"/>
      <c r="T427" s="3"/>
      <c r="U427" s="3"/>
      <c r="V427" s="3"/>
      <c r="W427" s="3"/>
      <c r="X427" s="3"/>
      <c r="Y427" s="3"/>
      <c r="Z427" s="25" t="n">
        <v>38</v>
      </c>
      <c r="AA427" s="2"/>
      <c r="AB427" s="25" t="n">
        <v>4</v>
      </c>
      <c r="AD427" s="4" t="str">
        <f aca="false">IF(AND(Z427&gt;0,AC427&gt;0),(AC427/((Z427+AA427)*10)),"")</f>
        <v/>
      </c>
      <c r="AE427" s="25" t="n">
        <v>90</v>
      </c>
      <c r="AF427" s="25" t="n">
        <f aca="false">ROUND(AE427*1.6, 0)</f>
        <v>144</v>
      </c>
      <c r="AI427" s="25" t="n">
        <v>19.2</v>
      </c>
      <c r="AJ427" s="25" t="n">
        <v>20</v>
      </c>
      <c r="AK427" s="25" t="n">
        <v>2.82</v>
      </c>
      <c r="AL427" s="25" t="n">
        <v>3.79</v>
      </c>
      <c r="AM427" s="5" t="n">
        <v>18</v>
      </c>
      <c r="AN427" s="1" t="str">
        <f aca="false">CONCATENATE(VLOOKUP(AO427, '[1]Voxel Sizes'!$A$2:$B$18,2,FALSE()),"x",INT(AK427*15), "x", INT(AL427*15))</f>
        <v>198x42x56</v>
      </c>
      <c r="AO427" s="25" t="n">
        <f aca="false">ROUND(15*((AJ427*10)/256),0)</f>
        <v>12</v>
      </c>
      <c r="AQ427" s="1" t="str">
        <f aca="false">CONCATENATE(VLOOKUP(AO427,Constants!$A$2:$C$16,IF(AP427&lt;&gt;"", 3, 2), FALSE()),IF(AP427&lt;&gt;"",CONCATENATE(",",VLOOKUP(AP427,$B:$AQ,42,FALSE())),""))</f>
        <v>4,4,4</v>
      </c>
      <c r="AS427" s="6"/>
      <c r="AT427" s="6"/>
      <c r="AZ427" s="1" t="s">
        <v>1669</v>
      </c>
      <c r="BA427" s="25" t="n">
        <v>30</v>
      </c>
      <c r="BB427" s="16" t="n">
        <f aca="false">IF(O427&lt;&gt;"",MAX(16,(O427-M427)+8),"")</f>
        <v>52</v>
      </c>
      <c r="BC427" s="25" t="n">
        <v>1000</v>
      </c>
      <c r="BD427" s="25" t="n">
        <v>110</v>
      </c>
      <c r="BE427" s="25" t="n">
        <f aca="false">MIN(AE427/150, 1)*30</f>
        <v>18</v>
      </c>
      <c r="BF427" s="25" t="n">
        <f aca="false">MIN(Q427/4000, 1)*20</f>
        <v>0</v>
      </c>
      <c r="BG427" s="25" t="n">
        <f aca="false">MIN(AC427/400,1)*20</f>
        <v>0</v>
      </c>
      <c r="BH427" s="4" t="n">
        <f aca="false">1-(MAX(M427-1900, 0)/750)</f>
        <v>0.952</v>
      </c>
      <c r="BI427" s="25" t="n">
        <f aca="false">((MAX($P427,1)*MIN($AM427/300,1)))*IF(J427="Wagon",50,10)</f>
        <v>3</v>
      </c>
      <c r="BJ427" s="1" t="n">
        <f aca="false">VLOOKUP($K427,Constants!$I:$K, 2, FALSE())</f>
        <v>1.5</v>
      </c>
      <c r="BK427" s="1" t="n">
        <f aca="false">VLOOKUP($K427,Constants!$I:$K, 3, FALSE())*IF(AND(J427="multiple_unit",AE427&lt;110),0.75,1)</f>
        <v>0.7</v>
      </c>
      <c r="BL427" s="25" t="n">
        <f aca="false">INT(POWER((([1]Constants!$G$2+$BE427+$BF427+$BG427+$BI427)*$BH427)*$BK427, 1.05))+$BD427</f>
        <v>129</v>
      </c>
      <c r="BM427" s="25" t="n">
        <f aca="false">INT(POWER(((([1]Constants!$G$1+$BE427+$BF427+$BG427+$BI427)*($BH427))*$BJ427),IF($J427="wagon",1,1.2)))+$BC427</f>
        <v>1051</v>
      </c>
      <c r="BN427" s="17" t="n">
        <f aca="false">BL427*IF($J427="wagon",62.5,781.25)</f>
        <v>8062.5</v>
      </c>
      <c r="BO427" s="17" t="n">
        <f aca="false">BM427*IF($J427="wagon",2.73,81.25)</f>
        <v>2869.23</v>
      </c>
      <c r="BY427" s="25" t="n">
        <v>2</v>
      </c>
      <c r="BZ427" s="25" t="n">
        <v>278</v>
      </c>
      <c r="CB427" s="25" t="s">
        <v>326</v>
      </c>
      <c r="CC427" s="25" t="s">
        <v>327</v>
      </c>
      <c r="CD427" s="25" t="str">
        <f aca="false">VLOOKUP(M427,[1]Eras!$A$2:$C$10, 2, TRUE())</f>
        <v>big4</v>
      </c>
      <c r="CE427" s="25" t="s">
        <v>1478</v>
      </c>
      <c r="CF427" s="25" t="str">
        <f aca="false">CONCATENATE(CD427,"_",CE427)</f>
        <v>big4_Carriage</v>
      </c>
      <c r="CG427" s="25" t="str">
        <f aca="false">_xlfn.CONCAT(K427, "_",L427)</f>
        <v>luxury_carriage_RAIL</v>
      </c>
      <c r="CH427" s="7" t="str">
        <f aca="false">_xlfn.CONCAT("{BLACK}Length: {GOLD}", TEXT(ROUNDUP(IF(AT427&lt;&gt;"",SUM(VALUE(_xlfn.TEXTSPLIT(AT427, ","))), SUM(VALUE(_xlfn.TEXTSPLIT(AQ427, ",")))*IF(P427, P427, 1))/16, 1), "#,##0.0"), " tiles{}")</f>
        <v>{BLACK}Length: {GOLD}0.8 tiles{}</v>
      </c>
      <c r="CI427" s="1" t="n">
        <f aca="false">VLOOKUP($CG427, Constants!$M:$N, 2, FALSE())</f>
        <v>0</v>
      </c>
      <c r="CJ427" s="1" t="str">
        <f aca="false">IF(P427&gt;1,_xlfn.CONCAT("{BLACK}Cars: {GOLD}", P427),"")</f>
        <v/>
      </c>
      <c r="CK427" s="25" t="s">
        <v>1670</v>
      </c>
      <c r="CM427" s="25" t="str">
        <f aca="false">IF(CA427="buffet","{YELLOW}25% long distance bonus for consist{}",IF(CD427="BRAKE","{YELLOW}Speed bonus for slow wagons{}",IF(BZ427&gt;190,CONCATENATE("{YELLOW}",INT((BZ427-185)/1.85),"% bonus for long distance travel{}"),IF(AND(BZ427&lt;180,BZ427&lt;&gt;0),CONCATENATE("{YELLOW}",INT((185-BZ427)/1.85),"% penalty for long distance travel{}"),""))))</f>
        <v>{YELLOW}50% bonus for long distance travel{}</v>
      </c>
      <c r="CN427" s="25" t="str">
        <f aca="false">_xlfn.CONCAT(CI427,IF(CI427 &lt;&gt; "", " ", ""),CJ427,IF(OR(CJ427&lt;&gt;"", CI427&lt;&gt;""), "{}",""), CH427, CM427,"{SILVER}", CK427)</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28" s="25" customFormat="true" ht="14.25" hidden="false" customHeight="false" outlineLevel="0" collapsed="false">
      <c r="A428" s="25" t="s">
        <v>1671</v>
      </c>
      <c r="B428" s="26" t="s">
        <v>1672</v>
      </c>
      <c r="C428" s="1" t="n">
        <v>3116</v>
      </c>
      <c r="E428" s="1" t="n">
        <v>1055</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25" t="s">
        <v>198</v>
      </c>
      <c r="J428" s="25" t="s">
        <v>1476</v>
      </c>
      <c r="K428" s="25" t="s">
        <v>1477</v>
      </c>
      <c r="L428" s="25" t="s">
        <v>149</v>
      </c>
      <c r="M428" s="25" t="n">
        <v>1936</v>
      </c>
      <c r="N428" s="25" t="n">
        <v>1974</v>
      </c>
      <c r="O428" s="25" t="n">
        <v>1980</v>
      </c>
      <c r="R428" s="2"/>
      <c r="S428" s="3"/>
      <c r="T428" s="3"/>
      <c r="U428" s="3"/>
      <c r="V428" s="3"/>
      <c r="W428" s="3"/>
      <c r="X428" s="3"/>
      <c r="Y428" s="3"/>
      <c r="Z428" s="25" t="n">
        <v>21</v>
      </c>
      <c r="AA428" s="2"/>
      <c r="AB428" s="25" t="n">
        <v>4</v>
      </c>
      <c r="AD428" s="4" t="str">
        <f aca="false">IF(AND(Z428&gt;0,AC428&gt;0),(AC428/((Z428+AA428)*10)),"")</f>
        <v/>
      </c>
      <c r="AE428" s="25" t="n">
        <v>90</v>
      </c>
      <c r="AF428" s="25" t="n">
        <f aca="false">ROUND(AE428*1.6, 0)</f>
        <v>144</v>
      </c>
      <c r="AI428" s="25" t="n">
        <v>12.1</v>
      </c>
      <c r="AJ428" s="25" t="n">
        <v>12</v>
      </c>
      <c r="AK428" s="25" t="n">
        <v>2.82</v>
      </c>
      <c r="AL428" s="25" t="n">
        <v>3.79</v>
      </c>
      <c r="AM428" s="5" t="n">
        <v>18</v>
      </c>
      <c r="AN428" s="1" t="str">
        <f aca="false">CONCATENATE(VLOOKUP(AO428, '[1]Voxel Sizes'!$A$2:$B$18,2,FALSE()),"x",INT(AK428*15), "x", INT(AL428*15))</f>
        <v>120x42x56</v>
      </c>
      <c r="AO428" s="25" t="n">
        <f aca="false">ROUND(15*((AJ428*10)/256),0)</f>
        <v>7</v>
      </c>
      <c r="AQ428" s="1" t="str">
        <f aca="false">CONCATENATE(VLOOKUP(AO428,Constants!$A$2:$C$16,IF(AP428&lt;&gt;"", 3, 2), FALSE()),IF(AP428&lt;&gt;"",CONCATENATE(",",VLOOKUP(AP428,$B:$AQ,42,FALSE())),""))</f>
        <v>2,3,2</v>
      </c>
      <c r="AS428" s="6"/>
      <c r="AT428" s="6"/>
      <c r="AZ428" s="1" t="s">
        <v>1673</v>
      </c>
      <c r="BA428" s="25" t="n">
        <v>30</v>
      </c>
      <c r="BB428" s="16" t="n">
        <f aca="false">IF(O428&lt;&gt;"",MAX(16,(O428-M428)+8),"")</f>
        <v>52</v>
      </c>
      <c r="BC428" s="25" t="n">
        <v>1000</v>
      </c>
      <c r="BD428" s="25" t="n">
        <v>110</v>
      </c>
      <c r="BE428" s="25" t="n">
        <f aca="false">MIN(AE428/150, 1)*30</f>
        <v>18</v>
      </c>
      <c r="BF428" s="25" t="n">
        <f aca="false">MIN(Q428/4000, 1)*20</f>
        <v>0</v>
      </c>
      <c r="BG428" s="25" t="n">
        <f aca="false">MIN(AC428/400,1)*20</f>
        <v>0</v>
      </c>
      <c r="BH428" s="4" t="n">
        <f aca="false">1-(MAX(M428-1900, 0)/750)</f>
        <v>0.952</v>
      </c>
      <c r="BI428" s="25" t="n">
        <f aca="false">((MAX($P428,1)*MIN($AM428/300,1)))*IF(J428="Wagon",50,10)</f>
        <v>3</v>
      </c>
      <c r="BJ428" s="1" t="n">
        <f aca="false">VLOOKUP($K428,Constants!$I:$K, 2, FALSE())</f>
        <v>1.2</v>
      </c>
      <c r="BK428" s="1" t="n">
        <f aca="false">VLOOKUP($K428,Constants!$I:$K, 3, FALSE())*IF(AND(J428="multiple_unit",AE428&lt;110),0.75,1)</f>
        <v>0.6</v>
      </c>
      <c r="BL428" s="25" t="n">
        <f aca="false">INT(POWER((([1]Constants!$G$2+$BE428+$BF428+$BG428+$BI428)*$BH428)*$BK428, 1.05))+$BD428</f>
        <v>126</v>
      </c>
      <c r="BM428" s="25" t="n">
        <f aca="false">INT(POWER(((([1]Constants!$G$1+$BE428+$BF428+$BG428+$BI428)*($BH428))*$BJ428),IF($J428="wagon",1,1.2)))+$BC428</f>
        <v>1041</v>
      </c>
      <c r="BN428" s="17" t="n">
        <f aca="false">BL428*IF($J428="wagon",62.5,781.25)</f>
        <v>7875</v>
      </c>
      <c r="BO428" s="17" t="n">
        <f aca="false">BM428*IF($J428="wagon",2.73,81.25)</f>
        <v>2841.93</v>
      </c>
      <c r="BY428" s="25" t="n">
        <v>2</v>
      </c>
      <c r="BZ428" s="25" t="n">
        <v>185</v>
      </c>
      <c r="CB428" s="25" t="s">
        <v>661</v>
      </c>
      <c r="CC428" s="25" t="s">
        <v>662</v>
      </c>
      <c r="CD428" s="25" t="str">
        <f aca="false">VLOOKUP(M428,[1]Eras!$A$2:$C$10, 2, TRUE())</f>
        <v>big4</v>
      </c>
      <c r="CE428" s="25" t="s">
        <v>1478</v>
      </c>
      <c r="CF428" s="25" t="str">
        <f aca="false">CONCATENATE(CD428,"_",CE428)</f>
        <v>big4_Carriage</v>
      </c>
      <c r="CG428" s="25" t="str">
        <f aca="false">_xlfn.CONCAT(K428, "_",L428)</f>
        <v>carriage_RAIL</v>
      </c>
      <c r="CH428" s="7" t="str">
        <f aca="false">_xlfn.CONCAT("{BLACK}Length: {GOLD}", TEXT(ROUNDUP(IF(AT428&lt;&gt;"",SUM(VALUE(_xlfn.TEXTSPLIT(AT428, ","))), SUM(VALUE(_xlfn.TEXTSPLIT(AQ428, ",")))*IF(P428, P428, 1))/16, 1), "#,##0.0"), " tiles{}")</f>
        <v>{BLACK}Length: {GOLD}0.5 tiles{}</v>
      </c>
      <c r="CI428" s="1" t="n">
        <f aca="false">VLOOKUP($CG428, Constants!$M:$N, 2, FALSE())</f>
        <v>0</v>
      </c>
      <c r="CJ428" s="1" t="str">
        <f aca="false">IF(P428&gt;1,_xlfn.CONCAT("{BLACK}Cars: {GOLD}", P428),"")</f>
        <v/>
      </c>
      <c r="CK428" s="25" t="s">
        <v>1674</v>
      </c>
      <c r="CM428" s="25" t="str">
        <f aca="false">IF(CA428="buffet","{YELLOW}25% long distance bonus for consist{}",IF(CD428="BRAKE","{YELLOW}Speed bonus for slow wagons{}",IF(BZ428&gt;190,CONCATENATE("{YELLOW}",INT((BZ428-185)/1.85),"% bonus for long distance travel{}"),IF(AND(BZ428&lt;180,BZ428&lt;&gt;0),CONCATENATE("{YELLOW}",INT((185-BZ428)/1.85),"% penalty for long distance travel{}"),""))))</f>
        <v/>
      </c>
      <c r="CN428" s="25" t="str">
        <f aca="false">_xlfn.CONCAT(CI428,IF(CI428 &lt;&gt; "", " ", ""),CJ428,IF(OR(CJ428&lt;&gt;"", CI428&lt;&gt;""), "{}",""), CH428, CM428,"{SILVER}", CK428)</f>
        <v>{BLACK}Length: {GOLD}0.5 tiles{}{SILVER}These two-axle baggage cars were a fixture of the night ferry service, running with the sleeping cars on the 11 hour schedule from London to Paris.</v>
      </c>
    </row>
    <row r="429" customFormat="false" ht="14.25" hidden="false" customHeight="false" outlineLevel="0" collapsed="false">
      <c r="A429" s="1" t="s">
        <v>1675</v>
      </c>
      <c r="B429" s="15" t="s">
        <v>1676</v>
      </c>
      <c r="C429" s="1" t="n">
        <v>39</v>
      </c>
      <c r="E429" s="1" t="n">
        <v>1056</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198</v>
      </c>
      <c r="J429" s="1" t="s">
        <v>1476</v>
      </c>
      <c r="K429" s="1" t="s">
        <v>1477</v>
      </c>
      <c r="L429" s="1" t="s">
        <v>200</v>
      </c>
      <c r="M429" s="1" t="n">
        <v>1700</v>
      </c>
      <c r="O429" s="1" t="n">
        <v>1870</v>
      </c>
      <c r="Z429" s="1" t="n">
        <v>8</v>
      </c>
      <c r="AB429" s="1" t="n">
        <v>3</v>
      </c>
      <c r="AD429" s="4" t="str">
        <f aca="false">IF(AND(Z429&gt;0,AC429&gt;0),(AC429/((Z429+AA429)*10)),"")</f>
        <v/>
      </c>
      <c r="AE429" s="1" t="n">
        <v>45</v>
      </c>
      <c r="AF429" s="1" t="n">
        <f aca="false">ROUND(AE429*1.6, 0)</f>
        <v>72</v>
      </c>
      <c r="AI429" s="1" t="n">
        <v>8</v>
      </c>
      <c r="AJ429" s="1" t="n">
        <v>8</v>
      </c>
      <c r="AM429" s="5" t="n">
        <v>24</v>
      </c>
      <c r="AN429" s="1" t="str">
        <f aca="false">CONCATENATE(VLOOKUP(AO429, 'Voxel Sizes'!$A$2:$B$18,2,FALSE()),"x",INT(AK429*15), "x", INT(AL429*15))</f>
        <v>82x0x0</v>
      </c>
      <c r="AO429" s="1" t="n">
        <f aca="false">ROUND(15*((AJ429*10)/256),0)</f>
        <v>5</v>
      </c>
      <c r="AQ429" s="1" t="str">
        <f aca="false">CONCATENATE(VLOOKUP(AO429,Constants!$A$2:$C$16,IF(AP429&lt;&gt;"", 3, 2), FALSE()),IF(AP429&lt;&gt;"",CONCATENATE(",",VLOOKUP(AP429,$B:$AQ,39,FALSE())),""))</f>
        <v>2,1,2</v>
      </c>
      <c r="BA429" s="1" t="n">
        <v>30</v>
      </c>
      <c r="BB429" s="16" t="n">
        <f aca="false">IF(O429&lt;&gt;"",MAX(16,(O429-M429)+8),"")</f>
        <v>178</v>
      </c>
      <c r="BC429" s="1" t="n">
        <v>5</v>
      </c>
      <c r="BD429" s="1" t="n">
        <v>4</v>
      </c>
      <c r="BE429" s="1" t="n">
        <f aca="false">MIN(AE429/150, 1)*30</f>
        <v>9</v>
      </c>
      <c r="BF429" s="1" t="n">
        <f aca="false">MIN(Q429/4000, 1)*20</f>
        <v>0</v>
      </c>
      <c r="BG429" s="1" t="n">
        <f aca="false">MIN(AC429/400,1)*20</f>
        <v>0</v>
      </c>
      <c r="BH429" s="4" t="n">
        <f aca="false">1-(MAX(M429-1900, 0)/750)</f>
        <v>1</v>
      </c>
      <c r="BI429" s="1" t="n">
        <f aca="false">((MAX($P429,1)*MIN($AM429/300,1)))*IF(J429="Wagon",50,10)</f>
        <v>4</v>
      </c>
      <c r="BJ429" s="1" t="n">
        <f aca="false">VLOOKUP($K429,Constants!$I:$K, 2, FALSE())</f>
        <v>1.2</v>
      </c>
      <c r="BK429" s="1" t="n">
        <f aca="false">VLOOKUP($K429,Constants!$I:$K, 3, FALSE())*IF(AND(J429="multiple_unit",AE429&lt;110),0.75,1)</f>
        <v>0.6</v>
      </c>
      <c r="BL429" s="1" t="n">
        <f aca="false">INT(POWER(((Constants!$G$2+$BE429+$BF429+$BG429+$BI429)*$BH429)*$BK429, 1.05))+$BD429</f>
        <v>16</v>
      </c>
      <c r="BM429" s="1" t="n">
        <f aca="false">INT(POWER((((Constants!$G$1+$BE429+$BF429+$BG429+$BI429)*($BH429))*$BJ429),IF($J429="wagon",1,1.2)))+$BC429</f>
        <v>38</v>
      </c>
      <c r="BN429" s="17" t="n">
        <f aca="false">BL429*IF($J429="wagon",62.5,781.25)</f>
        <v>1000</v>
      </c>
      <c r="BO429" s="17" t="n">
        <f aca="false">BM429*IF($J429="wagon",2.73,81.25)</f>
        <v>103.74</v>
      </c>
      <c r="BY429" s="1" t="n">
        <v>10</v>
      </c>
      <c r="BZ429" s="1" t="n">
        <v>185</v>
      </c>
      <c r="CB429" s="1" t="s">
        <v>661</v>
      </c>
      <c r="CC429" s="1" t="s">
        <v>662</v>
      </c>
      <c r="CD429" s="1" t="str">
        <f aca="false">VLOOKUP(M429,Eras!$A$2:$C$10, 2, TRUE())</f>
        <v>early</v>
      </c>
      <c r="CE429" s="1" t="s">
        <v>1478</v>
      </c>
      <c r="CF429" s="1" t="str">
        <f aca="false">CONCATENATE(CD429,"_",CE429)</f>
        <v>early_Carriage</v>
      </c>
      <c r="CG429" s="1" t="str">
        <f aca="false">_xlfn.CONCAT(K429, "_",L429)</f>
        <v>carriage_PLATEWAY</v>
      </c>
      <c r="CH429" s="7" t="str">
        <f aca="false">_xlfn.CONCAT("{BLACK}Length: {GOLD}", TEXT(ROUNDUP(IF(AT429&lt;&gt;"",SUM(VALUE(_xlfn.TEXTSPLIT(AT429, ","))), SUM(VALUE(_xlfn.TEXTSPLIT(AQ429, ",")))*IF(P429, P429, 1))/16, 1), "#,##0.0"), " tiles{}")</f>
        <v>{BLACK}Length: {GOLD}0.4 tiles{}</v>
      </c>
      <c r="CI429" s="1" t="n">
        <f aca="false">VLOOKUP($CG429, Constants!$M:$N, 2, FALSE())</f>
        <v>0</v>
      </c>
      <c r="CJ429" s="1" t="str">
        <f aca="false">IF(P429&gt;1,_xlfn.CONCAT("{BLACK}Cars: {GOLD}", P429),"")</f>
        <v/>
      </c>
      <c r="CK429" s="1" t="s">
        <v>1677</v>
      </c>
      <c r="CL429" s="1" t="str">
        <f aca="fals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{GOLD}0.4 tiles{}{SILVER}Although dedicated brake carriages were not common until the 1840s, this one is included in the set to allow early parcel and mail transport.</v>
      </c>
    </row>
    <row r="430" customFormat="false" ht="14.25" hidden="false" customHeight="true" outlineLevel="0" collapsed="false">
      <c r="A430" s="1" t="s">
        <v>1678</v>
      </c>
      <c r="B430" s="15" t="s">
        <v>1679</v>
      </c>
      <c r="C430" s="1" t="n">
        <v>40</v>
      </c>
      <c r="E430" s="1" t="n">
        <v>1057</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198</v>
      </c>
      <c r="J430" s="1" t="s">
        <v>1476</v>
      </c>
      <c r="K430" s="1" t="s">
        <v>1477</v>
      </c>
      <c r="L430" s="1" t="s">
        <v>149</v>
      </c>
      <c r="M430" s="1" t="n">
        <v>1855</v>
      </c>
      <c r="O430" s="1" t="n">
        <v>1900</v>
      </c>
      <c r="Z430" s="1" t="n">
        <v>18</v>
      </c>
      <c r="AB430" s="1" t="n">
        <v>4</v>
      </c>
      <c r="AD430" s="4" t="str">
        <f aca="false">IF(AND(Z430&gt;0,AC430&gt;0),(AC430/((Z430+AA430)*10)),"")</f>
        <v/>
      </c>
      <c r="AE430" s="1" t="n">
        <v>65</v>
      </c>
      <c r="AF430" s="1" t="n">
        <f aca="false">ROUND(AE430*1.6, 0)</f>
        <v>104</v>
      </c>
      <c r="AI430" s="1" t="n">
        <v>10</v>
      </c>
      <c r="AJ430" s="1" t="n">
        <v>10</v>
      </c>
      <c r="AM430" s="5" t="n">
        <v>24</v>
      </c>
      <c r="AN430" s="1" t="str">
        <f aca="false">CONCATENATE(VLOOKUP(AO430, 'Voxel Sizes'!$A$2:$B$18,2,FALSE()),"x",INT(AK430*15), "x", INT(AL430*15))</f>
        <v>102x0x0</v>
      </c>
      <c r="AO430" s="1" t="n">
        <f aca="false">ROUND(15*((AJ430*10)/256),0)</f>
        <v>6</v>
      </c>
      <c r="AQ430" s="1" t="str">
        <f aca="false">CONCATENATE(VLOOKUP(AO430,Constants!$A$2:$C$16,IF(AP430&lt;&gt;"", 3, 2), FALSE()),IF(AP430&lt;&gt;"",CONCATENATE(",",VLOOKUP(AP430,$B:$AQ,39,FALSE())),""))</f>
        <v>2,2,2</v>
      </c>
      <c r="BA430" s="1" t="n">
        <v>30</v>
      </c>
      <c r="BB430" s="16" t="n">
        <f aca="false">IF(O430&lt;&gt;"",MAX(16,(O430-M430)+8),"")</f>
        <v>53</v>
      </c>
      <c r="BC430" s="1" t="n">
        <v>20</v>
      </c>
      <c r="BD430" s="1" t="n">
        <v>10</v>
      </c>
      <c r="BE430" s="1" t="n">
        <f aca="false">MIN(AE430/150, 1)*30</f>
        <v>13</v>
      </c>
      <c r="BF430" s="1" t="n">
        <f aca="false">MIN(Q430/4000, 1)*20</f>
        <v>0</v>
      </c>
      <c r="BG430" s="1" t="n">
        <f aca="false">MIN(AC430/400,1)*20</f>
        <v>0</v>
      </c>
      <c r="BH430" s="4" t="n">
        <f aca="false">1-(MAX(M430-1900, 0)/750)</f>
        <v>1</v>
      </c>
      <c r="BI430" s="1" t="n">
        <f aca="false">((MAX($P430,1)*MIN($AM430/300,1)))*IF(J430="Wagon",50,10)</f>
        <v>4</v>
      </c>
      <c r="BJ430" s="1" t="n">
        <f aca="false">VLOOKUP($K430,Constants!$I:$K, 2, FALSE())</f>
        <v>1.2</v>
      </c>
      <c r="BK430" s="1" t="n">
        <f aca="false">VLOOKUP($K430,Constants!$I:$K, 3, FALSE())*IF(AND(J430="multiple_unit",AE430&lt;110),0.75,1)</f>
        <v>0.6</v>
      </c>
      <c r="BL430" s="1" t="n">
        <f aca="false">INT(POWER(((Constants!$G$2+$BE430+$BF430+$BG430+$BI430)*$BH430)*$BK430, 1.05))+$BD430</f>
        <v>25</v>
      </c>
      <c r="BM430" s="1" t="n">
        <f aca="false">INT(POWER((((Constants!$G$1+$BE430+$BF430+$BG430+$BI430)*($BH430))*$BJ430),IF($J430="wagon",1,1.2)))+$BC430</f>
        <v>58</v>
      </c>
      <c r="BN430" s="17" t="n">
        <f aca="false">BL430*IF($J430="wagon",62.5,781.25)</f>
        <v>1562.5</v>
      </c>
      <c r="BO430" s="17" t="n">
        <f aca="false">BM430*IF($J430="wagon",2.73,81.25)</f>
        <v>158.34</v>
      </c>
      <c r="BY430" s="1" t="n">
        <v>10</v>
      </c>
      <c r="BZ430" s="1" t="n">
        <v>185</v>
      </c>
      <c r="CB430" s="1" t="s">
        <v>661</v>
      </c>
      <c r="CC430" s="1" t="s">
        <v>662</v>
      </c>
      <c r="CD430" s="1" t="str">
        <f aca="false">VLOOKUP(M430,Eras!$A$2:$C$10, 2, TRUE())</f>
        <v>vct</v>
      </c>
      <c r="CE430" s="1" t="s">
        <v>1478</v>
      </c>
      <c r="CF430" s="1" t="str">
        <f aca="false">CONCATENATE(CD430,"_",CE430)</f>
        <v>vct_Carriage</v>
      </c>
      <c r="CG430" s="1" t="str">
        <f aca="false">_xlfn.CONCAT(K430, "_",L430)</f>
        <v>carriage_RAIL</v>
      </c>
      <c r="CH430" s="7" t="str">
        <f aca="false">_xlfn.CONCAT("{BLACK}Length: {GOLD}", TEXT(ROUNDUP(IF(AT430&lt;&gt;"",SUM(VALUE(_xlfn.TEXTSPLIT(AT430, ","))), SUM(VALUE(_xlfn.TEXTSPLIT(AQ430, ",")))*IF(P430, P430, 1))/16, 1), "#,##0.0"), " tiles{}")</f>
        <v>{BLACK}Length: {GOLD}0.4 tiles{}</v>
      </c>
      <c r="CI430" s="1" t="n">
        <f aca="false">VLOOKUP($CG430, Constants!$M:$N, 2, FALSE())</f>
        <v>0</v>
      </c>
      <c r="CJ430" s="1" t="str">
        <f aca="false">IF(P430&gt;1,_xlfn.CONCAT("{BLACK}Cars: {GOLD}", P430),"")</f>
        <v/>
      </c>
      <c r="CK430" s="1" t="s">
        <v>1680</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
      </c>
      <c r="CN430" s="1" t="str">
        <f aca="false">_xlfn.CONCAT(CI430,IF(CI430&lt;&gt;""," ",""),CJ430,IF(OR(CJ430&lt;&gt;"",CI430&lt;&gt;""),"{}",""),CH430,CM430,"{SILVER}",CK430,IF(CL430&lt;&gt;"","{}{}",""),CL430)</f>
        <v>{BLACK}Length: {GOLD}0.4 tiles{}{SILVER}Early four-wheel carriages did not have locomotive-controlled brakes so, like freight trains, were reliant on the brakes in the guard's van.</v>
      </c>
    </row>
    <row r="431" customFormat="false" ht="14.25" hidden="false" customHeight="false" outlineLevel="0" collapsed="false">
      <c r="A431" s="1" t="s">
        <v>1681</v>
      </c>
      <c r="B431" s="15" t="s">
        <v>1682</v>
      </c>
      <c r="C431" s="1" t="n">
        <v>41</v>
      </c>
      <c r="E431" s="1" t="n">
        <v>1058</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1" t="s">
        <v>198</v>
      </c>
      <c r="J431" s="1" t="s">
        <v>1476</v>
      </c>
      <c r="K431" s="1" t="s">
        <v>1477</v>
      </c>
      <c r="L431" s="1" t="s">
        <v>149</v>
      </c>
      <c r="M431" s="1" t="n">
        <v>1875</v>
      </c>
      <c r="O431" s="1" t="n">
        <v>1915</v>
      </c>
      <c r="Z431" s="1" t="n">
        <v>21</v>
      </c>
      <c r="AB431" s="1" t="n">
        <v>4</v>
      </c>
      <c r="AD431" s="4" t="str">
        <f aca="false">IF(AND(Z431&gt;0,AC431&gt;0),(AC431/((Z431+AA431)*10)),"")</f>
        <v/>
      </c>
      <c r="AE431" s="1" t="n">
        <v>75</v>
      </c>
      <c r="AF431" s="1" t="n">
        <f aca="false">ROUND(AE431*1.6, 0)</f>
        <v>120</v>
      </c>
      <c r="AI431" s="1" t="n">
        <v>12</v>
      </c>
      <c r="AJ431" s="1" t="n">
        <v>12</v>
      </c>
      <c r="AM431" s="5" t="n">
        <v>30</v>
      </c>
      <c r="AN431" s="1" t="str">
        <f aca="false">CONCATENATE(VLOOKUP(AO431, 'Voxel Sizes'!$A$2:$B$18,2,FALSE()),"x",INT(AK431*15), "x", INT(AL431*15))</f>
        <v>120x0x0</v>
      </c>
      <c r="AO431" s="1" t="n">
        <f aca="false">ROUND(15*((AJ431*10)/256),0)</f>
        <v>7</v>
      </c>
      <c r="AQ431" s="1" t="str">
        <f aca="false">CONCATENATE(VLOOKUP(AO431,Constants!$A$2:$C$16,IF(AP431&lt;&gt;"", 3, 2), FALSE()),IF(AP431&lt;&gt;"",CONCATENATE(",",VLOOKUP(AP431,$B:$AQ,39,FALSE())),""))</f>
        <v>2,3,2</v>
      </c>
      <c r="BA431" s="1" t="n">
        <v>30</v>
      </c>
      <c r="BB431" s="16" t="n">
        <f aca="false">IF(O431&lt;&gt;"",MAX(16,(O431-M431)+8),"")</f>
        <v>48</v>
      </c>
      <c r="BC431" s="1" t="n">
        <v>39</v>
      </c>
      <c r="BD431" s="1" t="n">
        <v>16</v>
      </c>
      <c r="BE431" s="1" t="n">
        <f aca="false">MIN(AE431/150, 1)*30</f>
        <v>15</v>
      </c>
      <c r="BF431" s="1" t="n">
        <f aca="false">MIN(Q431/4000, 1)*20</f>
        <v>0</v>
      </c>
      <c r="BG431" s="1" t="n">
        <f aca="false">MIN(AC431/400,1)*20</f>
        <v>0</v>
      </c>
      <c r="BH431" s="4" t="n">
        <f aca="false">1-(MAX(M431-1900, 0)/750)</f>
        <v>1</v>
      </c>
      <c r="BI431" s="1" t="n">
        <f aca="false">((MAX($P431,1)*MIN($AM431/300,1)))*IF(J431="Wagon",50,10)</f>
        <v>5</v>
      </c>
      <c r="BJ431" s="1" t="n">
        <f aca="false">VLOOKUP($K431,Constants!$I:$K, 2, FALSE())</f>
        <v>1.2</v>
      </c>
      <c r="BK431" s="1" t="n">
        <f aca="false">VLOOKUP($K431,Constants!$I:$K, 3, FALSE())*IF(AND(J431="multiple_unit",AE431&lt;110),0.75,1)</f>
        <v>0.6</v>
      </c>
      <c r="BL431" s="1" t="n">
        <f aca="false">INT(POWER(((Constants!$G$2+$BE431+$BF431+$BG431+$BI431)*$BH431)*$BK431, 1.05))+$BD431</f>
        <v>33</v>
      </c>
      <c r="BM431" s="1" t="n">
        <f aca="false">INT(POWER((((Constants!$G$1+$BE431+$BF431+$BG431+$BI431)*($BH431))*$BJ431),IF($J431="wagon",1,1.2)))+$BC431</f>
        <v>81</v>
      </c>
      <c r="BN431" s="17" t="n">
        <f aca="false">BL431*IF($J431="wagon",62.5,781.25)</f>
        <v>2062.5</v>
      </c>
      <c r="BO431" s="17" t="n">
        <f aca="false">BM431*IF($J431="wagon",2.73,81.25)</f>
        <v>221.13</v>
      </c>
      <c r="BY431" s="1" t="n">
        <v>11</v>
      </c>
      <c r="BZ431" s="1" t="n">
        <v>185</v>
      </c>
      <c r="CB431" s="1" t="s">
        <v>661</v>
      </c>
      <c r="CC431" s="1" t="s">
        <v>662</v>
      </c>
      <c r="CD431" s="1" t="str">
        <f aca="false">VLOOKUP(M431,Eras!$A$2:$C$10, 2, TRUE())</f>
        <v>vct</v>
      </c>
      <c r="CE431" s="1" t="s">
        <v>1478</v>
      </c>
      <c r="CF431" s="1" t="str">
        <f aca="false">CONCATENATE(CD431,"_",CE431)</f>
        <v>vct_Carriage</v>
      </c>
      <c r="CG431" s="1" t="str">
        <f aca="false">_xlfn.CONCAT(K431, "_",L431)</f>
        <v>carriage_RAIL</v>
      </c>
      <c r="CH431" s="7" t="str">
        <f aca="false">_xlfn.CONCAT("{BLACK}Length: {GOLD}", TEXT(ROUNDUP(IF(AT431&lt;&gt;"",SUM(VALUE(_xlfn.TEXTSPLIT(AT431, ","))), SUM(VALUE(_xlfn.TEXTSPLIT(AQ431, ",")))*IF(P431, P431, 1))/16, 1), "#,##0.0"), " tiles{}")</f>
        <v>{BLACK}Length: {GOLD}0.5 tiles{}</v>
      </c>
      <c r="CI431" s="1" t="n">
        <f aca="false">VLOOKUP($CG431, Constants!$M:$N, 2, FALSE())</f>
        <v>0</v>
      </c>
      <c r="CJ431" s="1" t="str">
        <f aca="false">IF(P431&gt;1,_xlfn.CONCAT("{BLACK}Cars: {GOLD}", P431),"")</f>
        <v/>
      </c>
      <c r="CK431" s="1" t="s">
        <v>1683</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{GOLD}0.5 tiles{}{SILVER}Although carriages gained more luxurious fixtures and fittings through the Victorian era, braking still required a guard's van.</v>
      </c>
    </row>
    <row r="432" customFormat="false" ht="14.25" hidden="false" customHeight="false" outlineLevel="0" collapsed="false">
      <c r="A432" s="1" t="s">
        <v>1684</v>
      </c>
      <c r="B432" s="15" t="s">
        <v>1685</v>
      </c>
      <c r="C432" s="1" t="n">
        <v>42</v>
      </c>
      <c r="E432" s="1" t="n">
        <v>1059</v>
      </c>
      <c r="G432" s="1" t="str">
        <f aca="false">IF($F432&lt;&gt;"",_xlfn.CONCAT(VLOOKUP($CE432, Constants!$T:$U, 2, FALSE()),",",$F432),VLOOKUP($CE432, Constants!$T:$U, 2, FALSE()))</f>
        <v>role/mail</v>
      </c>
      <c r="H432" s="1" t="str">
        <f aca="false">IF($G432&lt;&gt;"",_xlfn.CONCAT(VLOOKUP($CG432, Constants!$M:$P, 4, FALSE()),",",$G432),VLOOKUP($CG432, Constants!$M:$P, 4, FALSE()))</f>
        <v>flag/GB,role/mail</v>
      </c>
      <c r="I432" s="1" t="s">
        <v>198</v>
      </c>
      <c r="J432" s="1" t="s">
        <v>1476</v>
      </c>
      <c r="K432" s="1" t="s">
        <v>1477</v>
      </c>
      <c r="L432" s="1" t="s">
        <v>149</v>
      </c>
      <c r="M432" s="1" t="n">
        <v>1892</v>
      </c>
      <c r="O432" s="1" t="n">
        <v>1935</v>
      </c>
      <c r="Z432" s="1" t="n">
        <v>28</v>
      </c>
      <c r="AB432" s="1" t="n">
        <v>4</v>
      </c>
      <c r="AD432" s="4" t="str">
        <f aca="false">IF(AND(Z432&gt;0,AC432&gt;0),(AC432/((Z432+AA432)*10)),"")</f>
        <v/>
      </c>
      <c r="AE432" s="1" t="n">
        <v>90</v>
      </c>
      <c r="AF432" s="1" t="n">
        <f aca="false">ROUND(AE432*1.6, 0)</f>
        <v>144</v>
      </c>
      <c r="AI432" s="1" t="n">
        <v>16.2</v>
      </c>
      <c r="AJ432" s="1" t="n">
        <v>16.2</v>
      </c>
      <c r="AK432" s="1" t="n">
        <v>2.8</v>
      </c>
      <c r="AM432" s="5" t="n">
        <v>51</v>
      </c>
      <c r="AN432" s="1" t="str">
        <f aca="false">CONCATENATE(VLOOKUP(AO432, 'Voxel Sizes'!$A$2:$B$18,2,FALSE()),"x",INT(AK432*15), "x", INT(AL432*15))</f>
        <v>152x42x0</v>
      </c>
      <c r="AO432" s="1" t="n">
        <f aca="false">ROUND(15*((AJ432*10)/256),0)</f>
        <v>9</v>
      </c>
      <c r="AQ432" s="1" t="str">
        <f aca="false">CONCATENATE(VLOOKUP(AO432,Constants!$A$2:$C$16,IF(AP432&lt;&gt;"", 3, 2), FALSE()),IF(AP432&lt;&gt;"",CONCATENATE(",",VLOOKUP(AP432,$B:$AQ,39,FALSE())),""))</f>
        <v>2,5,2</v>
      </c>
      <c r="BA432" s="1" t="n">
        <v>30</v>
      </c>
      <c r="BB432" s="16" t="n">
        <f aca="false">IF(O432&lt;&gt;"",MAX(16,(O432-M432)+8),"")</f>
        <v>51</v>
      </c>
      <c r="BC432" s="1" t="n">
        <v>47</v>
      </c>
      <c r="BD432" s="1" t="n">
        <v>20</v>
      </c>
      <c r="BE432" s="1" t="n">
        <f aca="false">MIN(AE432/150, 1)*30</f>
        <v>18</v>
      </c>
      <c r="BF432" s="1" t="n">
        <f aca="false">MIN(Q432/4000, 1)*20</f>
        <v>0</v>
      </c>
      <c r="BG432" s="1" t="n">
        <f aca="false">MIN(AC432/400,1)*20</f>
        <v>0</v>
      </c>
      <c r="BH432" s="4" t="n">
        <f aca="false">1-(MAX(M432-1900, 0)/750)</f>
        <v>1</v>
      </c>
      <c r="BI432" s="1" t="n">
        <f aca="false">((MAX($P432,1)*MIN($AM432/300,1)))*IF(J432="Wagon",50,10)</f>
        <v>8.5</v>
      </c>
      <c r="BJ432" s="1" t="n">
        <f aca="false">VLOOKUP($K432,Constants!$I:$K, 2, FALSE())</f>
        <v>1.2</v>
      </c>
      <c r="BK432" s="1" t="n">
        <f aca="false">VLOOKUP($K432,Constants!$I:$K, 3, FALSE())*IF(AND(J432="multiple_unit",AE432&lt;110),0.75,1)</f>
        <v>0.6</v>
      </c>
      <c r="BL432" s="1" t="n">
        <f aca="false">INT(POWER(((Constants!$G$2+$BE432+$BF432+$BG432+$BI432)*$BH432)*$BK432, 1.05))+$BD432</f>
        <v>41</v>
      </c>
      <c r="BM432" s="1" t="n">
        <f aca="false">INT(POWER((((Constants!$G$1+$BE432+$BF432+$BG432+$BI432)*($BH432))*$BJ432),IF($J432="wagon",1,1.2)))+$BC432</f>
        <v>96</v>
      </c>
      <c r="BN432" s="17" t="n">
        <f aca="false">BL432*IF($J432="wagon",62.5,781.25)</f>
        <v>2562.5</v>
      </c>
      <c r="BO432" s="17" t="n">
        <f aca="false">BM432*IF($J432="wagon",2.73,81.25)</f>
        <v>262.08</v>
      </c>
      <c r="BY432" s="1" t="n">
        <v>1</v>
      </c>
      <c r="BZ432" s="1" t="n">
        <v>185</v>
      </c>
      <c r="CB432" s="1" t="s">
        <v>661</v>
      </c>
      <c r="CC432" s="1" t="s">
        <v>662</v>
      </c>
      <c r="CD432" s="1" t="str">
        <f aca="false">VLOOKUP(M432,Eras!$A$2:$C$10, 2, TRUE())</f>
        <v>vct</v>
      </c>
      <c r="CE432" s="1" t="s">
        <v>1583</v>
      </c>
      <c r="CF432" s="1" t="str">
        <f aca="false">CONCATENATE(CD432,"_",CE432)</f>
        <v>vct_Mail Carriage</v>
      </c>
      <c r="CG432" s="1" t="str">
        <f aca="false">_xlfn.CONCAT(K432, "_",L432)</f>
        <v>carriage_RAIL</v>
      </c>
      <c r="CH432" s="7" t="str">
        <f aca="false">_xlfn.CONCAT("{BLACK}Length: {GOLD}", TEXT(ROUNDUP(IF(AT432&lt;&gt;"",SUM(VALUE(_xlfn.TEXTSPLIT(AT432, ","))), SUM(VALUE(_xlfn.TEXTSPLIT(AQ432, ",")))*IF(P432, P432, 1))/16, 1), "#,##0.0"), " tiles{}")</f>
        <v>{BLACK}Length: {GOLD}0.6 tiles{}</v>
      </c>
      <c r="CI432" s="1" t="n">
        <f aca="false">VLOOKUP($CG432, Constants!$M:$N, 2, FALSE())</f>
        <v>0</v>
      </c>
      <c r="CJ432" s="1" t="str">
        <f aca="false">IF(P432&gt;1,_xlfn.CONCAT("{BLACK}Cars: {GOLD}", P432),"")</f>
        <v/>
      </c>
      <c r="CK432" s="1" t="s">
        <v>1686</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{GOLD}0.6 tiles{}{SILVER}This brake carriage is designed for use with clerestory carriages. It can carry parcels and mail.</v>
      </c>
    </row>
    <row r="433" customFormat="false" ht="14.25" hidden="false" customHeight="false" outlineLevel="0" collapsed="false">
      <c r="A433" s="1" t="s">
        <v>1687</v>
      </c>
      <c r="B433" s="15" t="s">
        <v>1688</v>
      </c>
      <c r="C433" s="1" t="n">
        <v>43</v>
      </c>
      <c r="E433" s="1" t="n">
        <v>1060</v>
      </c>
      <c r="G433" s="1" t="str">
        <f aca="false">IF($F433&lt;&gt;"",_xlfn.CONCAT(VLOOKUP($CE433, Constants!$T:$U, 2, FALSE()),",",$F433),VLOOKUP($CE433, Constants!$T:$U, 2, FALSE()))</f>
        <v>role/mail</v>
      </c>
      <c r="H433" s="1" t="str">
        <f aca="false">IF($G433&lt;&gt;"",_xlfn.CONCAT(VLOOKUP($CG433, Constants!$M:$P, 4, FALSE()),",",$G433),VLOOKUP($CG433, Constants!$M:$P, 4, FALSE()))</f>
        <v>flag/GB,role/mail</v>
      </c>
      <c r="I433" s="1" t="s">
        <v>198</v>
      </c>
      <c r="J433" s="1" t="s">
        <v>1476</v>
      </c>
      <c r="K433" s="1" t="s">
        <v>1477</v>
      </c>
      <c r="L433" s="1" t="s">
        <v>149</v>
      </c>
      <c r="M433" s="1" t="n">
        <v>1904</v>
      </c>
      <c r="O433" s="1" t="n">
        <v>1955</v>
      </c>
      <c r="Z433" s="1" t="n">
        <v>29</v>
      </c>
      <c r="AB433" s="1" t="n">
        <v>5</v>
      </c>
      <c r="AD433" s="4" t="str">
        <f aca="false">IF(AND(Z433&gt;0,AC433&gt;0),(AC433/((Z433+AA433)*10)),"")</f>
        <v/>
      </c>
      <c r="AE433" s="1" t="n">
        <v>100</v>
      </c>
      <c r="AF433" s="1" t="n">
        <f aca="false">ROUND(AE433*1.6, 0)</f>
        <v>160</v>
      </c>
      <c r="AI433" s="1" t="n">
        <v>17.7</v>
      </c>
      <c r="AJ433" s="1" t="n">
        <v>17.7</v>
      </c>
      <c r="AK433" s="1" t="n">
        <v>2.83</v>
      </c>
      <c r="AL433" s="1" t="n">
        <v>3.79</v>
      </c>
      <c r="AM433" s="5" t="n">
        <v>57</v>
      </c>
      <c r="AN433" s="1" t="str">
        <f aca="false">CONCATENATE(VLOOKUP(AO433, 'Voxel Sizes'!$A$2:$B$18,2,FALSE()),"x",INT(AK433*15), "x", INT(AL433*15))</f>
        <v>164x42x56</v>
      </c>
      <c r="AO433" s="1" t="n">
        <f aca="false">ROUND(15*((AJ433*10)/256),0)</f>
        <v>10</v>
      </c>
      <c r="AQ433" s="1" t="str">
        <f aca="false">CONCATENATE(VLOOKUP(AO433,Constants!$A$2:$C$16,IF(AP433&lt;&gt;"", 3, 2), FALSE()),IF(AP433&lt;&gt;"",CONCATENATE(",",VLOOKUP(AP433,$B:$AQ,39,FALSE())),""))</f>
        <v>4,2,4</v>
      </c>
      <c r="BA433" s="1" t="n">
        <v>30</v>
      </c>
      <c r="BB433" s="16" t="n">
        <f aca="false">IF(O433&lt;&gt;"",MAX(16,(O433-M433)+8),"")</f>
        <v>59</v>
      </c>
      <c r="BC433" s="1" t="n">
        <v>49</v>
      </c>
      <c r="BD433" s="1" t="n">
        <v>21</v>
      </c>
      <c r="BE433" s="1" t="n">
        <f aca="false">MIN(AE433/150, 1)*30</f>
        <v>20</v>
      </c>
      <c r="BF433" s="1" t="n">
        <f aca="false">MIN(Q433/4000, 1)*20</f>
        <v>0</v>
      </c>
      <c r="BG433" s="1" t="n">
        <f aca="false">MIN(AC433/400,1)*20</f>
        <v>0</v>
      </c>
      <c r="BH433" s="4" t="n">
        <f aca="false">1-(MAX(M433-1900, 0)/750)</f>
        <v>0.994666666666667</v>
      </c>
      <c r="BI433" s="1" t="n">
        <f aca="false">((MAX($P433,1)*MIN($AM433/300,1)))*IF(J433="Wagon",50,10)</f>
        <v>9.5</v>
      </c>
      <c r="BJ433" s="1" t="n">
        <f aca="false">VLOOKUP($K433,Constants!$I:$K, 2, FALSE())</f>
        <v>1.2</v>
      </c>
      <c r="BK433" s="1" t="n">
        <f aca="false">VLOOKUP($K433,Constants!$I:$K, 3, FALSE())*IF(AND(J433="multiple_unit",AE433&lt;110),0.75,1)</f>
        <v>0.6</v>
      </c>
      <c r="BL433" s="1" t="n">
        <f aca="false">INT(POWER(((Constants!$G$2+$BE433+$BF433+$BG433+$BI433)*$BH433)*$BK433, 1.05))+$BD433</f>
        <v>44</v>
      </c>
      <c r="BM433" s="1" t="n">
        <f aca="false">INT(POWER((((Constants!$G$1+$BE433+$BF433+$BG433+$BI433)*($BH433))*$BJ433),IF($J433="wagon",1,1.2)))+$BC433</f>
        <v>102</v>
      </c>
      <c r="BN433" s="17" t="n">
        <f aca="false">BL433*IF($J433="wagon",62.5,781.25)</f>
        <v>2750</v>
      </c>
      <c r="BO433" s="17" t="n">
        <f aca="false">BM433*IF($J433="wagon",2.73,81.25)</f>
        <v>278.46</v>
      </c>
      <c r="BY433" s="1" t="n">
        <v>1</v>
      </c>
      <c r="BZ433" s="1" t="n">
        <v>185</v>
      </c>
      <c r="CB433" s="1" t="s">
        <v>661</v>
      </c>
      <c r="CC433" s="1" t="s">
        <v>662</v>
      </c>
      <c r="CD433" s="1" t="str">
        <f aca="false">VLOOKUP(M433,Eras!$A$2:$C$10, 2, TRUE())</f>
        <v>edw</v>
      </c>
      <c r="CE433" s="1" t="s">
        <v>1583</v>
      </c>
      <c r="CF433" s="1" t="str">
        <f aca="false">CONCATENATE(CD433,"_",CE433)</f>
        <v>edw_Mail Carriage</v>
      </c>
      <c r="CG433" s="1" t="str">
        <f aca="false">_xlfn.CONCAT(K433, "_",L433)</f>
        <v>carriage_RAIL</v>
      </c>
      <c r="CH433" s="7" t="str">
        <f aca="false">_xlfn.CONCAT("{BLACK}Length: {GOLD}", TEXT(ROUNDUP(IF(AT433&lt;&gt;"",SUM(VALUE(_xlfn.TEXTSPLIT(AT433, ","))), SUM(VALUE(_xlfn.TEXTSPLIT(AQ433, ",")))*IF(P433, P433, 1))/16, 1), "#,##0.0"), " tiles{}")</f>
        <v>{BLACK}Length: {GOLD}0.7 tiles{}</v>
      </c>
      <c r="CI433" s="1" t="n">
        <f aca="false">VLOOKUP($CG433, Constants!$M:$N, 2, FALSE())</f>
        <v>0</v>
      </c>
      <c r="CJ433" s="1" t="str">
        <f aca="false">IF(P433&gt;1,_xlfn.CONCAT("{BLACK}Cars: {GOLD}", P433),"")</f>
        <v/>
      </c>
      <c r="CK433" s="1" t="s">
        <v>1689</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{GOLD}0.7 tiles{}{SILVER}Brake carriages continued to be a fixture of passenger trains during the steam era, carrying bulky luggage and parcels.</v>
      </c>
    </row>
    <row r="434" customFormat="false" ht="14.25" hidden="false" customHeight="false" outlineLevel="0" collapsed="false">
      <c r="A434" s="1" t="s">
        <v>1690</v>
      </c>
      <c r="B434" s="15" t="s">
        <v>1691</v>
      </c>
      <c r="C434" s="1" t="n">
        <v>44</v>
      </c>
      <c r="D434" s="1" t="n">
        <v>18</v>
      </c>
      <c r="E434" s="1" t="n">
        <v>1061</v>
      </c>
      <c r="G434" s="1" t="str">
        <f aca="false">IF($F434&lt;&gt;"",_xlfn.CONCAT(VLOOKUP($CE434, Constants!$T:$U, 2, FALSE()),",",$F434),VLOOKUP($CE434, Constants!$T:$U, 2, FALSE()))</f>
        <v>role/mail</v>
      </c>
      <c r="H434" s="1" t="str">
        <f aca="false">IF($G434&lt;&gt;"",_xlfn.CONCAT(VLOOKUP($CG434, Constants!$M:$P, 4, FALSE()),",",$G434),VLOOKUP($CG434, Constants!$M:$P, 4, FALSE()))</f>
        <v>flag/GB,role/mail</v>
      </c>
      <c r="I434" s="1" t="s">
        <v>198</v>
      </c>
      <c r="J434" s="1" t="s">
        <v>1476</v>
      </c>
      <c r="K434" s="1" t="s">
        <v>1477</v>
      </c>
      <c r="L434" s="1" t="s">
        <v>149</v>
      </c>
      <c r="M434" s="1" t="n">
        <v>1951</v>
      </c>
      <c r="N434" s="1" t="n">
        <v>1963</v>
      </c>
      <c r="O434" s="1" t="n">
        <v>1974</v>
      </c>
      <c r="Z434" s="1" t="n">
        <v>31</v>
      </c>
      <c r="AB434" s="1" t="n">
        <v>5</v>
      </c>
      <c r="AD434" s="4" t="str">
        <f aca="false">IF(AND(Z434&gt;0,AC434&gt;0),(AC434/((Z434+AA434)*10)),"")</f>
        <v/>
      </c>
      <c r="AE434" s="1" t="n">
        <v>100</v>
      </c>
      <c r="AF434" s="1" t="n">
        <f aca="false">ROUND(AE434*1.6, 0)</f>
        <v>160</v>
      </c>
      <c r="AI434" s="1" t="n">
        <v>19.3</v>
      </c>
      <c r="AJ434" s="1" t="n">
        <v>20</v>
      </c>
      <c r="AM434" s="5" t="n">
        <v>66</v>
      </c>
      <c r="AN434" s="1" t="str">
        <f aca="false">CONCATENATE(VLOOKUP(AO434, 'Voxel Sizes'!$A$2:$B$18,2,FALSE()),"x",INT(AK434*15), "x", INT(AL434*15))</f>
        <v>198x0x0</v>
      </c>
      <c r="AO434" s="1" t="n">
        <f aca="false">ROUND(15*((AJ434*10)/256),0)</f>
        <v>12</v>
      </c>
      <c r="AQ434" s="1" t="str">
        <f aca="false">CONCATENATE(VLOOKUP(AO434,Constants!$A$2:$C$16,IF(AP434&lt;&gt;"", 3, 2), FALSE()),IF(AP434&lt;&gt;"",CONCATENATE(",",VLOOKUP(AP434,$B:$AQ,39,FALSE())),""))</f>
        <v>4,4,4</v>
      </c>
      <c r="BA434" s="1" t="n">
        <v>30</v>
      </c>
      <c r="BB434" s="16" t="n">
        <f aca="false">IF(O434&lt;&gt;"",MAX(16,(O434-M434)+8),"")</f>
        <v>31</v>
      </c>
      <c r="BC434" s="1" t="n">
        <v>55</v>
      </c>
      <c r="BD434" s="1" t="n">
        <v>25</v>
      </c>
      <c r="BE434" s="1" t="n">
        <f aca="false">MIN(AE434/150, 1)*30</f>
        <v>20</v>
      </c>
      <c r="BF434" s="1" t="n">
        <f aca="false">MIN(Q434/4000, 1)*20</f>
        <v>0</v>
      </c>
      <c r="BG434" s="1" t="n">
        <f aca="false">MIN(AC434/400,1)*20</f>
        <v>0</v>
      </c>
      <c r="BH434" s="4" t="n">
        <f aca="false">1-(MAX(M434-1900, 0)/750)</f>
        <v>0.932</v>
      </c>
      <c r="BI434" s="1" t="n">
        <f aca="false">((MAX($P434,1)*MIN($AM434/300,1)))*IF(J434="Wagon",50,10)</f>
        <v>11</v>
      </c>
      <c r="BJ434" s="1" t="n">
        <f aca="false">VLOOKUP($K434,Constants!$I:$K, 2, FALSE())</f>
        <v>1.2</v>
      </c>
      <c r="BK434" s="1" t="n">
        <f aca="false">VLOOKUP($K434,Constants!$I:$K, 3, FALSE())*IF(AND(J434="multiple_unit",AE434&lt;110),0.75,1)</f>
        <v>0.6</v>
      </c>
      <c r="BL434" s="1" t="n">
        <f aca="false">INT(POWER(((Constants!$G$2+$BE434+$BF434+$BG434+$BI434)*$BH434)*$BK434, 1.05))+$BD434</f>
        <v>48</v>
      </c>
      <c r="BM434" s="1" t="n">
        <f aca="false">INT(POWER((((Constants!$G$1+$BE434+$BF434+$BG434+$BI434)*($BH434))*$BJ434),IF($J434="wagon",1,1.2)))+$BC434</f>
        <v>106</v>
      </c>
      <c r="BN434" s="17" t="n">
        <f aca="false">BL434*IF($J434="wagon",62.5,781.25)</f>
        <v>3000</v>
      </c>
      <c r="BO434" s="17" t="n">
        <f aca="false">BM434*IF($J434="wagon",2.73,81.25)</f>
        <v>289.38</v>
      </c>
      <c r="BX434" s="1" t="s">
        <v>1557</v>
      </c>
      <c r="BY434" s="1" t="n">
        <v>1</v>
      </c>
      <c r="BZ434" s="1" t="n">
        <v>185</v>
      </c>
      <c r="CB434" s="1" t="s">
        <v>661</v>
      </c>
      <c r="CC434" s="1" t="s">
        <v>662</v>
      </c>
      <c r="CD434" s="1" t="str">
        <f aca="false">VLOOKUP(M434,Eras!$A$2:$C$10, 2, TRUE())</f>
        <v>ebr</v>
      </c>
      <c r="CE434" s="1" t="s">
        <v>1583</v>
      </c>
      <c r="CF434" s="1" t="str">
        <f aca="false">CONCATENATE(CD434,"_",CE434)</f>
        <v>ebr_Mail Carriage</v>
      </c>
      <c r="CG434" s="1" t="str">
        <f aca="false">_xlfn.CONCAT(K434, "_",L434)</f>
        <v>carriage_RAIL</v>
      </c>
      <c r="CH434" s="7" t="str">
        <f aca="false">_xlfn.CONCAT("{BLACK}Length: {GOLD}", TEXT(ROUNDUP(IF(AT434&lt;&gt;"",SUM(VALUE(_xlfn.TEXTSPLIT(AT434, ","))), SUM(VALUE(_xlfn.TEXTSPLIT(AQ434, ",")))*IF(P434, P434, 1))/16, 1), "#,##0.0"), " tiles{}")</f>
        <v>{BLACK}Length: {GOLD}0.8 tiles{}</v>
      </c>
      <c r="CI434" s="1" t="n">
        <f aca="false">VLOOKUP($CG434, Constants!$M:$N, 2, FALSE())</f>
        <v>0</v>
      </c>
      <c r="CJ434" s="1" t="str">
        <f aca="false">IF(P434&gt;1,_xlfn.CONCAT("{BLACK}Cars: {GOLD}", P434),"")</f>
        <v/>
      </c>
      <c r="CK434" s="1" t="s">
        <v>1692</v>
      </c>
      <c r="CL434" s="1" t="str">
        <f aca="false">IF($BX434="!param_no_gameplay_units","{GREEN}Included for gameplay purposes","")</f>
        <v>{GREEN}Included for gameplay purposes</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{GOLD}0.8 tiles{}{SILVER}BG for (Brake Gangway) is the BR designation for a brake coach. As well as a guard's compartment it had two large areas for storing luggage.{}{}{GREEN}Included for gameplay purposes</v>
      </c>
    </row>
    <row r="435" customFormat="false" ht="14.25" hidden="false" customHeight="false" outlineLevel="0" collapsed="false">
      <c r="A435" s="1" t="s">
        <v>1693</v>
      </c>
      <c r="B435" s="15" t="s">
        <v>1694</v>
      </c>
      <c r="C435" s="1" t="n">
        <v>45</v>
      </c>
      <c r="D435" s="1" t="n">
        <v>25</v>
      </c>
      <c r="E435" s="1" t="n">
        <v>1062</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198</v>
      </c>
      <c r="J435" s="1" t="s">
        <v>1476</v>
      </c>
      <c r="K435" s="1" t="s">
        <v>1477</v>
      </c>
      <c r="L435" s="1" t="s">
        <v>149</v>
      </c>
      <c r="M435" s="1" t="n">
        <v>1964</v>
      </c>
      <c r="O435" s="1" t="n">
        <v>2010</v>
      </c>
      <c r="Z435" s="1" t="n">
        <v>33</v>
      </c>
      <c r="AB435" s="1" t="n">
        <v>5</v>
      </c>
      <c r="AD435" s="4" t="str">
        <f aca="false">IF(AND(Z435&gt;0,AC435&gt;0),(AC435/((Z435+AA435)*10)),"")</f>
        <v/>
      </c>
      <c r="AE435" s="1" t="n">
        <v>110</v>
      </c>
      <c r="AF435" s="1" t="n">
        <f aca="false">ROUND(AE435*1.6, 0)</f>
        <v>176</v>
      </c>
      <c r="AI435" s="1" t="n">
        <v>19.66</v>
      </c>
      <c r="AJ435" s="1" t="n">
        <v>19.66</v>
      </c>
      <c r="AK435" s="1" t="n">
        <v>2.83</v>
      </c>
      <c r="AL435" s="1" t="n">
        <v>3.79</v>
      </c>
      <c r="AM435" s="5" t="n">
        <v>69</v>
      </c>
      <c r="AN435" s="1" t="str">
        <f aca="false">CONCATENATE(VLOOKUP(AO435, 'Voxel Sizes'!$A$2:$B$18,2,FALSE()),"x",INT(AK435*15), "x", INT(AL435*15))</f>
        <v>198x42x56</v>
      </c>
      <c r="AO435" s="1" t="n">
        <f aca="false">ROUND(15*((AJ435*10)/256),0)</f>
        <v>12</v>
      </c>
      <c r="AQ435" s="1" t="str">
        <f aca="false">CONCATENATE(VLOOKUP(AO435,Constants!$A$2:$C$16,IF(AP435&lt;&gt;"", 3, 2), FALSE()),IF(AP435&lt;&gt;"",CONCATENATE(",",VLOOKUP(AP435,$B:$AQ,39,FALSE())),""))</f>
        <v>4,4,4</v>
      </c>
      <c r="BA435" s="1" t="n">
        <v>30</v>
      </c>
      <c r="BB435" s="16" t="n">
        <f aca="false">IF(O435&lt;&gt;"",MAX(16,(O435-M435)+8),"")</f>
        <v>54</v>
      </c>
      <c r="BC435" s="1" t="n">
        <v>58</v>
      </c>
      <c r="BD435" s="1" t="n">
        <v>27</v>
      </c>
      <c r="BE435" s="1" t="n">
        <f aca="false">MIN(AE435/150, 1)*30</f>
        <v>22</v>
      </c>
      <c r="BF435" s="1" t="n">
        <f aca="false">MIN(Q435/4000, 1)*20</f>
        <v>0</v>
      </c>
      <c r="BG435" s="1" t="n">
        <f aca="false">MIN(AC435/400,1)*20</f>
        <v>0</v>
      </c>
      <c r="BH435" s="4" t="n">
        <f aca="false">1-(MAX(M435-1900, 0)/750)</f>
        <v>0.914666666666667</v>
      </c>
      <c r="BI435" s="1" t="n">
        <f aca="false">((MAX($P435,1)*MIN($AM435/300,1)))*IF(J435="Wagon",50,10)</f>
        <v>11.5</v>
      </c>
      <c r="BJ435" s="1" t="n">
        <f aca="false">VLOOKUP($K435,Constants!$I:$K, 2, FALSE())</f>
        <v>1.2</v>
      </c>
      <c r="BK435" s="1" t="n">
        <f aca="false">VLOOKUP($K435,Constants!$I:$K, 3, FALSE())*IF(AND(J435="multiple_unit",AE435&lt;110),0.75,1)</f>
        <v>0.6</v>
      </c>
      <c r="BL435" s="1" t="n">
        <f aca="false">INT(POWER(((Constants!$G$2+$BE435+$BF435+$BG435+$BI435)*$BH435)*$BK435, 1.05))+$BD435</f>
        <v>51</v>
      </c>
      <c r="BM435" s="1" t="n">
        <f aca="false">INT(POWER((((Constants!$G$1+$BE435+$BF435+$BG435+$BI435)*($BH435))*$BJ435),IF($J435="wagon",1,1.2)))+$BC435</f>
        <v>111</v>
      </c>
      <c r="BN435" s="17" t="n">
        <f aca="false">BL435*IF($J435="wagon",62.5,781.25)</f>
        <v>3187.5</v>
      </c>
      <c r="BO435" s="17" t="n">
        <f aca="false">BM435*IF($J435="wagon",2.73,81.25)</f>
        <v>303.03</v>
      </c>
      <c r="BX435" s="1" t="s">
        <v>1557</v>
      </c>
      <c r="BY435" s="1" t="n">
        <v>1</v>
      </c>
      <c r="BZ435" s="1" t="n">
        <v>185</v>
      </c>
      <c r="CB435" s="1" t="s">
        <v>661</v>
      </c>
      <c r="CC435" s="1" t="s">
        <v>662</v>
      </c>
      <c r="CD435" s="1" t="str">
        <f aca="false">VLOOKUP(M435,Eras!$A$2:$C$10, 2, TRUE())</f>
        <v>dsl</v>
      </c>
      <c r="CE435" s="1" t="s">
        <v>1478</v>
      </c>
      <c r="CF435" s="1" t="str">
        <f aca="false">CONCATENATE(CD435,"_",CE435)</f>
        <v>dsl_Carriage</v>
      </c>
      <c r="CG435" s="1" t="str">
        <f aca="false">_xlfn.CONCAT(K435, "_",L435)</f>
        <v>carriage_RAIL</v>
      </c>
      <c r="CH435" s="7" t="str">
        <f aca="false">_xlfn.CONCAT("{BLACK}Length: {GOLD}", TEXT(ROUNDUP(IF(AT435&lt;&gt;"",SUM(VALUE(_xlfn.TEXTSPLIT(AT435, ","))), SUM(VALUE(_xlfn.TEXTSPLIT(AQ435, ",")))*IF(P435, P435, 1))/16, 1), "#,##0.0"), " tiles{}")</f>
        <v>{BLACK}Length: {GOLD}0.8 tiles{}</v>
      </c>
      <c r="CI435" s="1" t="n">
        <f aca="false">VLOOKUP($CG435, Constants!$M:$N, 2, FALSE())</f>
        <v>0</v>
      </c>
      <c r="CJ435" s="1" t="str">
        <f aca="false">IF(P435&gt;1,_xlfn.CONCAT("{BLACK}Cars: {GOLD}", P435),"")</f>
        <v/>
      </c>
      <c r="CK435" s="1" t="s">
        <v>1695</v>
      </c>
      <c r="CL435" s="1" t="str">
        <f aca="false">IF($BX435="!param_no_gameplay_units","{GREEN}Included for gameplay purposes","")</f>
        <v>{GREEN}Included for gameplay purposes</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{GOLD}0.8 tiles{}{SILVER}BR started rationalising the number of carriage variants with the Mk2 so there was no dedicated parcels van, and most consists used a Mk1 BG attached to Mk2 passenger stock.{}{}{GREEN}Included for gameplay purposes</v>
      </c>
    </row>
    <row r="436" customFormat="false" ht="14.25" hidden="false" customHeight="false" outlineLevel="0" collapsed="false">
      <c r="A436" s="1" t="s">
        <v>1696</v>
      </c>
      <c r="B436" s="15" t="s">
        <v>1697</v>
      </c>
      <c r="C436" s="1" t="n">
        <v>46</v>
      </c>
      <c r="E436" s="1" t="n">
        <v>1063</v>
      </c>
      <c r="G436" s="1" t="str">
        <f aca="false">IF($F436&lt;&gt;"",_xlfn.CONCAT(VLOOKUP($CE436, Constants!$T:$U, 2, FALSE()),",",$F436),VLOOKUP($CE436, Constants!$T:$U, 2, FALSE()))</f>
        <v>role/mail</v>
      </c>
      <c r="H436" s="1" t="str">
        <f aca="false">IF($G436&lt;&gt;"",_xlfn.CONCAT(VLOOKUP($CG436, Constants!$M:$P, 4, FALSE()),",",$G436),VLOOKUP($CG436, Constants!$M:$P, 4, FALSE()))</f>
        <v>flag/GB,role/mail</v>
      </c>
      <c r="I436" s="1" t="s">
        <v>198</v>
      </c>
      <c r="J436" s="1" t="s">
        <v>1476</v>
      </c>
      <c r="K436" s="1" t="s">
        <v>1476</v>
      </c>
      <c r="L436" s="1" t="s">
        <v>149</v>
      </c>
      <c r="M436" s="1" t="n">
        <v>1958</v>
      </c>
      <c r="Z436" s="1" t="n">
        <v>30</v>
      </c>
      <c r="AB436" s="1" t="n">
        <v>6</v>
      </c>
      <c r="AD436" s="4" t="str">
        <f aca="false">IF(AND(Z436&gt;0,AC436&gt;0),(AC436/((Z436+AA436)*10)),"")</f>
        <v/>
      </c>
      <c r="AE436" s="1" t="n">
        <v>100</v>
      </c>
      <c r="AF436" s="1" t="n">
        <f aca="false">ROUND(AE436*1.6, 0)</f>
        <v>160</v>
      </c>
      <c r="AI436" s="1" t="n">
        <v>19.3</v>
      </c>
      <c r="AJ436" s="1" t="n">
        <v>20</v>
      </c>
      <c r="AM436" s="5" t="n">
        <v>78</v>
      </c>
      <c r="AN436" s="1" t="str">
        <f aca="false">CONCATENATE(VLOOKUP(AO436, 'Voxel Sizes'!$A$2:$B$18,2,FALSE()),"x",INT(AK436*15), "x", INT(AL436*15))</f>
        <v>198x0x0</v>
      </c>
      <c r="AO436" s="1" t="n">
        <f aca="false">ROUND(15*((AJ436*10)/256),0)</f>
        <v>12</v>
      </c>
      <c r="AQ436" s="1" t="str">
        <f aca="false">CONCATENATE(VLOOKUP(AO436,Constants!$A$2:$C$16,IF(AP436&lt;&gt;"", 3, 2), FALSE()),IF(AP436&lt;&gt;"",CONCATENATE(",",VLOOKUP(AP436,$B:$AQ,39,FALSE())),""))</f>
        <v>4,4,4</v>
      </c>
      <c r="BA436" s="1" t="n">
        <v>30</v>
      </c>
      <c r="BB436" s="16" t="str">
        <f aca="false">IF(O436&lt;&gt;"",MAX(16,(O436-M436)+8),"")</f>
        <v/>
      </c>
      <c r="BC436" s="1" t="n">
        <v>48</v>
      </c>
      <c r="BD436" s="1" t="n">
        <v>19</v>
      </c>
      <c r="BE436" s="1" t="n">
        <f aca="false">MIN(AE436/150, 1)*30</f>
        <v>20</v>
      </c>
      <c r="BF436" s="1" t="n">
        <f aca="false">MIN(Q436/4000, 1)*20</f>
        <v>0</v>
      </c>
      <c r="BG436" s="1" t="n">
        <f aca="false">MIN(AC436/400,1)*20</f>
        <v>0</v>
      </c>
      <c r="BH436" s="4" t="n">
        <f aca="false">1-(MAX(M436-1900, 0)/750)</f>
        <v>0.922666666666667</v>
      </c>
      <c r="BI436" s="1" t="n">
        <f aca="false">((MAX($P436,1)*MIN($AM436/300,1)))*IF(J436="Wagon",50,10)</f>
        <v>13</v>
      </c>
      <c r="BJ436" s="1" t="n">
        <f aca="false">VLOOKUP($K436,Constants!$I:$K, 2, FALSE())</f>
        <v>1</v>
      </c>
      <c r="BK436" s="1" t="n">
        <f aca="false">VLOOKUP($K436,Constants!$I:$K, 3, FALSE())*IF(AND(J436="multiple_unit",AE436&lt;110),0.75,1)</f>
        <v>0.45</v>
      </c>
      <c r="BL436" s="1" t="n">
        <f aca="false">INT(POWER(((Constants!$G$2+$BE436+$BF436+$BG436+$BI436)*$BH436)*$BK436, 1.05))+$BD436</f>
        <v>37</v>
      </c>
      <c r="BM436" s="1" t="n">
        <f aca="false">INT(POWER((((Constants!$G$1+$BE436+$BF436+$BG436+$BI436)*($BH436))*$BJ436),IF($J436="wagon",1,1.2)))+$BC436</f>
        <v>92</v>
      </c>
      <c r="BN436" s="17" t="n">
        <f aca="false">BL436*IF($J436="wagon",62.5,781.25)</f>
        <v>2312.5</v>
      </c>
      <c r="BO436" s="17" t="n">
        <f aca="false">BM436*IF($J436="wagon",2.73,81.25)</f>
        <v>251.16</v>
      </c>
      <c r="BY436" s="1" t="n">
        <v>1</v>
      </c>
      <c r="BZ436" s="1" t="n">
        <v>233</v>
      </c>
      <c r="CB436" s="1" t="s">
        <v>661</v>
      </c>
      <c r="CC436" s="1" t="s">
        <v>662</v>
      </c>
      <c r="CD436" s="1" t="str">
        <f aca="false">VLOOKUP(M436,Eras!$A$2:$C$10, 2, TRUE())</f>
        <v>dsl</v>
      </c>
      <c r="CE436" s="1" t="s">
        <v>1583</v>
      </c>
      <c r="CF436" s="1" t="str">
        <f aca="false">CONCATENATE(CD436,"_",CE436)</f>
        <v>dsl_Mail Carriage</v>
      </c>
      <c r="CG436" s="1" t="str">
        <f aca="false">_xlfn.CONCAT(K436, "_",L436)</f>
        <v>wagon_RAIL</v>
      </c>
      <c r="CH436" s="7" t="str">
        <f aca="false">_xlfn.CONCAT("{BLACK}Length: {GOLD}", TEXT(ROUNDUP(IF(AT436&lt;&gt;"",SUM(VALUE(_xlfn.TEXTSPLIT(AT436, ","))), SUM(VALUE(_xlfn.TEXTSPLIT(AQ436, ",")))*IF(P436, P436, 1))/16, 1), "#,##0.0"), " tiles{}")</f>
        <v>{BLACK}Length: {GOLD}0.8 tiles{}</v>
      </c>
      <c r="CI436" s="1" t="n">
        <f aca="false">VLOOKUP($CG436, Constants!$M:$N, 2, FALSE())</f>
        <v>0</v>
      </c>
      <c r="CJ436" s="1" t="str">
        <f aca="false">IF(P436&gt;1,_xlfn.CONCAT("{BLACK}Cars: {GOLD}", P436),"")</f>
        <v/>
      </c>
      <c r="CK436" s="1" t="s">
        <v>1698</v>
      </c>
      <c r="CL436" s="1" t="str">
        <f aca="fals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{YELLOW}25% bonus for long distance travel{}</v>
      </c>
      <c r="CN436" s="1" t="str">
        <f aca="false">_xlfn.CONCAT(CI436,IF(CI436&lt;&gt;""," ",""),CJ436,IF(OR(CJ436&lt;&gt;"",CI436&lt;&gt;""),"{}",""),CH436,CM436,"{SILVER}",CK436,IF(CL436&lt;&gt;"","{}{}",""),CL436)</f>
        <v>{BLACK}Length: {GOLD}0.8 tiles{}{YELLOW}25% bonus for long distance travel{}{SILVER}Based on the Mark 1 carriage, the TPO (Travelling Post Office) allowed mail to be sorted as it was transported.</v>
      </c>
    </row>
    <row r="437" customFormat="false" ht="14.25" hidden="false" customHeight="false" outlineLevel="0" collapsed="false">
      <c r="A437" s="1" t="s">
        <v>1699</v>
      </c>
      <c r="B437" s="15" t="s">
        <v>1700</v>
      </c>
      <c r="C437" s="1" t="n">
        <v>47</v>
      </c>
      <c r="E437" s="1" t="n">
        <v>1064</v>
      </c>
      <c r="G437" s="1" t="str">
        <f aca="false">IF($F437&lt;&gt;"",_xlfn.CONCAT(VLOOKUP($CE437, Constants!$T:$U, 2, FALSE()),",",$F437),VLOOKUP($CE437, Constants!$T:$U, 2, FALSE()))</f>
        <v>role/freight</v>
      </c>
      <c r="H437" s="1" t="str">
        <f aca="false">IF($G437&lt;&gt;"",_xlfn.CONCAT(VLOOKUP($CG437, Constants!$M:$P, 4, FALSE()),",",$G437),VLOOKUP($CG437, Constants!$M:$P, 4, FALSE()))</f>
        <v>flag/GB,role/freight</v>
      </c>
      <c r="I437" s="1" t="s">
        <v>198</v>
      </c>
      <c r="J437" s="1" t="s">
        <v>1476</v>
      </c>
      <c r="K437" s="1" t="s">
        <v>1476</v>
      </c>
      <c r="L437" s="1" t="s">
        <v>200</v>
      </c>
      <c r="M437" s="1" t="n">
        <v>1700</v>
      </c>
      <c r="O437" s="1" t="n">
        <v>1875</v>
      </c>
      <c r="Z437" s="1" t="n">
        <v>2</v>
      </c>
      <c r="AB437" s="1" t="n">
        <v>3</v>
      </c>
      <c r="AD437" s="4" t="str">
        <f aca="false">IF(AND(Z437&gt;0,AC437&gt;0),(AC437/((Z437+AA437)*10)),"")</f>
        <v/>
      </c>
      <c r="AE437" s="1" t="n">
        <v>30</v>
      </c>
      <c r="AF437" s="1" t="n">
        <f aca="false">ROUND(AE437*1.6, 0)</f>
        <v>48</v>
      </c>
      <c r="AI437" s="1" t="n">
        <v>4.9</v>
      </c>
      <c r="AJ437" s="1" t="n">
        <v>6</v>
      </c>
      <c r="AM437" s="5" t="n">
        <v>12</v>
      </c>
      <c r="AN437" s="1" t="str">
        <f aca="false">CONCATENATE(VLOOKUP(AO437, 'Voxel Sizes'!$A$2:$B$18,2,FALSE()),"x",INT(AK437*15), "x", INT(AL437*15))</f>
        <v>60x0x0</v>
      </c>
      <c r="AO437" s="1" t="n">
        <f aca="false">ROUND(15*((AJ437*10)/256),0)</f>
        <v>4</v>
      </c>
      <c r="AQ437" s="1" t="str">
        <f aca="false">CONCATENATE(VLOOKUP(AO437,Constants!$A$2:$C$16,IF(AP437&lt;&gt;"", 3, 2), FALSE()),IF(AP437&lt;&gt;"",CONCATENATE(",",VLOOKUP(AP437,$B:$AQ,39,FALSE())),""))</f>
        <v>1,2,1</v>
      </c>
      <c r="BA437" s="1" t="n">
        <v>30</v>
      </c>
      <c r="BB437" s="16" t="n">
        <f aca="false">IF(O437&lt;&gt;"",MAX(16,(O437-M437)+8),"")</f>
        <v>183</v>
      </c>
      <c r="BC437" s="1" t="n">
        <v>-15</v>
      </c>
      <c r="BD437" s="1" t="n">
        <v>-2</v>
      </c>
      <c r="BE437" s="1" t="n">
        <f aca="false">MIN(AE437/150, 1)*30</f>
        <v>6</v>
      </c>
      <c r="BF437" s="1" t="n">
        <f aca="false">MIN(Q437/4000, 1)*20</f>
        <v>0</v>
      </c>
      <c r="BG437" s="1" t="n">
        <f aca="false">MIN(AC437/400,1)*20</f>
        <v>0</v>
      </c>
      <c r="BH437" s="4" t="n">
        <f aca="false">1-(MAX(M437-1900, 0)/750)</f>
        <v>1</v>
      </c>
      <c r="BI437" s="1" t="n">
        <f aca="false">((MAX($P437,1)*MIN($AM437/300,1)))*IF(J437="Wagon",50,10)</f>
        <v>2</v>
      </c>
      <c r="BJ437" s="1" t="n">
        <f aca="false">VLOOKUP($K437,Constants!$I:$K, 2, FALSE())</f>
        <v>1</v>
      </c>
      <c r="BK437" s="1" t="n">
        <f aca="false">VLOOKUP($K437,Constants!$I:$K, 3, FALSE())*IF(AND(J437="multiple_unit",AE437&lt;110),0.75,1)</f>
        <v>0.45</v>
      </c>
      <c r="BL437" s="1" t="n">
        <f aca="false">INT(POWER(((Constants!$G$2+$BE437+$BF437+$BG437+$BI437)*$BH437)*$BK437, 1.05))+$BD437</f>
        <v>4</v>
      </c>
      <c r="BM437" s="1" t="n">
        <f aca="false">INT(POWER((((Constants!$G$1+$BE437+$BF437+$BG437+$BI437)*($BH437))*$BJ437),IF($J437="wagon",1,1.2)))+$BC437</f>
        <v>8</v>
      </c>
      <c r="BN437" s="17" t="n">
        <f aca="false">BL437*IF($J437="wagon",62.5,781.25)</f>
        <v>250</v>
      </c>
      <c r="BO437" s="17" t="n">
        <f aca="false">BM437*IF($J437="wagon",2.73,81.25)</f>
        <v>21.84</v>
      </c>
      <c r="BY437" s="1" t="n">
        <v>1</v>
      </c>
      <c r="BZ437" s="1" t="n">
        <v>185</v>
      </c>
      <c r="CB437" s="1" t="s">
        <v>1701</v>
      </c>
      <c r="CC437" s="1" t="s">
        <v>1702</v>
      </c>
      <c r="CD437" s="1" t="str">
        <f aca="false">VLOOKUP(M437,Eras!$A$2:$C$10, 2, TRUE())</f>
        <v>early</v>
      </c>
      <c r="CE437" s="1" t="s">
        <v>1703</v>
      </c>
      <c r="CF437" s="1" t="str">
        <f aca="false">CONCATENATE(CD437,"_",CE437)</f>
        <v>early_Open Wagon</v>
      </c>
      <c r="CG437" s="1" t="str">
        <f aca="false">_xlfn.CONCAT(K437, "_",L437)</f>
        <v>wagon_PLATEWAY</v>
      </c>
      <c r="CH437" s="7" t="str">
        <f aca="false">_xlfn.CONCAT("{BLACK}Length: {GOLD}", TEXT(ROUNDUP(IF(AT437&lt;&gt;"",SUM(VALUE(_xlfn.TEXTSPLIT(AT437, ","))), SUM(VALUE(_xlfn.TEXTSPLIT(AQ437, ",")))*IF(P437, P437, 1))/16, 1), "#,##0.0"), " tiles{}")</f>
        <v>{BLACK}Length: {GOLD}0.3 tiles{}</v>
      </c>
      <c r="CI437" s="1" t="n">
        <f aca="false">VLOOKUP($CG437, Constants!$M:$N, 2, FALSE())</f>
        <v>0</v>
      </c>
      <c r="CJ437" s="1" t="str">
        <f aca="false">IF(P437&gt;1,_xlfn.CONCAT("{BLACK}Cars: {GOLD}", P437),"")</f>
        <v/>
      </c>
      <c r="CK437" s="1" t="s">
        <v>1704</v>
      </c>
      <c r="CL437" s="1" t="str">
        <f aca="fals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{GOLD}0.3 tiles{}{SILVER}Early open wagons had simple four-wheeled structures and were typically pulled by horses on quarry lines.</v>
      </c>
    </row>
    <row r="438" customFormat="false" ht="14.25" hidden="false" customHeight="false" outlineLevel="0" collapsed="false">
      <c r="A438" s="1" t="s">
        <v>1705</v>
      </c>
      <c r="B438" s="15" t="s">
        <v>1706</v>
      </c>
      <c r="C438" s="1" t="n">
        <v>48</v>
      </c>
      <c r="E438" s="1" t="n">
        <v>1065</v>
      </c>
      <c r="G438" s="1" t="str">
        <f aca="false">IF($F438&lt;&gt;"",_xlfn.CONCAT(VLOOKUP($CE438, Constants!$T:$U, 2, FALSE()),",",$F438),VLOOKUP($CE438, Constants!$T:$U, 2, FALSE()))</f>
        <v>role/freight</v>
      </c>
      <c r="H438" s="1" t="str">
        <f aca="false">IF($G438&lt;&gt;"",_xlfn.CONCAT(VLOOKUP($CG438, Constants!$M:$P, 4, FALSE()),",",$G438),VLOOKUP($CG438, Constants!$M:$P, 4, FALSE()))</f>
        <v>flag/GB,role/freight</v>
      </c>
      <c r="I438" s="1" t="s">
        <v>198</v>
      </c>
      <c r="J438" s="1" t="s">
        <v>1476</v>
      </c>
      <c r="K438" s="1" t="s">
        <v>1476</v>
      </c>
      <c r="L438" s="1" t="s">
        <v>149</v>
      </c>
      <c r="M438" s="1" t="n">
        <v>1850</v>
      </c>
      <c r="O438" s="1" t="n">
        <v>1920</v>
      </c>
      <c r="Z438" s="1" t="n">
        <v>5</v>
      </c>
      <c r="AB438" s="1" t="n">
        <v>3</v>
      </c>
      <c r="AD438" s="4" t="str">
        <f aca="false">IF(AND(Z438&gt;0,AC438&gt;0),(AC438/((Z438+AA438)*10)),"")</f>
        <v/>
      </c>
      <c r="AE438" s="1" t="n">
        <v>35</v>
      </c>
      <c r="AF438" s="1" t="n">
        <f aca="false">ROUND(AE438*1.6, 0)</f>
        <v>56</v>
      </c>
      <c r="AI438" s="1" t="n">
        <v>4.9</v>
      </c>
      <c r="AJ438" s="1" t="n">
        <v>6</v>
      </c>
      <c r="AM438" s="5" t="n">
        <v>15</v>
      </c>
      <c r="AN438" s="1" t="str">
        <f aca="false">CONCATENATE(VLOOKUP(AO438, 'Voxel Sizes'!$A$2:$B$18,2,FALSE()),"x",INT(AK438*15), "x", INT(AL438*15))</f>
        <v>60x0x0</v>
      </c>
      <c r="AO438" s="1" t="n">
        <f aca="false">ROUND(15*((AJ438*10)/256),0)</f>
        <v>4</v>
      </c>
      <c r="AQ438" s="1" t="str">
        <f aca="false">CONCATENATE(VLOOKUP(AO438,Constants!$A$2:$C$16,IF(AP438&lt;&gt;"", 3, 2), FALSE()),IF(AP438&lt;&gt;"",CONCATENATE(",",VLOOKUP(AP438,$B:$AQ,39,FALSE())),""))</f>
        <v>1,2,1</v>
      </c>
      <c r="BA438" s="1" t="n">
        <v>30</v>
      </c>
      <c r="BB438" s="16" t="n">
        <f aca="false">IF(O438&lt;&gt;"",MAX(16,(O438-M438)+8),"")</f>
        <v>78</v>
      </c>
      <c r="BE438" s="1" t="n">
        <f aca="false">MIN(AE438/150, 1)*30</f>
        <v>7</v>
      </c>
      <c r="BF438" s="1" t="n">
        <f aca="false">MIN(Q438/4000, 1)*20</f>
        <v>0</v>
      </c>
      <c r="BG438" s="1" t="n">
        <f aca="false">MIN(AC438/400,1)*20</f>
        <v>0</v>
      </c>
      <c r="BH438" s="4" t="n">
        <f aca="false">1-(MAX(M438-1900, 0)/750)</f>
        <v>1</v>
      </c>
      <c r="BI438" s="1" t="n">
        <f aca="false">((MAX($P438,1)*MIN($AM438/300,1)))*IF(J438="Wagon",50,10)</f>
        <v>2.5</v>
      </c>
      <c r="BJ438" s="1" t="n">
        <f aca="false">VLOOKUP($K438,Constants!$I:$K, 2, FALSE())</f>
        <v>1</v>
      </c>
      <c r="BK438" s="1" t="n">
        <f aca="false">VLOOKUP($K438,Constants!$I:$K, 3, FALSE())*IF(AND(J438="multiple_unit",AE438&lt;110),0.75,1)</f>
        <v>0.45</v>
      </c>
      <c r="BL438" s="1" t="n">
        <f aca="false">INT(POWER(((Constants!$G$2+$BE438+$BF438+$BG438+$BI438)*$BH438)*$BK438, 1.05))+$BD438</f>
        <v>7</v>
      </c>
      <c r="BM438" s="1" t="n">
        <f aca="false">INT(POWER((((Constants!$G$1+$BE438+$BF438+$BG438+$BI438)*($BH438))*$BJ438),IF($J438="wagon",1,1.2)))+$BC438</f>
        <v>24</v>
      </c>
      <c r="BN438" s="17" t="n">
        <f aca="false">BL438*IF($J438="wagon",62.5,781.25)</f>
        <v>437.5</v>
      </c>
      <c r="BO438" s="17" t="n">
        <f aca="false">BM438*IF($J438="wagon",2.73,81.25)</f>
        <v>65.52</v>
      </c>
      <c r="BY438" s="1" t="n">
        <v>1</v>
      </c>
      <c r="BZ438" s="1" t="n">
        <v>185</v>
      </c>
      <c r="CB438" s="1" t="s">
        <v>1701</v>
      </c>
      <c r="CC438" s="1" t="s">
        <v>1702</v>
      </c>
      <c r="CD438" s="1" t="str">
        <f aca="false">VLOOKUP(M438,Eras!$A$2:$C$10, 2, TRUE())</f>
        <v>vct</v>
      </c>
      <c r="CE438" s="1" t="s">
        <v>1703</v>
      </c>
      <c r="CF438" s="1" t="str">
        <f aca="false">CONCATENATE(CD438,"_",CE438)</f>
        <v>vct_Open Wagon</v>
      </c>
      <c r="CG438" s="1" t="str">
        <f aca="false">_xlfn.CONCAT(K438, "_",L438)</f>
        <v>wagon_RAIL</v>
      </c>
      <c r="CH438" s="7" t="str">
        <f aca="false">_xlfn.CONCAT("{BLACK}Length: {GOLD}", TEXT(ROUNDUP(IF(AT438&lt;&gt;"",SUM(VALUE(_xlfn.TEXTSPLIT(AT438, ","))), SUM(VALUE(_xlfn.TEXTSPLIT(AQ438, ",")))*IF(P438, P438, 1))/16, 1), "#,##0.0"), " tiles{}")</f>
        <v>{BLACK}Length: {GOLD}0.3 tiles{}</v>
      </c>
      <c r="CI438" s="1" t="n">
        <f aca="false">VLOOKUP($CG438, Constants!$M:$N, 2, FALSE())</f>
        <v>0</v>
      </c>
      <c r="CJ438" s="1" t="str">
        <f aca="false">IF(P438&gt;1,_xlfn.CONCAT("{BLACK}Cars: {GOLD}", P438),"")</f>
        <v/>
      </c>
      <c r="CK438" s="1" t="s">
        <v>1707</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{GOLD}0.3 tiles{}{SILVER}Open "plank" wagons are named for the number of planks used in the construction of their sides.</v>
      </c>
    </row>
    <row r="439" customFormat="false" ht="14.25" hidden="false" customHeight="false" outlineLevel="0" collapsed="false">
      <c r="A439" s="1" t="s">
        <v>1708</v>
      </c>
      <c r="B439" s="15" t="s">
        <v>1709</v>
      </c>
      <c r="C439" s="1" t="n">
        <v>49</v>
      </c>
      <c r="E439" s="1" t="n">
        <v>1066</v>
      </c>
      <c r="G439" s="1" t="str">
        <f aca="false">IF($F439&lt;&gt;"",_xlfn.CONCAT(VLOOKUP($CE439, Constants!$T:$U, 2, FALSE()),",",$F439),VLOOKUP($CE439, Constants!$T:$U, 2, FALSE()))</f>
        <v>role/freight</v>
      </c>
      <c r="H439" s="1" t="str">
        <f aca="false">IF($G439&lt;&gt;"",_xlfn.CONCAT(VLOOKUP($CG439, Constants!$M:$P, 4, FALSE()),",",$G439),VLOOKUP($CG439, Constants!$M:$P, 4, FALSE()))</f>
        <v>flag/GB,role/freight</v>
      </c>
      <c r="I439" s="1" t="s">
        <v>198</v>
      </c>
      <c r="J439" s="1" t="s">
        <v>1476</v>
      </c>
      <c r="K439" s="1" t="s">
        <v>1476</v>
      </c>
      <c r="L439" s="1" t="s">
        <v>149</v>
      </c>
      <c r="M439" s="1" t="n">
        <v>1902</v>
      </c>
      <c r="O439" s="1" t="n">
        <v>1965</v>
      </c>
      <c r="Z439" s="1" t="n">
        <v>8</v>
      </c>
      <c r="AB439" s="1" t="n">
        <v>3</v>
      </c>
      <c r="AD439" s="4" t="str">
        <f aca="false">IF(AND(Z439&gt;0,AC439&gt;0),(AC439/((Z439+AA439)*10)),"")</f>
        <v/>
      </c>
      <c r="AE439" s="1" t="n">
        <v>45</v>
      </c>
      <c r="AF439" s="1" t="n">
        <f aca="false">ROUND(AE439*1.6, 0)</f>
        <v>72</v>
      </c>
      <c r="AI439" s="1" t="n">
        <v>4.9</v>
      </c>
      <c r="AJ439" s="1" t="n">
        <v>6</v>
      </c>
      <c r="AM439" s="5" t="n">
        <v>21</v>
      </c>
      <c r="AN439" s="1" t="str">
        <f aca="false">CONCATENATE(VLOOKUP(AO439, 'Voxel Sizes'!$A$2:$B$18,2,FALSE()),"x",INT(AK439*15), "x", INT(AL439*15))</f>
        <v>60x0x0</v>
      </c>
      <c r="AO439" s="1" t="n">
        <f aca="false">ROUND(15*((AJ439*10)/256),0)</f>
        <v>4</v>
      </c>
      <c r="AQ439" s="1" t="str">
        <f aca="false">CONCATENATE(VLOOKUP(AO439,Constants!$A$2:$C$16,IF(AP439&lt;&gt;"", 3, 2), FALSE()),IF(AP439&lt;&gt;"",CONCATENATE(",",VLOOKUP(AP439,$B:$AQ,39,FALSE())),""))</f>
        <v>1,2,1</v>
      </c>
      <c r="BA439" s="1" t="n">
        <v>30</v>
      </c>
      <c r="BB439" s="16" t="n">
        <f aca="false">IF(O439&lt;&gt;"",MAX(16,(O439-M439)+8),"")</f>
        <v>71</v>
      </c>
      <c r="BE439" s="1" t="n">
        <f aca="false">MIN(AE439/150, 1)*30</f>
        <v>9</v>
      </c>
      <c r="BF439" s="1" t="n">
        <f aca="false">MIN(Q439/4000, 1)*20</f>
        <v>0</v>
      </c>
      <c r="BG439" s="1" t="n">
        <f aca="false">MIN(AC439/400,1)*20</f>
        <v>0</v>
      </c>
      <c r="BH439" s="4" t="n">
        <f aca="false">1-(MAX(M439-1900, 0)/750)</f>
        <v>0.997333333333333</v>
      </c>
      <c r="BI439" s="1" t="n">
        <f aca="false">((MAX($P439,1)*MIN($AM439/300,1)))*IF(J439="Wagon",50,10)</f>
        <v>3.5</v>
      </c>
      <c r="BJ439" s="1" t="n">
        <f aca="false">VLOOKUP($K439,Constants!$I:$K, 2, FALSE())</f>
        <v>1</v>
      </c>
      <c r="BK439" s="1" t="n">
        <f aca="false">VLOOKUP($K439,Constants!$I:$K, 3, FALSE())*IF(AND(J439="multiple_unit",AE439&lt;110),0.75,1)</f>
        <v>0.45</v>
      </c>
      <c r="BL439" s="1" t="n">
        <f aca="false">INT(POWER(((Constants!$G$2+$BE439+$BF439+$BG439+$BI439)*$BH439)*$BK439, 1.05))+$BD439</f>
        <v>8</v>
      </c>
      <c r="BM439" s="1" t="n">
        <f aca="false">INT(POWER((((Constants!$G$1+$BE439+$BF439+$BG439+$BI439)*($BH439))*$BJ439),IF($J439="wagon",1,1.2)))+$BC439</f>
        <v>27</v>
      </c>
      <c r="BN439" s="17" t="n">
        <f aca="false">BL439*IF($J439="wagon",62.5,781.25)</f>
        <v>500</v>
      </c>
      <c r="BO439" s="17" t="n">
        <f aca="false">BM439*IF($J439="wagon",2.73,81.25)</f>
        <v>73.71</v>
      </c>
      <c r="BY439" s="1" t="n">
        <v>1</v>
      </c>
      <c r="BZ439" s="1" t="n">
        <v>185</v>
      </c>
      <c r="CB439" s="1" t="s">
        <v>1710</v>
      </c>
      <c r="CC439" s="1" t="s">
        <v>1702</v>
      </c>
      <c r="CD439" s="1" t="str">
        <f aca="false">VLOOKUP(M439,Eras!$A$2:$C$10, 2, TRUE())</f>
        <v>edw</v>
      </c>
      <c r="CE439" s="1" t="s">
        <v>1703</v>
      </c>
      <c r="CF439" s="1" t="str">
        <f aca="false">CONCATENATE(CD439,"_",CE439)</f>
        <v>edw_Open Wagon</v>
      </c>
      <c r="CG439" s="1" t="str">
        <f aca="false">_xlfn.CONCAT(K439, "_",L439)</f>
        <v>wagon_RAIL</v>
      </c>
      <c r="CH439" s="7" t="str">
        <f aca="false">_xlfn.CONCAT("{BLACK}Length: {GOLD}", TEXT(ROUNDUP(IF(AT439&lt;&gt;"",SUM(VALUE(_xlfn.TEXTSPLIT(AT439, ","))), SUM(VALUE(_xlfn.TEXTSPLIT(AQ439, ",")))*IF(P439, P439, 1))/16, 1), "#,##0.0"), " tiles{}")</f>
        <v>{BLACK}Length: {GOLD}0.3 tiles{}</v>
      </c>
      <c r="CI439" s="1" t="n">
        <f aca="false">VLOOKUP($CG439, Constants!$M:$N, 2, FALSE())</f>
        <v>0</v>
      </c>
      <c r="CJ439" s="1" t="str">
        <f aca="false">IF(P439&gt;1,_xlfn.CONCAT("{BLACK}Cars: {GOLD}", P439),"")</f>
        <v/>
      </c>
      <c r="CK439" s="1" t="s">
        <v>1711</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{GOLD}0.3 tiles{}{SILVER}The 5 plank wagon became one of the common standard types used by the GWR, with thousands built.</v>
      </c>
    </row>
    <row r="440" customFormat="false" ht="14.25" hidden="false" customHeight="false" outlineLevel="0" collapsed="false">
      <c r="A440" s="1" t="s">
        <v>1712</v>
      </c>
      <c r="B440" s="15" t="s">
        <v>1713</v>
      </c>
      <c r="C440" s="1" t="n">
        <v>50</v>
      </c>
      <c r="E440" s="1" t="n">
        <v>1067</v>
      </c>
      <c r="G440" s="1" t="str">
        <f aca="false">IF($F440&lt;&gt;"",_xlfn.CONCAT(VLOOKUP($CE440, Constants!$T:$U, 2, FALSE()),",",$F440),VLOOKUP($CE440, Constants!$T:$U, 2, FALSE()))</f>
        <v>role/freight</v>
      </c>
      <c r="H440" s="1" t="str">
        <f aca="false">IF($G440&lt;&gt;"",_xlfn.CONCAT(VLOOKUP($CG440, Constants!$M:$P, 4, FALSE()),",",$G440),VLOOKUP($CG440, Constants!$M:$P, 4, FALSE()))</f>
        <v>flag/GB,role/freight</v>
      </c>
      <c r="I440" s="1" t="s">
        <v>198</v>
      </c>
      <c r="J440" s="1" t="s">
        <v>1476</v>
      </c>
      <c r="K440" s="1" t="s">
        <v>1476</v>
      </c>
      <c r="L440" s="1" t="s">
        <v>149</v>
      </c>
      <c r="M440" s="1" t="n">
        <v>1935</v>
      </c>
      <c r="O440" s="1" t="n">
        <v>1970</v>
      </c>
      <c r="Z440" s="1" t="n">
        <v>10</v>
      </c>
      <c r="AB440" s="1" t="n">
        <v>4</v>
      </c>
      <c r="AD440" s="4" t="str">
        <f aca="false">IF(AND(Z440&gt;0,AC440&gt;0),(AC440/((Z440+AA440)*10)),"")</f>
        <v/>
      </c>
      <c r="AE440" s="1" t="n">
        <v>50</v>
      </c>
      <c r="AF440" s="1" t="n">
        <f aca="false">ROUND(AE440*1.6, 0)</f>
        <v>80</v>
      </c>
      <c r="AI440" s="1" t="n">
        <v>8</v>
      </c>
      <c r="AJ440" s="1" t="n">
        <v>8</v>
      </c>
      <c r="AM440" s="5" t="n">
        <v>27</v>
      </c>
      <c r="AN440" s="1" t="str">
        <f aca="false">CONCATENATE(VLOOKUP(AO440, 'Voxel Sizes'!$A$2:$B$18,2,FALSE()),"x",INT(AK440*15), "x", INT(AL440*15))</f>
        <v>82x0x0</v>
      </c>
      <c r="AO440" s="1" t="n">
        <f aca="false">ROUND(15*((AJ440*10)/256),0)</f>
        <v>5</v>
      </c>
      <c r="AQ440" s="1" t="str">
        <f aca="false">CONCATENATE(VLOOKUP(AO440,Constants!$A$2:$C$16,IF(AP440&lt;&gt;"", 3, 2), FALSE()),IF(AP440&lt;&gt;"",CONCATENATE(",",VLOOKUP(AP440,$B:$AQ,39,FALSE())),""))</f>
        <v>2,1,2</v>
      </c>
      <c r="BA440" s="1" t="n">
        <v>30</v>
      </c>
      <c r="BB440" s="16" t="n">
        <f aca="false">IF(O440&lt;&gt;"",MAX(16,(O440-M440)+8),"")</f>
        <v>43</v>
      </c>
      <c r="BE440" s="1" t="n">
        <f aca="false">MIN(AE440/150, 1)*30</f>
        <v>10</v>
      </c>
      <c r="BF440" s="1" t="n">
        <f aca="false">MIN(Q440/4000, 1)*20</f>
        <v>0</v>
      </c>
      <c r="BG440" s="1" t="n">
        <f aca="false">MIN(AC440/400,1)*20</f>
        <v>0</v>
      </c>
      <c r="BH440" s="4" t="n">
        <f aca="false">1-(MAX(M440-1900, 0)/750)</f>
        <v>0.953333333333333</v>
      </c>
      <c r="BI440" s="1" t="n">
        <f aca="false">((MAX($P440,1)*MIN($AM440/300,1)))*IF(J440="Wagon",50,10)</f>
        <v>4.5</v>
      </c>
      <c r="BJ440" s="1" t="n">
        <f aca="false">VLOOKUP($K440,Constants!$I:$K, 2, FALSE())</f>
        <v>1</v>
      </c>
      <c r="BK440" s="1" t="n">
        <f aca="false">VLOOKUP($K440,Constants!$I:$K, 3, FALSE())*IF(AND(J440="multiple_unit",AE440&lt;110),0.75,1)</f>
        <v>0.45</v>
      </c>
      <c r="BL440" s="1" t="n">
        <f aca="false">INT(POWER(((Constants!$G$2+$BE440+$BF440+$BG440+$BI440)*$BH440)*$BK440, 1.05))+$BD440</f>
        <v>9</v>
      </c>
      <c r="BM440" s="1" t="n">
        <f aca="false">INT(POWER((((Constants!$G$1+$BE440+$BF440+$BG440+$BI440)*($BH440))*$BJ440),IF($J440="wagon",1,1.2)))+$BC440</f>
        <v>28</v>
      </c>
      <c r="BN440" s="17" t="n">
        <f aca="false">BL440*IF($J440="wagon",62.5,781.25)</f>
        <v>562.5</v>
      </c>
      <c r="BO440" s="17" t="n">
        <f aca="false">BM440*IF($J440="wagon",2.73,81.25)</f>
        <v>76.44</v>
      </c>
      <c r="BY440" s="1" t="n">
        <v>1</v>
      </c>
      <c r="BZ440" s="1" t="n">
        <v>185</v>
      </c>
      <c r="CB440" s="1" t="s">
        <v>1710</v>
      </c>
      <c r="CC440" s="1" t="s">
        <v>1702</v>
      </c>
      <c r="CD440" s="1" t="str">
        <f aca="false">VLOOKUP(M440,Eras!$A$2:$C$10, 2, TRUE())</f>
        <v>big4</v>
      </c>
      <c r="CE440" s="1" t="s">
        <v>1703</v>
      </c>
      <c r="CF440" s="1" t="str">
        <f aca="false">CONCATENATE(CD440,"_",CE440)</f>
        <v>big4_Open Wagon</v>
      </c>
      <c r="CG440" s="1" t="str">
        <f aca="false">_xlfn.CONCAT(K440, "_",L440)</f>
        <v>wagon_RAIL</v>
      </c>
      <c r="CH440" s="7" t="str">
        <f aca="false">_xlfn.CONCAT("{BLACK}Length: {GOLD}", TEXT(ROUNDUP(IF(AT440&lt;&gt;"",SUM(VALUE(_xlfn.TEXTSPLIT(AT440, ","))), SUM(VALUE(_xlfn.TEXTSPLIT(AQ440, ",")))*IF(P440, P440, 1))/16, 1), "#,##0.0"), " tiles{}")</f>
        <v>{BLACK}Length: {GOLD}0.4 tiles{}</v>
      </c>
      <c r="CI440" s="1" t="n">
        <f aca="false">VLOOKUP($CG440, Constants!$M:$N, 2, FALSE())</f>
        <v>0</v>
      </c>
      <c r="CJ440" s="1" t="str">
        <f aca="false">IF(P440&gt;1,_xlfn.CONCAT("{BLACK}Cars: {GOLD}", P440),"")</f>
        <v/>
      </c>
      <c r="CK440" s="1" t="s">
        <v>1714</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{GOLD}0.4 tiles{}{SILVER}Steel wagons were introduced in the 1930s to have a longer service life than wooden wagons, which were proving uneconomical for many owners to operate after recessions at the start of the decade.</v>
      </c>
      <c r="CO440" s="1" t="n">
        <v>1</v>
      </c>
    </row>
    <row r="441" customFormat="false" ht="14.25" hidden="false" customHeight="false" outlineLevel="0" collapsed="false">
      <c r="A441" s="1" t="s">
        <v>1715</v>
      </c>
      <c r="B441" s="15" t="s">
        <v>1716</v>
      </c>
      <c r="C441" s="1" t="n">
        <v>51</v>
      </c>
      <c r="E441" s="1" t="n">
        <v>1068</v>
      </c>
      <c r="G441" s="1" t="str">
        <f aca="false">IF($F441&lt;&gt;"",_xlfn.CONCAT(VLOOKUP($CE441, Constants!$T:$U, 2, FALSE()),",",$F441),VLOOKUP($CE441, Constants!$T:$U, 2, FALSE()))</f>
        <v>role/freight</v>
      </c>
      <c r="H441" s="1" t="str">
        <f aca="false">IF($G441&lt;&gt;"",_xlfn.CONCAT(VLOOKUP($CG441, Constants!$M:$P, 4, FALSE()),",",$G441),VLOOKUP($CG441, Constants!$M:$P, 4, FALSE()))</f>
        <v>flag/GB,role/freight</v>
      </c>
      <c r="I441" s="1" t="s">
        <v>198</v>
      </c>
      <c r="J441" s="1" t="s">
        <v>1476</v>
      </c>
      <c r="K441" s="1" t="s">
        <v>1476</v>
      </c>
      <c r="L441" s="1" t="s">
        <v>149</v>
      </c>
      <c r="M441" s="1" t="n">
        <v>1938</v>
      </c>
      <c r="O441" s="1" t="n">
        <v>1980</v>
      </c>
      <c r="Z441" s="1" t="n">
        <v>11</v>
      </c>
      <c r="AB441" s="1" t="n">
        <v>7</v>
      </c>
      <c r="AD441" s="4" t="str">
        <f aca="false">IF(AND(Z441&gt;0,AC441&gt;0),(AC441/((Z441+AA441)*10)),"")</f>
        <v/>
      </c>
      <c r="AE441" s="1" t="n">
        <v>50</v>
      </c>
      <c r="AF441" s="1" t="n">
        <f aca="false">ROUND(AE441*1.6, 0)</f>
        <v>80</v>
      </c>
      <c r="AI441" s="1" t="n">
        <v>8</v>
      </c>
      <c r="AJ441" s="1" t="n">
        <v>8</v>
      </c>
      <c r="AM441" s="5" t="n">
        <v>21</v>
      </c>
      <c r="AN441" s="1" t="str">
        <f aca="false">CONCATENATE(VLOOKUP(AO441, 'Voxel Sizes'!$A$2:$B$18,2,FALSE()),"x",INT(AK441*15), "x", INT(AL441*15))</f>
        <v>82x0x0</v>
      </c>
      <c r="AO441" s="1" t="n">
        <f aca="false">ROUND(15*((AJ441*10)/256),0)</f>
        <v>5</v>
      </c>
      <c r="AQ441" s="1" t="str">
        <f aca="false">CONCATENATE(VLOOKUP(AO441,Constants!$A$2:$C$16,IF(AP441&lt;&gt;"", 3, 2), FALSE()),IF(AP441&lt;&gt;"",CONCATENATE(",",VLOOKUP(AP441,$B:$AQ,39,FALSE())),""))</f>
        <v>2,1,2</v>
      </c>
      <c r="BA441" s="1" t="n">
        <v>30</v>
      </c>
      <c r="BB441" s="16" t="n">
        <f aca="false">IF(O441&lt;&gt;"",MAX(16,(O441-M441)+8),"")</f>
        <v>50</v>
      </c>
      <c r="BE441" s="1" t="n">
        <f aca="false">MIN(AE441/150, 1)*30</f>
        <v>10</v>
      </c>
      <c r="BF441" s="1" t="n">
        <f aca="false">MIN(Q441/4000, 1)*20</f>
        <v>0</v>
      </c>
      <c r="BG441" s="1" t="n">
        <f aca="false">MIN(AC441/400,1)*20</f>
        <v>0</v>
      </c>
      <c r="BH441" s="4" t="n">
        <f aca="false">1-(MAX(M441-1900, 0)/750)</f>
        <v>0.949333333333333</v>
      </c>
      <c r="BI441" s="1" t="n">
        <f aca="false">((MAX($P441,1)*MIN($AM441/300,1)))*IF(J441="Wagon",50,10)</f>
        <v>3.5</v>
      </c>
      <c r="BJ441" s="1" t="n">
        <f aca="false">VLOOKUP($K441,Constants!$I:$K, 2, FALSE())</f>
        <v>1</v>
      </c>
      <c r="BK441" s="1" t="n">
        <f aca="false">VLOOKUP($K441,Constants!$I:$K, 3, FALSE())*IF(AND(J441="multiple_unit",AE441&lt;110),0.75,1)</f>
        <v>0.45</v>
      </c>
      <c r="BL441" s="1" t="n">
        <f aca="false">INT(POWER(((Constants!$G$2+$BE441+$BF441+$BG441+$BI441)*$BH441)*$BK441, 1.05))+$BD441</f>
        <v>8</v>
      </c>
      <c r="BM441" s="1" t="n">
        <f aca="false">INT(POWER((((Constants!$G$1+$BE441+$BF441+$BG441+$BI441)*($BH441))*$BJ441),IF($J441="wagon",1,1.2)))+$BC441</f>
        <v>27</v>
      </c>
      <c r="BN441" s="17" t="n">
        <f aca="false">BL441*IF($J441="wagon",62.5,781.25)</f>
        <v>500</v>
      </c>
      <c r="BO441" s="17" t="n">
        <f aca="false">BM441*IF($J441="wagon",2.73,81.25)</f>
        <v>73.71</v>
      </c>
      <c r="BY441" s="1" t="n">
        <v>1</v>
      </c>
      <c r="BZ441" s="1" t="n">
        <v>185</v>
      </c>
      <c r="CB441" s="1" t="s">
        <v>1710</v>
      </c>
      <c r="CC441" s="1" t="s">
        <v>1702</v>
      </c>
      <c r="CD441" s="1" t="str">
        <f aca="false">VLOOKUP(M441,Eras!$A$2:$C$10, 2, TRUE())</f>
        <v>big4</v>
      </c>
      <c r="CE441" s="1" t="s">
        <v>1703</v>
      </c>
      <c r="CF441" s="1" t="str">
        <f aca="false">CONCATENATE(CD441,"_",CE441)</f>
        <v>big4_Open Wagon</v>
      </c>
      <c r="CG441" s="1" t="str">
        <f aca="false">_xlfn.CONCAT(K441, "_",L441)</f>
        <v>wagon_RAIL</v>
      </c>
      <c r="CH441" s="7" t="str">
        <f aca="false">_xlfn.CONCAT("{BLACK}Length: {GOLD}", TEXT(ROUNDUP(IF(AT441&lt;&gt;"",SUM(VALUE(_xlfn.TEXTSPLIT(AT441, ","))), SUM(VALUE(_xlfn.TEXTSPLIT(AQ441, ",")))*IF(P441, P441, 1))/16, 1), "#,##0.0"), " tiles{}")</f>
        <v>{BLACK}Length: {GOLD}0.4 tiles{}</v>
      </c>
      <c r="CI441" s="1" t="n">
        <f aca="false">VLOOKUP($CG441, Constants!$M:$N, 2, FALSE())</f>
        <v>0</v>
      </c>
      <c r="CJ441" s="1" t="str">
        <f aca="false">IF(P441&gt;1,_xlfn.CONCAT("{BLACK}Cars: {GOLD}", P441),"")</f>
        <v/>
      </c>
      <c r="CK441" s="1" t="s">
        <v>1717</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{GOLD}0.4 tiles{}{SILVER}The LNER built many of these coal hoppers, from 1935 to nationalisation. Although capacity is lower, these can be loaded faster than regular wagons.</v>
      </c>
      <c r="CO441" s="1" t="n">
        <v>1</v>
      </c>
    </row>
    <row r="442" customFormat="false" ht="14.25" hidden="false" customHeight="false" outlineLevel="0" collapsed="false">
      <c r="A442" s="1" t="s">
        <v>1718</v>
      </c>
      <c r="B442" s="15" t="s">
        <v>1719</v>
      </c>
      <c r="C442" s="1" t="n">
        <v>52</v>
      </c>
      <c r="E442" s="1" t="n">
        <v>1069</v>
      </c>
      <c r="G442" s="1" t="str">
        <f aca="false">IF($F442&lt;&gt;"",_xlfn.CONCAT(VLOOKUP($CE442, Constants!$T:$U, 2, FALSE()),",",$F442),VLOOKUP($CE442, Constants!$T:$U, 2, FALSE()))</f>
        <v>role/freight</v>
      </c>
      <c r="H442" s="1" t="str">
        <f aca="false">IF($G442&lt;&gt;"",_xlfn.CONCAT(VLOOKUP($CG442, Constants!$M:$P, 4, FALSE()),",",$G442),VLOOKUP($CG442, Constants!$M:$P, 4, FALSE()))</f>
        <v>flag/GB,role/freight</v>
      </c>
      <c r="I442" s="1" t="s">
        <v>198</v>
      </c>
      <c r="J442" s="1" t="s">
        <v>1476</v>
      </c>
      <c r="K442" s="1" t="s">
        <v>1476</v>
      </c>
      <c r="L442" s="1" t="s">
        <v>149</v>
      </c>
      <c r="M442" s="1" t="n">
        <v>1951</v>
      </c>
      <c r="O442" s="1" t="n">
        <v>1985</v>
      </c>
      <c r="Z442" s="1" t="n">
        <v>10</v>
      </c>
      <c r="AB442" s="1" t="n">
        <v>4</v>
      </c>
      <c r="AD442" s="4" t="str">
        <f aca="false">IF(AND(Z442&gt;0,AC442&gt;0),(AC442/((Z442+AA442)*10)),"")</f>
        <v/>
      </c>
      <c r="AE442" s="1" t="n">
        <v>60</v>
      </c>
      <c r="AF442" s="1" t="n">
        <f aca="false">ROUND(AE442*1.6, 0)</f>
        <v>96</v>
      </c>
      <c r="AI442" s="1" t="n">
        <v>8</v>
      </c>
      <c r="AJ442" s="1" t="n">
        <v>8</v>
      </c>
      <c r="AM442" s="5" t="n">
        <v>27</v>
      </c>
      <c r="AN442" s="1" t="str">
        <f aca="false">CONCATENATE(VLOOKUP(AO442, 'Voxel Sizes'!$A$2:$B$18,2,FALSE()),"x",INT(AK442*15), "x", INT(AL442*15))</f>
        <v>82x0x0</v>
      </c>
      <c r="AO442" s="1" t="n">
        <f aca="false">ROUND(15*((AJ442*10)/256),0)</f>
        <v>5</v>
      </c>
      <c r="AQ442" s="1" t="str">
        <f aca="false">CONCATENATE(VLOOKUP(AO442,Constants!$A$2:$C$16,IF(AP442&lt;&gt;"", 3, 2), FALSE()),IF(AP442&lt;&gt;"",CONCATENATE(",",VLOOKUP(AP442,$B:$AQ,39,FALSE())),""))</f>
        <v>2,1,2</v>
      </c>
      <c r="BA442" s="1" t="n">
        <v>30</v>
      </c>
      <c r="BB442" s="16" t="n">
        <f aca="false">IF(O442&lt;&gt;"",MAX(16,(O442-M442)+8),"")</f>
        <v>42</v>
      </c>
      <c r="BE442" s="1" t="n">
        <f aca="false">MIN(AE442/150, 1)*30</f>
        <v>12</v>
      </c>
      <c r="BF442" s="1" t="n">
        <f aca="false">MIN(Q442/4000, 1)*20</f>
        <v>0</v>
      </c>
      <c r="BG442" s="1" t="n">
        <f aca="false">MIN(AC442/400,1)*20</f>
        <v>0</v>
      </c>
      <c r="BH442" s="4" t="n">
        <f aca="false">1-(MAX(M442-1900, 0)/750)</f>
        <v>0.932</v>
      </c>
      <c r="BI442" s="1" t="n">
        <f aca="false">((MAX($P442,1)*MIN($AM442/300,1)))*IF(J442="Wagon",50,10)</f>
        <v>4.5</v>
      </c>
      <c r="BJ442" s="1" t="n">
        <f aca="false">VLOOKUP($K442,Constants!$I:$K, 2, FALSE())</f>
        <v>1</v>
      </c>
      <c r="BK442" s="1" t="n">
        <f aca="false">VLOOKUP($K442,Constants!$I:$K, 3, FALSE())*IF(AND(J442="multiple_unit",AE442&lt;110),0.75,1)</f>
        <v>0.45</v>
      </c>
      <c r="BL442" s="1" t="n">
        <f aca="false">INT(POWER(((Constants!$G$2+$BE442+$BF442+$BG442+$BI442)*$BH442)*$BK442, 1.05))+$BD442</f>
        <v>10</v>
      </c>
      <c r="BM442" s="1" t="n">
        <f aca="false">INT(POWER((((Constants!$G$1+$BE442+$BF442+$BG442+$BI442)*($BH442))*$BJ442),IF($J442="wagon",1,1.2)))+$BC442</f>
        <v>29</v>
      </c>
      <c r="BN442" s="17" t="n">
        <f aca="false">BL442*IF($J442="wagon",62.5,781.25)</f>
        <v>625</v>
      </c>
      <c r="BO442" s="17" t="n">
        <f aca="false">BM442*IF($J442="wagon",2.73,81.25)</f>
        <v>79.17</v>
      </c>
      <c r="BY442" s="1" t="n">
        <v>1</v>
      </c>
      <c r="BZ442" s="1" t="n">
        <v>185</v>
      </c>
      <c r="CB442" s="1" t="s">
        <v>1710</v>
      </c>
      <c r="CC442" s="1" t="s">
        <v>1702</v>
      </c>
      <c r="CD442" s="1" t="str">
        <f aca="false">VLOOKUP(M442,Eras!$A$2:$C$10, 2, TRUE())</f>
        <v>ebr</v>
      </c>
      <c r="CE442" s="1" t="s">
        <v>1703</v>
      </c>
      <c r="CF442" s="1" t="str">
        <f aca="false">CONCATENATE(CD442,"_",CE442)</f>
        <v>ebr_Open Wagon</v>
      </c>
      <c r="CG442" s="1" t="str">
        <f aca="false">_xlfn.CONCAT(K442, "_",L442)</f>
        <v>wagon_RAIL</v>
      </c>
      <c r="CH442" s="7" t="str">
        <f aca="false">_xlfn.CONCAT("{BLACK}Length: {GOLD}", TEXT(ROUNDUP(IF(AT442&lt;&gt;"",SUM(VALUE(_xlfn.TEXTSPLIT(AT442, ","))), SUM(VALUE(_xlfn.TEXTSPLIT(AQ442, ",")))*IF(P442, P442, 1))/16, 1), "#,##0.0"), " tiles{}")</f>
        <v>{BLACK}Length: {GOLD}0.4 tiles{}</v>
      </c>
      <c r="CI442" s="1" t="n">
        <f aca="false">VLOOKUP($CG442, Constants!$M:$N, 2, FALSE())</f>
        <v>0</v>
      </c>
      <c r="CJ442" s="1" t="str">
        <f aca="false">IF(P442&gt;1,_xlfn.CONCAT("{BLACK}Cars: {GOLD}", P442),"")</f>
        <v/>
      </c>
      <c r="CK442" s="1" t="s">
        <v>1720</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{GOLD}0.4 tiles{}{SILVER}BR continued to make steel bodied wagons following LNER designs, gradually altering the body style.</v>
      </c>
      <c r="CO442" s="1" t="n">
        <v>1</v>
      </c>
    </row>
    <row r="443" customFormat="false" ht="14.25" hidden="false" customHeight="false" outlineLevel="0" collapsed="false">
      <c r="A443" s="1" t="s">
        <v>1721</v>
      </c>
      <c r="B443" s="15" t="s">
        <v>1722</v>
      </c>
      <c r="C443" s="1" t="n">
        <v>53</v>
      </c>
      <c r="E443" s="1" t="n">
        <v>1070</v>
      </c>
      <c r="G443" s="1" t="str">
        <f aca="false">IF($F443&lt;&gt;"",_xlfn.CONCAT(VLOOKUP($CE443, Constants!$T:$U, 2, FALSE()),",",$F443),VLOOKUP($CE443, Constants!$T:$U, 2, FALSE()))</f>
        <v>role/freight</v>
      </c>
      <c r="H443" s="1" t="str">
        <f aca="false">IF($G443&lt;&gt;"",_xlfn.CONCAT(VLOOKUP($CG443, Constants!$M:$P, 4, FALSE()),",",$G443),VLOOKUP($CG443, Constants!$M:$P, 4, FALSE()))</f>
        <v>flag/GB,role/freight</v>
      </c>
      <c r="I443" s="1" t="s">
        <v>198</v>
      </c>
      <c r="J443" s="1" t="s">
        <v>1476</v>
      </c>
      <c r="K443" s="1" t="s">
        <v>1476</v>
      </c>
      <c r="L443" s="1" t="s">
        <v>149</v>
      </c>
      <c r="M443" s="1" t="n">
        <v>1971</v>
      </c>
      <c r="O443" s="1" t="n">
        <v>2018</v>
      </c>
      <c r="Z443" s="1" t="n">
        <v>14</v>
      </c>
      <c r="AB443" s="1" t="n">
        <v>5</v>
      </c>
      <c r="AD443" s="4" t="str">
        <f aca="false">IF(AND(Z443&gt;0,AC443&gt;0),(AC443/((Z443+AA443)*10)),"")</f>
        <v/>
      </c>
      <c r="AE443" s="1" t="n">
        <v>70</v>
      </c>
      <c r="AF443" s="1" t="n">
        <f aca="false">ROUND(AE443*1.6, 0)</f>
        <v>112</v>
      </c>
      <c r="AI443" s="1" t="n">
        <v>10</v>
      </c>
      <c r="AJ443" s="1" t="n">
        <v>10</v>
      </c>
      <c r="AM443" s="5" t="n">
        <v>33</v>
      </c>
      <c r="AN443" s="1" t="str">
        <f aca="false">CONCATENATE(VLOOKUP(AO443, 'Voxel Sizes'!$A$2:$B$18,2,FALSE()),"x",INT(AK443*15), "x", INT(AL443*15))</f>
        <v>102x0x0</v>
      </c>
      <c r="AO443" s="1" t="n">
        <f aca="false">ROUND(15*((AJ443*10)/256),0)</f>
        <v>6</v>
      </c>
      <c r="AQ443" s="1" t="str">
        <f aca="false">CONCATENATE(VLOOKUP(AO443,Constants!$A$2:$C$16,IF(AP443&lt;&gt;"", 3, 2), FALSE()),IF(AP443&lt;&gt;"",CONCATENATE(",",VLOOKUP(AP443,$B:$AQ,39,FALSE())),""))</f>
        <v>2,2,2</v>
      </c>
      <c r="BA443" s="1" t="n">
        <v>30</v>
      </c>
      <c r="BB443" s="16" t="n">
        <f aca="false">IF(O443&lt;&gt;"",MAX(16,(O443-M443)+8),"")</f>
        <v>55</v>
      </c>
      <c r="BE443" s="1" t="n">
        <f aca="false">MIN(AE443/150, 1)*30</f>
        <v>14</v>
      </c>
      <c r="BF443" s="1" t="n">
        <f aca="false">MIN(Q443/4000, 1)*20</f>
        <v>0</v>
      </c>
      <c r="BG443" s="1" t="n">
        <f aca="false">MIN(AC443/400,1)*20</f>
        <v>0</v>
      </c>
      <c r="BH443" s="4" t="n">
        <f aca="false">1-(MAX(M443-1900, 0)/750)</f>
        <v>0.905333333333333</v>
      </c>
      <c r="BI443" s="1" t="n">
        <f aca="false">((MAX($P443,1)*MIN($AM443/300,1)))*IF(J443="Wagon",50,10)</f>
        <v>5.5</v>
      </c>
      <c r="BJ443" s="1" t="n">
        <f aca="false">VLOOKUP($K443,Constants!$I:$K, 2, FALSE())</f>
        <v>1</v>
      </c>
      <c r="BK443" s="1" t="n">
        <f aca="false">VLOOKUP($K443,Constants!$I:$K, 3, FALSE())*IF(AND(J443="multiple_unit",AE443&lt;110),0.75,1)</f>
        <v>0.45</v>
      </c>
      <c r="BL443" s="1" t="n">
        <f aca="false">INT(POWER(((Constants!$G$2+$BE443+$BF443+$BG443+$BI443)*$BH443)*$BK443, 1.05))+$BD443</f>
        <v>11</v>
      </c>
      <c r="BM443" s="1" t="n">
        <f aca="false">INT(POWER((((Constants!$G$1+$BE443+$BF443+$BG443+$BI443)*($BH443))*$BJ443),IF($J443="wagon",1,1.2)))+$BC443</f>
        <v>31</v>
      </c>
      <c r="BN443" s="17" t="n">
        <f aca="false">BL443*IF($J443="wagon",62.5,781.25)</f>
        <v>687.5</v>
      </c>
      <c r="BO443" s="17" t="n">
        <f aca="false">BM443*IF($J443="wagon",2.73,81.25)</f>
        <v>84.63</v>
      </c>
      <c r="BY443" s="1" t="n">
        <v>1</v>
      </c>
      <c r="BZ443" s="1" t="n">
        <v>185</v>
      </c>
      <c r="CB443" s="1" t="s">
        <v>1710</v>
      </c>
      <c r="CC443" s="1" t="s">
        <v>1702</v>
      </c>
      <c r="CD443" s="1" t="str">
        <f aca="false">VLOOKUP(M443,Eras!$A$2:$C$10, 2, TRUE())</f>
        <v>lbr</v>
      </c>
      <c r="CE443" s="1" t="s">
        <v>1703</v>
      </c>
      <c r="CF443" s="1" t="str">
        <f aca="false">CONCATENATE(CD443,"_",CE443)</f>
        <v>lbr_Open Wagon</v>
      </c>
      <c r="CG443" s="1" t="str">
        <f aca="false">_xlfn.CONCAT(K443, "_",L443)</f>
        <v>wagon_RAIL</v>
      </c>
      <c r="CH443" s="7" t="str">
        <f aca="false">_xlfn.CONCAT("{BLACK}Length: {GOLD}", TEXT(ROUNDUP(IF(AT443&lt;&gt;"",SUM(VALUE(_xlfn.TEXTSPLIT(AT443, ","))), SUM(VALUE(_xlfn.TEXTSPLIT(AQ443, ",")))*IF(P443, P443, 1))/16, 1), "#,##0.0"), " tiles{}")</f>
        <v>{BLACK}Length: {GOLD}0.4 tiles{}</v>
      </c>
      <c r="CI443" s="1" t="n">
        <f aca="false">VLOOKUP($CG443, Constants!$M:$N, 2, FALSE())</f>
        <v>0</v>
      </c>
      <c r="CJ443" s="1" t="str">
        <f aca="false">IF(P443&gt;1,_xlfn.CONCAT("{BLACK}Cars: {GOLD}", P443),"")</f>
        <v/>
      </c>
      <c r="CK443" s="1" t="s">
        <v>1723</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{GOLD}0.4 tiles{}{SILVER}The OAA/OBA wagons were BR's first air braked open wagons, later forming part of the Speedlink network. They featured steel end frames with wooden drop sides.</v>
      </c>
      <c r="CO443" s="1" t="n">
        <v>1</v>
      </c>
    </row>
    <row r="444" customFormat="false" ht="14.25" hidden="false" customHeight="false" outlineLevel="0" collapsed="false">
      <c r="A444" s="1" t="s">
        <v>1724</v>
      </c>
      <c r="B444" s="15" t="s">
        <v>1725</v>
      </c>
      <c r="C444" s="1" t="n">
        <v>54</v>
      </c>
      <c r="E444" s="1" t="n">
        <v>1071</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198</v>
      </c>
      <c r="J444" s="1" t="s">
        <v>1476</v>
      </c>
      <c r="K444" s="1" t="s">
        <v>1476</v>
      </c>
      <c r="L444" s="1" t="s">
        <v>149</v>
      </c>
      <c r="M444" s="1" t="n">
        <v>1989</v>
      </c>
      <c r="Z444" s="1" t="n">
        <v>12</v>
      </c>
      <c r="AB444" s="1" t="n">
        <v>6</v>
      </c>
      <c r="AD444" s="4" t="str">
        <f aca="false">IF(AND(Z444&gt;0,AC444&gt;0),(AC444/((Z444+AA444)*10)),"")</f>
        <v/>
      </c>
      <c r="AE444" s="1" t="n">
        <v>80</v>
      </c>
      <c r="AF444" s="1" t="n">
        <f aca="false">ROUND(AE444*1.6, 0)</f>
        <v>128</v>
      </c>
      <c r="AI444" s="1" t="n">
        <v>10</v>
      </c>
      <c r="AJ444" s="1" t="n">
        <v>10</v>
      </c>
      <c r="AM444" s="5" t="n">
        <v>45</v>
      </c>
      <c r="AN444" s="1" t="str">
        <f aca="false">CONCATENATE(VLOOKUP(AO444, 'Voxel Sizes'!$A$2:$B$18,2,FALSE()),"x",INT(AK444*15), "x", INT(AL444*15))</f>
        <v>102x0x0</v>
      </c>
      <c r="AO444" s="1" t="n">
        <f aca="false">ROUND(15*((AJ444*10)/256),0)</f>
        <v>6</v>
      </c>
      <c r="AQ444" s="1" t="str">
        <f aca="false">CONCATENATE(VLOOKUP(AO444,Constants!$A$2:$C$16,IF(AP444&lt;&gt;"", 3, 2), FALSE()),IF(AP444&lt;&gt;"",CONCATENATE(",",VLOOKUP(AP444,$B:$AQ,39,FALSE())),""))</f>
        <v>2,2,2</v>
      </c>
      <c r="BA444" s="1" t="n">
        <v>30</v>
      </c>
      <c r="BB444" s="16" t="str">
        <f aca="false">IF(O444&lt;&gt;"",MAX(16,(O444-M444)+8),"")</f>
        <v/>
      </c>
      <c r="BE444" s="1" t="n">
        <f aca="false">MIN(AE444/150, 1)*30</f>
        <v>16</v>
      </c>
      <c r="BF444" s="1" t="n">
        <f aca="false">MIN(Q444/4000, 1)*20</f>
        <v>0</v>
      </c>
      <c r="BG444" s="1" t="n">
        <f aca="false">MIN(AC444/400,1)*20</f>
        <v>0</v>
      </c>
      <c r="BH444" s="4" t="n">
        <f aca="false">1-(MAX(M444-1900, 0)/750)</f>
        <v>0.881333333333333</v>
      </c>
      <c r="BI444" s="1" t="n">
        <f aca="false">((MAX($P444,1)*MIN($AM444/300,1)))*IF(J444="Wagon",50,10)</f>
        <v>7.5</v>
      </c>
      <c r="BJ444" s="1" t="n">
        <f aca="false">VLOOKUP($K444,Constants!$I:$K, 2, FALSE())</f>
        <v>1</v>
      </c>
      <c r="BK444" s="1" t="n">
        <f aca="false">VLOOKUP($K444,Constants!$I:$K, 3, FALSE())*IF(AND(J444="multiple_unit",AE444&lt;110),0.75,1)</f>
        <v>0.45</v>
      </c>
      <c r="BL444" s="1" t="n">
        <f aca="false">INT(POWER(((Constants!$G$2+$BE444+$BF444+$BG444+$BI444)*$BH444)*$BK444, 1.05))+$BD444</f>
        <v>12</v>
      </c>
      <c r="BM444" s="1" t="n">
        <f aca="false">INT(POWER((((Constants!$G$1+$BE444+$BF444+$BG444+$BI444)*($BH444))*$BJ444),IF($J444="wagon",1,1.2)))+$BC444</f>
        <v>33</v>
      </c>
      <c r="BN444" s="17" t="n">
        <f aca="false">BL444*IF($J444="wagon",62.5,781.25)</f>
        <v>750</v>
      </c>
      <c r="BO444" s="17" t="n">
        <f aca="false">BM444*IF($J444="wagon",2.73,81.25)</f>
        <v>90.09</v>
      </c>
      <c r="BY444" s="1" t="n">
        <v>1</v>
      </c>
      <c r="BZ444" s="1" t="n">
        <v>185</v>
      </c>
      <c r="CB444" s="1" t="s">
        <v>1710</v>
      </c>
      <c r="CC444" s="1" t="s">
        <v>1702</v>
      </c>
      <c r="CD444" s="1" t="str">
        <f aca="false">VLOOKUP(M444,Eras!$A$2:$C$10, 2, TRUE())</f>
        <v>lbr</v>
      </c>
      <c r="CE444" s="1" t="s">
        <v>1703</v>
      </c>
      <c r="CF444" s="1" t="str">
        <f aca="false">CONCATENATE(CD444,"_",CE444)</f>
        <v>lbr_Open Wagon</v>
      </c>
      <c r="CG444" s="1" t="str">
        <f aca="false">_xlfn.CONCAT(K444, "_",L444)</f>
        <v>wagon_RAIL</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1726</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tiles{}{SILVER}MEA wagons used frames from old hopper wagons combined with a new box body.</v>
      </c>
      <c r="CO444" s="1" t="n">
        <v>1</v>
      </c>
    </row>
    <row r="445" customFormat="false" ht="14.25" hidden="false" customHeight="false" outlineLevel="0" collapsed="false">
      <c r="A445" s="1" t="s">
        <v>1727</v>
      </c>
      <c r="B445" s="15" t="s">
        <v>1728</v>
      </c>
      <c r="C445" s="1" t="n">
        <v>55</v>
      </c>
      <c r="E445" s="1" t="n">
        <v>1072</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198</v>
      </c>
      <c r="J445" s="1" t="s">
        <v>1476</v>
      </c>
      <c r="K445" s="1" t="s">
        <v>1476</v>
      </c>
      <c r="L445" s="1" t="s">
        <v>149</v>
      </c>
      <c r="M445" s="1" t="n">
        <v>2015</v>
      </c>
      <c r="Z445" s="1" t="n">
        <v>24</v>
      </c>
      <c r="AB445" s="1" t="n">
        <v>5</v>
      </c>
      <c r="AD445" s="4" t="str">
        <f aca="false">IF(AND(Z445&gt;0,AC445&gt;0),(AC445/((Z445+AA445)*10)),"")</f>
        <v/>
      </c>
      <c r="AE445" s="1" t="n">
        <v>80</v>
      </c>
      <c r="AF445" s="1" t="n">
        <f aca="false">ROUND(AE445*1.6, 0)</f>
        <v>128</v>
      </c>
      <c r="AI445" s="1" t="n">
        <v>17</v>
      </c>
      <c r="AJ445" s="1" t="n">
        <v>17</v>
      </c>
      <c r="AM445" s="5" t="n">
        <v>78</v>
      </c>
      <c r="AN445" s="1" t="str">
        <f aca="false">CONCATENATE(VLOOKUP(AO445, 'Voxel Sizes'!$A$2:$B$18,2,FALSE()),"x",INT(AK445*15), "x", INT(AL445*15))</f>
        <v>164x0x0</v>
      </c>
      <c r="AO445" s="1" t="n">
        <f aca="false">ROUND(15*((AJ445*10)/256),0)</f>
        <v>10</v>
      </c>
      <c r="AQ445" s="1" t="str">
        <f aca="false">CONCATENATE(VLOOKUP(AO445,Constants!$A$2:$C$16,IF(AP445&lt;&gt;"", 3, 2), FALSE()),IF(AP445&lt;&gt;"",CONCATENATE(",",VLOOKUP(AP445,$B:$AQ,39,FALSE())),""))</f>
        <v>4,2,4</v>
      </c>
      <c r="BA445" s="1" t="n">
        <v>30</v>
      </c>
      <c r="BB445" s="16" t="str">
        <f aca="false">IF(O445&lt;&gt;"",MAX(16,(O445-M445)+8),"")</f>
        <v/>
      </c>
      <c r="BE445" s="1" t="n">
        <f aca="false">MIN(AE445/150, 1)*30</f>
        <v>16</v>
      </c>
      <c r="BF445" s="1" t="n">
        <f aca="false">MIN(Q445/4000, 1)*20</f>
        <v>0</v>
      </c>
      <c r="BG445" s="1" t="n">
        <f aca="false">MIN(AC445/400,1)*20</f>
        <v>0</v>
      </c>
      <c r="BH445" s="4" t="n">
        <f aca="false">1-(MAX(M445-1900, 0)/750)</f>
        <v>0.846666666666667</v>
      </c>
      <c r="BI445" s="1" t="n">
        <f aca="false">((MAX($P445,1)*MIN($AM445/300,1)))*IF(J445="Wagon",50,10)</f>
        <v>13</v>
      </c>
      <c r="BJ445" s="1" t="n">
        <f aca="false">VLOOKUP($K445,Constants!$I:$K, 2, FALSE())</f>
        <v>1</v>
      </c>
      <c r="BK445" s="1" t="n">
        <f aca="false">VLOOKUP($K445,Constants!$I:$K, 3, FALSE())*IF(AND(J445="multiple_unit",AE445&lt;110),0.75,1)</f>
        <v>0.45</v>
      </c>
      <c r="BL445" s="1" t="n">
        <f aca="false">INT(POWER(((Constants!$G$2+$BE445+$BF445+$BG445+$BI445)*$BH445)*$BK445, 1.05))+$BD445</f>
        <v>14</v>
      </c>
      <c r="BM445" s="1" t="n">
        <f aca="false">INT(POWER((((Constants!$G$1+$BE445+$BF445+$BG445+$BI445)*($BH445))*$BJ445),IF($J445="wagon",1,1.2)))+$BC445</f>
        <v>37</v>
      </c>
      <c r="BN445" s="17" t="n">
        <f aca="false">BL445*IF($J445="wagon",62.5,781.25)</f>
        <v>875</v>
      </c>
      <c r="BO445" s="17" t="n">
        <f aca="false">BM445*IF($J445="wagon",2.73,81.25)</f>
        <v>101.01</v>
      </c>
      <c r="BY445" s="1" t="n">
        <v>1</v>
      </c>
      <c r="BZ445" s="1" t="n">
        <v>185</v>
      </c>
      <c r="CB445" s="1" t="s">
        <v>1710</v>
      </c>
      <c r="CC445" s="1" t="s">
        <v>1702</v>
      </c>
      <c r="CD445" s="1" t="str">
        <f aca="false">VLOOKUP(M445,Eras!$A$2:$C$10, 2, TRUE())</f>
        <v>mod</v>
      </c>
      <c r="CE445" s="1" t="s">
        <v>1703</v>
      </c>
      <c r="CF445" s="1" t="str">
        <f aca="false">CONCATENATE(CD445,"_",CE445)</f>
        <v>mod_Open Wagon</v>
      </c>
      <c r="CG445" s="1" t="str">
        <f aca="false">_xlfn.CONCAT(K445, "_",L445)</f>
        <v>wagon_RAIL</v>
      </c>
      <c r="CH445" s="7" t="str">
        <f aca="false">_xlfn.CONCAT("{BLACK}Length: {GOLD}", TEXT(ROUNDUP(IF(AT445&lt;&gt;"",SUM(VALUE(_xlfn.TEXTSPLIT(AT445, ","))), SUM(VALUE(_xlfn.TEXTSPLIT(AQ445, ",")))*IF(P445, P445, 1))/16, 1), "#,##0.0"), " tiles{}")</f>
        <v>{BLACK}Length: {GOLD}0.7 tiles{}</v>
      </c>
      <c r="CI445" s="1" t="n">
        <f aca="false">VLOOKUP($CG445, Constants!$M:$N, 2, FALSE())</f>
        <v>0</v>
      </c>
      <c r="CJ445" s="1" t="str">
        <f aca="false">IF(P445&gt;1,_xlfn.CONCAT("{BLACK}Cars: {GOLD}", P445),"")</f>
        <v/>
      </c>
      <c r="CK445" s="1" t="s">
        <v>1729</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{GOLD}0.7 tiles{}{SILVER}The MWA is another wagon rebuilt using new bodies on an old frame, resulting in a high capacity bogie open wagon.</v>
      </c>
      <c r="CO445" s="1" t="n">
        <v>1</v>
      </c>
    </row>
    <row r="446" customFormat="false" ht="14.25" hidden="false" customHeight="false" outlineLevel="0" collapsed="false">
      <c r="A446" s="1" t="s">
        <v>1730</v>
      </c>
      <c r="B446" s="15" t="s">
        <v>1731</v>
      </c>
      <c r="C446" s="1" t="n">
        <v>56</v>
      </c>
      <c r="E446" s="1" t="n">
        <v>1073</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198</v>
      </c>
      <c r="J446" s="1" t="s">
        <v>1476</v>
      </c>
      <c r="K446" s="1" t="s">
        <v>1476</v>
      </c>
      <c r="L446" s="1" t="s">
        <v>149</v>
      </c>
      <c r="M446" s="1" t="n">
        <v>1968</v>
      </c>
      <c r="O446" s="1" t="n">
        <v>2010</v>
      </c>
      <c r="Z446" s="1" t="n">
        <v>17</v>
      </c>
      <c r="AB446" s="1" t="n">
        <v>8</v>
      </c>
      <c r="AD446" s="4" t="str">
        <f aca="false">IF(AND(Z446&gt;0,AC446&gt;0),(AC446/((Z446+AA446)*10)),"")</f>
        <v/>
      </c>
      <c r="AE446" s="1" t="n">
        <v>60</v>
      </c>
      <c r="AF446" s="1" t="n">
        <f aca="false">ROUND(AE446*1.6, 0)</f>
        <v>96</v>
      </c>
      <c r="AI446" s="1" t="n">
        <v>10</v>
      </c>
      <c r="AJ446" s="1" t="n">
        <v>10</v>
      </c>
      <c r="AM446" s="5" t="n">
        <v>45</v>
      </c>
      <c r="AN446" s="1" t="str">
        <f aca="false">CONCATENATE(VLOOKUP(AO446, 'Voxel Sizes'!$A$2:$B$18,2,FALSE()),"x",INT(AK446*15), "x", INT(AL446*15))</f>
        <v>102x0x0</v>
      </c>
      <c r="AO446" s="1" t="n">
        <f aca="false">ROUND(15*((AJ446*10)/256),0)</f>
        <v>6</v>
      </c>
      <c r="AQ446" s="1" t="str">
        <f aca="false">CONCATENATE(VLOOKUP(AO446,Constants!$A$2:$C$16,IF(AP446&lt;&gt;"", 3, 2), FALSE()),IF(AP446&lt;&gt;"",CONCATENATE(",",VLOOKUP(AP446,$B:$AQ,39,FALSE())),""))</f>
        <v>2,2,2</v>
      </c>
      <c r="BA446" s="1" t="n">
        <v>30</v>
      </c>
      <c r="BB446" s="16" t="n">
        <f aca="false">IF(O446&lt;&gt;"",MAX(16,(O446-M446)+8),"")</f>
        <v>50</v>
      </c>
      <c r="BE446" s="1" t="n">
        <f aca="false">MIN(AE446/150, 1)*30</f>
        <v>12</v>
      </c>
      <c r="BF446" s="1" t="n">
        <f aca="false">MIN(Q446/4000, 1)*20</f>
        <v>0</v>
      </c>
      <c r="BG446" s="1" t="n">
        <f aca="false">MIN(AC446/400,1)*20</f>
        <v>0</v>
      </c>
      <c r="BH446" s="4" t="n">
        <f aca="false">1-(MAX(M446-1900, 0)/750)</f>
        <v>0.909333333333333</v>
      </c>
      <c r="BI446" s="1" t="n">
        <f aca="false">((MAX($P446,1)*MIN($AM446/300,1)))*IF(J446="Wagon",50,10)</f>
        <v>7.5</v>
      </c>
      <c r="BJ446" s="1" t="n">
        <f aca="false">VLOOKUP($K446,Constants!$I:$K, 2, FALSE())</f>
        <v>1</v>
      </c>
      <c r="BK446" s="1" t="n">
        <f aca="false">VLOOKUP($K446,Constants!$I:$K, 3, FALSE())*IF(AND(J446="multiple_unit",AE446&lt;110),0.75,1)</f>
        <v>0.45</v>
      </c>
      <c r="BL446" s="1" t="n">
        <f aca="false">INT(POWER(((Constants!$G$2+$BE446+$BF446+$BG446+$BI446)*$BH446)*$BK446, 1.05))+$BD446</f>
        <v>11</v>
      </c>
      <c r="BM446" s="1" t="n">
        <f aca="false">INT(POWER((((Constants!$G$1+$BE446+$BF446+$BG446+$BI446)*($BH446))*$BJ446),IF($J446="wagon",1,1.2)))+$BC446</f>
        <v>31</v>
      </c>
      <c r="BN446" s="17" t="n">
        <f aca="false">BL446*IF($J446="wagon",62.5,781.25)</f>
        <v>687.5</v>
      </c>
      <c r="BO446" s="17" t="n">
        <f aca="false">BM446*IF($J446="wagon",2.73,81.25)</f>
        <v>84.63</v>
      </c>
      <c r="BY446" s="1" t="n">
        <v>1</v>
      </c>
      <c r="BZ446" s="1" t="n">
        <v>185</v>
      </c>
      <c r="CB446" s="1" t="s">
        <v>1710</v>
      </c>
      <c r="CC446" s="1" t="s">
        <v>1702</v>
      </c>
      <c r="CD446" s="1" t="str">
        <f aca="false">VLOOKUP(M446,Eras!$A$2:$C$10, 2, TRUE())</f>
        <v>dsl</v>
      </c>
      <c r="CE446" s="1" t="s">
        <v>1703</v>
      </c>
      <c r="CF446" s="1" t="str">
        <f aca="false">CONCATENATE(CD446,"_",CE446)</f>
        <v>dsl_Open Wagon</v>
      </c>
      <c r="CG446" s="1" t="str">
        <f aca="false">_xlfn.CONCAT(K446, "_",L446)</f>
        <v>wagon_RAIL</v>
      </c>
      <c r="CH446" s="7" t="str">
        <f aca="false">_xlfn.CONCAT("{BLACK}Length: {GOLD}", TEXT(ROUNDUP(IF(AT446&lt;&gt;"",SUM(VALUE(_xlfn.TEXTSPLIT(AT446, ","))), SUM(VALUE(_xlfn.TEXTSPLIT(AQ446, ",")))*IF(P446, P446, 1))/16, 1), "#,##0.0"), " tiles{}")</f>
        <v>{BLACK}Length: {GOLD}0.4 tiles{}</v>
      </c>
      <c r="CI446" s="1" t="n">
        <f aca="false">VLOOKUP($CG446, Constants!$M:$N, 2, FALSE())</f>
        <v>0</v>
      </c>
      <c r="CJ446" s="1" t="str">
        <f aca="false">IF(P446&gt;1,_xlfn.CONCAT("{BLACK}Cars: {GOLD}", P446),"")</f>
        <v/>
      </c>
      <c r="CK446" s="1" t="s">
        <v>1732</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{GOLD}0.4 tiles{}{SILVER}MGR "merry-go-round" hoppers enabled coal trains to load and unload without stopping, emptying coal into discharge hoppers underneath the wagons. In OpenTTD this is represented by faster loading speeds.</v>
      </c>
      <c r="CO446" s="1" t="n">
        <v>1</v>
      </c>
    </row>
    <row r="447" customFormat="false" ht="14.25" hidden="false" customHeight="false" outlineLevel="0" collapsed="false">
      <c r="A447" s="1" t="s">
        <v>1733</v>
      </c>
      <c r="B447" s="15" t="s">
        <v>1734</v>
      </c>
      <c r="C447" s="1" t="n">
        <v>57</v>
      </c>
      <c r="E447" s="1" t="n">
        <v>1074</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198</v>
      </c>
      <c r="J447" s="1" t="s">
        <v>1476</v>
      </c>
      <c r="K447" s="1" t="s">
        <v>1476</v>
      </c>
      <c r="L447" s="1" t="s">
        <v>149</v>
      </c>
      <c r="M447" s="1" t="n">
        <v>2000</v>
      </c>
      <c r="Z447" s="1" t="n">
        <v>24</v>
      </c>
      <c r="AB447" s="1" t="n">
        <v>8</v>
      </c>
      <c r="AD447" s="4" t="str">
        <f aca="false">IF(AND(Z447&gt;0,AC447&gt;0),(AC447/((Z447+AA447)*10)),"")</f>
        <v/>
      </c>
      <c r="AE447" s="1" t="n">
        <v>80</v>
      </c>
      <c r="AF447" s="1" t="n">
        <f aca="false">ROUND(AE447*1.6, 0)</f>
        <v>128</v>
      </c>
      <c r="AI447" s="1" t="n">
        <v>19.7</v>
      </c>
      <c r="AJ447" s="1" t="n">
        <v>19.4</v>
      </c>
      <c r="AM447" s="5" t="n">
        <v>78</v>
      </c>
      <c r="AN447" s="1" t="str">
        <f aca="false">CONCATENATE(VLOOKUP(AO447, 'Voxel Sizes'!$A$2:$B$18,2,FALSE()),"x",INT(AK447*15), "x", INT(AL447*15))</f>
        <v>186x0x0</v>
      </c>
      <c r="AO447" s="1" t="n">
        <f aca="false">ROUND(15*((AJ447*10)/256),0)</f>
        <v>11</v>
      </c>
      <c r="AQ447" s="1" t="str">
        <f aca="false">CONCATENATE(VLOOKUP(AO447,Constants!$A$2:$C$16,IF(AP447&lt;&gt;"", 3, 2), FALSE()),IF(AP447&lt;&gt;"",CONCATENATE(",",VLOOKUP(AP447,$B:$AQ,39,FALSE())),""))</f>
        <v>4,3,4</v>
      </c>
      <c r="BA447" s="1" t="n">
        <v>30</v>
      </c>
      <c r="BB447" s="16" t="str">
        <f aca="false">IF(O447&lt;&gt;"",MAX(16,(O447-M447)+8),"")</f>
        <v/>
      </c>
      <c r="BE447" s="1" t="n">
        <f aca="false">MIN(AE447/150, 1)*30</f>
        <v>16</v>
      </c>
      <c r="BF447" s="1" t="n">
        <f aca="false">MIN(Q447/4000, 1)*20</f>
        <v>0</v>
      </c>
      <c r="BG447" s="1" t="n">
        <f aca="false">MIN(AC447/400,1)*20</f>
        <v>0</v>
      </c>
      <c r="BH447" s="4" t="n">
        <f aca="false">1-(MAX(M447-1900, 0)/750)</f>
        <v>0.866666666666667</v>
      </c>
      <c r="BI447" s="1" t="n">
        <f aca="false">((MAX($P447,1)*MIN($AM447/300,1)))*IF(J447="Wagon",50,10)</f>
        <v>13</v>
      </c>
      <c r="BJ447" s="1" t="n">
        <f aca="false">VLOOKUP($K447,Constants!$I:$K, 2, FALSE())</f>
        <v>1</v>
      </c>
      <c r="BK447" s="1" t="n">
        <f aca="false">VLOOKUP($K447,Constants!$I:$K, 3, FALSE())*IF(AND(J447="multiple_unit",AE447&lt;110),0.75,1)</f>
        <v>0.45</v>
      </c>
      <c r="BL447" s="1" t="n">
        <f aca="false">INT(POWER(((Constants!$G$2+$BE447+$BF447+$BG447+$BI447)*$BH447)*$BK447, 1.05))+$BD447</f>
        <v>15</v>
      </c>
      <c r="BM447" s="1" t="n">
        <f aca="false">INT(POWER((((Constants!$G$1+$BE447+$BF447+$BG447+$BI447)*($BH447))*$BJ447),IF($J447="wagon",1,1.2)))+$BC447</f>
        <v>38</v>
      </c>
      <c r="BN447" s="17" t="n">
        <f aca="false">BL447*IF($J447="wagon",62.5,781.25)</f>
        <v>937.5</v>
      </c>
      <c r="BO447" s="17" t="n">
        <f aca="false">BM447*IF($J447="wagon",2.73,81.25)</f>
        <v>103.74</v>
      </c>
      <c r="BY447" s="1" t="n">
        <v>1</v>
      </c>
      <c r="BZ447" s="1" t="n">
        <v>185</v>
      </c>
      <c r="CB447" s="1" t="s">
        <v>1710</v>
      </c>
      <c r="CC447" s="1" t="s">
        <v>1702</v>
      </c>
      <c r="CD447" s="1" t="str">
        <f aca="false">VLOOKUP(M447,Eras!$A$2:$C$10, 2, TRUE())</f>
        <v>prv</v>
      </c>
      <c r="CE447" s="1" t="s">
        <v>1703</v>
      </c>
      <c r="CF447" s="1" t="str">
        <f aca="false">CONCATENATE(CD447,"_",CE447)</f>
        <v>prv_Open Wagon</v>
      </c>
      <c r="CG447" s="1" t="str">
        <f aca="false">_xlfn.CONCAT(K447, "_",L447)</f>
        <v>wagon_RAIL</v>
      </c>
      <c r="CH447" s="7" t="str">
        <f aca="false">_xlfn.CONCAT("{BLACK}Length: {GOLD}", TEXT(ROUNDUP(IF(AT447&lt;&gt;"",SUM(VALUE(_xlfn.TEXTSPLIT(AT447, ","))), SUM(VALUE(_xlfn.TEXTSPLIT(AQ447, ",")))*IF(P447, P447, 1))/16, 1), "#,##0.0"), " tiles{}")</f>
        <v>{BLACK}Length: {GOLD}0.7 tiles{}</v>
      </c>
      <c r="CI447" s="1" t="n">
        <f aca="false">VLOOKUP($CG447, Constants!$M:$N, 2, FALSE())</f>
        <v>0</v>
      </c>
      <c r="CJ447" s="1" t="str">
        <f aca="false">IF(P447&gt;1,_xlfn.CONCAT("{BLACK}Cars: {GOLD}", P447),"")</f>
        <v/>
      </c>
      <c r="CK447" s="1" t="s">
        <v>1735</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{GOLD}0.7 tiles{}{SILVER}The HHA is a large self-discharging hopper built for Freightliner to use on coal trains.</v>
      </c>
      <c r="CO447" s="1" t="n">
        <v>1</v>
      </c>
    </row>
    <row r="448" customFormat="false" ht="14.25" hidden="false" customHeight="false" outlineLevel="0" collapsed="false">
      <c r="A448" s="1" t="s">
        <v>1736</v>
      </c>
      <c r="B448" s="15" t="s">
        <v>1737</v>
      </c>
      <c r="C448" s="1" t="n">
        <v>58</v>
      </c>
      <c r="E448" s="1" t="n">
        <v>1075</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198</v>
      </c>
      <c r="J448" s="1" t="s">
        <v>1476</v>
      </c>
      <c r="K448" s="1" t="s">
        <v>1476</v>
      </c>
      <c r="L448" s="1" t="s">
        <v>149</v>
      </c>
      <c r="M448" s="1" t="n">
        <v>1930</v>
      </c>
      <c r="O448" s="1" t="n">
        <v>1970</v>
      </c>
      <c r="Z448" s="1" t="n">
        <v>7</v>
      </c>
      <c r="AB448" s="1" t="n">
        <v>9</v>
      </c>
      <c r="AD448" s="4" t="str">
        <f aca="false">IF(AND(Z448&gt;0,AC448&gt;0),(AC448/((Z448+AA448)*10)),"")</f>
        <v/>
      </c>
      <c r="AE448" s="1" t="n">
        <v>60</v>
      </c>
      <c r="AF448" s="1" t="n">
        <f aca="false">ROUND(AE448*1.6, 0)</f>
        <v>96</v>
      </c>
      <c r="AI448" s="1" t="n">
        <v>8</v>
      </c>
      <c r="AJ448" s="1" t="n">
        <v>8</v>
      </c>
      <c r="AM448" s="5" t="n">
        <v>27</v>
      </c>
      <c r="AN448" s="1" t="str">
        <f aca="false">CONCATENATE(VLOOKUP(AO448, 'Voxel Sizes'!$A$2:$B$18,2,FALSE()),"x",INT(AK448*15), "x", INT(AL448*15))</f>
        <v>82x0x0</v>
      </c>
      <c r="AO448" s="1" t="n">
        <f aca="false">ROUND(15*((AJ448*10)/256),0)</f>
        <v>5</v>
      </c>
      <c r="AQ448" s="1" t="str">
        <f aca="false">CONCATENATE(VLOOKUP(AO448,Constants!$A$2:$C$16,IF(AP448&lt;&gt;"", 3, 2), FALSE()),IF(AP448&lt;&gt;"",CONCATENATE(",",VLOOKUP(AP448,$B:$AQ,39,FALSE())),""))</f>
        <v>2,1,2</v>
      </c>
      <c r="BA448" s="1" t="n">
        <v>30</v>
      </c>
      <c r="BB448" s="16" t="n">
        <f aca="false">IF(O448&lt;&gt;"",MAX(16,(O448-M448)+8),"")</f>
        <v>48</v>
      </c>
      <c r="BE448" s="1" t="n">
        <f aca="false">MIN(AE448/150, 1)*30</f>
        <v>12</v>
      </c>
      <c r="BF448" s="1" t="n">
        <f aca="false">MIN(Q448/4000, 1)*20</f>
        <v>0</v>
      </c>
      <c r="BG448" s="1" t="n">
        <f aca="false">MIN(AC448/400,1)*20</f>
        <v>0</v>
      </c>
      <c r="BH448" s="4" t="n">
        <f aca="false">1-(MAX(M448-1900, 0)/750)</f>
        <v>0.96</v>
      </c>
      <c r="BI448" s="1" t="n">
        <f aca="false">((MAX($P448,1)*MIN($AM448/300,1)))*IF(J448="Wagon",50,10)</f>
        <v>4.5</v>
      </c>
      <c r="BJ448" s="1" t="n">
        <f aca="false">VLOOKUP($K448,Constants!$I:$K, 2, FALSE())</f>
        <v>1</v>
      </c>
      <c r="BK448" s="1" t="n">
        <f aca="false">VLOOKUP($K448,Constants!$I:$K, 3, FALSE())*IF(AND(J448="multiple_unit",AE448&lt;110),0.75,1)</f>
        <v>0.45</v>
      </c>
      <c r="BL448" s="1" t="n">
        <f aca="false">INT(POWER(((Constants!$G$2+$BE448+$BF448+$BG448+$BI448)*$BH448)*$BK448, 1.05))+$BD448</f>
        <v>10</v>
      </c>
      <c r="BM448" s="1" t="n">
        <f aca="false">INT(POWER((((Constants!$G$1+$BE448+$BF448+$BG448+$BI448)*($BH448))*$BJ448),IF($J448="wagon",1,1.2)))+$BC448</f>
        <v>30</v>
      </c>
      <c r="BN448" s="17" t="n">
        <f aca="false">BL448*IF($J448="wagon",62.5,781.25)</f>
        <v>625</v>
      </c>
      <c r="BO448" s="17" t="n">
        <f aca="false">BM448*IF($J448="wagon",2.73,81.25)</f>
        <v>81.9</v>
      </c>
      <c r="BY448" s="1" t="n">
        <v>1</v>
      </c>
      <c r="BZ448" s="1" t="n">
        <v>185</v>
      </c>
      <c r="CB448" s="1" t="s">
        <v>1377</v>
      </c>
      <c r="CC448" s="1" t="s">
        <v>1378</v>
      </c>
      <c r="CD448" s="1" t="str">
        <f aca="false">VLOOKUP(M448,Eras!$A$2:$C$10, 2, TRUE())</f>
        <v>big4</v>
      </c>
      <c r="CE448" s="1" t="s">
        <v>1738</v>
      </c>
      <c r="CF448" s="1" t="str">
        <f aca="false">CONCATENATE(CD448,"_",CE448)</f>
        <v>big4_Extra</v>
      </c>
      <c r="CG448" s="1" t="str">
        <f aca="false">_xlfn.CONCAT(K448, "_",L448)</f>
        <v>wagon_RAIL</v>
      </c>
      <c r="CH448" s="7" t="str">
        <f aca="false">_xlfn.CONCAT("{BLACK}Length: {GOLD}", TEXT(ROUNDUP(IF(AT448&lt;&gt;"",SUM(VALUE(_xlfn.TEXTSPLIT(AT448, ","))), SUM(VALUE(_xlfn.TEXTSPLIT(AQ448, ",")))*IF(P448, P448, 1))/16, 1), "#,##0.0"), " tiles{}")</f>
        <v>{BLACK}Length: {GOLD}0.4 tiles{}</v>
      </c>
      <c r="CI448" s="1" t="n">
        <f aca="false">VLOOKUP($CG448, Constants!$M:$N, 2, FALSE())</f>
        <v>0</v>
      </c>
      <c r="CJ448" s="1" t="str">
        <f aca="false">IF(P448&gt;1,_xlfn.CONCAT("{BLACK}Cars: {GOLD}", P448),"")</f>
        <v/>
      </c>
      <c r="CK448" s="1" t="s">
        <v>1739</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{GOLD}0.4 tiles{}{SILVER}Conflats were built to carry containers, meaning goods could be loaded separately and then the whole container placed on the train in one operation.</v>
      </c>
    </row>
    <row r="449" customFormat="false" ht="14.25" hidden="false" customHeight="false" outlineLevel="0" collapsed="false">
      <c r="A449" s="1" t="s">
        <v>1740</v>
      </c>
      <c r="B449" s="15" t="s">
        <v>1741</v>
      </c>
      <c r="C449" s="1" t="n">
        <v>59</v>
      </c>
      <c r="E449" s="1" t="n">
        <v>1076</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198</v>
      </c>
      <c r="J449" s="1" t="s">
        <v>1476</v>
      </c>
      <c r="K449" s="1" t="s">
        <v>1476</v>
      </c>
      <c r="L449" s="1" t="s">
        <v>149</v>
      </c>
      <c r="M449" s="1" t="n">
        <v>1964</v>
      </c>
      <c r="O449" s="1" t="n">
        <v>1995</v>
      </c>
      <c r="Z449" s="1" t="n">
        <v>17</v>
      </c>
      <c r="AB449" s="1" t="n">
        <v>9</v>
      </c>
      <c r="AD449" s="4" t="str">
        <f aca="false">IF(AND(Z449&gt;0,AC449&gt;0),(AC449/((Z449+AA449)*10)),"")</f>
        <v/>
      </c>
      <c r="AE449" s="1" t="n">
        <v>70</v>
      </c>
      <c r="AF449" s="1" t="n">
        <f aca="false">ROUND(AE449*1.6, 0)</f>
        <v>112</v>
      </c>
      <c r="AI449" s="1" t="n">
        <v>19.3</v>
      </c>
      <c r="AJ449" s="1" t="n">
        <v>19.3</v>
      </c>
      <c r="AM449" s="5" t="n">
        <v>60</v>
      </c>
      <c r="AN449" s="1" t="str">
        <f aca="false">CONCATENATE(VLOOKUP(AO449, 'Voxel Sizes'!$A$2:$B$18,2,FALSE()),"x",INT(AK449*15), "x", INT(AL449*15))</f>
        <v>186x0x0</v>
      </c>
      <c r="AO449" s="1" t="n">
        <f aca="false">ROUND(15*((AJ449*10)/256),0)</f>
        <v>11</v>
      </c>
      <c r="AQ449" s="1" t="str">
        <f aca="false">CONCATENATE(VLOOKUP(AO449,Constants!$A$2:$C$16,IF(AP449&lt;&gt;"", 3, 2), FALSE()),IF(AP449&lt;&gt;"",CONCATENATE(",",VLOOKUP(AP449,$B:$AQ,39,FALSE())),""))</f>
        <v>4,3,4</v>
      </c>
      <c r="BA449" s="1" t="n">
        <v>30</v>
      </c>
      <c r="BB449" s="16" t="n">
        <f aca="false">IF(O449&lt;&gt;"",MAX(16,(O449-M449)+8),"")</f>
        <v>39</v>
      </c>
      <c r="BE449" s="1" t="n">
        <f aca="false">MIN(AE449/150, 1)*30</f>
        <v>14</v>
      </c>
      <c r="BF449" s="1" t="n">
        <f aca="false">MIN(Q449/4000, 1)*20</f>
        <v>0</v>
      </c>
      <c r="BG449" s="1" t="n">
        <f aca="false">MIN(AC449/400,1)*20</f>
        <v>0</v>
      </c>
      <c r="BH449" s="4" t="n">
        <f aca="false">1-(MAX(M449-1900, 0)/750)</f>
        <v>0.914666666666667</v>
      </c>
      <c r="BI449" s="1" t="n">
        <f aca="false">((MAX($P449,1)*MIN($AM449/300,1)))*IF(J449="Wagon",50,10)</f>
        <v>10</v>
      </c>
      <c r="BJ449" s="1" t="n">
        <f aca="false">VLOOKUP($K449,Constants!$I:$K, 2, FALSE())</f>
        <v>1</v>
      </c>
      <c r="BK449" s="1" t="n">
        <f aca="false">VLOOKUP($K449,Constants!$I:$K, 3, FALSE())*IF(AND(J449="multiple_unit",AE449&lt;110),0.75,1)</f>
        <v>0.45</v>
      </c>
      <c r="BL449" s="1" t="n">
        <f aca="false">INT(POWER(((Constants!$G$2+$BE449+$BF449+$BG449+$BI449)*$BH449)*$BK449, 1.05))+$BD449</f>
        <v>13</v>
      </c>
      <c r="BM449" s="1" t="n">
        <f aca="false">INT(POWER((((Constants!$G$1+$BE449+$BF449+$BG449+$BI449)*($BH449))*$BJ449),IF($J449="wagon",1,1.2)))+$BC449</f>
        <v>35</v>
      </c>
      <c r="BN449" s="17" t="n">
        <f aca="false">BL449*IF($J449="wagon",62.5,781.25)</f>
        <v>812.5</v>
      </c>
      <c r="BO449" s="17" t="n">
        <f aca="false">BM449*IF($J449="wagon",2.73,81.25)</f>
        <v>95.55</v>
      </c>
      <c r="BY449" s="1" t="n">
        <v>1</v>
      </c>
      <c r="BZ449" s="1" t="n">
        <v>185</v>
      </c>
      <c r="CB449" s="1" t="s">
        <v>1377</v>
      </c>
      <c r="CC449" s="1" t="s">
        <v>1378</v>
      </c>
      <c r="CD449" s="1" t="str">
        <f aca="false">VLOOKUP(M449,Eras!$A$2:$C$10, 2, TRUE())</f>
        <v>dsl</v>
      </c>
      <c r="CE449" s="1" t="s">
        <v>1738</v>
      </c>
      <c r="CF449" s="1" t="str">
        <f aca="false">CONCATENATE(CD449,"_",CE449)</f>
        <v>dsl_Extra</v>
      </c>
      <c r="CG449" s="1" t="str">
        <f aca="false">_xlfn.CONCAT(K449, "_",L449)</f>
        <v>wagon_RAIL</v>
      </c>
      <c r="CH449" s="7" t="str">
        <f aca="false">_xlfn.CONCAT("{BLACK}Length: {GOLD}", TEXT(ROUNDUP(IF(AT449&lt;&gt;"",SUM(VALUE(_xlfn.TEXTSPLIT(AT449, ","))), SUM(VALUE(_xlfn.TEXTSPLIT(AQ449, ",")))*IF(P449, P449, 1))/16, 1), "#,##0.0"), " tiles{}")</f>
        <v>{BLACK}Length: {GOLD}0.7 tiles{}</v>
      </c>
      <c r="CI449" s="1" t="n">
        <f aca="false">VLOOKUP($CG449, Constants!$M:$N, 2, FALSE())</f>
        <v>0</v>
      </c>
      <c r="CJ449" s="1" t="str">
        <f aca="false">IF(P449&gt;1,_xlfn.CONCAT("{BLACK}Cars: {GOLD}", P449),"")</f>
        <v/>
      </c>
      <c r="CK449" s="1" t="s">
        <v>1742</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{GOLD}0.7 tiles{}{SILVER}The FFA container wagons were a major advance over short-wheelbase conflats when built, and being easily adapted to the then-new ISO container standard only increased this advantage.</v>
      </c>
    </row>
    <row r="450" customFormat="false" ht="14.25" hidden="false" customHeight="false" outlineLevel="0" collapsed="false">
      <c r="A450" s="1" t="s">
        <v>1743</v>
      </c>
      <c r="B450" s="15" t="s">
        <v>1744</v>
      </c>
      <c r="C450" s="1" t="n">
        <v>60</v>
      </c>
      <c r="E450" s="1" t="n">
        <v>1077</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198</v>
      </c>
      <c r="J450" s="1" t="s">
        <v>1476</v>
      </c>
      <c r="K450" s="1" t="s">
        <v>1476</v>
      </c>
      <c r="L450" s="1" t="s">
        <v>149</v>
      </c>
      <c r="M450" s="1" t="n">
        <v>1991</v>
      </c>
      <c r="Z450" s="1" t="n">
        <v>17</v>
      </c>
      <c r="AB450" s="1" t="n">
        <v>9</v>
      </c>
      <c r="AD450" s="4" t="str">
        <f aca="false">IF(AND(Z450&gt;0,AC450&gt;0),(AC450/((Z450+AA450)*10)),"")</f>
        <v/>
      </c>
      <c r="AE450" s="1" t="n">
        <v>90</v>
      </c>
      <c r="AF450" s="1" t="n">
        <f aca="false">ROUND(AE450*1.6, 0)</f>
        <v>144</v>
      </c>
      <c r="AI450" s="1" t="n">
        <v>19.3</v>
      </c>
      <c r="AJ450" s="1" t="n">
        <v>19.3</v>
      </c>
      <c r="AM450" s="5" t="n">
        <v>60</v>
      </c>
      <c r="AN450" s="1" t="str">
        <f aca="false">CONCATENATE(VLOOKUP(AO450, 'Voxel Sizes'!$A$2:$B$18,2,FALSE()),"x",INT(AK450*15), "x", INT(AL450*15))</f>
        <v>186x0x0</v>
      </c>
      <c r="AO450" s="1" t="n">
        <f aca="false">ROUND(15*((AJ450*10)/256),0)</f>
        <v>11</v>
      </c>
      <c r="AQ450" s="1" t="str">
        <f aca="false">CONCATENATE(VLOOKUP(AO450,Constants!$A$2:$C$16,IF(AP450&lt;&gt;"", 3, 2), FALSE()),IF(AP450&lt;&gt;"",CONCATENATE(",",VLOOKUP(AP450,$B:$AQ,39,FALSE())),""))</f>
        <v>4,3,4</v>
      </c>
      <c r="BA450" s="1" t="n">
        <v>30</v>
      </c>
      <c r="BB450" s="16" t="str">
        <f aca="false">IF(O450&lt;&gt;"",MAX(16,(O450-M450)+8),"")</f>
        <v/>
      </c>
      <c r="BE450" s="1" t="n">
        <f aca="false">MIN(AE450/150, 1)*30</f>
        <v>18</v>
      </c>
      <c r="BF450" s="1" t="n">
        <f aca="false">MIN(Q450/4000, 1)*20</f>
        <v>0</v>
      </c>
      <c r="BG450" s="1" t="n">
        <f aca="false">MIN(AC450/400,1)*20</f>
        <v>0</v>
      </c>
      <c r="BH450" s="4" t="n">
        <f aca="false">1-(MAX(M450-1900, 0)/750)</f>
        <v>0.878666666666667</v>
      </c>
      <c r="BI450" s="1" t="n">
        <f aca="false">((MAX($P450,1)*MIN($AM450/300,1)))*IF(J450="Wagon",50,10)</f>
        <v>10</v>
      </c>
      <c r="BJ450" s="1" t="n">
        <f aca="false">VLOOKUP($K450,Constants!$I:$K, 2, FALSE())</f>
        <v>1</v>
      </c>
      <c r="BK450" s="1" t="n">
        <f aca="false">VLOOKUP($K450,Constants!$I:$K, 3, FALSE())*IF(AND(J450="multiple_unit",AE450&lt;110),0.75,1)</f>
        <v>0.45</v>
      </c>
      <c r="BL450" s="1" t="n">
        <f aca="false">INT(POWER(((Constants!$G$2+$BE450+$BF450+$BG450+$BI450)*$BH450)*$BK450, 1.05))+$BD450</f>
        <v>14</v>
      </c>
      <c r="BM450" s="1" t="n">
        <f aca="false">INT(POWER((((Constants!$G$1+$BE450+$BF450+$BG450+$BI450)*($BH450))*$BJ450),IF($J450="wagon",1,1.2)))+$BC450</f>
        <v>37</v>
      </c>
      <c r="BN450" s="17" t="n">
        <f aca="false">BL450*IF($J450="wagon",62.5,781.25)</f>
        <v>875</v>
      </c>
      <c r="BO450" s="17" t="n">
        <f aca="false">BM450*IF($J450="wagon",2.73,81.25)</f>
        <v>101.01</v>
      </c>
      <c r="BY450" s="1" t="n">
        <v>1</v>
      </c>
      <c r="BZ450" s="1" t="n">
        <v>185</v>
      </c>
      <c r="CB450" s="1" t="s">
        <v>1377</v>
      </c>
      <c r="CC450" s="1" t="s">
        <v>1378</v>
      </c>
      <c r="CD450" s="1" t="str">
        <f aca="false">VLOOKUP(M450,Eras!$A$2:$C$10, 2, TRUE())</f>
        <v>lbr</v>
      </c>
      <c r="CE450" s="1" t="s">
        <v>1738</v>
      </c>
      <c r="CF450" s="1" t="str">
        <f aca="false">CONCATENATE(CD450,"_",CE450)</f>
        <v>lbr_Extra</v>
      </c>
      <c r="CG450" s="1" t="str">
        <f aca="false">_xlfn.CONCAT(K450, "_",L450)</f>
        <v>wagon_RAIL</v>
      </c>
      <c r="CH450" s="7" t="str">
        <f aca="false">_xlfn.CONCAT("{BLACK}Length: {GOLD}", TEXT(ROUNDUP(IF(AT450&lt;&gt;"",SUM(VALUE(_xlfn.TEXTSPLIT(AT450, ","))), SUM(VALUE(_xlfn.TEXTSPLIT(AQ450, ",")))*IF(P450, P450, 1))/16, 1), "#,##0.0"), " tiles{}")</f>
        <v>{BLACK}Length: {GOLD}0.7 tiles{}</v>
      </c>
      <c r="CI450" s="1" t="n">
        <f aca="false">VLOOKUP($CG450, Constants!$M:$N, 2, FALSE())</f>
        <v>0</v>
      </c>
      <c r="CJ450" s="1" t="str">
        <f aca="false">IF(P450&gt;1,_xlfn.CONCAT("{BLACK}Cars: {GOLD}", P450),"")</f>
        <v/>
      </c>
      <c r="CK450" s="1" t="s">
        <v>1745</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{GOLD}0.7 tiles{}{SILVER}Freightliner had considered replacing the FFA wagons with a shorter 40ft container flat, but the poor running quality of fixed axle wagons resulted in the choice of another standard bogie flat.</v>
      </c>
    </row>
    <row r="451" customFormat="false" ht="14.25" hidden="false" customHeight="false" outlineLevel="0" collapsed="false">
      <c r="A451" s="1" t="s">
        <v>1746</v>
      </c>
      <c r="B451" s="15" t="s">
        <v>1747</v>
      </c>
      <c r="C451" s="1" t="n">
        <v>61</v>
      </c>
      <c r="E451" s="1" t="n">
        <v>1078</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198</v>
      </c>
      <c r="J451" s="1" t="s">
        <v>1476</v>
      </c>
      <c r="K451" s="1" t="s">
        <v>1476</v>
      </c>
      <c r="L451" s="1" t="s">
        <v>149</v>
      </c>
      <c r="M451" s="1" t="n">
        <v>1997</v>
      </c>
      <c r="Z451" s="1" t="n">
        <v>23</v>
      </c>
      <c r="AB451" s="1" t="n">
        <v>9</v>
      </c>
      <c r="AD451" s="4" t="str">
        <f aca="false">IF(AND(Z451&gt;0,AC451&gt;0),(AC451/((Z451+AA451)*10)),"")</f>
        <v/>
      </c>
      <c r="AE451" s="1" t="n">
        <v>90</v>
      </c>
      <c r="AF451" s="1" t="n">
        <f aca="false">ROUND(AE451*1.6, 0)</f>
        <v>144</v>
      </c>
      <c r="AI451" s="1" t="n">
        <v>19.3</v>
      </c>
      <c r="AJ451" s="1" t="n">
        <v>19.3</v>
      </c>
      <c r="AM451" s="5" t="n">
        <v>51</v>
      </c>
      <c r="AN451" s="1" t="str">
        <f aca="false">CONCATENATE(VLOOKUP(AO451, 'Voxel Sizes'!$A$2:$B$18,2,FALSE()),"x",INT(AK451*15), "x", INT(AL451*15))</f>
        <v>186x0x0</v>
      </c>
      <c r="AO451" s="1" t="n">
        <f aca="false">ROUND(15*((AJ451*10)/256),0)</f>
        <v>11</v>
      </c>
      <c r="AQ451" s="1" t="str">
        <f aca="false">CONCATENATE(VLOOKUP(AO451,Constants!$A$2:$C$16,IF(AP451&lt;&gt;"", 3, 2), FALSE()),IF(AP451&lt;&gt;"",CONCATENATE(",",VLOOKUP(AP451,$B:$AQ,39,FALSE())),""))</f>
        <v>4,3,4</v>
      </c>
      <c r="BA451" s="1" t="n">
        <v>30</v>
      </c>
      <c r="BB451" s="16" t="str">
        <f aca="false">IF(O451&lt;&gt;"",MAX(16,(O451-M451)+8),"")</f>
        <v/>
      </c>
      <c r="BE451" s="1" t="n">
        <f aca="false">MIN(AE451/150, 1)*30</f>
        <v>18</v>
      </c>
      <c r="BF451" s="1" t="n">
        <f aca="false">MIN(Q451/4000, 1)*20</f>
        <v>0</v>
      </c>
      <c r="BG451" s="1" t="n">
        <f aca="false">MIN(AC451/400,1)*20</f>
        <v>0</v>
      </c>
      <c r="BH451" s="4" t="n">
        <f aca="false">1-(MAX(M451-1900, 0)/750)</f>
        <v>0.870666666666667</v>
      </c>
      <c r="BI451" s="1" t="n">
        <f aca="false">((MAX($P451,1)*MIN($AM451/300,1)))*IF(J451="Wagon",50,10)</f>
        <v>8.5</v>
      </c>
      <c r="BJ451" s="1" t="n">
        <f aca="false">VLOOKUP($K451,Constants!$I:$K, 2, FALSE())</f>
        <v>1</v>
      </c>
      <c r="BK451" s="1" t="n">
        <f aca="false">VLOOKUP($K451,Constants!$I:$K, 3, FALSE())*IF(AND(J451="multiple_unit",AE451&lt;110),0.75,1)</f>
        <v>0.45</v>
      </c>
      <c r="BL451" s="1" t="n">
        <f aca="false">INT(POWER(((Constants!$G$2+$BE451+$BF451+$BG451+$BI451)*$BH451)*$BK451, 1.05))+$BD451</f>
        <v>13</v>
      </c>
      <c r="BM451" s="1" t="n">
        <f aca="false">INT(POWER((((Constants!$G$1+$BE451+$BF451+$BG451+$BI451)*($BH451))*$BJ451),IF($J451="wagon",1,1.2)))+$BC451</f>
        <v>36</v>
      </c>
      <c r="BN451" s="17" t="n">
        <f aca="false">BL451*IF($J451="wagon",62.5,781.25)</f>
        <v>812.5</v>
      </c>
      <c r="BO451" s="17" t="n">
        <f aca="false">BM451*IF($J451="wagon",2.73,81.25)</f>
        <v>98.28</v>
      </c>
      <c r="BY451" s="1" t="n">
        <v>1</v>
      </c>
      <c r="BZ451" s="1" t="n">
        <v>185</v>
      </c>
      <c r="CB451" s="1" t="s">
        <v>1377</v>
      </c>
      <c r="CC451" s="1" t="s">
        <v>1378</v>
      </c>
      <c r="CD451" s="1" t="str">
        <f aca="false">VLOOKUP(M451,Eras!$A$2:$C$10, 2, TRUE())</f>
        <v>prv</v>
      </c>
      <c r="CE451" s="1" t="s">
        <v>1738</v>
      </c>
      <c r="CF451" s="1" t="str">
        <f aca="false">CONCATENATE(CD451,"_",CE451)</f>
        <v>prv_Extra</v>
      </c>
      <c r="CG451" s="1" t="str">
        <f aca="false">_xlfn.CONCAT(K451, "_",L451)</f>
        <v>wagon_RAIL</v>
      </c>
      <c r="CH451" s="7" t="str">
        <f aca="false">_xlfn.CONCAT("{BLACK}Length: {GOLD}", TEXT(ROUNDUP(IF(AT451&lt;&gt;"",SUM(VALUE(_xlfn.TEXTSPLIT(AT451, ","))), SUM(VALUE(_xlfn.TEXTSPLIT(AQ451, ",")))*IF(P451, P451, 1))/16, 1), "#,##0.0"), " tiles{}")</f>
        <v>{BLACK}Length: {GOLD}0.7 tiles{}</v>
      </c>
      <c r="CI451" s="1" t="n">
        <f aca="false">VLOOKUP($CG451, Constants!$M:$N, 2, FALSE())</f>
        <v>0</v>
      </c>
      <c r="CJ451" s="1" t="str">
        <f aca="false">IF(P451&gt;1,_xlfn.CONCAT("{BLACK}Cars: {GOLD}", P451),"")</f>
        <v/>
      </c>
      <c r="CK451" s="1" t="s">
        <v>1748</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{GOLD}0.7 tiles{}{SILVER}KTA wagons solve the problem of carrying high-cube containers in the small British loading gauge, using a "pocket" between the axles that can take either a single 40ft container or two 20ft ones.</v>
      </c>
    </row>
    <row r="452" customFormat="false" ht="14.25" hidden="false" customHeight="false" outlineLevel="0" collapsed="false">
      <c r="A452" s="1" t="s">
        <v>1749</v>
      </c>
      <c r="B452" s="15" t="s">
        <v>1750</v>
      </c>
      <c r="C452" s="1" t="n">
        <v>62</v>
      </c>
      <c r="E452" s="1" t="n">
        <v>1079</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198</v>
      </c>
      <c r="J452" s="1" t="s">
        <v>1476</v>
      </c>
      <c r="K452" s="1" t="s">
        <v>1476</v>
      </c>
      <c r="L452" s="1" t="s">
        <v>200</v>
      </c>
      <c r="M452" s="1" t="n">
        <v>1700</v>
      </c>
      <c r="O452" s="1" t="n">
        <v>1875</v>
      </c>
      <c r="Z452" s="1" t="n">
        <v>2</v>
      </c>
      <c r="AB452" s="1" t="n">
        <v>3</v>
      </c>
      <c r="AD452" s="4" t="str">
        <f aca="false">IF(AND(Z452&gt;0,AC452&gt;0),(AC452/((Z452+AA452)*10)),"")</f>
        <v/>
      </c>
      <c r="AE452" s="1" t="n">
        <v>30</v>
      </c>
      <c r="AF452" s="1" t="n">
        <f aca="false">ROUND(AE452*1.6, 0)</f>
        <v>48</v>
      </c>
      <c r="AI452" s="1" t="n">
        <v>6</v>
      </c>
      <c r="AJ452" s="1" t="n">
        <v>6</v>
      </c>
      <c r="AM452" s="5" t="n">
        <v>18</v>
      </c>
      <c r="AN452" s="1" t="str">
        <f aca="false">CONCATENATE(VLOOKUP(AO452, 'Voxel Sizes'!$A$2:$B$18,2,FALSE()),"x",INT(AK452*15), "x", INT(AL452*15))</f>
        <v>60x0x0</v>
      </c>
      <c r="AO452" s="1" t="n">
        <f aca="false">ROUND(15*((AJ452*10)/256),0)</f>
        <v>4</v>
      </c>
      <c r="AQ452" s="1" t="str">
        <f aca="false">CONCATENATE(VLOOKUP(AO452,Constants!$A$2:$C$16,IF(AP452&lt;&gt;"", 3, 2), FALSE()),IF(AP452&lt;&gt;"",CONCATENATE(",",VLOOKUP(AP452,$B:$AQ,39,FALSE())),""))</f>
        <v>1,2,1</v>
      </c>
      <c r="BA452" s="1" t="n">
        <v>30</v>
      </c>
      <c r="BB452" s="16" t="n">
        <f aca="false">IF(O452&lt;&gt;"",MAX(16,(O452-M452)+8),"")</f>
        <v>183</v>
      </c>
      <c r="BC452" s="1" t="n">
        <v>-15</v>
      </c>
      <c r="BD452" s="1" t="n">
        <v>-2</v>
      </c>
      <c r="BE452" s="1" t="n">
        <f aca="false">MIN(AE452/150, 1)*30</f>
        <v>6</v>
      </c>
      <c r="BF452" s="1" t="n">
        <f aca="false">MIN(Q452/4000, 1)*20</f>
        <v>0</v>
      </c>
      <c r="BG452" s="1" t="n">
        <f aca="false">MIN(AC452/400,1)*20</f>
        <v>0</v>
      </c>
      <c r="BH452" s="4" t="n">
        <f aca="false">1-(MAX(M452-1900, 0)/750)</f>
        <v>1</v>
      </c>
      <c r="BI452" s="1" t="n">
        <f aca="false">((MAX($P452,1)*MIN($AM452/300,1)))*IF(J452="Wagon",50,10)</f>
        <v>3</v>
      </c>
      <c r="BJ452" s="1" t="n">
        <f aca="false">VLOOKUP($K452,Constants!$I:$K, 2, FALSE())</f>
        <v>1</v>
      </c>
      <c r="BK452" s="1" t="n">
        <f aca="false">VLOOKUP($K452,Constants!$I:$K, 3, FALSE())*IF(AND(J452="multiple_unit",AE452&lt;110),0.75,1)</f>
        <v>0.45</v>
      </c>
      <c r="BL452" s="1" t="n">
        <f aca="false">INT(POWER(((Constants!$G$2+$BE452+$BF452+$BG452+$BI452)*$BH452)*$BK452, 1.05))+$BD452</f>
        <v>4</v>
      </c>
      <c r="BM452" s="1" t="n">
        <f aca="false">INT(POWER((((Constants!$G$1+$BE452+$BF452+$BG452+$BI452)*($BH452))*$BJ452),IF($J452="wagon",1,1.2)))+$BC452</f>
        <v>9</v>
      </c>
      <c r="BN452" s="17" t="n">
        <f aca="false">BL452*IF($J452="wagon",62.5,781.25)</f>
        <v>250</v>
      </c>
      <c r="BO452" s="17" t="n">
        <f aca="false">BM452*IF($J452="wagon",2.73,81.25)</f>
        <v>24.57</v>
      </c>
      <c r="BY452" s="1" t="n">
        <v>1</v>
      </c>
      <c r="BZ452" s="1" t="n">
        <v>185</v>
      </c>
      <c r="CB452" s="1" t="s">
        <v>1751</v>
      </c>
      <c r="CC452" s="1" t="s">
        <v>1752</v>
      </c>
      <c r="CD452" s="1" t="str">
        <f aca="false">VLOOKUP(M452,Eras!$A$2:$C$10, 2, TRUE())</f>
        <v>early</v>
      </c>
      <c r="CE452" s="1" t="s">
        <v>1753</v>
      </c>
      <c r="CF452" s="1" t="str">
        <f aca="false">CONCATENATE(CD452,"_",CE452)</f>
        <v>early_Flat Wagon</v>
      </c>
      <c r="CG452" s="1" t="str">
        <f aca="false">_xlfn.CONCAT(K452, "_",L452)</f>
        <v>wagon_PLATEWAY</v>
      </c>
      <c r="CH452" s="7" t="str">
        <f aca="false">_xlfn.CONCAT("{BLACK}Length: {GOLD}", TEXT(ROUNDUP(IF(AT452&lt;&gt;"",SUM(VALUE(_xlfn.TEXTSPLIT(AT452, ","))), SUM(VALUE(_xlfn.TEXTSPLIT(AQ452, ",")))*IF(P452, P452, 1))/16, 1), "#,##0.0"), " tiles{}")</f>
        <v>{BLACK}Length: {GOLD}0.3 tiles{}</v>
      </c>
      <c r="CI452" s="1" t="n">
        <f aca="false">VLOOKUP($CG452, Constants!$M:$N, 2, FALSE())</f>
        <v>0</v>
      </c>
      <c r="CJ452" s="1" t="str">
        <f aca="false">IF(P452&gt;1,_xlfn.CONCAT("{BLACK}Cars: {GOLD}", P452),"")</f>
        <v/>
      </c>
      <c r="CK452" s="1" t="s">
        <v>1754</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{GOLD}0.3 tiles{}{SILVER}Early flat wagons had simple wooden construction, and sometimes featured stakes for securing loads.</v>
      </c>
    </row>
    <row r="453" customFormat="false" ht="14.25" hidden="false" customHeight="false" outlineLevel="0" collapsed="false">
      <c r="A453" s="1" t="s">
        <v>1755</v>
      </c>
      <c r="B453" s="15" t="s">
        <v>1756</v>
      </c>
      <c r="C453" s="1" t="n">
        <v>63</v>
      </c>
      <c r="E453" s="1" t="n">
        <v>1080</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198</v>
      </c>
      <c r="J453" s="1" t="s">
        <v>1476</v>
      </c>
      <c r="K453" s="1" t="s">
        <v>1476</v>
      </c>
      <c r="L453" s="1" t="s">
        <v>149</v>
      </c>
      <c r="M453" s="1" t="n">
        <v>1850</v>
      </c>
      <c r="O453" s="1" t="n">
        <v>1924</v>
      </c>
      <c r="Z453" s="1" t="n">
        <v>5</v>
      </c>
      <c r="AB453" s="1" t="n">
        <v>3</v>
      </c>
      <c r="AD453" s="4" t="str">
        <f aca="false">IF(AND(Z453&gt;0,AC453&gt;0),(AC453/((Z453+AA453)*10)),"")</f>
        <v/>
      </c>
      <c r="AE453" s="1" t="n">
        <v>35</v>
      </c>
      <c r="AF453" s="1" t="n">
        <f aca="false">ROUND(AE453*1.6, 0)</f>
        <v>56</v>
      </c>
      <c r="AI453" s="1" t="n">
        <v>6</v>
      </c>
      <c r="AJ453" s="1" t="n">
        <v>6</v>
      </c>
      <c r="AM453" s="5" t="n">
        <v>24</v>
      </c>
      <c r="AN453" s="1" t="str">
        <f aca="false">CONCATENATE(VLOOKUP(AO453, 'Voxel Sizes'!$A$2:$B$18,2,FALSE()),"x",INT(AK453*15), "x", INT(AL453*15))</f>
        <v>60x0x0</v>
      </c>
      <c r="AO453" s="1" t="n">
        <f aca="false">ROUND(15*((AJ453*10)/256),0)</f>
        <v>4</v>
      </c>
      <c r="AQ453" s="1" t="str">
        <f aca="false">CONCATENATE(VLOOKUP(AO453,Constants!$A$2:$C$16,IF(AP453&lt;&gt;"", 3, 2), FALSE()),IF(AP453&lt;&gt;"",CONCATENATE(",",VLOOKUP(AP453,$B:$AQ,39,FALSE())),""))</f>
        <v>1,2,1</v>
      </c>
      <c r="BA453" s="1" t="n">
        <v>30</v>
      </c>
      <c r="BB453" s="16" t="n">
        <f aca="false">IF(O453&lt;&gt;"",MAX(16,(O453-M453)+8),"")</f>
        <v>82</v>
      </c>
      <c r="BE453" s="1" t="n">
        <f aca="false">MIN(AE453/150, 1)*30</f>
        <v>7</v>
      </c>
      <c r="BF453" s="1" t="n">
        <f aca="false">MIN(Q453/4000, 1)*20</f>
        <v>0</v>
      </c>
      <c r="BG453" s="1" t="n">
        <f aca="false">MIN(AC453/400,1)*20</f>
        <v>0</v>
      </c>
      <c r="BH453" s="4" t="n">
        <f aca="false">1-(MAX(M453-1900, 0)/750)</f>
        <v>1</v>
      </c>
      <c r="BI453" s="1" t="n">
        <f aca="false">((MAX($P453,1)*MIN($AM453/300,1)))*IF(J453="Wagon",50,10)</f>
        <v>4</v>
      </c>
      <c r="BJ453" s="1" t="n">
        <f aca="false">VLOOKUP($K453,Constants!$I:$K, 2, FALSE())</f>
        <v>1</v>
      </c>
      <c r="BK453" s="1" t="n">
        <f aca="false">VLOOKUP($K453,Constants!$I:$K, 3, FALSE())*IF(AND(J453="multiple_unit",AE453&lt;110),0.75,1)</f>
        <v>0.45</v>
      </c>
      <c r="BL453" s="1" t="n">
        <f aca="false">INT(POWER(((Constants!$G$2+$BE453+$BF453+$BG453+$BI453)*$BH453)*$BK453, 1.05))+$BD453</f>
        <v>7</v>
      </c>
      <c r="BM453" s="1" t="n">
        <f aca="false">INT(POWER((((Constants!$G$1+$BE453+$BF453+$BG453+$BI453)*($BH453))*$BJ453),IF($J453="wagon",1,1.2)))+$BC453</f>
        <v>26</v>
      </c>
      <c r="BN453" s="17" t="n">
        <f aca="false">BL453*IF($J453="wagon",62.5,781.25)</f>
        <v>437.5</v>
      </c>
      <c r="BO453" s="17" t="n">
        <f aca="false">BM453*IF($J453="wagon",2.73,81.25)</f>
        <v>70.98</v>
      </c>
      <c r="BY453" s="1" t="n">
        <v>1</v>
      </c>
      <c r="BZ453" s="1" t="n">
        <v>185</v>
      </c>
      <c r="CB453" s="1" t="s">
        <v>1751</v>
      </c>
      <c r="CC453" s="1" t="s">
        <v>1752</v>
      </c>
      <c r="CD453" s="1" t="str">
        <f aca="false">VLOOKUP(M453,Eras!$A$2:$C$10, 2, TRUE())</f>
        <v>vct</v>
      </c>
      <c r="CE453" s="1" t="s">
        <v>1753</v>
      </c>
      <c r="CF453" s="1" t="str">
        <f aca="false">CONCATENATE(CD453,"_",CE453)</f>
        <v>vct_Flat Wagon</v>
      </c>
      <c r="CG453" s="1" t="str">
        <f aca="false">_xlfn.CONCAT(K453, "_",L453)</f>
        <v>wagon_RAIL</v>
      </c>
      <c r="CH453" s="7" t="str">
        <f aca="false">_xlfn.CONCAT("{BLACK}Length: {GOLD}", TEXT(ROUNDUP(IF(AT453&lt;&gt;"",SUM(VALUE(_xlfn.TEXTSPLIT(AT453, ","))), SUM(VALUE(_xlfn.TEXTSPLIT(AQ453, ",")))*IF(P453, P453, 1))/16, 1), "#,##0.0"), " tiles{}")</f>
        <v>{BLACK}Length: {GOLD}0.3 tiles{}</v>
      </c>
      <c r="CI453" s="1" t="n">
        <f aca="false">VLOOKUP($CG453, Constants!$M:$N, 2, FALSE())</f>
        <v>0</v>
      </c>
      <c r="CJ453" s="1" t="str">
        <f aca="false">IF(P453&gt;1,_xlfn.CONCAT("{BLACK}Cars: {GOLD}", P453),"")</f>
        <v/>
      </c>
      <c r="CK453" s="1" t="s">
        <v>1757</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{GOLD}0.3 tiles{}{SILVER}Flat wagons carried goods such as metal pipes and wood, where a flat surface with bolsters for tying loads down was most convenient.</v>
      </c>
    </row>
    <row r="454" customFormat="false" ht="14.25" hidden="false" customHeight="false" outlineLevel="0" collapsed="false">
      <c r="A454" s="1" t="s">
        <v>1758</v>
      </c>
      <c r="B454" s="15" t="s">
        <v>1759</v>
      </c>
      <c r="C454" s="1" t="n">
        <v>64</v>
      </c>
      <c r="E454" s="1" t="n">
        <v>1081</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198</v>
      </c>
      <c r="J454" s="1" t="s">
        <v>1476</v>
      </c>
      <c r="K454" s="1" t="s">
        <v>1476</v>
      </c>
      <c r="L454" s="1" t="s">
        <v>149</v>
      </c>
      <c r="M454" s="1" t="n">
        <v>1906</v>
      </c>
      <c r="O454" s="1" t="n">
        <v>1960</v>
      </c>
      <c r="Z454" s="1" t="n">
        <v>7</v>
      </c>
      <c r="AB454" s="1" t="n">
        <v>3</v>
      </c>
      <c r="AD454" s="4" t="str">
        <f aca="false">IF(AND(Z454&gt;0,AC454&gt;0),(AC454/((Z454+AA454)*10)),"")</f>
        <v/>
      </c>
      <c r="AE454" s="1" t="n">
        <v>45</v>
      </c>
      <c r="AF454" s="1" t="n">
        <f aca="false">ROUND(AE454*1.6, 0)</f>
        <v>72</v>
      </c>
      <c r="AI454" s="1" t="n">
        <v>8</v>
      </c>
      <c r="AJ454" s="1" t="n">
        <v>8</v>
      </c>
      <c r="AM454" s="5" t="n">
        <v>24</v>
      </c>
      <c r="AN454" s="1" t="str">
        <f aca="false">CONCATENATE(VLOOKUP(AO454, 'Voxel Sizes'!$A$2:$B$18,2,FALSE()),"x",INT(AK454*15), "x", INT(AL454*15))</f>
        <v>82x0x0</v>
      </c>
      <c r="AO454" s="1" t="n">
        <f aca="false">ROUND(15*((AJ454*10)/256),0)</f>
        <v>5</v>
      </c>
      <c r="AQ454" s="1" t="str">
        <f aca="false">CONCATENATE(VLOOKUP(AO454,Constants!$A$2:$C$16,IF(AP454&lt;&gt;"", 3, 2), FALSE()),IF(AP454&lt;&gt;"",CONCATENATE(",",VLOOKUP(AP454,$B:$AQ,39,FALSE())),""))</f>
        <v>2,1,2</v>
      </c>
      <c r="BA454" s="1" t="n">
        <v>30</v>
      </c>
      <c r="BB454" s="16" t="n">
        <f aca="false">IF(O454&lt;&gt;"",MAX(16,(O454-M454)+8),"")</f>
        <v>62</v>
      </c>
      <c r="BE454" s="1" t="n">
        <f aca="false">MIN(AE454/150, 1)*30</f>
        <v>9</v>
      </c>
      <c r="BF454" s="1" t="n">
        <f aca="false">MIN(Q454/4000, 1)*20</f>
        <v>0</v>
      </c>
      <c r="BG454" s="1" t="n">
        <f aca="false">MIN(AC454/400,1)*20</f>
        <v>0</v>
      </c>
      <c r="BH454" s="4" t="n">
        <f aca="false">1-(MAX(M454-1900, 0)/750)</f>
        <v>0.992</v>
      </c>
      <c r="BI454" s="1" t="n">
        <f aca="false">((MAX($P454,1)*MIN($AM454/300,1)))*IF(J454="Wagon",50,10)</f>
        <v>4</v>
      </c>
      <c r="BJ454" s="1" t="n">
        <f aca="false">VLOOKUP($K454,Constants!$I:$K, 2, FALSE())</f>
        <v>1</v>
      </c>
      <c r="BK454" s="1" t="n">
        <f aca="false">VLOOKUP($K454,Constants!$I:$K, 3, FALSE())*IF(AND(J454="multiple_unit",AE454&lt;110),0.75,1)</f>
        <v>0.45</v>
      </c>
      <c r="BL454" s="1" t="n">
        <f aca="false">INT(POWER(((Constants!$G$2+$BE454+$BF454+$BG454+$BI454)*$BH454)*$BK454, 1.05))+$BD454</f>
        <v>8</v>
      </c>
      <c r="BM454" s="1" t="n">
        <f aca="false">INT(POWER((((Constants!$G$1+$BE454+$BF454+$BG454+$BI454)*($BH454))*$BJ454),IF($J454="wagon",1,1.2)))+$BC454</f>
        <v>27</v>
      </c>
      <c r="BN454" s="17" t="n">
        <f aca="false">BL454*IF($J454="wagon",62.5,781.25)</f>
        <v>500</v>
      </c>
      <c r="BO454" s="17" t="n">
        <f aca="false">BM454*IF($J454="wagon",2.73,81.25)</f>
        <v>73.71</v>
      </c>
      <c r="BY454" s="1" t="n">
        <v>1</v>
      </c>
      <c r="BZ454" s="1" t="n">
        <v>185</v>
      </c>
      <c r="CB454" s="1" t="s">
        <v>1751</v>
      </c>
      <c r="CC454" s="1" t="s">
        <v>1752</v>
      </c>
      <c r="CD454" s="1" t="str">
        <f aca="false">VLOOKUP(M454,Eras!$A$2:$C$10, 2, TRUE())</f>
        <v>edw</v>
      </c>
      <c r="CE454" s="1" t="s">
        <v>1753</v>
      </c>
      <c r="CF454" s="1" t="str">
        <f aca="false">CONCATENATE(CD454,"_",CE454)</f>
        <v>edw_Flat Wagon</v>
      </c>
      <c r="CG454" s="1" t="str">
        <f aca="false">_xlfn.CONCAT(K454, "_",L454)</f>
        <v>wagon_RAIL</v>
      </c>
      <c r="CH454" s="7" t="str">
        <f aca="false">_xlfn.CONCAT("{BLACK}Length: {GOLD}", TEXT(ROUNDUP(IF(AT454&lt;&gt;"",SUM(VALUE(_xlfn.TEXTSPLIT(AT454, ","))), SUM(VALUE(_xlfn.TEXTSPLIT(AQ454, ",")))*IF(P454, P454, 1))/16, 1), "#,##0.0"), " tiles{}")</f>
        <v>{BLACK}Length: {GOLD}0.4 tiles{}</v>
      </c>
      <c r="CI454" s="1" t="n">
        <f aca="false">VLOOKUP($CG454, Constants!$M:$N, 2, FALSE())</f>
        <v>0</v>
      </c>
      <c r="CJ454" s="1" t="str">
        <f aca="false">IF(P454&gt;1,_xlfn.CONCAT("{BLACK}Cars: {GOLD}", P454),"")</f>
        <v/>
      </c>
      <c r="CK454" s="1" t="s">
        <v>1760</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{GOLD}0.4 tiles{}{SILVER}"Beaver" was the GWR telegraph code for a flat wagon, with an additional letter used to identify the length.</v>
      </c>
    </row>
    <row r="455" customFormat="false" ht="14.25" hidden="false" customHeight="false" outlineLevel="0" collapsed="false">
      <c r="A455" s="1" t="s">
        <v>1761</v>
      </c>
      <c r="B455" s="15" t="s">
        <v>1762</v>
      </c>
      <c r="C455" s="1" t="n">
        <v>65</v>
      </c>
      <c r="E455" s="1" t="n">
        <v>1082</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198</v>
      </c>
      <c r="J455" s="1" t="s">
        <v>1476</v>
      </c>
      <c r="K455" s="1" t="s">
        <v>1476</v>
      </c>
      <c r="L455" s="1" t="s">
        <v>149</v>
      </c>
      <c r="M455" s="1" t="n">
        <v>1916</v>
      </c>
      <c r="O455" s="1" t="n">
        <v>1965</v>
      </c>
      <c r="Z455" s="1" t="n">
        <v>14</v>
      </c>
      <c r="AB455" s="1" t="n">
        <v>4</v>
      </c>
      <c r="AD455" s="4" t="str">
        <f aca="false">IF(AND(Z455&gt;0,AC455&gt;0),(AC455/((Z455+AA455)*10)),"")</f>
        <v/>
      </c>
      <c r="AE455" s="1" t="n">
        <v>45</v>
      </c>
      <c r="AF455" s="1" t="n">
        <f aca="false">ROUND(AE455*1.6, 0)</f>
        <v>72</v>
      </c>
      <c r="AI455" s="1" t="n">
        <v>15.2</v>
      </c>
      <c r="AJ455" s="1" t="n">
        <v>15.2</v>
      </c>
      <c r="AM455" s="5" t="n">
        <v>42</v>
      </c>
      <c r="AN455" s="1" t="str">
        <f aca="false">CONCATENATE(VLOOKUP(AO455, 'Voxel Sizes'!$A$2:$B$18,2,FALSE()),"x",INT(AK455*15), "x", INT(AL455*15))</f>
        <v>152x0x0</v>
      </c>
      <c r="AO455" s="1" t="n">
        <f aca="false">ROUND(15*((AJ455*10)/256),0)</f>
        <v>9</v>
      </c>
      <c r="AQ455" s="1" t="str">
        <f aca="false">CONCATENATE(VLOOKUP(AO455,Constants!$A$2:$C$16,IF(AP455&lt;&gt;"", 3, 2), FALSE()),IF(AP455&lt;&gt;"",CONCATENATE(",",VLOOKUP(AP455,$B:$AQ,39,FALSE())),""))</f>
        <v>2,5,2</v>
      </c>
      <c r="BA455" s="1" t="n">
        <v>30</v>
      </c>
      <c r="BB455" s="16" t="n">
        <f aca="false">IF(O455&lt;&gt;"",MAX(16,(O455-M455)+8),"")</f>
        <v>57</v>
      </c>
      <c r="BE455" s="1" t="n">
        <f aca="false">MIN(AE455/150, 1)*30</f>
        <v>9</v>
      </c>
      <c r="BF455" s="1" t="n">
        <f aca="false">MIN(Q455/4000, 1)*20</f>
        <v>0</v>
      </c>
      <c r="BG455" s="1" t="n">
        <f aca="false">MIN(AC455/400,1)*20</f>
        <v>0</v>
      </c>
      <c r="BH455" s="4" t="n">
        <f aca="false">1-(MAX(M455-1900, 0)/750)</f>
        <v>0.978666666666667</v>
      </c>
      <c r="BI455" s="1" t="n">
        <f aca="false">((MAX($P455,1)*MIN($AM455/300,1)))*IF(J455="Wagon",50,10)</f>
        <v>7</v>
      </c>
      <c r="BJ455" s="1" t="n">
        <f aca="false">VLOOKUP($K455,Constants!$I:$K, 2, FALSE())</f>
        <v>1</v>
      </c>
      <c r="BK455" s="1" t="n">
        <f aca="false">VLOOKUP($K455,Constants!$I:$K, 3, FALSE())*IF(AND(J455="multiple_unit",AE455&lt;110),0.75,1)</f>
        <v>0.45</v>
      </c>
      <c r="BL455" s="1" t="n">
        <f aca="false">INT(POWER(((Constants!$G$2+$BE455+$BF455+$BG455+$BI455)*$BH455)*$BK455, 1.05))+$BD455</f>
        <v>10</v>
      </c>
      <c r="BM455" s="1" t="n">
        <f aca="false">INT(POWER((((Constants!$G$1+$BE455+$BF455+$BG455+$BI455)*($BH455))*$BJ455),IF($J455="wagon",1,1.2)))+$BC455</f>
        <v>30</v>
      </c>
      <c r="BN455" s="17" t="n">
        <f aca="false">BL455*IF($J455="wagon",62.5,781.25)</f>
        <v>625</v>
      </c>
      <c r="BO455" s="17" t="n">
        <f aca="false">BM455*IF($J455="wagon",2.73,81.25)</f>
        <v>81.9</v>
      </c>
      <c r="BY455" s="1" t="n">
        <v>1</v>
      </c>
      <c r="BZ455" s="1" t="n">
        <v>185</v>
      </c>
      <c r="CB455" s="1" t="s">
        <v>1751</v>
      </c>
      <c r="CC455" s="1" t="s">
        <v>1752</v>
      </c>
      <c r="CD455" s="1" t="str">
        <f aca="false">VLOOKUP(M455,Eras!$A$2:$C$10, 2, TRUE())</f>
        <v>edw</v>
      </c>
      <c r="CE455" s="1" t="s">
        <v>1753</v>
      </c>
      <c r="CF455" s="1" t="str">
        <f aca="false">CONCATENATE(CD455,"_",CE455)</f>
        <v>edw_Flat Wagon</v>
      </c>
      <c r="CG455" s="1" t="str">
        <f aca="false">_xlfn.CONCAT(K455, "_",L455)</f>
        <v>wagon_RAIL</v>
      </c>
      <c r="CH455" s="7" t="str">
        <f aca="false">_xlfn.CONCAT("{BLACK}Length: {GOLD}", TEXT(ROUNDUP(IF(AT455&lt;&gt;"",SUM(VALUE(_xlfn.TEXTSPLIT(AT455, ","))), SUM(VALUE(_xlfn.TEXTSPLIT(AQ455, ",")))*IF(P455, P455, 1))/16, 1), "#,##0.0"), " tiles{}")</f>
        <v>{BLACK}Length: {GOLD}0.6 tiles{}</v>
      </c>
      <c r="CI455" s="1" t="n">
        <f aca="false">VLOOKUP($CG455, Constants!$M:$N, 2, FALSE())</f>
        <v>0</v>
      </c>
      <c r="CJ455" s="1" t="str">
        <f aca="false">IF(P455&gt;1,_xlfn.CONCAT("{BLACK}Cars: {GOLD}", P455),"")</f>
        <v/>
      </c>
      <c r="CK455" s="1" t="s">
        <v>1763</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{GOLD}0.6 tiles{}{SILVER}Bolster wagons were some of the earliest goods vehicles to use bogies rather than fixed axles. The wooden bolsters running across the wagon made long, rigid loads easy to tie down.</v>
      </c>
    </row>
    <row r="456" customFormat="false" ht="14.25" hidden="false" customHeight="false" outlineLevel="0" collapsed="false">
      <c r="A456" s="1" t="s">
        <v>1764</v>
      </c>
      <c r="B456" s="15" t="s">
        <v>1765</v>
      </c>
      <c r="C456" s="1" t="n">
        <v>66</v>
      </c>
      <c r="E456" s="1" t="n">
        <v>1083</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198</v>
      </c>
      <c r="J456" s="1" t="s">
        <v>1476</v>
      </c>
      <c r="K456" s="1" t="s">
        <v>1476</v>
      </c>
      <c r="L456" s="1" t="s">
        <v>149</v>
      </c>
      <c r="M456" s="1" t="n">
        <v>1925</v>
      </c>
      <c r="O456" s="1" t="n">
        <v>1970</v>
      </c>
      <c r="Z456" s="1" t="n">
        <v>7</v>
      </c>
      <c r="AB456" s="1" t="n">
        <v>3</v>
      </c>
      <c r="AD456" s="4" t="str">
        <f aca="false">IF(AND(Z456&gt;0,AC456&gt;0),(AC456/((Z456+AA456)*10)),"")</f>
        <v/>
      </c>
      <c r="AE456" s="1" t="n">
        <v>50</v>
      </c>
      <c r="AF456" s="1" t="n">
        <f aca="false">ROUND(AE456*1.6, 0)</f>
        <v>80</v>
      </c>
      <c r="AI456" s="1" t="n">
        <v>10</v>
      </c>
      <c r="AJ456" s="1" t="n">
        <v>10</v>
      </c>
      <c r="AM456" s="5" t="n">
        <v>30</v>
      </c>
      <c r="AN456" s="1" t="str">
        <f aca="false">CONCATENATE(VLOOKUP(AO456, 'Voxel Sizes'!$A$2:$B$18,2,FALSE()),"x",INT(AK456*15), "x", INT(AL456*15))</f>
        <v>102x0x0</v>
      </c>
      <c r="AO456" s="1" t="n">
        <f aca="false">ROUND(15*((AJ456*10)/256),0)</f>
        <v>6</v>
      </c>
      <c r="AQ456" s="1" t="str">
        <f aca="false">CONCATENATE(VLOOKUP(AO456,Constants!$A$2:$C$16,IF(AP456&lt;&gt;"", 3, 2), FALSE()),IF(AP456&lt;&gt;"",CONCATENATE(",",VLOOKUP(AP456,$B:$AQ,39,FALSE())),""))</f>
        <v>2,2,2</v>
      </c>
      <c r="BA456" s="1" t="n">
        <v>30</v>
      </c>
      <c r="BB456" s="16" t="n">
        <f aca="false">IF(O456&lt;&gt;"",MAX(16,(O456-M456)+8),"")</f>
        <v>53</v>
      </c>
      <c r="BE456" s="1" t="n">
        <f aca="false">MIN(AE456/150, 1)*30</f>
        <v>10</v>
      </c>
      <c r="BF456" s="1" t="n">
        <f aca="false">MIN(Q456/4000, 1)*20</f>
        <v>0</v>
      </c>
      <c r="BG456" s="1" t="n">
        <f aca="false">MIN(AC456/400,1)*20</f>
        <v>0</v>
      </c>
      <c r="BH456" s="4" t="n">
        <f aca="false">1-(MAX(M456-1900, 0)/750)</f>
        <v>0.966666666666667</v>
      </c>
      <c r="BI456" s="1" t="n">
        <f aca="false">((MAX($P456,1)*MIN($AM456/300,1)))*IF(J456="Wagon",50,10)</f>
        <v>5</v>
      </c>
      <c r="BJ456" s="1" t="n">
        <f aca="false">VLOOKUP($K456,Constants!$I:$K, 2, FALSE())</f>
        <v>1</v>
      </c>
      <c r="BK456" s="1" t="n">
        <f aca="false">VLOOKUP($K456,Constants!$I:$K, 3, FALSE())*IF(AND(J456="multiple_unit",AE456&lt;110),0.75,1)</f>
        <v>0.45</v>
      </c>
      <c r="BL456" s="1" t="n">
        <f aca="false">INT(POWER(((Constants!$G$2+$BE456+$BF456+$BG456+$BI456)*$BH456)*$BK456, 1.05))+$BD456</f>
        <v>9</v>
      </c>
      <c r="BM456" s="1" t="n">
        <f aca="false">INT(POWER((((Constants!$G$1+$BE456+$BF456+$BG456+$BI456)*($BH456))*$BJ456),IF($J456="wagon",1,1.2)))+$BC456</f>
        <v>29</v>
      </c>
      <c r="BN456" s="17" t="n">
        <f aca="false">BL456*IF($J456="wagon",62.5,781.25)</f>
        <v>562.5</v>
      </c>
      <c r="BO456" s="17" t="n">
        <f aca="false">BM456*IF($J456="wagon",2.73,81.25)</f>
        <v>79.17</v>
      </c>
      <c r="BY456" s="1" t="n">
        <v>1</v>
      </c>
      <c r="BZ456" s="1" t="n">
        <v>185</v>
      </c>
      <c r="CB456" s="1" t="s">
        <v>1751</v>
      </c>
      <c r="CC456" s="1" t="s">
        <v>1752</v>
      </c>
      <c r="CD456" s="1" t="str">
        <f aca="false">VLOOKUP(M456,Eras!$A$2:$C$10, 2, TRUE())</f>
        <v>big4</v>
      </c>
      <c r="CE456" s="1" t="s">
        <v>1753</v>
      </c>
      <c r="CF456" s="1" t="str">
        <f aca="false">CONCATENATE(CD456,"_",CE456)</f>
        <v>big4_Flat Wagon</v>
      </c>
      <c r="CG456" s="1" t="str">
        <f aca="false">_xlfn.CONCAT(K456, "_",L456)</f>
        <v>wagon_RAIL</v>
      </c>
      <c r="CH456" s="7" t="str">
        <f aca="false">_xlfn.CONCAT("{BLACK}Length: {GOLD}", TEXT(ROUNDUP(IF(AT456&lt;&gt;"",SUM(VALUE(_xlfn.TEXTSPLIT(AT456, ","))), SUM(VALUE(_xlfn.TEXTSPLIT(AQ456, ",")))*IF(P456, P456, 1))/16, 1), "#,##0.0"), " tiles{}")</f>
        <v>{BLACK}Length: {GOLD}0.4 tiles{}</v>
      </c>
      <c r="CI456" s="1" t="n">
        <f aca="false">VLOOKUP($CG456, Constants!$M:$N, 2, FALSE())</f>
        <v>0</v>
      </c>
      <c r="CJ456" s="1" t="str">
        <f aca="false">IF(P456&gt;1,_xlfn.CONCAT("{BLACK}Cars: {GOLD}", P456),"")</f>
        <v/>
      </c>
      <c r="CK456" s="1" t="s">
        <v>1766</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{GOLD}0.4 tiles{}{SILVER}The LMS built double bolsters to carry welded rail, with single rails laid across multiple bolster wagons.</v>
      </c>
    </row>
    <row r="457" customFormat="false" ht="14.25" hidden="false" customHeight="false" outlineLevel="0" collapsed="false">
      <c r="A457" s="1" t="s">
        <v>1767</v>
      </c>
      <c r="B457" s="15" t="s">
        <v>1768</v>
      </c>
      <c r="C457" s="1" t="n">
        <v>67</v>
      </c>
      <c r="E457" s="1" t="n">
        <v>1084</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198</v>
      </c>
      <c r="J457" s="1" t="s">
        <v>1476</v>
      </c>
      <c r="K457" s="1" t="s">
        <v>1476</v>
      </c>
      <c r="L457" s="1" t="s">
        <v>149</v>
      </c>
      <c r="M457" s="1" t="n">
        <v>1949</v>
      </c>
      <c r="O457" s="1" t="n">
        <v>2010</v>
      </c>
      <c r="Z457" s="1" t="n">
        <v>16</v>
      </c>
      <c r="AB457" s="1" t="n">
        <v>5</v>
      </c>
      <c r="AD457" s="4" t="str">
        <f aca="false">IF(AND(Z457&gt;0,AC457&gt;0),(AC457/((Z457+AA457)*10)),"")</f>
        <v/>
      </c>
      <c r="AE457" s="1" t="n">
        <v>60</v>
      </c>
      <c r="AF457" s="1" t="n">
        <f aca="false">ROUND(AE457*1.6, 0)</f>
        <v>96</v>
      </c>
      <c r="AI457" s="1" t="n">
        <v>15.8</v>
      </c>
      <c r="AJ457" s="1" t="n">
        <v>19.8</v>
      </c>
      <c r="AM457" s="5" t="n">
        <f aca="false">19*3</f>
        <v>57</v>
      </c>
      <c r="AN457" s="1" t="str">
        <f aca="false">CONCATENATE(VLOOKUP(AO457, 'Voxel Sizes'!$A$2:$B$18,2,FALSE()),"x",INT(AK457*15), "x", INT(AL457*15))</f>
        <v>198x0x0</v>
      </c>
      <c r="AO457" s="1" t="n">
        <f aca="false">ROUND(15*((AJ457*10)/256),0)</f>
        <v>12</v>
      </c>
      <c r="AQ457" s="1" t="str">
        <f aca="false">CONCATENATE(VLOOKUP(AO457,Constants!$A$2:$C$16,IF(AP457&lt;&gt;"", 3, 2), FALSE()),IF(AP457&lt;&gt;"",CONCATENATE(",",VLOOKUP(AP457,$B:$AQ,39,FALSE())),""))</f>
        <v>4,4,4</v>
      </c>
      <c r="BA457" s="1" t="n">
        <v>30</v>
      </c>
      <c r="BB457" s="16" t="n">
        <f aca="false">IF(O457&lt;&gt;"",MAX(16,(O457-M457)+8),"")</f>
        <v>69</v>
      </c>
      <c r="BE457" s="1" t="n">
        <f aca="false">MIN(AE457/150, 1)*30</f>
        <v>12</v>
      </c>
      <c r="BF457" s="1" t="n">
        <f aca="false">MIN(Q457/4000, 1)*20</f>
        <v>0</v>
      </c>
      <c r="BG457" s="1" t="n">
        <f aca="false">MIN(AC457/400,1)*20</f>
        <v>0</v>
      </c>
      <c r="BH457" s="4" t="n">
        <f aca="false">1-(MAX(M457-1900, 0)/750)</f>
        <v>0.934666666666667</v>
      </c>
      <c r="BI457" s="1" t="n">
        <f aca="false">((MAX($P457,1)*MIN($AM457/300,1)))*IF(J457="Wagon",50,10)</f>
        <v>9.5</v>
      </c>
      <c r="BJ457" s="1" t="n">
        <f aca="false">VLOOKUP($K457,Constants!$I:$K, 2, FALSE())</f>
        <v>1</v>
      </c>
      <c r="BK457" s="1" t="n">
        <f aca="false">VLOOKUP($K457,Constants!$I:$K, 3, FALSE())*IF(AND(J457="multiple_unit",AE457&lt;110),0.75,1)</f>
        <v>0.45</v>
      </c>
      <c r="BL457" s="1" t="n">
        <f aca="false">INT(POWER(((Constants!$G$2+$BE457+$BF457+$BG457+$BI457)*$BH457)*$BK457, 1.05))+$BD457</f>
        <v>12</v>
      </c>
      <c r="BM457" s="1" t="n">
        <f aca="false">INT(POWER((((Constants!$G$1+$BE457+$BF457+$BG457+$BI457)*($BH457))*$BJ457),IF($J457="wagon",1,1.2)))+$BC457</f>
        <v>34</v>
      </c>
      <c r="BN457" s="17" t="n">
        <f aca="false">BL457*IF($J457="wagon",62.5,781.25)</f>
        <v>750</v>
      </c>
      <c r="BO457" s="17" t="n">
        <f aca="false">BM457*IF($J457="wagon",2.73,81.25)</f>
        <v>92.82</v>
      </c>
      <c r="BY457" s="1" t="n">
        <v>1</v>
      </c>
      <c r="BZ457" s="1" t="n">
        <v>185</v>
      </c>
      <c r="CB457" s="1" t="s">
        <v>1751</v>
      </c>
      <c r="CC457" s="1" t="s">
        <v>1752</v>
      </c>
      <c r="CD457" s="1" t="str">
        <f aca="false">VLOOKUP(M457,Eras!$A$2:$C$10, 2, TRUE())</f>
        <v>ebr</v>
      </c>
      <c r="CE457" s="1" t="s">
        <v>1753</v>
      </c>
      <c r="CF457" s="1" t="str">
        <f aca="false">CONCATENATE(CD457,"_",CE457)</f>
        <v>ebr_Flat Wagon</v>
      </c>
      <c r="CG457" s="1" t="str">
        <f aca="false">_xlfn.CONCAT(K457, "_",L457)</f>
        <v>wagon_RAIL</v>
      </c>
      <c r="CH457" s="7" t="str">
        <f aca="false">_xlfn.CONCAT("{BLACK}Length: {GOLD}", TEXT(ROUNDUP(IF(AT457&lt;&gt;"",SUM(VALUE(_xlfn.TEXTSPLIT(AT457, ","))), SUM(VALUE(_xlfn.TEXTSPLIT(AQ457, ",")))*IF(P457, P457, 1))/16, 1), "#,##0.0"), " tiles{}")</f>
        <v>{BLACK}Length: {GOLD}0.8 tiles{}</v>
      </c>
      <c r="CI457" s="1" t="n">
        <f aca="false">VLOOKUP($CG457, Constants!$M:$N, 2, FALSE())</f>
        <v>0</v>
      </c>
      <c r="CJ457" s="1" t="str">
        <f aca="false">IF(P457&gt;1,_xlfn.CONCAT("{BLACK}Cars: {GOLD}", P457),"")</f>
        <v/>
      </c>
      <c r="CK457" s="1" t="s">
        <v>1769</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58" customFormat="false" ht="14.25" hidden="false" customHeight="false" outlineLevel="0" collapsed="false">
      <c r="A458" s="1" t="s">
        <v>1770</v>
      </c>
      <c r="B458" s="15" t="s">
        <v>1771</v>
      </c>
      <c r="C458" s="1" t="n">
        <v>68</v>
      </c>
      <c r="E458" s="1" t="n">
        <v>1085</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198</v>
      </c>
      <c r="J458" s="1" t="s">
        <v>1476</v>
      </c>
      <c r="K458" s="1" t="s">
        <v>1476</v>
      </c>
      <c r="L458" s="1" t="s">
        <v>149</v>
      </c>
      <c r="M458" s="1" t="n">
        <v>1952</v>
      </c>
      <c r="O458" s="1" t="n">
        <v>1985</v>
      </c>
      <c r="Z458" s="1" t="n">
        <v>9</v>
      </c>
      <c r="AB458" s="1" t="n">
        <v>4</v>
      </c>
      <c r="AD458" s="4" t="str">
        <f aca="false">IF(AND(Z458&gt;0,AC458&gt;0),(AC458/((Z458+AA458)*10)),"")</f>
        <v/>
      </c>
      <c r="AE458" s="1" t="n">
        <v>60</v>
      </c>
      <c r="AF458" s="1" t="n">
        <f aca="false">ROUND(AE458*1.6, 0)</f>
        <v>96</v>
      </c>
      <c r="AI458" s="1" t="n">
        <v>11</v>
      </c>
      <c r="AJ458" s="1" t="n">
        <v>11</v>
      </c>
      <c r="AM458" s="5" t="n">
        <v>24</v>
      </c>
      <c r="AN458" s="1" t="str">
        <f aca="false">CONCATENATE(VLOOKUP(AO458, 'Voxel Sizes'!$A$2:$B$18,2,FALSE()),"x",INT(AK458*15), "x", INT(AL458*15))</f>
        <v>102x0x0</v>
      </c>
      <c r="AO458" s="1" t="n">
        <f aca="false">ROUND(15*((AJ458*10)/256),0)</f>
        <v>6</v>
      </c>
      <c r="AQ458" s="1" t="str">
        <f aca="false">CONCATENATE(VLOOKUP(AO458,Constants!$A$2:$C$16,IF(AP458&lt;&gt;"", 3, 2), FALSE()),IF(AP458&lt;&gt;"",CONCATENATE(",",VLOOKUP(AP458,$B:$AQ,39,FALSE())),""))</f>
        <v>2,2,2</v>
      </c>
      <c r="BA458" s="1" t="n">
        <v>30</v>
      </c>
      <c r="BB458" s="16" t="n">
        <f aca="false">IF(O458&lt;&gt;"",MAX(16,(O458-M458)+8),"")</f>
        <v>41</v>
      </c>
      <c r="BE458" s="1" t="n">
        <f aca="false">MIN(AE458/150, 1)*30</f>
        <v>12</v>
      </c>
      <c r="BF458" s="1" t="n">
        <f aca="false">MIN(Q458/4000, 1)*20</f>
        <v>0</v>
      </c>
      <c r="BG458" s="1" t="n">
        <f aca="false">MIN(AC458/400,1)*20</f>
        <v>0</v>
      </c>
      <c r="BH458" s="4" t="n">
        <f aca="false">1-(MAX(M458-1900, 0)/750)</f>
        <v>0.930666666666667</v>
      </c>
      <c r="BI458" s="1" t="n">
        <f aca="false">((MAX($P458,1)*MIN($AM458/300,1)))*IF(J458="Wagon",50,10)</f>
        <v>4</v>
      </c>
      <c r="BJ458" s="1" t="n">
        <f aca="false">VLOOKUP($K458,Constants!$I:$K, 2, FALSE())</f>
        <v>1</v>
      </c>
      <c r="BK458" s="1" t="n">
        <f aca="false">VLOOKUP($K458,Constants!$I:$K, 3, FALSE())*IF(AND(J458="multiple_unit",AE458&lt;110),0.75,1)</f>
        <v>0.45</v>
      </c>
      <c r="BL458" s="1" t="n">
        <f aca="false">INT(POWER(((Constants!$G$2+$BE458+$BF458+$BG458+$BI458)*$BH458)*$BK458, 1.05))+$BD458</f>
        <v>9</v>
      </c>
      <c r="BM458" s="1" t="n">
        <f aca="false">INT(POWER((((Constants!$G$1+$BE458+$BF458+$BG458+$BI458)*($BH458))*$BJ458),IF($J458="wagon",1,1.2)))+$BC458</f>
        <v>28</v>
      </c>
      <c r="BN458" s="17" t="n">
        <f aca="false">BL458*IF($J458="wagon",62.5,781.25)</f>
        <v>562.5</v>
      </c>
      <c r="BO458" s="17" t="n">
        <f aca="false">BM458*IF($J458="wagon",2.73,81.25)</f>
        <v>76.44</v>
      </c>
      <c r="BY458" s="1" t="n">
        <v>1</v>
      </c>
      <c r="BZ458" s="1" t="n">
        <v>185</v>
      </c>
      <c r="CB458" s="1" t="s">
        <v>1751</v>
      </c>
      <c r="CC458" s="1" t="s">
        <v>1752</v>
      </c>
      <c r="CD458" s="1" t="str">
        <f aca="false">VLOOKUP(M458,Eras!$A$2:$C$10, 2, TRUE())</f>
        <v>ebr</v>
      </c>
      <c r="CE458" s="1" t="s">
        <v>1753</v>
      </c>
      <c r="CF458" s="1" t="str">
        <f aca="false">CONCATENATE(CD458,"_",CE458)</f>
        <v>ebr_Flat Wagon</v>
      </c>
      <c r="CG458" s="1" t="str">
        <f aca="false">_xlfn.CONCAT(K458, "_",L458)</f>
        <v>wagon_RAIL</v>
      </c>
      <c r="CH458" s="7" t="str">
        <f aca="false">_xlfn.CONCAT("{BLACK}Length: {GOLD}", TEXT(ROUNDUP(IF(AT458&lt;&gt;"",SUM(VALUE(_xlfn.TEXTSPLIT(AT458, ","))), SUM(VALUE(_xlfn.TEXTSPLIT(AQ458, ",")))*IF(P458, P458, 1))/16, 1), "#,##0.0"), " tiles{}")</f>
        <v>{BLACK}Length: {GOLD}0.4 tiles{}</v>
      </c>
      <c r="CI458" s="1" t="n">
        <f aca="false">VLOOKUP($CG458, Constants!$M:$N, 2, FALSE())</f>
        <v>0</v>
      </c>
      <c r="CJ458" s="1" t="str">
        <f aca="false">IF(P458&gt;1,_xlfn.CONCAT("{BLACK}Cars: {GOLD}", P458),"")</f>
        <v/>
      </c>
      <c r="CK458" s="1" t="s">
        <v>1772</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{GOLD}0.4 tiles{}{SILVER}"Lowmac" was a GWR code for a low wagon intended to fit tall, bulky cargo within the railway loading gauge. BR built a number of small Lowmac types in the early 1950s.</v>
      </c>
    </row>
    <row r="459" customFormat="false" ht="14.25" hidden="false" customHeight="false" outlineLevel="0" collapsed="false">
      <c r="A459" s="1" t="s">
        <v>1773</v>
      </c>
      <c r="B459" s="15" t="s">
        <v>1774</v>
      </c>
      <c r="C459" s="1" t="n">
        <v>69</v>
      </c>
      <c r="E459" s="1" t="n">
        <v>1086</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198</v>
      </c>
      <c r="J459" s="1" t="s">
        <v>1476</v>
      </c>
      <c r="K459" s="1" t="s">
        <v>1476</v>
      </c>
      <c r="L459" s="1" t="s">
        <v>149</v>
      </c>
      <c r="M459" s="1" t="n">
        <v>1975</v>
      </c>
      <c r="Z459" s="1" t="n">
        <v>16</v>
      </c>
      <c r="AB459" s="1" t="n">
        <v>4</v>
      </c>
      <c r="AD459" s="4" t="str">
        <f aca="false">IF(AND(Z459&gt;0,AC459&gt;0),(AC459/((Z459+AA459)*10)),"")</f>
        <v/>
      </c>
      <c r="AE459" s="1" t="n">
        <v>70</v>
      </c>
      <c r="AF459" s="1" t="n">
        <f aca="false">ROUND(AE459*1.6, 0)</f>
        <v>112</v>
      </c>
      <c r="AI459" s="1" t="n">
        <v>15.8</v>
      </c>
      <c r="AJ459" s="1" t="n">
        <v>15.8</v>
      </c>
      <c r="AM459" s="5" t="n">
        <v>45</v>
      </c>
      <c r="AN459" s="1" t="str">
        <f aca="false">CONCATENATE(VLOOKUP(AO459, 'Voxel Sizes'!$A$2:$B$18,2,FALSE()),"x",INT(AK459*15), "x", INT(AL459*15))</f>
        <v>152x0x0</v>
      </c>
      <c r="AO459" s="1" t="n">
        <f aca="false">ROUND(15*((AJ459*10)/256),0)</f>
        <v>9</v>
      </c>
      <c r="AQ459" s="1" t="str">
        <f aca="false">CONCATENATE(VLOOKUP(AO459,Constants!$A$2:$C$16,IF(AP459&lt;&gt;"", 3, 2), FALSE()),IF(AP459&lt;&gt;"",CONCATENATE(",",VLOOKUP(AP459,$B:$AQ,39,FALSE())),""))</f>
        <v>2,5,2</v>
      </c>
      <c r="BA459" s="1" t="n">
        <v>30</v>
      </c>
      <c r="BB459" s="16" t="str">
        <f aca="false">IF(O459&lt;&gt;"",MAX(16,(O459-M459)+8),"")</f>
        <v/>
      </c>
      <c r="BE459" s="1" t="n">
        <f aca="false">MIN(AE459/150, 1)*30</f>
        <v>14</v>
      </c>
      <c r="BF459" s="1" t="n">
        <f aca="false">MIN(Q459/4000, 1)*20</f>
        <v>0</v>
      </c>
      <c r="BG459" s="1" t="n">
        <f aca="false">MIN(AC459/400,1)*20</f>
        <v>0</v>
      </c>
      <c r="BH459" s="4" t="n">
        <f aca="false">1-(MAX(M459-1900, 0)/750)</f>
        <v>0.9</v>
      </c>
      <c r="BI459" s="1" t="n">
        <f aca="false">((MAX($P459,1)*MIN($AM459/300,1)))*IF(J459="Wagon",50,10)</f>
        <v>7.5</v>
      </c>
      <c r="BJ459" s="1" t="n">
        <f aca="false">VLOOKUP($K459,Constants!$I:$K, 2, FALSE())</f>
        <v>1</v>
      </c>
      <c r="BK459" s="1" t="n">
        <f aca="false">VLOOKUP($K459,Constants!$I:$K, 3, FALSE())*IF(AND(J459="multiple_unit",AE459&lt;110),0.75,1)</f>
        <v>0.45</v>
      </c>
      <c r="BL459" s="1" t="n">
        <f aca="false">INT(POWER(((Constants!$G$2+$BE459+$BF459+$BG459+$BI459)*$BH459)*$BK459, 1.05))+$BD459</f>
        <v>12</v>
      </c>
      <c r="BM459" s="1" t="n">
        <f aca="false">INT(POWER((((Constants!$G$1+$BE459+$BF459+$BG459+$BI459)*($BH459))*$BJ459),IF($J459="wagon",1,1.2)))+$BC459</f>
        <v>32</v>
      </c>
      <c r="BN459" s="17" t="n">
        <f aca="false">BL459*IF($J459="wagon",62.5,781.25)</f>
        <v>750</v>
      </c>
      <c r="BO459" s="17" t="n">
        <f aca="false">BM459*IF($J459="wagon",2.73,81.25)</f>
        <v>87.36</v>
      </c>
      <c r="BY459" s="1" t="n">
        <v>1</v>
      </c>
      <c r="BZ459" s="1" t="n">
        <v>185</v>
      </c>
      <c r="CB459" s="1" t="s">
        <v>1751</v>
      </c>
      <c r="CC459" s="1" t="s">
        <v>1752</v>
      </c>
      <c r="CD459" s="1" t="str">
        <f aca="false">VLOOKUP(M459,Eras!$A$2:$C$10, 2, TRUE())</f>
        <v>lbr</v>
      </c>
      <c r="CE459" s="1" t="s">
        <v>1753</v>
      </c>
      <c r="CF459" s="1" t="str">
        <f aca="false">CONCATENATE(CD459,"_",CE459)</f>
        <v>lbr_Flat Wagon</v>
      </c>
      <c r="CG459" s="1" t="str">
        <f aca="false">_xlfn.CONCAT(K459, "_",L459)</f>
        <v>wagon_RAIL</v>
      </c>
      <c r="CH459" s="7" t="str">
        <f aca="false">_xlfn.CONCAT("{BLACK}Length: {GOLD}", TEXT(ROUNDUP(IF(AT459&lt;&gt;"",SUM(VALUE(_xlfn.TEXTSPLIT(AT459, ","))), SUM(VALUE(_xlfn.TEXTSPLIT(AQ459, ",")))*IF(P459, P459, 1))/16, 1), "#,##0.0"), " tiles{}")</f>
        <v>{BLACK}Length: {GOLD}0.6 tiles{}</v>
      </c>
      <c r="CI459" s="1" t="n">
        <f aca="false">VLOOKUP($CG459, Constants!$M:$N, 2, FALSE())</f>
        <v>0</v>
      </c>
      <c r="CJ459" s="1" t="str">
        <f aca="false">IF(P459&gt;1,_xlfn.CONCAT("{BLACK}Cars: {GOLD}", P459),"")</f>
        <v/>
      </c>
      <c r="CK459" s="1" t="s">
        <v>1775</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60" customFormat="false" ht="14.25" hidden="false" customHeight="false" outlineLevel="0" collapsed="false">
      <c r="A460" s="1" t="s">
        <v>1776</v>
      </c>
      <c r="B460" s="15" t="s">
        <v>1777</v>
      </c>
      <c r="C460" s="1" t="n">
        <v>70</v>
      </c>
      <c r="E460" s="1" t="n">
        <v>1087</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198</v>
      </c>
      <c r="J460" s="1" t="s">
        <v>1476</v>
      </c>
      <c r="K460" s="1" t="s">
        <v>1476</v>
      </c>
      <c r="L460" s="1" t="s">
        <v>149</v>
      </c>
      <c r="M460" s="1" t="n">
        <v>2009</v>
      </c>
      <c r="Z460" s="1" t="n">
        <v>16</v>
      </c>
      <c r="AB460" s="1" t="n">
        <v>4</v>
      </c>
      <c r="AD460" s="4" t="str">
        <f aca="false">IF(AND(Z460&gt;0,AC460&gt;0),(AC460/((Z460+AA460)*10)),"")</f>
        <v/>
      </c>
      <c r="AE460" s="1" t="n">
        <v>85</v>
      </c>
      <c r="AF460" s="1" t="n">
        <f aca="false">ROUND(AE460*1.6, 0)</f>
        <v>136</v>
      </c>
      <c r="AI460" s="1" t="n">
        <v>15.8</v>
      </c>
      <c r="AJ460" s="1" t="n">
        <v>19.8</v>
      </c>
      <c r="AM460" s="5" t="n">
        <v>60</v>
      </c>
      <c r="AN460" s="1" t="str">
        <f aca="false">CONCATENATE(VLOOKUP(AO460, 'Voxel Sizes'!$A$2:$B$18,2,FALSE()),"x",INT(AK460*15), "x", INT(AL460*15))</f>
        <v>198x0x0</v>
      </c>
      <c r="AO460" s="1" t="n">
        <f aca="false">ROUND(15*((AJ460*10)/256),0)</f>
        <v>12</v>
      </c>
      <c r="AQ460" s="1" t="str">
        <f aca="false">CONCATENATE(VLOOKUP(AO460,Constants!$A$2:$C$16,IF(AP460&lt;&gt;"", 3, 2), FALSE()),IF(AP460&lt;&gt;"",CONCATENATE(",",VLOOKUP(AP460,$B:$AQ,39,FALSE())),""))</f>
        <v>4,4,4</v>
      </c>
      <c r="BA460" s="1" t="n">
        <v>30</v>
      </c>
      <c r="BB460" s="16" t="str">
        <f aca="false">IF(O460&lt;&gt;"",MAX(16,(O460-M460)+8),"")</f>
        <v/>
      </c>
      <c r="BE460" s="1" t="n">
        <f aca="false">MIN(AE460/150, 1)*30</f>
        <v>17</v>
      </c>
      <c r="BF460" s="1" t="n">
        <f aca="false">MIN(Q460/4000, 1)*20</f>
        <v>0</v>
      </c>
      <c r="BG460" s="1" t="n">
        <f aca="false">MIN(AC460/400,1)*20</f>
        <v>0</v>
      </c>
      <c r="BH460" s="4" t="n">
        <f aca="false">1-(MAX(M460-1900, 0)/750)</f>
        <v>0.854666666666667</v>
      </c>
      <c r="BI460" s="1" t="n">
        <f aca="false">((MAX($P460,1)*MIN($AM460/300,1)))*IF(J460="Wagon",50,10)</f>
        <v>10</v>
      </c>
      <c r="BJ460" s="1" t="n">
        <f aca="false">VLOOKUP($K460,Constants!$I:$K, 2, FALSE())</f>
        <v>1</v>
      </c>
      <c r="BK460" s="1" t="n">
        <f aca="false">VLOOKUP($K460,Constants!$I:$K, 3, FALSE())*IF(AND(J460="multiple_unit",AE460&lt;110),0.75,1)</f>
        <v>0.45</v>
      </c>
      <c r="BL460" s="1" t="n">
        <f aca="false">INT(POWER(((Constants!$G$2+$BE460+$BF460+$BG460+$BI460)*$BH460)*$BK460, 1.05))+$BD460</f>
        <v>13</v>
      </c>
      <c r="BM460" s="1" t="n">
        <f aca="false">INT(POWER((((Constants!$G$1+$BE460+$BF460+$BG460+$BI460)*($BH460))*$BJ460),IF($J460="wagon",1,1.2)))+$BC460</f>
        <v>35</v>
      </c>
      <c r="BN460" s="17" t="n">
        <f aca="false">BL460*IF($J460="wagon",62.5,781.25)</f>
        <v>812.5</v>
      </c>
      <c r="BO460" s="17" t="n">
        <f aca="false">BM460*IF($J460="wagon",2.73,81.25)</f>
        <v>95.55</v>
      </c>
      <c r="BY460" s="1" t="n">
        <v>1</v>
      </c>
      <c r="BZ460" s="1" t="n">
        <v>185</v>
      </c>
      <c r="CB460" s="1" t="s">
        <v>1751</v>
      </c>
      <c r="CC460" s="1" t="s">
        <v>1752</v>
      </c>
      <c r="CD460" s="1" t="str">
        <f aca="false">VLOOKUP(M460,Eras!$A$2:$C$10, 2, TRUE())</f>
        <v>mod</v>
      </c>
      <c r="CE460" s="1" t="s">
        <v>1753</v>
      </c>
      <c r="CF460" s="1" t="str">
        <f aca="false">CONCATENATE(CD460,"_",CE460)</f>
        <v>mod_Flat Wagon</v>
      </c>
      <c r="CG460" s="1" t="str">
        <f aca="false">_xlfn.CONCAT(K460, "_",L460)</f>
        <v>wagon_RAIL</v>
      </c>
      <c r="CH460" s="7" t="str">
        <f aca="false">_xlfn.CONCAT("{BLACK}Length: {GOLD}", TEXT(ROUNDUP(IF(AT460&lt;&gt;"",SUM(VALUE(_xlfn.TEXTSPLIT(AT460, ","))), SUM(VALUE(_xlfn.TEXTSPLIT(AQ460, ",")))*IF(P460, P460, 1))/16, 1), "#,##0.0"), " tiles{}")</f>
        <v>{BLACK}Length: {GOLD}0.8 tiles{}</v>
      </c>
      <c r="CI460" s="1" t="n">
        <f aca="false">VLOOKUP($CG460, Constants!$M:$N, 2, FALSE())</f>
        <v>0</v>
      </c>
      <c r="CJ460" s="1" t="str">
        <f aca="false">IF(P460&gt;1,_xlfn.CONCAT("{BLACK}Cars: {GOLD}", P460),"")</f>
        <v/>
      </c>
      <c r="CK460" s="1" t="s">
        <v>1778</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{GOLD}0.8 tiles{}{SILVER}Despite the age of the "Salmon" bolster wagons, in 2009 they were refurbished with new end plates to make loading track panels simpler.</v>
      </c>
    </row>
    <row r="461" customFormat="false" ht="14.25" hidden="false" customHeight="false" outlineLevel="0" collapsed="false">
      <c r="A461" s="1" t="s">
        <v>1779</v>
      </c>
      <c r="B461" s="15" t="s">
        <v>1780</v>
      </c>
      <c r="C461" s="1" t="n">
        <v>71</v>
      </c>
      <c r="E461" s="1" t="n">
        <v>1088</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198</v>
      </c>
      <c r="J461" s="1" t="s">
        <v>1476</v>
      </c>
      <c r="K461" s="1" t="s">
        <v>1476</v>
      </c>
      <c r="L461" s="1" t="s">
        <v>149</v>
      </c>
      <c r="M461" s="1" t="n">
        <v>2020</v>
      </c>
      <c r="Z461" s="1" t="n">
        <v>15</v>
      </c>
      <c r="AB461" s="1" t="n">
        <v>4</v>
      </c>
      <c r="AD461" s="4" t="str">
        <f aca="false">IF(AND(Z461&gt;0,AC461&gt;0),(AC461/((Z461+AA461)*10)),"")</f>
        <v/>
      </c>
      <c r="AE461" s="1" t="n">
        <v>85</v>
      </c>
      <c r="AF461" s="1" t="n">
        <f aca="false">ROUND(AE461*1.6, 0)</f>
        <v>136</v>
      </c>
      <c r="AI461" s="1" t="n">
        <v>15.8</v>
      </c>
      <c r="AJ461" s="1" t="n">
        <v>19.8</v>
      </c>
      <c r="AM461" s="5" t="n">
        <v>60</v>
      </c>
      <c r="AN461" s="1" t="str">
        <f aca="false">CONCATENATE(VLOOKUP(AO461, 'Voxel Sizes'!$A$2:$B$18,2,FALSE()),"x",INT(AK461*15), "x", INT(AL461*15))</f>
        <v>198x0x0</v>
      </c>
      <c r="AO461" s="1" t="n">
        <f aca="false">ROUND(15*((AJ461*10)/256),0)</f>
        <v>12</v>
      </c>
      <c r="AQ461" s="1" t="str">
        <f aca="false">CONCATENATE(VLOOKUP(AO461,Constants!$A$2:$C$16,IF(AP461&lt;&gt;"", 3, 2), FALSE()),IF(AP461&lt;&gt;"",CONCATENATE(",",VLOOKUP(AP461,$B:$AQ,39,FALSE())),""))</f>
        <v>4,4,4</v>
      </c>
      <c r="BA461" s="1" t="n">
        <v>30</v>
      </c>
      <c r="BB461" s="16" t="str">
        <f aca="false">IF(O461&lt;&gt;"",MAX(16,(O461-M461)+8),"")</f>
        <v/>
      </c>
      <c r="BC461" s="1" t="n">
        <v>-2</v>
      </c>
      <c r="BD461" s="1" t="n">
        <v>2</v>
      </c>
      <c r="BE461" s="1" t="n">
        <f aca="false">MIN(AE461/150, 1)*30</f>
        <v>17</v>
      </c>
      <c r="BF461" s="1" t="n">
        <f aca="false">MIN(Q461/4000, 1)*20</f>
        <v>0</v>
      </c>
      <c r="BG461" s="1" t="n">
        <f aca="false">MIN(AC461/400,1)*20</f>
        <v>0</v>
      </c>
      <c r="BH461" s="4" t="n">
        <f aca="false">1-(MAX(M461-1900, 0)/750)</f>
        <v>0.84</v>
      </c>
      <c r="BI461" s="1" t="n">
        <f aca="false">((MAX($P461,1)*MIN($AM461/300,1)))*IF(J461="Wagon",50,10)</f>
        <v>10</v>
      </c>
      <c r="BJ461" s="1" t="n">
        <f aca="false">VLOOKUP($K461,Constants!$I:$K, 2, FALSE())</f>
        <v>1</v>
      </c>
      <c r="BK461" s="1" t="n">
        <f aca="false">VLOOKUP($K461,Constants!$I:$K, 3, FALSE())*IF(AND(J461="multiple_unit",AE461&lt;110),0.75,1)</f>
        <v>0.45</v>
      </c>
      <c r="BL461" s="1" t="n">
        <f aca="false">INT(POWER(((Constants!$G$2+$BE461+$BF461+$BG461+$BI461)*$BH461)*$BK461, 1.05))+$BD461</f>
        <v>15</v>
      </c>
      <c r="BM461" s="1" t="n">
        <f aca="false">INT(POWER((((Constants!$G$1+$BE461+$BF461+$BG461+$BI461)*($BH461))*$BJ461),IF($J461="wagon",1,1.2)))+$BC461</f>
        <v>33</v>
      </c>
      <c r="BN461" s="17" t="n">
        <f aca="false">BL461*IF($J461="wagon",62.5,781.25)</f>
        <v>937.5</v>
      </c>
      <c r="BO461" s="17" t="n">
        <f aca="false">BM461*IF($J461="wagon",2.73,81.25)</f>
        <v>90.09</v>
      </c>
      <c r="BY461" s="1" t="n">
        <v>1</v>
      </c>
      <c r="BZ461" s="1" t="n">
        <v>185</v>
      </c>
      <c r="CB461" s="1" t="s">
        <v>1751</v>
      </c>
      <c r="CC461" s="1" t="s">
        <v>1752</v>
      </c>
      <c r="CD461" s="1" t="str">
        <f aca="false">VLOOKUP(M461,Eras!$A$2:$C$10, 2, TRUE())</f>
        <v>mod</v>
      </c>
      <c r="CE461" s="1" t="s">
        <v>1753</v>
      </c>
      <c r="CF461" s="1" t="str">
        <f aca="false">CONCATENATE(CD461,"_",CE461)</f>
        <v>mod_Flat Wagon</v>
      </c>
      <c r="CG461" s="1" t="str">
        <f aca="false">_xlfn.CONCAT(K461, "_",L461)</f>
        <v>wagon_RAIL</v>
      </c>
      <c r="CH461" s="7" t="str">
        <f aca="false">_xlfn.CONCAT("{BLACK}Length: {GOLD}", TEXT(ROUNDUP(IF(AT461&lt;&gt;"",SUM(VALUE(_xlfn.TEXTSPLIT(AT461, ","))), SUM(VALUE(_xlfn.TEXTSPLIT(AQ461, ",")))*IF(P461, P461, 1))/16, 1), "#,##0.0"), " tiles{}")</f>
        <v>{BLACK}Length: {GOLD}0.8 tiles{}</v>
      </c>
      <c r="CI461" s="1" t="n">
        <f aca="false">VLOOKUP($CG461, Constants!$M:$N, 2, FALSE())</f>
        <v>0</v>
      </c>
      <c r="CJ461" s="1" t="str">
        <f aca="false">IF(P461&gt;1,_xlfn.CONCAT("{BLACK}Cars: {GOLD}", P461),"")</f>
        <v/>
      </c>
      <c r="CK461" s="1" t="s">
        <v>1781</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{GOLD}0.8 tiles{}{SILVER}The FEA-W is a modular wagon built by Wascosa, based on a strong metal spine which can be topped by a variety of modules for different purposes.</v>
      </c>
    </row>
    <row r="462" customFormat="false" ht="14.25" hidden="false" customHeight="false" outlineLevel="0" collapsed="false">
      <c r="A462" s="1" t="s">
        <v>1782</v>
      </c>
      <c r="B462" s="15" t="s">
        <v>1783</v>
      </c>
      <c r="C462" s="1" t="n">
        <v>72</v>
      </c>
      <c r="E462" s="1" t="n">
        <v>1089</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198</v>
      </c>
      <c r="J462" s="1" t="s">
        <v>1476</v>
      </c>
      <c r="K462" s="1" t="s">
        <v>1476</v>
      </c>
      <c r="L462" s="1" t="s">
        <v>149</v>
      </c>
      <c r="M462" s="1" t="n">
        <v>1972</v>
      </c>
      <c r="Z462" s="1" t="n">
        <v>17</v>
      </c>
      <c r="AB462" s="1" t="n">
        <v>5</v>
      </c>
      <c r="AD462" s="4" t="str">
        <f aca="false">IF(AND(Z462&gt;0,AC462&gt;0),(AC462/((Z462+AA462)*10)),"")</f>
        <v/>
      </c>
      <c r="AE462" s="1" t="n">
        <v>70</v>
      </c>
      <c r="AF462" s="1" t="n">
        <f aca="false">ROUND(AE462*1.6, 0)</f>
        <v>112</v>
      </c>
      <c r="AI462" s="1" t="n">
        <v>13.3</v>
      </c>
      <c r="AJ462" s="1" t="n">
        <v>13.3</v>
      </c>
      <c r="AM462" s="5" t="n">
        <v>42</v>
      </c>
      <c r="AN462" s="1" t="str">
        <f aca="false">CONCATENATE(VLOOKUP(AO462, 'Voxel Sizes'!$A$2:$B$18,2,FALSE()),"x",INT(AK462*15), "x", INT(AL462*15))</f>
        <v>136x0x0</v>
      </c>
      <c r="AO462" s="1" t="n">
        <f aca="false">ROUND(15*((AJ462*10)/256),0)</f>
        <v>8</v>
      </c>
      <c r="AQ462" s="1" t="str">
        <f aca="false">CONCATENATE(VLOOKUP(AO462,Constants!$A$2:$C$16,IF(AP462&lt;&gt;"", 3, 2), FALSE()),IF(AP462&lt;&gt;"",CONCATENATE(",",VLOOKUP(AP462,$B:$AQ,39,FALSE())),""))</f>
        <v>2,4,2</v>
      </c>
      <c r="BA462" s="1" t="n">
        <v>30</v>
      </c>
      <c r="BB462" s="16" t="str">
        <f aca="false">IF(O462&lt;&gt;"",MAX(16,(O462-M462)+8),"")</f>
        <v/>
      </c>
      <c r="BE462" s="1" t="n">
        <f aca="false">MIN(AE462/150, 1)*30</f>
        <v>14</v>
      </c>
      <c r="BF462" s="1" t="n">
        <f aca="false">MIN(Q462/4000, 1)*20</f>
        <v>0</v>
      </c>
      <c r="BG462" s="1" t="n">
        <f aca="false">MIN(AC462/400,1)*20</f>
        <v>0</v>
      </c>
      <c r="BH462" s="4" t="n">
        <f aca="false">1-(MAX(M462-1900, 0)/750)</f>
        <v>0.904</v>
      </c>
      <c r="BI462" s="1" t="n">
        <f aca="false">((MAX($P462,1)*MIN($AM462/300,1)))*IF(J462="Wagon",50,10)</f>
        <v>7</v>
      </c>
      <c r="BJ462" s="1" t="n">
        <f aca="false">VLOOKUP($K462,Constants!$I:$K, 2, FALSE())</f>
        <v>1</v>
      </c>
      <c r="BK462" s="1" t="n">
        <f aca="false">VLOOKUP($K462,Constants!$I:$K, 3, FALSE())*IF(AND(J462="multiple_unit",AE462&lt;110),0.75,1)</f>
        <v>0.45</v>
      </c>
      <c r="BL462" s="1" t="n">
        <f aca="false">INT(POWER(((Constants!$G$2+$BE462+$BF462+$BG462+$BI462)*$BH462)*$BK462, 1.05))+$BD462</f>
        <v>11</v>
      </c>
      <c r="BM462" s="1" t="n">
        <f aca="false">INT(POWER((((Constants!$G$1+$BE462+$BF462+$BG462+$BI462)*($BH462))*$BJ462),IF($J462="wagon",1,1.2)))+$BC462</f>
        <v>32</v>
      </c>
      <c r="BN462" s="17" t="n">
        <f aca="false">BL462*IF($J462="wagon",62.5,781.25)</f>
        <v>687.5</v>
      </c>
      <c r="BO462" s="17" t="n">
        <f aca="false">BM462*IF($J462="wagon",2.73,81.25)</f>
        <v>87.36</v>
      </c>
      <c r="BY462" s="1" t="n">
        <v>1</v>
      </c>
      <c r="BZ462" s="1" t="n">
        <v>185</v>
      </c>
      <c r="CB462" s="1" t="s">
        <v>1784</v>
      </c>
      <c r="CC462" s="1" t="s">
        <v>1785</v>
      </c>
      <c r="CD462" s="1" t="str">
        <f aca="false">VLOOKUP(M462,Eras!$A$2:$C$10, 2, TRUE())</f>
        <v>lbr</v>
      </c>
      <c r="CE462" s="1" t="s">
        <v>1753</v>
      </c>
      <c r="CF462" s="1" t="str">
        <f aca="false">CONCATENATE(CD462,"_",CE462)</f>
        <v>lbr_Flat Wagon</v>
      </c>
      <c r="CG462" s="1" t="str">
        <f aca="false">_xlfn.CONCAT(K462, "_",L462)</f>
        <v>wagon_RAIL</v>
      </c>
      <c r="CH462" s="7" t="str">
        <f aca="false">_xlfn.CONCAT("{BLACK}Length: {GOLD}", TEXT(ROUNDUP(IF(AT462&lt;&gt;"",SUM(VALUE(_xlfn.TEXTSPLIT(AT462, ","))), SUM(VALUE(_xlfn.TEXTSPLIT(AQ462, ",")))*IF(P462, P462, 1))/16, 1), "#,##0.0"), " tiles{}")</f>
        <v>{BLACK}Length: {GOLD}0.5 tiles{}</v>
      </c>
      <c r="CI462" s="1" t="n">
        <f aca="false">VLOOKUP($CG462, Constants!$M:$N, 2, FALSE())</f>
        <v>0</v>
      </c>
      <c r="CJ462" s="1" t="str">
        <f aca="false">IF(P462&gt;1,_xlfn.CONCAT("{BLACK}Cars: {GOLD}", P462),"")</f>
        <v/>
      </c>
      <c r="CK462" s="1" t="s">
        <v>1786</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{GOLD}0.5 tiles{}{SILVER}BAA wagons could initially carry steel in a large variety of forms, although many were later modified to be dedicated coil carriers.</v>
      </c>
    </row>
    <row r="463" s="25" customFormat="true" ht="14.25" hidden="false" customHeight="false" outlineLevel="0" collapsed="false">
      <c r="A463" s="25" t="s">
        <v>1787</v>
      </c>
      <c r="B463" s="26" t="s">
        <v>1788</v>
      </c>
      <c r="C463" s="1" t="n">
        <v>3113</v>
      </c>
      <c r="E463" s="1" t="n">
        <v>1090</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25" t="s">
        <v>198</v>
      </c>
      <c r="J463" s="25" t="s">
        <v>1476</v>
      </c>
      <c r="K463" s="25" t="s">
        <v>1476</v>
      </c>
      <c r="L463" s="25" t="s">
        <v>149</v>
      </c>
      <c r="M463" s="25" t="n">
        <v>1977</v>
      </c>
      <c r="R463" s="2"/>
      <c r="S463" s="3"/>
      <c r="T463" s="3"/>
      <c r="U463" s="3"/>
      <c r="V463" s="3"/>
      <c r="W463" s="3"/>
      <c r="X463" s="3"/>
      <c r="Y463" s="3"/>
      <c r="Z463" s="25" t="n">
        <v>25</v>
      </c>
      <c r="AA463" s="2"/>
      <c r="AB463" s="25" t="n">
        <v>4</v>
      </c>
      <c r="AD463" s="4" t="str">
        <f aca="false">IF(AND(Z463&gt;0,AC463&gt;0),(AC463/((Z463+AA463)*10)),"")</f>
        <v/>
      </c>
      <c r="AE463" s="25" t="n">
        <v>60</v>
      </c>
      <c r="AF463" s="25" t="n">
        <f aca="false">ROUND(AE463*1.6, 0)</f>
        <v>96</v>
      </c>
      <c r="AI463" s="25" t="n">
        <v>21.7</v>
      </c>
      <c r="AJ463" s="25" t="n">
        <v>21.7</v>
      </c>
      <c r="AL463" s="25" t="n">
        <v>3.8</v>
      </c>
      <c r="AM463" s="5" t="n">
        <v>65</v>
      </c>
      <c r="AN463" s="1" t="str">
        <f aca="false">CONCATENATE(VLOOKUP(AO463, '[1]Voxel Sizes'!$A$2:$B$18,2,FALSE()),"x",INT(AK463*15), "x", INT(AL463*15))</f>
        <v>214x0x57</v>
      </c>
      <c r="AO463" s="25" t="n">
        <f aca="false">ROUND(15*((AJ463*10)/256),0)</f>
        <v>13</v>
      </c>
      <c r="AQ463" s="1" t="str">
        <f aca="false">CONCATENATE(VLOOKUP(AO463,Constants!$A$2:$C$16,IF(AP463&lt;&gt;"", 3, 2), FALSE()),IF(AP463&lt;&gt;"",CONCATENATE(",",VLOOKUP(AP463,$B:$AQ,42,FALSE())),""))</f>
        <v>4,5,4</v>
      </c>
      <c r="AS463" s="6"/>
      <c r="AT463" s="6"/>
      <c r="AZ463" s="1"/>
      <c r="BA463" s="25" t="n">
        <v>30</v>
      </c>
      <c r="BB463" s="16" t="str">
        <f aca="false">IF(O463&lt;&gt;"",MAX(16,(O463-M463)+8),"")</f>
        <v/>
      </c>
      <c r="BE463" s="25" t="n">
        <f aca="false">MIN(AE463/150, 1)*30</f>
        <v>12</v>
      </c>
      <c r="BF463" s="25" t="n">
        <f aca="false">MIN(Q463/4000, 1)*20</f>
        <v>0</v>
      </c>
      <c r="BG463" s="25" t="n">
        <f aca="false">MIN(AC463/400,1)*20</f>
        <v>0</v>
      </c>
      <c r="BH463" s="4" t="n">
        <f aca="false">1-(MAX(M463-1900, 0)/750)</f>
        <v>0.897333333333333</v>
      </c>
      <c r="BI463" s="25" t="n">
        <f aca="false">((MAX($P463,1)*MIN($AM463/300,1)))*IF(J463="Wagon",50,10)</f>
        <v>10.8333333333333</v>
      </c>
      <c r="BJ463" s="1" t="n">
        <f aca="false">VLOOKUP($K463,Constants!$I:$K, 2, FALSE())</f>
        <v>1</v>
      </c>
      <c r="BK463" s="1" t="n">
        <f aca="false">VLOOKUP($K463,Constants!$I:$K, 3, FALSE())*IF(AND(J463="multiple_unit",AE463&lt;110),0.75,1)</f>
        <v>0.45</v>
      </c>
      <c r="BL463" s="25" t="n">
        <f aca="false">INT(POWER((([1]Constants!$G$2+$BE463+$BF463+$BG463+$BI463)*$BH463)*$BK463, 1.05))+$BD463</f>
        <v>12</v>
      </c>
      <c r="BM463" s="25" t="n">
        <f aca="false">INT(POWER(((([1]Constants!$G$1+$BE463+$BF463+$BG463+$BI463)*($BH463))*$BJ463),IF($J463="wagon",1,1.2)))+$BC463</f>
        <v>33</v>
      </c>
      <c r="BN463" s="17" t="n">
        <f aca="false">BL463*IF($J463="wagon",62.5,781.25)</f>
        <v>750</v>
      </c>
      <c r="BO463" s="17" t="n">
        <f aca="false">BM463*IF($J463="wagon",2.73,81.25)</f>
        <v>90.09</v>
      </c>
      <c r="BY463" s="25" t="n">
        <v>1</v>
      </c>
      <c r="BZ463" s="25" t="n">
        <v>185</v>
      </c>
      <c r="CB463" s="25" t="s">
        <v>1751</v>
      </c>
      <c r="CC463" s="25" t="s">
        <v>1752</v>
      </c>
      <c r="CD463" s="25" t="str">
        <f aca="false">VLOOKUP(M463,[1]Eras!$A$2:$C$10, 2, TRUE())</f>
        <v>lbr</v>
      </c>
      <c r="CE463" s="25" t="s">
        <v>1753</v>
      </c>
      <c r="CF463" s="25" t="str">
        <f aca="false">CONCATENATE(CD463,"_",CE463)</f>
        <v>lbr_Flat Wagon</v>
      </c>
      <c r="CG463" s="25" t="str">
        <f aca="false">_xlfn.CONCAT(K463, "_",L463)</f>
        <v>wagon_RAIL</v>
      </c>
      <c r="CH463" s="7" t="str">
        <f aca="false">_xlfn.CONCAT("{BLACK}Length: {GOLD}", TEXT(ROUNDUP(IF(AT463&lt;&gt;"",SUM(VALUE(_xlfn.TEXTSPLIT(AT463, ","))), SUM(VALUE(_xlfn.TEXTSPLIT(AQ463, ",")))*IF(P463, P463, 1))/16, 1), "#,##0.0"), " tiles{}")</f>
        <v>{BLACK}Length: {GOLD}0.9 tiles{}</v>
      </c>
      <c r="CI463" s="1" t="n">
        <f aca="false">VLOOKUP($CG463, Constants!$M:$N, 2, FALSE())</f>
        <v>0</v>
      </c>
      <c r="CJ463" s="1" t="str">
        <f aca="false">IF(P463&gt;1,_xlfn.CONCAT("{BLACK}Cars: {GOLD}", P463),"")</f>
        <v/>
      </c>
      <c r="CK463" s="25" t="s">
        <v>1789</v>
      </c>
      <c r="CM463" s="25" t="str">
        <f aca="false">IF(CC463="buffet","{YELLOW}25% long distance bonus for consist{}",IF(CD463="BRAKE","{YELLOW}Speed bonus for slow wagons{}",IF(BZ463&gt;190,CONCATENATE("{YELLOW}",INT((BZ463-185)/1.85),"% bonus for long distance travel{}"),IF(AND(BZ463&lt;180,BZ463&lt;&gt;0),CONCATENATE("{YELLOW}",INT((185-BZ463)/1.85),"% penalty for long distance travel{}"),""))))</f>
        <v/>
      </c>
      <c r="CN463" s="25" t="str">
        <f aca="false">_xlfn.CONCAT(CI463,IF(CI463 &lt;&gt; "", " ", ""),CJ463,IF(OR(CJ463&lt;&gt;"", CI463&lt;&gt;""), "{}",""), CH463, CM463,"{SILVER}", CK463)</f>
        <v>{BLACK}Length: {GOLD}0.9 tiles{}{SILVER}The basic chassis of the Cargowaggon van adapted naturally to a sturdy, high-capacity flat wagon, used for steel, wood and other cargo, then later adapted for departmental work carrying welded rail and as match wagons.</v>
      </c>
    </row>
    <row r="464" customFormat="false" ht="14.25" hidden="false" customHeight="false" outlineLevel="0" collapsed="false">
      <c r="A464" s="1" t="s">
        <v>1790</v>
      </c>
      <c r="B464" s="15" t="s">
        <v>1791</v>
      </c>
      <c r="C464" s="1" t="n">
        <v>73</v>
      </c>
      <c r="E464" s="1" t="n">
        <v>1091</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198</v>
      </c>
      <c r="J464" s="1" t="s">
        <v>1476</v>
      </c>
      <c r="K464" s="1" t="s">
        <v>1476</v>
      </c>
      <c r="L464" s="1" t="s">
        <v>149</v>
      </c>
      <c r="M464" s="1" t="n">
        <v>1998</v>
      </c>
      <c r="Z464" s="1" t="n">
        <v>24</v>
      </c>
      <c r="AB464" s="1" t="n">
        <v>8</v>
      </c>
      <c r="AD464" s="4" t="str">
        <f aca="false">IF(AND(Z464&gt;0,AC464&gt;0),(AC464/((Z464+AA464)*10)),"")</f>
        <v/>
      </c>
      <c r="AE464" s="1" t="n">
        <v>85</v>
      </c>
      <c r="AF464" s="1" t="n">
        <f aca="false">ROUND(AE464*1.6, 0)</f>
        <v>136</v>
      </c>
      <c r="AI464" s="1" t="n">
        <v>18.6</v>
      </c>
      <c r="AJ464" s="1" t="n">
        <v>18.6</v>
      </c>
      <c r="AM464" s="5" t="n">
        <v>78</v>
      </c>
      <c r="AN464" s="1" t="str">
        <f aca="false">CONCATENATE(VLOOKUP(AO464, 'Voxel Sizes'!$A$2:$B$18,2,FALSE()),"x",INT(AK464*15), "x", INT(AL464*15))</f>
        <v>186x0x0</v>
      </c>
      <c r="AO464" s="1" t="n">
        <f aca="false">ROUND(15*((AJ464*10)/256),0)</f>
        <v>11</v>
      </c>
      <c r="AQ464" s="1" t="str">
        <f aca="false">CONCATENATE(VLOOKUP(AO464,Constants!$A$2:$C$16,IF(AP464&lt;&gt;"", 3, 2), FALSE()),IF(AP464&lt;&gt;"",CONCATENATE(",",VLOOKUP(AP464,$B:$AQ,39,FALSE())),""))</f>
        <v>4,3,4</v>
      </c>
      <c r="BA464" s="1" t="n">
        <v>30</v>
      </c>
      <c r="BB464" s="16" t="str">
        <f aca="false">IF(O464&lt;&gt;"",MAX(16,(O464-M464)+8),"")</f>
        <v/>
      </c>
      <c r="BE464" s="1" t="n">
        <f aca="false">MIN(AE464/150, 1)*30</f>
        <v>17</v>
      </c>
      <c r="BF464" s="1" t="n">
        <f aca="false">MIN(Q464/4000, 1)*20</f>
        <v>0</v>
      </c>
      <c r="BG464" s="1" t="n">
        <f aca="false">MIN(AC464/400,1)*20</f>
        <v>0</v>
      </c>
      <c r="BH464" s="4" t="n">
        <f aca="false">1-(MAX(M464-1900, 0)/750)</f>
        <v>0.869333333333333</v>
      </c>
      <c r="BI464" s="1" t="n">
        <f aca="false">((MAX($P464,1)*MIN($AM464/300,1)))*IF(J464="Wagon",50,10)</f>
        <v>13</v>
      </c>
      <c r="BJ464" s="1" t="n">
        <f aca="false">VLOOKUP($K464,Constants!$I:$K, 2, FALSE())</f>
        <v>1</v>
      </c>
      <c r="BK464" s="1" t="n">
        <f aca="false">VLOOKUP($K464,Constants!$I:$K, 3, FALSE())*IF(AND(J464="multiple_unit",AE464&lt;110),0.75,1)</f>
        <v>0.45</v>
      </c>
      <c r="BL464" s="1" t="n">
        <f aca="false">INT(POWER(((Constants!$G$2+$BE464+$BF464+$BG464+$BI464)*$BH464)*$BK464, 1.05))+$BD464</f>
        <v>15</v>
      </c>
      <c r="BM464" s="1" t="n">
        <f aca="false">INT(POWER((((Constants!$G$1+$BE464+$BF464+$BG464+$BI464)*($BH464))*$BJ464),IF($J464="wagon",1,1.2)))+$BC464</f>
        <v>39</v>
      </c>
      <c r="BN464" s="17" t="n">
        <f aca="false">BL464*IF($J464="wagon",62.5,781.25)</f>
        <v>937.5</v>
      </c>
      <c r="BO464" s="17" t="n">
        <f aca="false">BM464*IF($J464="wagon",2.73,81.25)</f>
        <v>106.47</v>
      </c>
      <c r="BY464" s="1" t="n">
        <v>1</v>
      </c>
      <c r="BZ464" s="1" t="n">
        <v>185</v>
      </c>
      <c r="CB464" s="1" t="s">
        <v>1784</v>
      </c>
      <c r="CC464" s="1" t="s">
        <v>1785</v>
      </c>
      <c r="CD464" s="1" t="str">
        <f aca="false">VLOOKUP(M464,Eras!$A$2:$C$10, 2, TRUE())</f>
        <v>prv</v>
      </c>
      <c r="CE464" s="1" t="s">
        <v>1753</v>
      </c>
      <c r="CF464" s="1" t="str">
        <f aca="false">CONCATENATE(CD464,"_",CE464)</f>
        <v>prv_Flat Wagon</v>
      </c>
      <c r="CG464" s="1" t="str">
        <f aca="false">_xlfn.CONCAT(K464, "_",L464)</f>
        <v>wagon_RAIL</v>
      </c>
      <c r="CH464" s="7" t="str">
        <f aca="false">_xlfn.CONCAT("{BLACK}Length: {GOLD}", TEXT(ROUNDUP(IF(AT464&lt;&gt;"",SUM(VALUE(_xlfn.TEXTSPLIT(AT464, ","))), SUM(VALUE(_xlfn.TEXTSPLIT(AQ464, ",")))*IF(P464, P464, 1))/16, 1), "#,##0.0"), " tiles{}")</f>
        <v>{BLACK}Length: {GOLD}0.7 tiles{}</v>
      </c>
      <c r="CI464" s="1" t="n">
        <f aca="false">VLOOKUP($CG464, Constants!$M:$N, 2, FALSE())</f>
        <v>0</v>
      </c>
      <c r="CJ464" s="1" t="str">
        <f aca="false">IF(P464&gt;1,_xlfn.CONCAT("{BLACK}Cars: {GOLD}", P464),"")</f>
        <v/>
      </c>
      <c r="CK464" s="1" t="s">
        <v>1792</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{GOLD}0.7 tiles{}{SILVER}The BYA/BRA covered steel carriers gained their name from the corrugated sliding cover and its curved cross section.</v>
      </c>
      <c r="CO464" s="1" t="n">
        <v>1</v>
      </c>
    </row>
    <row r="465" customFormat="false" ht="14.25" hidden="false" customHeight="false" outlineLevel="0" collapsed="false">
      <c r="A465" s="1" t="s">
        <v>1793</v>
      </c>
      <c r="B465" s="15" t="s">
        <v>1794</v>
      </c>
      <c r="C465" s="1" t="n">
        <v>74</v>
      </c>
      <c r="E465" s="1" t="n">
        <v>1092</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198</v>
      </c>
      <c r="J465" s="1" t="s">
        <v>1476</v>
      </c>
      <c r="K465" s="1" t="s">
        <v>1476</v>
      </c>
      <c r="L465" s="1" t="s">
        <v>149</v>
      </c>
      <c r="M465" s="1" t="n">
        <v>1860</v>
      </c>
      <c r="O465" s="1" t="n">
        <v>1922</v>
      </c>
      <c r="Z465" s="1" t="n">
        <v>5</v>
      </c>
      <c r="AB465" s="1" t="n">
        <v>2</v>
      </c>
      <c r="AD465" s="4" t="str">
        <f aca="false">IF(AND(Z465&gt;0,AC465&gt;0),(AC465/((Z465+AA465)*10)),"")</f>
        <v/>
      </c>
      <c r="AE465" s="1" t="n">
        <v>35</v>
      </c>
      <c r="AF465" s="1" t="n">
        <f aca="false">ROUND(AE465*1.6, 0)</f>
        <v>56</v>
      </c>
      <c r="AI465" s="1" t="n">
        <v>4.9</v>
      </c>
      <c r="AJ465" s="1" t="n">
        <v>6</v>
      </c>
      <c r="AM465" s="5" t="n">
        <v>15</v>
      </c>
      <c r="AN465" s="1" t="str">
        <f aca="false">CONCATENATE(VLOOKUP(AO465, 'Voxel Sizes'!$A$2:$B$18,2,FALSE()),"x",INT(AK465*15), "x", INT(AL465*15))</f>
        <v>60x0x0</v>
      </c>
      <c r="AO465" s="1" t="n">
        <f aca="false">ROUND(15*((AJ465*10)/256),0)</f>
        <v>4</v>
      </c>
      <c r="AQ465" s="1" t="str">
        <f aca="false">CONCATENATE(VLOOKUP(AO465,Constants!$A$2:$C$16,IF(AP465&lt;&gt;"", 3, 2), FALSE()),IF(AP465&lt;&gt;"",CONCATENATE(",",VLOOKUP(AP465,$B:$AQ,39,FALSE())),""))</f>
        <v>1,2,1</v>
      </c>
      <c r="BA465" s="1" t="n">
        <v>30</v>
      </c>
      <c r="BB465" s="16" t="n">
        <f aca="false">IF(O465&lt;&gt;"",MAX(16,(O465-M465)+8),"")</f>
        <v>70</v>
      </c>
      <c r="BE465" s="1" t="n">
        <f aca="false">MIN(AE465/150, 1)*30</f>
        <v>7</v>
      </c>
      <c r="BF465" s="1" t="n">
        <f aca="false">MIN(Q465/4000, 1)*20</f>
        <v>0</v>
      </c>
      <c r="BG465" s="1" t="n">
        <f aca="false">MIN(AC465/400,1)*20</f>
        <v>0</v>
      </c>
      <c r="BH465" s="4" t="n">
        <f aca="false">1-(MAX(M465-1900, 0)/750)</f>
        <v>1</v>
      </c>
      <c r="BI465" s="1" t="n">
        <f aca="false">((MAX($P465,1)*MIN($AM465/300,1)))*IF(J465="Wagon",50,10)</f>
        <v>2.5</v>
      </c>
      <c r="BJ465" s="1" t="n">
        <f aca="false">VLOOKUP($K465,Constants!$I:$K, 2, FALSE())</f>
        <v>1</v>
      </c>
      <c r="BK465" s="1" t="n">
        <f aca="false">VLOOKUP($K465,Constants!$I:$K, 3, FALSE())*IF(AND(J465="multiple_unit",AE465&lt;110),0.75,1)</f>
        <v>0.45</v>
      </c>
      <c r="BL465" s="1" t="n">
        <f aca="false">INT(POWER(((Constants!$G$2+$BE465+$BF465+$BG465+$BI465)*$BH465)*$BK465, 1.05))+$BD465</f>
        <v>7</v>
      </c>
      <c r="BM465" s="1" t="n">
        <f aca="false">INT(POWER((((Constants!$G$1+$BE465+$BF465+$BG465+$BI465)*($BH465))*$BJ465),IF($J465="wagon",1,1.2)))+$BC465</f>
        <v>24</v>
      </c>
      <c r="BN465" s="17" t="n">
        <f aca="false">BL465*IF($J465="wagon",62.5,781.25)</f>
        <v>437.5</v>
      </c>
      <c r="BO465" s="17" t="n">
        <f aca="false">BM465*IF($J465="wagon",2.73,81.25)</f>
        <v>65.52</v>
      </c>
      <c r="BY465" s="1" t="n">
        <v>1</v>
      </c>
      <c r="BZ465" s="1" t="n">
        <v>185</v>
      </c>
      <c r="CB465" s="1" t="s">
        <v>1795</v>
      </c>
      <c r="CC465" s="1" t="s">
        <v>1796</v>
      </c>
      <c r="CD465" s="1" t="str">
        <f aca="false">VLOOKUP(M465,Eras!$A$2:$C$10, 2, TRUE())</f>
        <v>vct</v>
      </c>
      <c r="CE465" s="1" t="s">
        <v>1795</v>
      </c>
      <c r="CF465" s="1" t="str">
        <f aca="false">CONCATENATE(CD465,"_",CE465)</f>
        <v>vct_Tanker</v>
      </c>
      <c r="CG465" s="1" t="str">
        <f aca="false">_xlfn.CONCAT(K465, "_",L465)</f>
        <v>wagon_RAIL</v>
      </c>
      <c r="CH465" s="7" t="str">
        <f aca="false">_xlfn.CONCAT("{BLACK}Length: {GOLD}", TEXT(ROUNDUP(IF(AT465&lt;&gt;"",SUM(VALUE(_xlfn.TEXTSPLIT(AT465, ","))), SUM(VALUE(_xlfn.TEXTSPLIT(AQ465, ",")))*IF(P465, P465, 1))/16, 1), "#,##0.0"), " tiles{}")</f>
        <v>{BLACK}Length: {GOLD}0.3 tiles{}</v>
      </c>
      <c r="CI465" s="1" t="n">
        <f aca="false">VLOOKUP($CG465, Constants!$M:$N, 2, FALSE())</f>
        <v>0</v>
      </c>
      <c r="CJ465" s="1" t="str">
        <f aca="false">IF(P465&gt;1,_xlfn.CONCAT("{BLACK}Cars: {GOLD}", P465),"")</f>
        <v/>
      </c>
      <c r="CK465" s="1" t="s">
        <v>1797</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{GOLD}0.3 tiles{}{SILVER}Early four wheel tank wagons are limited to low speeds by their construction and primitive suspension.</v>
      </c>
    </row>
    <row r="466" customFormat="false" ht="14.25" hidden="false" customHeight="false" outlineLevel="0" collapsed="false">
      <c r="A466" s="1" t="s">
        <v>1798</v>
      </c>
      <c r="B466" s="15" t="s">
        <v>1799</v>
      </c>
      <c r="C466" s="1" t="n">
        <v>75</v>
      </c>
      <c r="E466" s="1" t="n">
        <v>1093</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198</v>
      </c>
      <c r="J466" s="1" t="s">
        <v>1476</v>
      </c>
      <c r="K466" s="1" t="s">
        <v>1476</v>
      </c>
      <c r="L466" s="1" t="s">
        <v>149</v>
      </c>
      <c r="M466" s="1" t="n">
        <v>1901</v>
      </c>
      <c r="O466" s="1" t="n">
        <v>1939</v>
      </c>
      <c r="Z466" s="1" t="n">
        <v>10</v>
      </c>
      <c r="AB466" s="1" t="n">
        <v>3</v>
      </c>
      <c r="AD466" s="4" t="str">
        <f aca="false">IF(AND(Z466&gt;0,AC466&gt;0),(AC466/((Z466+AA466)*10)),"")</f>
        <v/>
      </c>
      <c r="AE466" s="1" t="n">
        <v>45</v>
      </c>
      <c r="AF466" s="1" t="n">
        <f aca="false">ROUND(AE466*1.6, 0)</f>
        <v>72</v>
      </c>
      <c r="AI466" s="1" t="n">
        <v>8</v>
      </c>
      <c r="AJ466" s="1" t="n">
        <v>8</v>
      </c>
      <c r="AM466" s="5" t="n">
        <v>21</v>
      </c>
      <c r="AN466" s="1" t="str">
        <f aca="false">CONCATENATE(VLOOKUP(AO466, 'Voxel Sizes'!$A$2:$B$18,2,FALSE()),"x",INT(AK466*15), "x", INT(AL466*15))</f>
        <v>82x0x0</v>
      </c>
      <c r="AO466" s="1" t="n">
        <f aca="false">ROUND(15*((AJ466*10)/256),0)</f>
        <v>5</v>
      </c>
      <c r="AQ466" s="1" t="str">
        <f aca="false">CONCATENATE(VLOOKUP(AO466,Constants!$A$2:$C$16,IF(AP466&lt;&gt;"", 3, 2), FALSE()),IF(AP466&lt;&gt;"",CONCATENATE(",",VLOOKUP(AP466,$B:$AQ,39,FALSE())),""))</f>
        <v>2,1,2</v>
      </c>
      <c r="BA466" s="1" t="n">
        <v>30</v>
      </c>
      <c r="BB466" s="16" t="n">
        <f aca="false">IF(O466&lt;&gt;"",MAX(16,(O466-M466)+8),"")</f>
        <v>46</v>
      </c>
      <c r="BE466" s="1" t="n">
        <f aca="false">MIN(AE466/150, 1)*30</f>
        <v>9</v>
      </c>
      <c r="BF466" s="1" t="n">
        <f aca="false">MIN(Q466/4000, 1)*20</f>
        <v>0</v>
      </c>
      <c r="BG466" s="1" t="n">
        <f aca="false">MIN(AC466/400,1)*20</f>
        <v>0</v>
      </c>
      <c r="BH466" s="4" t="n">
        <f aca="false">1-(MAX(M466-1900, 0)/750)</f>
        <v>0.998666666666667</v>
      </c>
      <c r="BI466" s="1" t="n">
        <f aca="false">((MAX($P466,1)*MIN($AM466/300,1)))*IF(J466="Wagon",50,10)</f>
        <v>3.5</v>
      </c>
      <c r="BJ466" s="1" t="n">
        <f aca="false">VLOOKUP($K466,Constants!$I:$K, 2, FALSE())</f>
        <v>1</v>
      </c>
      <c r="BK466" s="1" t="n">
        <f aca="false">VLOOKUP($K466,Constants!$I:$K, 3, FALSE())*IF(AND(J466="multiple_unit",AE466&lt;110),0.75,1)</f>
        <v>0.45</v>
      </c>
      <c r="BL466" s="1" t="n">
        <f aca="false">INT(POWER(((Constants!$G$2+$BE466+$BF466+$BG466+$BI466)*$BH466)*$BK466, 1.05))+$BD466</f>
        <v>8</v>
      </c>
      <c r="BM466" s="1" t="n">
        <f aca="false">INT(POWER((((Constants!$G$1+$BE466+$BF466+$BG466+$BI466)*($BH466))*$BJ466),IF($J466="wagon",1,1.2)))+$BC466</f>
        <v>27</v>
      </c>
      <c r="BN466" s="17" t="n">
        <f aca="false">BL466*IF($J466="wagon",62.5,781.25)</f>
        <v>500</v>
      </c>
      <c r="BO466" s="17" t="n">
        <f aca="false">BM466*IF($J466="wagon",2.73,81.25)</f>
        <v>73.71</v>
      </c>
      <c r="BY466" s="1" t="n">
        <v>1</v>
      </c>
      <c r="BZ466" s="1" t="n">
        <v>185</v>
      </c>
      <c r="CB466" s="1" t="s">
        <v>1795</v>
      </c>
      <c r="CC466" s="1" t="s">
        <v>1796</v>
      </c>
      <c r="CD466" s="1" t="str">
        <f aca="false">VLOOKUP(M466,Eras!$A$2:$C$10, 2, TRUE())</f>
        <v>edw</v>
      </c>
      <c r="CE466" s="1" t="s">
        <v>1795</v>
      </c>
      <c r="CF466" s="1" t="str">
        <f aca="false">CONCATENATE(CD466,"_",CE466)</f>
        <v>edw_Tanker</v>
      </c>
      <c r="CG466" s="1" t="str">
        <f aca="false">_xlfn.CONCAT(K466, "_",L466)</f>
        <v>wagon_RAIL</v>
      </c>
      <c r="CH466" s="7" t="str">
        <f aca="false">_xlfn.CONCAT("{BLACK}Length: {GOLD}", TEXT(ROUNDUP(IF(AT466&lt;&gt;"",SUM(VALUE(_xlfn.TEXTSPLIT(AT466, ","))), SUM(VALUE(_xlfn.TEXTSPLIT(AQ466, ",")))*IF(P466, P466, 1))/16, 1), "#,##0.0"), " tiles{}")</f>
        <v>{BLACK}Length: {GOLD}0.4 tiles{}</v>
      </c>
      <c r="CI466" s="1" t="n">
        <f aca="false">VLOOKUP($CG466, Constants!$M:$N, 2, FALSE())</f>
        <v>0</v>
      </c>
      <c r="CJ466" s="1" t="str">
        <f aca="false">IF(P466&gt;1,_xlfn.CONCAT("{BLACK}Cars: {GOLD}", P466),"")</f>
        <v/>
      </c>
      <c r="CK466" s="1" t="s">
        <v>1800</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{GOLD}0.4 tiles{}{SILVER}The GWR's cylindrical tank wagons were built by the Locomotive department, as the iron cylinders used similar techniques to steam engines.</v>
      </c>
    </row>
    <row r="467" customFormat="false" ht="14.25" hidden="false" customHeight="false" outlineLevel="0" collapsed="false">
      <c r="A467" s="1" t="s">
        <v>1801</v>
      </c>
      <c r="B467" s="15" t="s">
        <v>1802</v>
      </c>
      <c r="C467" s="1" t="n">
        <v>76</v>
      </c>
      <c r="E467" s="1" t="n">
        <v>1094</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198</v>
      </c>
      <c r="J467" s="1" t="s">
        <v>1476</v>
      </c>
      <c r="K467" s="1" t="s">
        <v>1476</v>
      </c>
      <c r="L467" s="1" t="s">
        <v>149</v>
      </c>
      <c r="M467" s="1" t="n">
        <v>1928</v>
      </c>
      <c r="O467" s="1" t="n">
        <v>1975</v>
      </c>
      <c r="Z467" s="1" t="n">
        <v>11</v>
      </c>
      <c r="AB467" s="1" t="n">
        <v>3</v>
      </c>
      <c r="AE467" s="1" t="n">
        <v>50</v>
      </c>
      <c r="AF467" s="1" t="n">
        <f aca="false">ROUND(AE467*1.6, 0)</f>
        <v>80</v>
      </c>
      <c r="AI467" s="1" t="n">
        <v>8</v>
      </c>
      <c r="AJ467" s="1" t="n">
        <v>8</v>
      </c>
      <c r="AM467" s="5" t="n">
        <v>27</v>
      </c>
      <c r="AN467" s="1" t="str">
        <f aca="false">CONCATENATE(VLOOKUP(AO467, 'Voxel Sizes'!$A$2:$B$18,2,FALSE()),"x",INT(AK467*15), "x", INT(AL467*15))</f>
        <v>82x0x0</v>
      </c>
      <c r="AO467" s="1" t="n">
        <f aca="false">ROUND(15*((AJ467*10)/256),0)</f>
        <v>5</v>
      </c>
      <c r="AQ467" s="1" t="str">
        <f aca="false">CONCATENATE(VLOOKUP(AO467,Constants!$A$2:$C$16,IF(AP467&lt;&gt;"", 3, 2), FALSE()),IF(AP467&lt;&gt;"",CONCATENATE(",",VLOOKUP(AP467,$B:$AQ,39,FALSE())),""))</f>
        <v>2,1,2</v>
      </c>
      <c r="BA467" s="1" t="n">
        <v>30</v>
      </c>
      <c r="BB467" s="16" t="n">
        <f aca="false">IF(O467&lt;&gt;"",MAX(16,(O467-M467)+8),"")</f>
        <v>55</v>
      </c>
      <c r="BE467" s="1" t="n">
        <f aca="false">MIN(AE467/150, 1)*30</f>
        <v>10</v>
      </c>
      <c r="BF467" s="1" t="n">
        <f aca="false">MIN(Q467/4000, 1)*20</f>
        <v>0</v>
      </c>
      <c r="BG467" s="1" t="n">
        <f aca="false">MIN(AC467/400,1)*20</f>
        <v>0</v>
      </c>
      <c r="BH467" s="4" t="n">
        <f aca="false">1-(MAX(M467-1900, 0)/750)</f>
        <v>0.962666666666667</v>
      </c>
      <c r="BI467" s="1" t="n">
        <f aca="false">((MAX($P467,1)*MIN($AM467/300,1)))*IF(J467="Wagon",50,10)</f>
        <v>4.5</v>
      </c>
      <c r="BJ467" s="1" t="n">
        <f aca="false">VLOOKUP($K467,Constants!$I:$K, 2, FALSE())</f>
        <v>1</v>
      </c>
      <c r="BK467" s="1" t="n">
        <f aca="false">VLOOKUP($K467,Constants!$I:$K, 3, FALSE())*IF(AND(J467="multiple_unit",AE467&lt;110),0.75,1)</f>
        <v>0.45</v>
      </c>
      <c r="BL467" s="1" t="n">
        <f aca="false">INT(POWER(((Constants!$G$2+$BE467+$BF467+$BG467+$BI467)*$BH467)*$BK467, 1.05))+$BD467</f>
        <v>9</v>
      </c>
      <c r="BM467" s="1" t="n">
        <f aca="false">INT(POWER((((Constants!$G$1+$BE467+$BF467+$BG467+$BI467)*($BH467))*$BJ467),IF($J467="wagon",1,1.2)))+$BC467</f>
        <v>28</v>
      </c>
      <c r="BN467" s="17" t="n">
        <f aca="false">BL467*IF($J467="wagon",62.5,781.25)</f>
        <v>562.5</v>
      </c>
      <c r="BO467" s="17" t="n">
        <f aca="false">BM467*IF($J467="wagon",2.73,81.25)</f>
        <v>76.44</v>
      </c>
      <c r="BY467" s="1" t="n">
        <v>1</v>
      </c>
      <c r="BZ467" s="1" t="n">
        <v>185</v>
      </c>
      <c r="CB467" s="1" t="s">
        <v>1795</v>
      </c>
      <c r="CC467" s="1" t="s">
        <v>1796</v>
      </c>
      <c r="CD467" s="1" t="str">
        <f aca="false">VLOOKUP(M467,Eras!$A$2:$C$10, 2, TRUE())</f>
        <v>big4</v>
      </c>
      <c r="CE467" s="1" t="s">
        <v>1795</v>
      </c>
      <c r="CF467" s="1" t="str">
        <f aca="false">CONCATENATE(CD467,"_",CE467)</f>
        <v>big4_Tanker</v>
      </c>
      <c r="CG467" s="1" t="str">
        <f aca="false">_xlfn.CONCAT(K467, "_",L467)</f>
        <v>wagon_RAIL</v>
      </c>
      <c r="CH467" s="7" t="str">
        <f aca="false">_xlfn.CONCAT("{BLACK}Length: {GOLD}", TEXT(ROUNDUP(IF(AT467&lt;&gt;"",SUM(VALUE(_xlfn.TEXTSPLIT(AT467, ","))), SUM(VALUE(_xlfn.TEXTSPLIT(AQ467, ",")))*IF(P467, P467, 1))/16, 1), "#,##0.0"), " tiles{}")</f>
        <v>{BLACK}Length: {GOLD}0.4 tiles{}</v>
      </c>
      <c r="CI467" s="1" t="n">
        <f aca="false">VLOOKUP($CG467, Constants!$M:$N, 2, FALSE())</f>
        <v>0</v>
      </c>
      <c r="CJ467" s="1" t="str">
        <f aca="false">IF(P467&gt;1,_xlfn.CONCAT("{BLACK}Cars: {GOLD}", P467),"")</f>
        <v/>
      </c>
      <c r="CK467" s="1" t="s">
        <v>1803</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{GOLD}0.4 tiles{}{SILVER}Six wheeled tank wagons formed the core of the GWR (and later BR) "milk trains", long freight consists transporting milk from farms to cities.</v>
      </c>
      <c r="CO467" s="1" t="n">
        <v>1</v>
      </c>
    </row>
    <row r="468" customFormat="false" ht="14.25" hidden="false" customHeight="false" outlineLevel="0" collapsed="false">
      <c r="A468" s="1" t="s">
        <v>1804</v>
      </c>
      <c r="B468" s="15" t="s">
        <v>1805</v>
      </c>
      <c r="C468" s="1" t="n">
        <v>77</v>
      </c>
      <c r="E468" s="1" t="n">
        <v>1095</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198</v>
      </c>
      <c r="J468" s="1" t="s">
        <v>1476</v>
      </c>
      <c r="K468" s="1" t="s">
        <v>1476</v>
      </c>
      <c r="L468" s="1" t="s">
        <v>149</v>
      </c>
      <c r="M468" s="1" t="n">
        <v>1966</v>
      </c>
      <c r="Z468" s="1" t="n">
        <v>12</v>
      </c>
      <c r="AB468" s="1" t="n">
        <v>4</v>
      </c>
      <c r="AD468" s="4" t="str">
        <f aca="false">IF(AND(Z468&gt;0,AC468&gt;0),(AC468/((Z468+AA468)*10)),"")</f>
        <v/>
      </c>
      <c r="AE468" s="1" t="n">
        <v>65</v>
      </c>
      <c r="AF468" s="1" t="n">
        <f aca="false">ROUND(AE468*1.6, 0)</f>
        <v>104</v>
      </c>
      <c r="AI468" s="1" t="n">
        <v>9.8</v>
      </c>
      <c r="AJ468" s="1" t="n">
        <v>9.8</v>
      </c>
      <c r="AM468" s="5" t="n">
        <v>33</v>
      </c>
      <c r="AN468" s="1" t="str">
        <f aca="false">CONCATENATE(VLOOKUP(AO468, 'Voxel Sizes'!$A$2:$B$18,2,FALSE()),"x",INT(AK468*15), "x", INT(AL468*15))</f>
        <v>102x0x0</v>
      </c>
      <c r="AO468" s="1" t="n">
        <f aca="false">ROUND(15*((AJ468*10)/256),0)</f>
        <v>6</v>
      </c>
      <c r="AQ468" s="1" t="str">
        <f aca="false">CONCATENATE(VLOOKUP(AO468,Constants!$A$2:$C$16,IF(AP468&lt;&gt;"", 3, 2), FALSE()),IF(AP468&lt;&gt;"",CONCATENATE(",",VLOOKUP(AP468,$B:$AQ,39,FALSE())),""))</f>
        <v>2,2,2</v>
      </c>
      <c r="BA468" s="1" t="n">
        <v>30</v>
      </c>
      <c r="BB468" s="16" t="str">
        <f aca="false">IF(O468&lt;&gt;"",MAX(16,(O468-M468)+8),"")</f>
        <v/>
      </c>
      <c r="BE468" s="1" t="n">
        <f aca="false">MIN(AE468/150, 1)*30</f>
        <v>13</v>
      </c>
      <c r="BF468" s="1" t="n">
        <f aca="false">MIN(Q468/4000, 1)*20</f>
        <v>0</v>
      </c>
      <c r="BG468" s="1" t="n">
        <f aca="false">MIN(AC468/400,1)*20</f>
        <v>0</v>
      </c>
      <c r="BH468" s="4" t="n">
        <f aca="false">1-(MAX(M468-1900, 0)/750)</f>
        <v>0.912</v>
      </c>
      <c r="BI468" s="1" t="n">
        <f aca="false">((MAX($P468,1)*MIN($AM468/300,1)))*IF(J468="Wagon",50,10)</f>
        <v>5.5</v>
      </c>
      <c r="BJ468" s="1" t="n">
        <f aca="false">VLOOKUP($K468,Constants!$I:$K, 2, FALSE())</f>
        <v>1</v>
      </c>
      <c r="BK468" s="1" t="n">
        <f aca="false">VLOOKUP($K468,Constants!$I:$K, 3, FALSE())*IF(AND(J468="multiple_unit",AE468&lt;110),0.75,1)</f>
        <v>0.45</v>
      </c>
      <c r="BL468" s="1" t="n">
        <f aca="false">INT(POWER(((Constants!$G$2+$BE468+$BF468+$BG468+$BI468)*$BH468)*$BK468, 1.05))+$BD468</f>
        <v>10</v>
      </c>
      <c r="BM468" s="1" t="n">
        <f aca="false">INT(POWER((((Constants!$G$1+$BE468+$BF468+$BG468+$BI468)*($BH468))*$BJ468),IF($J468="wagon",1,1.2)))+$BC468</f>
        <v>30</v>
      </c>
      <c r="BN468" s="17" t="n">
        <f aca="false">BL468*IF($J468="wagon",62.5,781.25)</f>
        <v>625</v>
      </c>
      <c r="BO468" s="17" t="n">
        <f aca="false">BM468*IF($J468="wagon",2.73,81.25)</f>
        <v>81.9</v>
      </c>
      <c r="BY468" s="1" t="n">
        <v>1</v>
      </c>
      <c r="BZ468" s="1" t="n">
        <v>185</v>
      </c>
      <c r="CB468" s="1" t="s">
        <v>1795</v>
      </c>
      <c r="CC468" s="1" t="s">
        <v>1796</v>
      </c>
      <c r="CD468" s="1" t="str">
        <f aca="false">VLOOKUP(M468,Eras!$A$2:$C$10, 2, TRUE())</f>
        <v>dsl</v>
      </c>
      <c r="CE468" s="1" t="s">
        <v>1795</v>
      </c>
      <c r="CF468" s="1" t="str">
        <f aca="false">CONCATENATE(CD468,"_",CE468)</f>
        <v>dsl_Tanker</v>
      </c>
      <c r="CG468" s="1" t="str">
        <f aca="false">_xlfn.CONCAT(K468, "_",L468)</f>
        <v>wagon_RAIL</v>
      </c>
      <c r="CH468" s="7" t="str">
        <f aca="false">_xlfn.CONCAT("{BLACK}Length: {GOLD}", TEXT(ROUNDUP(IF(AT468&lt;&gt;"",SUM(VALUE(_xlfn.TEXTSPLIT(AT468, ","))), SUM(VALUE(_xlfn.TEXTSPLIT(AQ468, ",")))*IF(P468, P468, 1))/16, 1), "#,##0.0"), " tiles{}")</f>
        <v>{BLACK}Length: {GOLD}0.4 tiles{}</v>
      </c>
      <c r="CI468" s="1" t="n">
        <f aca="false">VLOOKUP($CG468, Constants!$M:$N, 2, FALSE())</f>
        <v>0</v>
      </c>
      <c r="CJ468" s="1" t="str">
        <f aca="false">IF(P468&gt;1,_xlfn.CONCAT("{BLACK}Cars: {GOLD}", P468),"")</f>
        <v/>
      </c>
      <c r="CK468" s="1" t="s">
        <v>1806</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{GOLD}0.4 tiles{}{SILVER}TTA tankers were constructed on "monobloc" principles and featured automatic braking.</v>
      </c>
      <c r="CO468" s="1" t="n">
        <v>1</v>
      </c>
    </row>
    <row r="469" customFormat="false" ht="14.25" hidden="false" customHeight="false" outlineLevel="0" collapsed="false">
      <c r="A469" s="1" t="s">
        <v>1807</v>
      </c>
      <c r="B469" s="15" t="s">
        <v>1808</v>
      </c>
      <c r="C469" s="1" t="n">
        <v>78</v>
      </c>
      <c r="E469" s="1" t="n">
        <v>1096</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198</v>
      </c>
      <c r="J469" s="1" t="s">
        <v>1476</v>
      </c>
      <c r="K469" s="1" t="s">
        <v>1476</v>
      </c>
      <c r="L469" s="1" t="s">
        <v>149</v>
      </c>
      <c r="M469" s="1" t="n">
        <v>1970</v>
      </c>
      <c r="Z469" s="1" t="n">
        <v>24</v>
      </c>
      <c r="AB469" s="1" t="n">
        <v>5</v>
      </c>
      <c r="AD469" s="4" t="str">
        <f aca="false">IF(AND(Z469&gt;0,AC469&gt;0),(AC469/((Z469+AA469)*10)),"")</f>
        <v/>
      </c>
      <c r="AE469" s="1" t="n">
        <v>70</v>
      </c>
      <c r="AF469" s="1" t="n">
        <f aca="false">ROUND(AE469*1.6, 0)</f>
        <v>112</v>
      </c>
      <c r="AI469" s="1" t="n">
        <v>17.7</v>
      </c>
      <c r="AJ469" s="1" t="n">
        <v>17.7</v>
      </c>
      <c r="AM469" s="5" t="n">
        <v>78</v>
      </c>
      <c r="AN469" s="1" t="str">
        <f aca="false">CONCATENATE(VLOOKUP(AO469, 'Voxel Sizes'!$A$2:$B$18,2,FALSE()),"x",INT(AK469*15), "x", INT(AL469*15))</f>
        <v>164x0x0</v>
      </c>
      <c r="AO469" s="1" t="n">
        <f aca="false">ROUND(15*((AJ469*10)/256),0)</f>
        <v>10</v>
      </c>
      <c r="AQ469" s="1" t="str">
        <f aca="false">CONCATENATE(VLOOKUP(AO469,Constants!$A$2:$C$16,IF(AP469&lt;&gt;"", 3, 2), FALSE()),IF(AP469&lt;&gt;"",CONCATENATE(",",VLOOKUP(AP469,$B:$AQ,39,FALSE())),""))</f>
        <v>4,2,4</v>
      </c>
      <c r="BA469" s="1" t="n">
        <v>30</v>
      </c>
      <c r="BB469" s="16" t="str">
        <f aca="false">IF(O469&lt;&gt;"",MAX(16,(O469-M469)+8),"")</f>
        <v/>
      </c>
      <c r="BE469" s="1" t="n">
        <f aca="false">MIN(AE469/150, 1)*30</f>
        <v>14</v>
      </c>
      <c r="BF469" s="1" t="n">
        <f aca="false">MIN(Q469/4000, 1)*20</f>
        <v>0</v>
      </c>
      <c r="BG469" s="1" t="n">
        <f aca="false">MIN(AC469/400,1)*20</f>
        <v>0</v>
      </c>
      <c r="BH469" s="4" t="n">
        <f aca="false">1-(MAX(M469-1900, 0)/750)</f>
        <v>0.906666666666667</v>
      </c>
      <c r="BI469" s="1" t="n">
        <f aca="false">((MAX($P469,1)*MIN($AM469/300,1)))*IF(J469="Wagon",50,10)</f>
        <v>13</v>
      </c>
      <c r="BJ469" s="1" t="n">
        <f aca="false">VLOOKUP($K469,Constants!$I:$K, 2, FALSE())</f>
        <v>1</v>
      </c>
      <c r="BK469" s="1" t="n">
        <f aca="false">VLOOKUP($K469,Constants!$I:$K, 3, FALSE())*IF(AND(J469="multiple_unit",AE469&lt;110),0.75,1)</f>
        <v>0.45</v>
      </c>
      <c r="BL469" s="1" t="n">
        <f aca="false">INT(POWER(((Constants!$G$2+$BE469+$BF469+$BG469+$BI469)*$BH469)*$BK469, 1.05))+$BD469</f>
        <v>14</v>
      </c>
      <c r="BM469" s="1" t="n">
        <f aca="false">INT(POWER((((Constants!$G$1+$BE469+$BF469+$BG469+$BI469)*($BH469))*$BJ469),IF($J469="wagon",1,1.2)))+$BC469</f>
        <v>38</v>
      </c>
      <c r="BN469" s="17" t="n">
        <f aca="false">BL469*IF($J469="wagon",62.5,781.25)</f>
        <v>875</v>
      </c>
      <c r="BO469" s="17" t="n">
        <f aca="false">BM469*IF($J469="wagon",2.73,81.25)</f>
        <v>103.74</v>
      </c>
      <c r="BY469" s="1" t="n">
        <v>1</v>
      </c>
      <c r="BZ469" s="1" t="n">
        <v>185</v>
      </c>
      <c r="CB469" s="1" t="s">
        <v>1795</v>
      </c>
      <c r="CC469" s="1" t="s">
        <v>1796</v>
      </c>
      <c r="CD469" s="1" t="str">
        <f aca="false">VLOOKUP(M469,Eras!$A$2:$C$10, 2, TRUE())</f>
        <v>lbr</v>
      </c>
      <c r="CE469" s="1" t="s">
        <v>1795</v>
      </c>
      <c r="CF469" s="1" t="str">
        <f aca="false">CONCATENATE(CD469,"_",CE469)</f>
        <v>lbr_Tanker</v>
      </c>
      <c r="CG469" s="1" t="str">
        <f aca="false">_xlfn.CONCAT(K469, "_",L469)</f>
        <v>wagon_RAIL</v>
      </c>
      <c r="CH469" s="7" t="str">
        <f aca="false">_xlfn.CONCAT("{BLACK}Length: {GOLD}", TEXT(ROUNDUP(IF(AT469&lt;&gt;"",SUM(VALUE(_xlfn.TEXTSPLIT(AT469, ","))), SUM(VALUE(_xlfn.TEXTSPLIT(AQ469, ",")))*IF(P469, P469, 1))/16, 1), "#,##0.0"), " tiles{}")</f>
        <v>{BLACK}Length: {GOLD}0.7 tiles{}</v>
      </c>
      <c r="CI469" s="1" t="n">
        <f aca="false">VLOOKUP($CG469, Constants!$M:$N, 2, FALSE())</f>
        <v>0</v>
      </c>
      <c r="CJ469" s="1" t="str">
        <f aca="false">IF(P469&gt;1,_xlfn.CONCAT("{BLACK}Cars: {GOLD}", P469),"")</f>
        <v/>
      </c>
      <c r="CK469" s="1" t="s">
        <v>1809</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{GOLD}0.7 tiles{}{SILVER}Large bogie tankers allowed for carrying heavy loads of liquids at high speeds. The long frames allow tanks to take up more space without fouling axles.</v>
      </c>
      <c r="CO469" s="1" t="n">
        <v>1</v>
      </c>
    </row>
    <row r="470" s="25" customFormat="true" ht="14.25" hidden="false" customHeight="false" outlineLevel="0" collapsed="false">
      <c r="A470" s="25" t="s">
        <v>1810</v>
      </c>
      <c r="B470" s="26" t="s">
        <v>1811</v>
      </c>
      <c r="C470" s="1" t="n">
        <v>3104</v>
      </c>
      <c r="E470" s="1" t="n">
        <v>1097</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25" t="s">
        <v>198</v>
      </c>
      <c r="J470" s="25" t="s">
        <v>1476</v>
      </c>
      <c r="K470" s="25" t="s">
        <v>1476</v>
      </c>
      <c r="L470" s="25" t="s">
        <v>149</v>
      </c>
      <c r="M470" s="25" t="n">
        <v>1936</v>
      </c>
      <c r="N470" s="25" t="n">
        <v>1962</v>
      </c>
      <c r="O470" s="25" t="n">
        <v>1966</v>
      </c>
      <c r="R470" s="2"/>
      <c r="S470" s="3"/>
      <c r="T470" s="3"/>
      <c r="U470" s="3"/>
      <c r="V470" s="3"/>
      <c r="W470" s="3"/>
      <c r="X470" s="3"/>
      <c r="Y470" s="3"/>
      <c r="Z470" s="25" t="n">
        <v>10.1</v>
      </c>
      <c r="AA470" s="2"/>
      <c r="AB470" s="25" t="n">
        <v>4</v>
      </c>
      <c r="AD470" s="4" t="str">
        <f aca="false">IF(AND(Z470&gt;0,AC470&gt;0),(AC470/((Z470+AA470)*10)),"")</f>
        <v/>
      </c>
      <c r="AE470" s="25" t="n">
        <v>45</v>
      </c>
      <c r="AF470" s="25" t="n">
        <f aca="false">ROUND(AE470*1.6, 0)</f>
        <v>72</v>
      </c>
      <c r="AI470" s="25" t="n">
        <v>9</v>
      </c>
      <c r="AJ470" s="25" t="n">
        <v>9</v>
      </c>
      <c r="AK470" s="25" t="n">
        <v>2.5</v>
      </c>
      <c r="AL470" s="25" t="n">
        <v>3.35</v>
      </c>
      <c r="AM470" s="5" t="n">
        <v>20</v>
      </c>
      <c r="AN470" s="1" t="str">
        <f aca="false">CONCATENATE(VLOOKUP(AO470, '[1]Voxel Sizes'!$A$2:$B$18,2,FALSE()),"x",INT(AK470*15), "x", INT(AL470*15))</f>
        <v>82x37x50</v>
      </c>
      <c r="AO470" s="25" t="n">
        <f aca="false">ROUND(15*((AJ470*10)/256),0)</f>
        <v>5</v>
      </c>
      <c r="AQ470" s="1" t="str">
        <f aca="false">CONCATENATE(VLOOKUP(AO470,Constants!$A$2:$C$16,IF(AP470&lt;&gt;"", 3, 2), FALSE()),IF(AP470&lt;&gt;"",CONCATENATE(",",VLOOKUP(AP470,$B:$AQ,42,FALSE())),""))</f>
        <v>2,1,2</v>
      </c>
      <c r="AS470" s="6"/>
      <c r="AT470" s="6"/>
      <c r="BA470" s="25" t="n">
        <v>30</v>
      </c>
      <c r="BB470" s="16" t="n">
        <f aca="false">IF(O470&lt;&gt;"",MAX(16,(O470-M470)+8),"")</f>
        <v>38</v>
      </c>
      <c r="BC470" s="25" t="n">
        <v>5</v>
      </c>
      <c r="BE470" s="25" t="n">
        <f aca="false">MIN(AE470/150, 1)*30</f>
        <v>9</v>
      </c>
      <c r="BF470" s="25" t="n">
        <f aca="false">MIN(Q470/4000, 1)*20</f>
        <v>0</v>
      </c>
      <c r="BG470" s="25" t="n">
        <f aca="false">MIN(AC470/400,1)*20</f>
        <v>0</v>
      </c>
      <c r="BH470" s="4" t="n">
        <f aca="false">1-(MAX(M470-1900, 0)/750)</f>
        <v>0.952</v>
      </c>
      <c r="BI470" s="25" t="n">
        <f aca="false">((MAX($P470,1)*MIN($AM470/300,1)))*IF(J470="Wagon",50,10)</f>
        <v>3.33333333333333</v>
      </c>
      <c r="BJ470" s="1" t="n">
        <f aca="false">VLOOKUP($K470,Constants!$I:$K, 2, FALSE())</f>
        <v>1</v>
      </c>
      <c r="BK470" s="1" t="n">
        <f aca="false">VLOOKUP($K470,Constants!$I:$K, 3, FALSE())*IF(AND(J470="multiple_unit",AE470&lt;110),0.75,1)</f>
        <v>0.45</v>
      </c>
      <c r="BL470" s="25" t="n">
        <f aca="false">INT(POWER((([1]Constants!$G$2+$BE470+$BF470+$BG470+$BI470)*$BH470)*$BK470, 1.05))+$BD470</f>
        <v>8</v>
      </c>
      <c r="BM470" s="25" t="n">
        <f aca="false">INT(POWER(((([1]Constants!$G$1+$BE470+$BF470+$BG470+$BI470)*($BH470))*$BJ470),IF($J470="wagon",1,1.2)))+$BC470</f>
        <v>31</v>
      </c>
      <c r="BN470" s="17" t="n">
        <f aca="false">BL470*IF($J470="wagon",62.5,781.25)</f>
        <v>500</v>
      </c>
      <c r="BO470" s="17" t="n">
        <f aca="false">BM470*IF($J470="wagon",2.73,81.25)</f>
        <v>84.63</v>
      </c>
      <c r="BY470" s="25" t="n">
        <v>1</v>
      </c>
      <c r="BZ470" s="25" t="n">
        <v>185</v>
      </c>
      <c r="CB470" s="25" t="s">
        <v>1812</v>
      </c>
      <c r="CC470" s="25" t="s">
        <v>1813</v>
      </c>
      <c r="CD470" s="25" t="str">
        <f aca="false">VLOOKUP(M470,[1]Eras!$A$2:$C$10, 2, TRUE())</f>
        <v>big4</v>
      </c>
      <c r="CE470" s="25" t="s">
        <v>1795</v>
      </c>
      <c r="CF470" s="25" t="str">
        <f aca="false">CONCATENATE(CD470,"_",CE470)</f>
        <v>big4_Tanker</v>
      </c>
      <c r="CG470" s="25" t="str">
        <f aca="false">_xlfn.CONCAT(K470, "_",L470)</f>
        <v>wagon_RAIL</v>
      </c>
      <c r="CH470" s="7" t="str">
        <f aca="false">_xlfn.CONCAT("{BLACK}Length: {GOLD}", TEXT(ROUNDUP(IF(AT470&lt;&gt;"",SUM(VALUE(_xlfn.TEXTSPLIT(AT470, ","))), SUM(VALUE(_xlfn.TEXTSPLIT(AQ470, ",")))*IF(P470, P470, 1))/16, 1), "#,##0.0"), " tiles{}")</f>
        <v>{BLACK}Length: {GOLD}0.4 tiles{}</v>
      </c>
      <c r="CI470" s="1" t="n">
        <f aca="false">VLOOKUP($CG470, Constants!$M:$N, 2, FALSE())</f>
        <v>0</v>
      </c>
      <c r="CJ470" s="1" t="str">
        <f aca="false">IF(P470&gt;1,_xlfn.CONCAT("{BLACK}Cars: {GOLD}", P470),"")</f>
        <v/>
      </c>
      <c r="CK470" s="25" t="s">
        <v>1814</v>
      </c>
      <c r="CM470" s="25" t="str">
        <f aca="false">IF(CA470="buffet","{YELLOW}25% long distance bonus for consist{}",IF(CD470="BRAKE","{YELLOW}Speed bonus for slow wagons{}",IF(BZ470&gt;190,CONCATENATE("{YELLOW}",INT((BZ470-185)/1.85),"% bonus for long distance travel{}"),IF(AND(BZ470&lt;180,BZ470&lt;&gt;0),CONCATENATE("{YELLOW}",INT((185-BZ470)/1.85),"% penalty for long distance travel{}"),""))))</f>
        <v/>
      </c>
      <c r="CN470" s="25" t="str">
        <f aca="false">_xlfn.CONCAT(CI470,IF(CI470 &lt;&gt; "", " ", ""),CJ470,IF(OR(CJ470&lt;&gt;"", CI470&lt;&gt;""), "{}",""), CH470, CM470,"{SILVER}", CK470)</f>
        <v>{BLACK}Length: {GOLD}0.4 tiles{}{SILVER}The LMS Grain Hooper was later standardised into the BR COVGRAIN standard design. Long-distance bulk grain service in covered hoppers was a significant efficiency gain over shipping bagged grain by the vanload.</v>
      </c>
    </row>
    <row r="471" s="25" customFormat="true" ht="14.25" hidden="false" customHeight="false" outlineLevel="0" collapsed="false">
      <c r="A471" s="25" t="s">
        <v>1815</v>
      </c>
      <c r="B471" s="26" t="s">
        <v>1816</v>
      </c>
      <c r="C471" s="1" t="n">
        <v>3107</v>
      </c>
      <c r="E471" s="1" t="n">
        <v>1098</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25" t="s">
        <v>198</v>
      </c>
      <c r="J471" s="25" t="s">
        <v>1476</v>
      </c>
      <c r="K471" s="25" t="s">
        <v>1476</v>
      </c>
      <c r="L471" s="25" t="s">
        <v>149</v>
      </c>
      <c r="M471" s="25" t="n">
        <v>1955</v>
      </c>
      <c r="N471" s="25" t="n">
        <v>1974</v>
      </c>
      <c r="O471" s="25" t="n">
        <v>1982</v>
      </c>
      <c r="R471" s="2"/>
      <c r="S471" s="3"/>
      <c r="T471" s="3"/>
      <c r="U471" s="3"/>
      <c r="V471" s="3"/>
      <c r="W471" s="3"/>
      <c r="X471" s="3"/>
      <c r="Y471" s="3"/>
      <c r="Z471" s="25" t="n">
        <v>9.7</v>
      </c>
      <c r="AA471" s="2"/>
      <c r="AB471" s="25" t="n">
        <v>4</v>
      </c>
      <c r="AD471" s="4" t="str">
        <f aca="false">IF(AND(Z471&gt;0,AC471&gt;0),(AC471/((Z471+AA471)*10)),"")</f>
        <v/>
      </c>
      <c r="AE471" s="25" t="n">
        <v>60</v>
      </c>
      <c r="AF471" s="25" t="n">
        <f aca="false">ROUND(AE471*1.6, 0)</f>
        <v>96</v>
      </c>
      <c r="AI471" s="25" t="n">
        <v>7.6</v>
      </c>
      <c r="AJ471" s="25" t="n">
        <v>8</v>
      </c>
      <c r="AK471" s="25" t="n">
        <v>2.5</v>
      </c>
      <c r="AL471" s="25" t="n">
        <v>3.35</v>
      </c>
      <c r="AM471" s="5" t="n">
        <v>22</v>
      </c>
      <c r="AN471" s="1" t="str">
        <f aca="false">CONCATENATE(VLOOKUP(AO471, '[1]Voxel Sizes'!$A$2:$B$18,2,FALSE()),"x",INT(AK471*15), "x", INT(AL471*15))</f>
        <v>82x37x50</v>
      </c>
      <c r="AO471" s="25" t="n">
        <f aca="false">ROUND(15*((AJ471*10)/256),0)</f>
        <v>5</v>
      </c>
      <c r="AQ471" s="1" t="str">
        <f aca="false">CONCATENATE(VLOOKUP(AO471,Constants!$A$2:$C$16,IF(AP471&lt;&gt;"", 3, 2), FALSE()),IF(AP471&lt;&gt;"",CONCATENATE(",",VLOOKUP(AP471,$B:$AQ,42,FALSE())),""))</f>
        <v>2,1,2</v>
      </c>
      <c r="AS471" s="6"/>
      <c r="AT471" s="6"/>
      <c r="BA471" s="25" t="n">
        <v>30</v>
      </c>
      <c r="BB471" s="16" t="n">
        <f aca="false">IF(O471&lt;&gt;"",MAX(16,(O471-M471)+8),"")</f>
        <v>35</v>
      </c>
      <c r="BC471" s="25" t="n">
        <v>5</v>
      </c>
      <c r="BE471" s="25" t="n">
        <f aca="false">MIN(AE471/150, 1)*30</f>
        <v>12</v>
      </c>
      <c r="BF471" s="25" t="n">
        <f aca="false">MIN(Q471/4000, 1)*20</f>
        <v>0</v>
      </c>
      <c r="BG471" s="25" t="n">
        <f aca="false">MIN(AC471/400,1)*20</f>
        <v>0</v>
      </c>
      <c r="BH471" s="4" t="n">
        <f aca="false">1-(MAX(M471-1900, 0)/750)</f>
        <v>0.926666666666667</v>
      </c>
      <c r="BI471" s="25" t="n">
        <f aca="false">((MAX($P471,1)*MIN($AM471/300,1)))*IF(J471="Wagon",50,10)</f>
        <v>3.66666666666667</v>
      </c>
      <c r="BJ471" s="1" t="n">
        <f aca="false">VLOOKUP($K471,Constants!$I:$K, 2, FALSE())</f>
        <v>1</v>
      </c>
      <c r="BK471" s="1" t="n">
        <f aca="false">VLOOKUP($K471,Constants!$I:$K, 3, FALSE())*IF(AND(J471="multiple_unit",AE471&lt;110),0.75,1)</f>
        <v>0.45</v>
      </c>
      <c r="BL471" s="25" t="n">
        <f aca="false">INT(POWER((([1]Constants!$G$2+$BE471+$BF471+$BG471+$BI471)*$BH471)*$BK471, 1.05))+$BD471</f>
        <v>9</v>
      </c>
      <c r="BM471" s="25" t="n">
        <f aca="false">INT(POWER(((([1]Constants!$G$1+$BE471+$BF471+$BG471+$BI471)*($BH471))*$BJ471),IF($J471="wagon",1,1.2)))+$BC471</f>
        <v>33</v>
      </c>
      <c r="BN471" s="17" t="n">
        <f aca="false">BL471*IF($J471="wagon",62.5,781.25)</f>
        <v>562.5</v>
      </c>
      <c r="BO471" s="17" t="n">
        <f aca="false">BM471*IF($J471="wagon",2.73,81.25)</f>
        <v>90.09</v>
      </c>
      <c r="BY471" s="25" t="n">
        <v>1</v>
      </c>
      <c r="BZ471" s="25" t="n">
        <v>185</v>
      </c>
      <c r="CB471" s="25" t="s">
        <v>1812</v>
      </c>
      <c r="CC471" s="25" t="s">
        <v>1813</v>
      </c>
      <c r="CD471" s="25" t="str">
        <f aca="false">VLOOKUP(M471,[1]Eras!$A$2:$C$10, 2, TRUE())</f>
        <v>dsl</v>
      </c>
      <c r="CE471" s="25" t="s">
        <v>1795</v>
      </c>
      <c r="CF471" s="25" t="str">
        <f aca="false">CONCATENATE(CD471,"_",CE471)</f>
        <v>dsl_Tanker</v>
      </c>
      <c r="CG471" s="25" t="str">
        <f aca="false">_xlfn.CONCAT(K471, "_",L471)</f>
        <v>wagon_RAIL</v>
      </c>
      <c r="CH471" s="7" t="str">
        <f aca="false">_xlfn.CONCAT("{BLACK}Length: {GOLD}", TEXT(ROUNDUP(IF(AT471&lt;&gt;"",SUM(VALUE(_xlfn.TEXTSPLIT(AT471, ","))), SUM(VALUE(_xlfn.TEXTSPLIT(AQ471, ",")))*IF(P471, P471, 1))/16, 1), "#,##0.0"), " tiles{}")</f>
        <v>{BLACK}Length: {GOLD}0.4 tiles{}</v>
      </c>
      <c r="CI471" s="1" t="n">
        <f aca="false">VLOOKUP($CG471, Constants!$M:$N, 2, FALSE())</f>
        <v>0</v>
      </c>
      <c r="CJ471" s="1" t="str">
        <f aca="false">IF(P471&gt;1,_xlfn.CONCAT("{BLACK}Cars: {GOLD}", P471),"")</f>
        <v/>
      </c>
      <c r="CK471" s="25" t="s">
        <v>1817</v>
      </c>
      <c r="CM471" s="25"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25" t="str">
        <f aca="false">_xlfn.CONCAT(CI471,IF(CI471 &lt;&gt; "", " ", ""),CJ471,IF(OR(CJ471&lt;&gt;"", CI471&lt;&gt;""), "{}",""), CH471, CM471,"{SILVER}", CK471)</f>
        <v>{BLACK}Length: {GOLD}0.4 tiles{}{SILVER}This is a representative BR GRAINFIT wagon, a vacuum-braked bulk hopper derived from the 1930s LMS design.</v>
      </c>
    </row>
    <row r="472" s="25" customFormat="true" ht="14.25" hidden="false" customHeight="false" outlineLevel="0" collapsed="false">
      <c r="A472" s="25" t="s">
        <v>1818</v>
      </c>
      <c r="B472" s="26" t="s">
        <v>1819</v>
      </c>
      <c r="C472" s="1" t="n">
        <v>3108</v>
      </c>
      <c r="E472" s="1" t="n">
        <v>1099</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25" t="s">
        <v>198</v>
      </c>
      <c r="J472" s="25" t="s">
        <v>1476</v>
      </c>
      <c r="K472" s="25" t="s">
        <v>1476</v>
      </c>
      <c r="L472" s="25" t="s">
        <v>149</v>
      </c>
      <c r="M472" s="25" t="n">
        <v>1966</v>
      </c>
      <c r="N472" s="25" t="n">
        <v>1996</v>
      </c>
      <c r="O472" s="25" t="n">
        <v>2002</v>
      </c>
      <c r="R472" s="2"/>
      <c r="S472" s="3"/>
      <c r="T472" s="3"/>
      <c r="U472" s="3"/>
      <c r="V472" s="3"/>
      <c r="W472" s="3"/>
      <c r="X472" s="3"/>
      <c r="Y472" s="3"/>
      <c r="Z472" s="25" t="n">
        <v>12.9</v>
      </c>
      <c r="AA472" s="2"/>
      <c r="AB472" s="25" t="n">
        <v>5</v>
      </c>
      <c r="AD472" s="4" t="str">
        <f aca="false">IF(AND(Z472&gt;0,AC472&gt;0),(AC472/((Z472+AA472)*10)),"")</f>
        <v/>
      </c>
      <c r="AE472" s="25" t="n">
        <v>60</v>
      </c>
      <c r="AF472" s="25" t="n">
        <f aca="false">ROUND(AE472*1.6, 0)</f>
        <v>96</v>
      </c>
      <c r="AI472" s="25" t="n">
        <v>8.8</v>
      </c>
      <c r="AJ472" s="25" t="n">
        <v>10</v>
      </c>
      <c r="AK472" s="25" t="n">
        <v>2.7</v>
      </c>
      <c r="AL472" s="25" t="n">
        <v>3.8</v>
      </c>
      <c r="AM472" s="5" t="n">
        <v>36</v>
      </c>
      <c r="AN472" s="1" t="str">
        <f aca="false">CONCATENATE(VLOOKUP(AO472, '[1]Voxel Sizes'!$A$2:$B$18,2,FALSE()),"x",INT(AK472*15), "x", INT(AL472*15))</f>
        <v>102x40x57</v>
      </c>
      <c r="AO472" s="25" t="n">
        <f aca="false">ROUND(15*((AJ472*10)/256),0)</f>
        <v>6</v>
      </c>
      <c r="AQ472" s="1" t="str">
        <f aca="false">CONCATENATE(VLOOKUP(AO472,Constants!$A$2:$C$16,IF(AP472&lt;&gt;"", 3, 2), FALSE()),IF(AP472&lt;&gt;"",CONCATENATE(",",VLOOKUP(AP472,$B:$AQ,42,FALSE())),""))</f>
        <v>2,2,2</v>
      </c>
      <c r="AS472" s="6"/>
      <c r="AT472" s="6"/>
      <c r="BA472" s="25" t="n">
        <v>30</v>
      </c>
      <c r="BB472" s="16" t="n">
        <f aca="false">IF(O472&lt;&gt;"",MAX(16,(O472-M472)+8),"")</f>
        <v>44</v>
      </c>
      <c r="BE472" s="25" t="n">
        <f aca="false">MIN(AE472/150, 1)*30</f>
        <v>12</v>
      </c>
      <c r="BF472" s="25" t="n">
        <f aca="false">MIN(Q472/4000, 1)*20</f>
        <v>0</v>
      </c>
      <c r="BG472" s="25" t="n">
        <f aca="false">MIN(AC472/400,1)*20</f>
        <v>0</v>
      </c>
      <c r="BH472" s="4" t="n">
        <f aca="false">1-(MAX(M472-1900, 0)/750)</f>
        <v>0.912</v>
      </c>
      <c r="BI472" s="25" t="n">
        <f aca="false">((MAX($P472,1)*MIN($AM472/300,1)))*IF(J472="Wagon",50,10)</f>
        <v>6</v>
      </c>
      <c r="BJ472" s="1" t="n">
        <f aca="false">VLOOKUP($K472,Constants!$I:$K, 2, FALSE())</f>
        <v>1</v>
      </c>
      <c r="BK472" s="1" t="n">
        <f aca="false">VLOOKUP($K472,Constants!$I:$K, 3, FALSE())*IF(AND(J472="multiple_unit",AE472&lt;110),0.75,1)</f>
        <v>0.45</v>
      </c>
      <c r="BL472" s="25" t="n">
        <f aca="false">INT(POWER((([1]Constants!$G$2+$BE472+$BF472+$BG472+$BI472)*$BH472)*$BK472, 1.05))+$BD472</f>
        <v>10</v>
      </c>
      <c r="BM472" s="25" t="n">
        <f aca="false">INT(POWER(((([1]Constants!$G$1+$BE472+$BF472+$BG472+$BI472)*($BH472))*$BJ472),IF($J472="wagon",1,1.2)))+$BC472</f>
        <v>30</v>
      </c>
      <c r="BN472" s="17" t="n">
        <f aca="false">BL472*IF($J472="wagon",62.5,781.25)</f>
        <v>625</v>
      </c>
      <c r="BO472" s="17" t="n">
        <f aca="false">BM472*IF($J472="wagon",2.73,81.25)</f>
        <v>81.9</v>
      </c>
      <c r="BY472" s="25" t="n">
        <v>1</v>
      </c>
      <c r="BZ472" s="25" t="n">
        <v>185</v>
      </c>
      <c r="CB472" s="25" t="s">
        <v>1812</v>
      </c>
      <c r="CC472" s="25" t="s">
        <v>1813</v>
      </c>
      <c r="CD472" s="25" t="str">
        <f aca="false">VLOOKUP(M472,[1]Eras!$A$2:$C$10, 2, TRUE())</f>
        <v>dsl</v>
      </c>
      <c r="CE472" s="25" t="s">
        <v>1795</v>
      </c>
      <c r="CF472" s="25" t="str">
        <f aca="false">CONCATENATE(CD472,"_",CE472)</f>
        <v>dsl_Tanker</v>
      </c>
      <c r="CG472" s="25"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25" t="s">
        <v>1820</v>
      </c>
      <c r="CM472" s="25" t="str">
        <f aca="false">IF(CA472="buffet","{YELLOW}25% long distance bonus for consist{}",IF(CD472="BRAKE","{YELLOW}Speed bonus for slow wagons{}",IF(BZ472&gt;190,CONCATENATE("{YELLOW}",INT((BZ472-185)/1.85),"% bonus for long distance travel{}"),IF(AND(BZ472&lt;180,BZ472&lt;&gt;0),CONCATENATE("{YELLOW}",INT((185-BZ472)/1.85),"% penalty for long distance travel{}"),""))))</f>
        <v/>
      </c>
      <c r="CN472" s="25" t="str">
        <f aca="false">_xlfn.CONCAT(CI472,IF(CI472 &lt;&gt; "", " ", ""),CJ472,IF(OR(CJ472&lt;&gt;"", CI472&lt;&gt;""), "{}",""), CH472, CM472,"{SILVER}", CK472)</f>
        <v>{BLACK}Length: {GOLD}0.4 tiles{}{SILVER}The BR ‘Whiskey Covhops’ were a common sight on long-distance freight trains from southern England, headed for the distilleries of Scotland.</v>
      </c>
    </row>
    <row r="473" s="25" customFormat="true" ht="14.25" hidden="false" customHeight="false" outlineLevel="0" collapsed="false">
      <c r="A473" s="25" t="s">
        <v>1821</v>
      </c>
      <c r="B473" s="26" t="s">
        <v>1822</v>
      </c>
      <c r="C473" s="1" t="n">
        <v>3109</v>
      </c>
      <c r="E473" s="1" t="n">
        <v>1100</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25" t="s">
        <v>198</v>
      </c>
      <c r="J473" s="25" t="s">
        <v>1476</v>
      </c>
      <c r="K473" s="25" t="s">
        <v>1476</v>
      </c>
      <c r="L473" s="25" t="s">
        <v>149</v>
      </c>
      <c r="M473" s="25" t="n">
        <v>1973</v>
      </c>
      <c r="R473" s="2"/>
      <c r="S473" s="3"/>
      <c r="T473" s="3"/>
      <c r="U473" s="3"/>
      <c r="V473" s="3"/>
      <c r="W473" s="3"/>
      <c r="X473" s="3"/>
      <c r="Y473" s="3"/>
      <c r="Z473" s="25" t="n">
        <v>22.7</v>
      </c>
      <c r="AA473" s="2"/>
      <c r="AB473" s="25" t="n">
        <v>5</v>
      </c>
      <c r="AD473" s="4" t="str">
        <f aca="false">IF(AND(Z473&gt;0,AC473&gt;0),(AC473/((Z473+AA473)*10)),"")</f>
        <v/>
      </c>
      <c r="AE473" s="25" t="n">
        <v>75</v>
      </c>
      <c r="AF473" s="25" t="n">
        <f aca="false">ROUND(AE473*1.6, 0)</f>
        <v>120</v>
      </c>
      <c r="AI473" s="25" t="n">
        <v>18.3</v>
      </c>
      <c r="AJ473" s="25" t="n">
        <v>18.3</v>
      </c>
      <c r="AK473" s="25" t="n">
        <v>2.7</v>
      </c>
      <c r="AL473" s="25" t="n">
        <v>3.8</v>
      </c>
      <c r="AM473" s="5" t="n">
        <v>56</v>
      </c>
      <c r="AN473" s="1" t="str">
        <f aca="false">CONCATENATE(VLOOKUP(AO473, '[1]Voxel Sizes'!$A$2:$B$18,2,FALSE()),"x",INT(AK473*15), "x", INT(AL473*15))</f>
        <v>186x40x57</v>
      </c>
      <c r="AO473" s="25" t="n">
        <f aca="false">ROUND(15*((AJ473*10)/256),0)</f>
        <v>11</v>
      </c>
      <c r="AQ473" s="1" t="str">
        <f aca="false">CONCATENATE(VLOOKUP(AO473,Constants!$A$2:$C$16,IF(AP473&lt;&gt;"", 3, 2), FALSE()),IF(AP473&lt;&gt;"",CONCATENATE(",",VLOOKUP(AP473,$B:$AQ,42,FALSE())),""))</f>
        <v>4,3,4</v>
      </c>
      <c r="AS473" s="6"/>
      <c r="AT473" s="6"/>
      <c r="BA473" s="25" t="n">
        <v>30</v>
      </c>
      <c r="BB473" s="16" t="str">
        <f aca="false">IF(O473&lt;&gt;"",MAX(16,(O473-M473)+8),"")</f>
        <v/>
      </c>
      <c r="BE473" s="25" t="n">
        <f aca="false">MIN(AE473/150, 1)*30</f>
        <v>15</v>
      </c>
      <c r="BF473" s="25" t="n">
        <f aca="false">MIN(Q473/4000, 1)*20</f>
        <v>0</v>
      </c>
      <c r="BG473" s="25" t="n">
        <f aca="false">MIN(AC473/400,1)*20</f>
        <v>0</v>
      </c>
      <c r="BH473" s="4" t="n">
        <f aca="false">1-(MAX(M473-1900, 0)/750)</f>
        <v>0.902666666666667</v>
      </c>
      <c r="BI473" s="25" t="n">
        <f aca="false">((MAX($P473,1)*MIN($AM473/300,1)))*IF(J473="Wagon",50,10)</f>
        <v>9.33333333333333</v>
      </c>
      <c r="BJ473" s="1" t="n">
        <f aca="false">VLOOKUP($K473,Constants!$I:$K, 2, FALSE())</f>
        <v>1</v>
      </c>
      <c r="BK473" s="1" t="n">
        <f aca="false">VLOOKUP($K473,Constants!$I:$K, 3, FALSE())*IF(AND(J473="multiple_unit",AE473&lt;110),0.75,1)</f>
        <v>0.45</v>
      </c>
      <c r="BL473" s="25" t="n">
        <f aca="false">INT(POWER((([1]Constants!$G$2+$BE473+$BF473+$BG473+$BI473)*$BH473)*$BK473, 1.05))+$BD473</f>
        <v>13</v>
      </c>
      <c r="BM473" s="25" t="n">
        <f aca="false">INT(POWER(((([1]Constants!$G$1+$BE473+$BF473+$BG473+$BI473)*($BH473))*$BJ473),IF($J473="wagon",1,1.2)))+$BC473</f>
        <v>35</v>
      </c>
      <c r="BN473" s="17" t="n">
        <f aca="false">BL473*IF($J473="wagon",62.5,781.25)</f>
        <v>812.5</v>
      </c>
      <c r="BO473" s="17" t="n">
        <f aca="false">BM473*IF($J473="wagon",2.73,81.25)</f>
        <v>95.55</v>
      </c>
      <c r="BY473" s="25" t="n">
        <v>1</v>
      </c>
      <c r="BZ473" s="25" t="n">
        <v>185</v>
      </c>
      <c r="CB473" s="25" t="s">
        <v>1812</v>
      </c>
      <c r="CC473" s="25" t="s">
        <v>1813</v>
      </c>
      <c r="CD473" s="25" t="str">
        <f aca="false">VLOOKUP(M473,[1]Eras!$A$2:$C$10, 2, TRUE())</f>
        <v>lbr</v>
      </c>
      <c r="CE473" s="25" t="s">
        <v>1795</v>
      </c>
      <c r="CF473" s="25" t="str">
        <f aca="false">CONCATENATE(CD473,"_",CE473)</f>
        <v>lbr_Tanker</v>
      </c>
      <c r="CG473" s="25" t="str">
        <f aca="false">_xlfn.CONCAT(K473, "_",L473)</f>
        <v>wagon_RAIL</v>
      </c>
      <c r="CH473" s="7" t="str">
        <f aca="false">_xlfn.CONCAT("{BLACK}Length: {GOLD}", TEXT(ROUNDUP(IF(AT473&lt;&gt;"",SUM(VALUE(_xlfn.TEXTSPLIT(AT473, ","))), SUM(VALUE(_xlfn.TEXTSPLIT(AQ473, ",")))*IF(P473, P473, 1))/16, 1), "#,##0.0"), " tiles{}")</f>
        <v>{BLACK}Length: {GOLD}0.7 tiles{}</v>
      </c>
      <c r="CI473" s="1" t="n">
        <f aca="false">VLOOKUP($CG473, Constants!$M:$N, 2, FALSE())</f>
        <v>0</v>
      </c>
      <c r="CJ473" s="1" t="str">
        <f aca="false">IF(P473&gt;1,_xlfn.CONCAT("{BLACK}Cars: {GOLD}", P473),"")</f>
        <v/>
      </c>
      <c r="CK473" s="25" t="s">
        <v>1823</v>
      </c>
      <c r="CM473" s="25" t="str">
        <f aca="false">IF(CA473="buffet","{YELLOW}25% long distance bonus for consist{}",IF(CD473="BRAKE","{YELLOW}Speed bonus for slow wagons{}",IF(BZ473&gt;190,CONCATENATE("{YELLOW}",INT((BZ473-185)/1.85),"% bonus for long distance travel{}"),IF(AND(BZ473&lt;180,BZ473&lt;&gt;0),CONCATENATE("{YELLOW}",INT((185-BZ473)/1.85),"% penalty for long distance travel{}"),""))))</f>
        <v/>
      </c>
      <c r="CN473" s="25" t="str">
        <f aca="false">_xlfn.CONCAT(CI473,IF(CI473 &lt;&gt; "", " ", ""),CJ473,IF(OR(CJ473&lt;&gt;"", CI473&lt;&gt;""), "{}",""), CH473, CM473,"{SILVER}", CK473)</f>
        <v>{BLACK}Length: {GOLD}0.7 tiles{}{SILVER}Large bogie covered hoppers first appeared in Britain in the mid 1970s. These were frequently privately owned and registered as international vehicles. This slab-sided ‘Polybulk’ example was built in France.</v>
      </c>
      <c r="CO473" s="25" t="n">
        <v>1</v>
      </c>
    </row>
    <row r="474" customFormat="false" ht="14.25" hidden="false" customHeight="false" outlineLevel="0" collapsed="false">
      <c r="A474" s="1" t="s">
        <v>1824</v>
      </c>
      <c r="B474" s="15" t="s">
        <v>1825</v>
      </c>
      <c r="C474" s="1" t="n">
        <v>79</v>
      </c>
      <c r="E474" s="1" t="n">
        <v>1101</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198</v>
      </c>
      <c r="J474" s="1" t="s">
        <v>1476</v>
      </c>
      <c r="K474" s="1" t="s">
        <v>1476</v>
      </c>
      <c r="L474" s="1" t="s">
        <v>149</v>
      </c>
      <c r="M474" s="1" t="n">
        <v>1850</v>
      </c>
      <c r="O474" s="1" t="n">
        <v>1925</v>
      </c>
      <c r="Z474" s="1" t="n">
        <v>8</v>
      </c>
      <c r="AB474" s="1" t="n">
        <v>3</v>
      </c>
      <c r="AD474" s="4" t="str">
        <f aca="false">IF(AND(Z474&gt;0,AC474&gt;0),(AC474/((Z474+AA474)*10)),"")</f>
        <v/>
      </c>
      <c r="AE474" s="1" t="n">
        <v>40</v>
      </c>
      <c r="AF474" s="1" t="n">
        <f aca="false">ROUND(AE474*1.6, 0)</f>
        <v>64</v>
      </c>
      <c r="AI474" s="1" t="n">
        <v>6</v>
      </c>
      <c r="AJ474" s="1" t="n">
        <v>6</v>
      </c>
      <c r="AM474" s="5" t="n">
        <v>18</v>
      </c>
      <c r="AN474" s="1" t="str">
        <f aca="false">CONCATENATE(VLOOKUP(AO474, 'Voxel Sizes'!$A$2:$B$18,2,FALSE()),"x",INT(AK474*15), "x", INT(AL474*15))</f>
        <v>60x0x0</v>
      </c>
      <c r="AO474" s="1" t="n">
        <f aca="false">ROUND(15*((AJ474*10)/256),0)</f>
        <v>4</v>
      </c>
      <c r="AQ474" s="1" t="str">
        <f aca="false">CONCATENATE(VLOOKUP(AO474,Constants!$A$2:$C$16,IF(AP474&lt;&gt;"", 3, 2), FALSE()),IF(AP474&lt;&gt;"",CONCATENATE(",",VLOOKUP(AP474,$B:$AQ,39,FALSE())),""))</f>
        <v>1,2,1</v>
      </c>
      <c r="BA474" s="1" t="n">
        <v>30</v>
      </c>
      <c r="BB474" s="16" t="n">
        <f aca="false">IF(O474&lt;&gt;"",MAX(16,(O474-M474)+8),"")</f>
        <v>83</v>
      </c>
      <c r="BE474" s="1" t="n">
        <f aca="false">MIN(AE474/150, 1)*30</f>
        <v>8</v>
      </c>
      <c r="BF474" s="1" t="n">
        <f aca="false">MIN(Q474/4000, 1)*20</f>
        <v>0</v>
      </c>
      <c r="BG474" s="1" t="n">
        <f aca="false">MIN(AC474/400,1)*20</f>
        <v>0</v>
      </c>
      <c r="BH474" s="4" t="n">
        <f aca="false">1-(MAX(M474-1900, 0)/750)</f>
        <v>1</v>
      </c>
      <c r="BI474" s="1" t="n">
        <f aca="false">((MAX($P474,1)*MIN($AM474/300,1)))*IF(J474="Wagon",50,10)</f>
        <v>3</v>
      </c>
      <c r="BJ474" s="1" t="n">
        <f aca="false">VLOOKUP($K474,Constants!$I:$K, 2, FALSE())</f>
        <v>1</v>
      </c>
      <c r="BK474" s="1" t="n">
        <f aca="false">VLOOKUP($K474,Constants!$I:$K, 3, FALSE())*IF(AND(J474="multiple_unit",AE474&lt;110),0.75,1)</f>
        <v>0.45</v>
      </c>
      <c r="BL474" s="1" t="n">
        <f aca="false">INT(POWER(((Constants!$G$2+$BE474+$BF474+$BG474+$BI474)*$BH474)*$BK474, 1.05))+$BD474</f>
        <v>7</v>
      </c>
      <c r="BM474" s="1" t="n">
        <f aca="false">INT(POWER((((Constants!$G$1+$BE474+$BF474+$BG474+$BI474)*($BH474))*$BJ474),IF($J474="wagon",1,1.2)))+$BC474</f>
        <v>26</v>
      </c>
      <c r="BN474" s="17" t="n">
        <f aca="false">BL474*IF($J474="wagon",62.5,781.25)</f>
        <v>437.5</v>
      </c>
      <c r="BO474" s="17" t="n">
        <f aca="false">BM474*IF($J474="wagon",2.73,81.25)</f>
        <v>70.98</v>
      </c>
      <c r="BY474" s="1" t="n">
        <v>1</v>
      </c>
      <c r="BZ474" s="1" t="n">
        <v>185</v>
      </c>
      <c r="CB474" s="1" t="s">
        <v>1826</v>
      </c>
      <c r="CC474" s="1" t="s">
        <v>1827</v>
      </c>
      <c r="CD474" s="1" t="str">
        <f aca="false">VLOOKUP(M474,Eras!$A$2:$C$10, 2, TRUE())</f>
        <v>vct</v>
      </c>
      <c r="CE474" s="1" t="s">
        <v>1828</v>
      </c>
      <c r="CF474" s="1" t="str">
        <f aca="false">CONCATENATE(CD474,"_",CE474)</f>
        <v>vct_Van</v>
      </c>
      <c r="CG474" s="1" t="str">
        <f aca="false">_xlfn.CONCAT(K474, "_",L474)</f>
        <v>wagon_RAIL</v>
      </c>
      <c r="CH474" s="7" t="str">
        <f aca="false">_xlfn.CONCAT("{BLACK}Length: {GOLD}", TEXT(ROUNDUP(IF(AT474&lt;&gt;"",SUM(VALUE(_xlfn.TEXTSPLIT(AT474, ","))), SUM(VALUE(_xlfn.TEXTSPLIT(AQ474, ",")))*IF(P474, P474, 1))/16, 1), "#,##0.0"), " tiles{}")</f>
        <v>{BLACK}Length: {GOLD}0.3 tiles{}</v>
      </c>
      <c r="CI474" s="1" t="n">
        <f aca="false">VLOOKUP($CG474, Constants!$M:$N, 2, FALSE())</f>
        <v>0</v>
      </c>
      <c r="CJ474" s="1" t="str">
        <f aca="false">IF(P474&gt;1,_xlfn.CONCAT("{BLACK}Cars: {GOLD}", P474),"")</f>
        <v/>
      </c>
      <c r="CK474" s="1" t="s">
        <v>1829</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{GOLD}0.3 tiles{}{SILVER}Livestock traffic was common early on in railway history, with specialised cattle wagons and stations equipped to handle loading and unloading.</v>
      </c>
    </row>
    <row r="475" customFormat="false" ht="14.25" hidden="false" customHeight="false" outlineLevel="0" collapsed="false">
      <c r="A475" s="1" t="s">
        <v>1830</v>
      </c>
      <c r="B475" s="15" t="s">
        <v>1831</v>
      </c>
      <c r="C475" s="1" t="n">
        <v>80</v>
      </c>
      <c r="E475" s="1" t="n">
        <v>1102</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198</v>
      </c>
      <c r="J475" s="1" t="s">
        <v>1476</v>
      </c>
      <c r="K475" s="1" t="s">
        <v>1476</v>
      </c>
      <c r="L475" s="1" t="s">
        <v>149</v>
      </c>
      <c r="M475" s="1" t="n">
        <v>1905</v>
      </c>
      <c r="O475" s="1" t="n">
        <v>1955</v>
      </c>
      <c r="Z475" s="1" t="n">
        <v>10</v>
      </c>
      <c r="AB475" s="1" t="n">
        <v>3</v>
      </c>
      <c r="AD475" s="4" t="str">
        <f aca="false">IF(AND(Z475&gt;0,AC475&gt;0),(AC475/((Z475+AA475)*10)),"")</f>
        <v/>
      </c>
      <c r="AE475" s="1" t="n">
        <v>45</v>
      </c>
      <c r="AF475" s="1" t="n">
        <f aca="false">ROUND(AE475*1.6, 0)</f>
        <v>72</v>
      </c>
      <c r="AI475" s="1" t="n">
        <v>8.9</v>
      </c>
      <c r="AJ475" s="1" t="n">
        <v>8.9</v>
      </c>
      <c r="AM475" s="5" t="n">
        <v>24</v>
      </c>
      <c r="AN475" s="1" t="str">
        <f aca="false">CONCATENATE(VLOOKUP(AO475, 'Voxel Sizes'!$A$2:$B$18,2,FALSE()),"x",INT(AK475*15), "x", INT(AL475*15))</f>
        <v>82x0x0</v>
      </c>
      <c r="AO475" s="1" t="n">
        <f aca="false">ROUND(15*((AJ475*10)/256),0)</f>
        <v>5</v>
      </c>
      <c r="AQ475" s="1" t="str">
        <f aca="false">CONCATENATE(VLOOKUP(AO475,Constants!$A$2:$C$16,IF(AP475&lt;&gt;"", 3, 2), FALSE()),IF(AP475&lt;&gt;"",CONCATENATE(",",VLOOKUP(AP475,$B:$AQ,39,FALSE())),""))</f>
        <v>2,1,2</v>
      </c>
      <c r="BA475" s="1" t="n">
        <v>30</v>
      </c>
      <c r="BB475" s="16" t="n">
        <f aca="false">IF(O475&lt;&gt;"",MAX(16,(O475-M475)+8),"")</f>
        <v>58</v>
      </c>
      <c r="BE475" s="1" t="n">
        <f aca="false">MIN(AE475/150, 1)*30</f>
        <v>9</v>
      </c>
      <c r="BF475" s="1" t="n">
        <f aca="false">MIN(Q475/4000, 1)*20</f>
        <v>0</v>
      </c>
      <c r="BG475" s="1" t="n">
        <f aca="false">MIN(AC475/400,1)*20</f>
        <v>0</v>
      </c>
      <c r="BH475" s="4" t="n">
        <f aca="false">1-(MAX(M475-1900, 0)/750)</f>
        <v>0.993333333333333</v>
      </c>
      <c r="BI475" s="1" t="n">
        <f aca="false">((MAX($P475,1)*MIN($AM475/300,1)))*IF(J475="Wagon",50,10)</f>
        <v>4</v>
      </c>
      <c r="BJ475" s="1" t="n">
        <f aca="false">VLOOKUP($K475,Constants!$I:$K, 2, FALSE())</f>
        <v>1</v>
      </c>
      <c r="BK475" s="1" t="n">
        <f aca="false">VLOOKUP($K475,Constants!$I:$K, 3, FALSE())*IF(AND(J475="multiple_unit",AE475&lt;110),0.75,1)</f>
        <v>0.45</v>
      </c>
      <c r="BL475" s="1" t="n">
        <f aca="false">INT(POWER(((Constants!$G$2+$BE475+$BF475+$BG475+$BI475)*$BH475)*$BK475, 1.05))+$BD475</f>
        <v>8</v>
      </c>
      <c r="BM475" s="1" t="n">
        <f aca="false">INT(POWER((((Constants!$G$1+$BE475+$BF475+$BG475+$BI475)*($BH475))*$BJ475),IF($J475="wagon",1,1.2)))+$BC475</f>
        <v>27</v>
      </c>
      <c r="BN475" s="17" t="n">
        <f aca="false">BL475*IF($J475="wagon",62.5,781.25)</f>
        <v>500</v>
      </c>
      <c r="BO475" s="17" t="n">
        <f aca="false">BM475*IF($J475="wagon",2.73,81.25)</f>
        <v>73.71</v>
      </c>
      <c r="BY475" s="1" t="n">
        <v>1</v>
      </c>
      <c r="BZ475" s="1" t="n">
        <v>185</v>
      </c>
      <c r="CB475" s="1" t="s">
        <v>1826</v>
      </c>
      <c r="CC475" s="1" t="s">
        <v>1827</v>
      </c>
      <c r="CD475" s="1" t="str">
        <f aca="false">VLOOKUP(M475,Eras!$A$2:$C$10, 2, TRUE())</f>
        <v>edw</v>
      </c>
      <c r="CE475" s="1" t="s">
        <v>1828</v>
      </c>
      <c r="CF475" s="1" t="str">
        <f aca="false">CONCATENATE(CD475,"_",CE475)</f>
        <v>edw_Van</v>
      </c>
      <c r="CG475" s="1" t="str">
        <f aca="false">_xlfn.CONCAT(K475, "_",L475)</f>
        <v>wagon_RAIL</v>
      </c>
      <c r="CH475" s="7" t="str">
        <f aca="false">_xlfn.CONCAT("{BLACK}Length: {GOLD}", TEXT(ROUNDUP(IF(AT475&lt;&gt;"",SUM(VALUE(_xlfn.TEXTSPLIT(AT475, ","))), SUM(VALUE(_xlfn.TEXTSPLIT(AQ475, ",")))*IF(P475, P475, 1))/16, 1), "#,##0.0"), " tiles{}")</f>
        <v>{BLACK}Length: {GOLD}0.4 tiles{}</v>
      </c>
      <c r="CI475" s="1" t="n">
        <f aca="false">VLOOKUP($CG475, Constants!$M:$N, 2, FALSE())</f>
        <v>0</v>
      </c>
      <c r="CJ475" s="1" t="str">
        <f aca="false">IF(P475&gt;1,_xlfn.CONCAT("{BLACK}Cars: {GOLD}", P475),"")</f>
        <v/>
      </c>
      <c r="CK475" s="1" t="s">
        <v>1832</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{GOLD}0.4 tiles{}{SILVER}Livestock vans evolved along with improvements in covered van design.</v>
      </c>
    </row>
    <row r="476" customFormat="false" ht="14.25" hidden="false" customHeight="false" outlineLevel="0" collapsed="false">
      <c r="A476" s="1" t="s">
        <v>1833</v>
      </c>
      <c r="B476" s="15" t="s">
        <v>1834</v>
      </c>
      <c r="C476" s="1" t="n">
        <v>81</v>
      </c>
      <c r="E476" s="1" t="n">
        <v>1103</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198</v>
      </c>
      <c r="J476" s="1" t="s">
        <v>1476</v>
      </c>
      <c r="K476" s="1" t="s">
        <v>1476</v>
      </c>
      <c r="L476" s="1" t="s">
        <v>149</v>
      </c>
      <c r="M476" s="1" t="n">
        <v>1930</v>
      </c>
      <c r="O476" s="1" t="n">
        <v>1975</v>
      </c>
      <c r="Z476" s="1" t="n">
        <v>10</v>
      </c>
      <c r="AB476" s="1" t="n">
        <v>3</v>
      </c>
      <c r="AD476" s="4" t="str">
        <f aca="false">IF(AND(Z476&gt;0,AC476&gt;0),(AC476/((Z476+AA476)*10)),"")</f>
        <v/>
      </c>
      <c r="AE476" s="1" t="n">
        <v>50</v>
      </c>
      <c r="AF476" s="1" t="n">
        <f aca="false">ROUND(AE476*1.6, 0)</f>
        <v>80</v>
      </c>
      <c r="AI476" s="1" t="n">
        <v>8.9</v>
      </c>
      <c r="AJ476" s="1" t="n">
        <v>8.9</v>
      </c>
      <c r="AM476" s="5" t="n">
        <v>24</v>
      </c>
      <c r="AN476" s="1" t="str">
        <f aca="false">CONCATENATE(VLOOKUP(AO476, 'Voxel Sizes'!$A$2:$B$18,2,FALSE()),"x",INT(AK476*15), "x", INT(AL476*15))</f>
        <v>82x0x0</v>
      </c>
      <c r="AO476" s="1" t="n">
        <f aca="false">ROUND(15*((AJ476*10)/256),0)</f>
        <v>5</v>
      </c>
      <c r="AQ476" s="1" t="str">
        <f aca="false">CONCATENATE(VLOOKUP(AO476,Constants!$A$2:$C$16,IF(AP476&lt;&gt;"", 3, 2), FALSE()),IF(AP476&lt;&gt;"",CONCATENATE(",",VLOOKUP(AP476,$B:$AQ,39,FALSE())),""))</f>
        <v>2,1,2</v>
      </c>
      <c r="BA476" s="1" t="n">
        <v>30</v>
      </c>
      <c r="BB476" s="16" t="n">
        <f aca="false">IF(O476&lt;&gt;"",MAX(16,(O476-M476)+8),"")</f>
        <v>53</v>
      </c>
      <c r="BE476" s="1" t="n">
        <f aca="false">MIN(AE476/150, 1)*30</f>
        <v>10</v>
      </c>
      <c r="BF476" s="1" t="n">
        <f aca="false">MIN(Q476/4000, 1)*20</f>
        <v>0</v>
      </c>
      <c r="BG476" s="1" t="n">
        <f aca="false">MIN(AC476/400,1)*20</f>
        <v>0</v>
      </c>
      <c r="BH476" s="4" t="n">
        <f aca="false">1-(MAX(M476-1900, 0)/750)</f>
        <v>0.96</v>
      </c>
      <c r="BI476" s="1" t="n">
        <f aca="false">((MAX($P476,1)*MIN($AM476/300,1)))*IF(J476="Wagon",50,10)</f>
        <v>4</v>
      </c>
      <c r="BJ476" s="1" t="n">
        <f aca="false">VLOOKUP($K476,Constants!$I:$K, 2, FALSE())</f>
        <v>1</v>
      </c>
      <c r="BK476" s="1" t="n">
        <f aca="false">VLOOKUP($K476,Constants!$I:$K, 3, FALSE())*IF(AND(J476="multiple_unit",AE476&lt;110),0.75,1)</f>
        <v>0.45</v>
      </c>
      <c r="BL476" s="1" t="n">
        <f aca="false">INT(POWER(((Constants!$G$2+$BE476+$BF476+$BG476+$BI476)*$BH476)*$BK476, 1.05))+$BD476</f>
        <v>9</v>
      </c>
      <c r="BM476" s="1" t="n">
        <f aca="false">INT(POWER((((Constants!$G$1+$BE476+$BF476+$BG476+$BI476)*($BH476))*$BJ476),IF($J476="wagon",1,1.2)))+$BC476</f>
        <v>27</v>
      </c>
      <c r="BN476" s="17" t="n">
        <f aca="false">BL476*IF($J476="wagon",62.5,781.25)</f>
        <v>562.5</v>
      </c>
      <c r="BO476" s="17" t="n">
        <f aca="false">BM476*IF($J476="wagon",2.73,81.25)</f>
        <v>73.71</v>
      </c>
      <c r="BY476" s="1" t="n">
        <v>1</v>
      </c>
      <c r="BZ476" s="1" t="n">
        <v>185</v>
      </c>
      <c r="CB476" s="1" t="s">
        <v>1826</v>
      </c>
      <c r="CC476" s="1" t="s">
        <v>1827</v>
      </c>
      <c r="CD476" s="1" t="str">
        <f aca="false">VLOOKUP(M476,Eras!$A$2:$C$10, 2, TRUE())</f>
        <v>big4</v>
      </c>
      <c r="CE476" s="1" t="s">
        <v>1828</v>
      </c>
      <c r="CF476" s="1" t="str">
        <f aca="false">CONCATENATE(CD476,"_",CE476)</f>
        <v>big4_Van</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1835</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tiles{}{SILVER}Specialised cattle vans such as this Southern Railway example were built from the 1930s to the 1950s, although livestock traffic reduced in the latter part of this period.</v>
      </c>
    </row>
    <row r="477" customFormat="false" ht="14.25" hidden="false" customHeight="false" outlineLevel="0" collapsed="false">
      <c r="A477" s="1" t="s">
        <v>1836</v>
      </c>
      <c r="B477" s="15" t="s">
        <v>1837</v>
      </c>
      <c r="C477" s="1" t="n">
        <v>82</v>
      </c>
      <c r="E477" s="1" t="n">
        <v>1104</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198</v>
      </c>
      <c r="J477" s="1" t="s">
        <v>1476</v>
      </c>
      <c r="K477" s="1" t="s">
        <v>1476</v>
      </c>
      <c r="L477" s="1" t="s">
        <v>149</v>
      </c>
      <c r="M477" s="1" t="n">
        <v>1960</v>
      </c>
      <c r="O477" s="1" t="n">
        <v>2000</v>
      </c>
      <c r="Z477" s="1" t="n">
        <v>14</v>
      </c>
      <c r="AB477" s="1" t="n">
        <v>4</v>
      </c>
      <c r="AD477" s="4" t="str">
        <f aca="false">IF(AND(Z477&gt;0,AC477&gt;0),(AC477/((Z477+AA477)*10)),"")</f>
        <v/>
      </c>
      <c r="AE477" s="1" t="n">
        <v>65</v>
      </c>
      <c r="AF477" s="1" t="n">
        <f aca="false">ROUND(AE477*1.6, 0)</f>
        <v>104</v>
      </c>
      <c r="AI477" s="1" t="n">
        <v>10.6</v>
      </c>
      <c r="AJ477" s="1" t="n">
        <v>10.6</v>
      </c>
      <c r="AM477" s="5" t="n">
        <v>39</v>
      </c>
      <c r="AN477" s="1" t="str">
        <f aca="false">CONCATENATE(VLOOKUP(AO477, 'Voxel Sizes'!$A$2:$B$18,2,FALSE()),"x",INT(AK477*15), "x", INT(AL477*15))</f>
        <v>102x0x0</v>
      </c>
      <c r="AO477" s="1" t="n">
        <f aca="false">ROUND(15*((AJ477*10)/256),0)</f>
        <v>6</v>
      </c>
      <c r="AQ477" s="1" t="str">
        <f aca="false">CONCATENATE(VLOOKUP(AO477,Constants!$A$2:$C$16,IF(AP477&lt;&gt;"", 3, 2), FALSE()),IF(AP477&lt;&gt;"",CONCATENATE(",",VLOOKUP(AP477,$B:$AQ,39,FALSE())),""))</f>
        <v>2,2,2</v>
      </c>
      <c r="BA477" s="1" t="n">
        <v>30</v>
      </c>
      <c r="BB477" s="16" t="n">
        <f aca="false">IF(O477&lt;&gt;"",MAX(16,(O477-M477)+8),"")</f>
        <v>48</v>
      </c>
      <c r="BE477" s="1" t="n">
        <f aca="false">MIN(AE477/150, 1)*30</f>
        <v>13</v>
      </c>
      <c r="BF477" s="1" t="n">
        <f aca="false">MIN(Q477/4000, 1)*20</f>
        <v>0</v>
      </c>
      <c r="BG477" s="1" t="n">
        <f aca="false">MIN(AC477/400,1)*20</f>
        <v>0</v>
      </c>
      <c r="BH477" s="4" t="n">
        <f aca="false">1-(MAX(M477-1900, 0)/750)</f>
        <v>0.92</v>
      </c>
      <c r="BI477" s="1" t="n">
        <f aca="false">((MAX($P477,1)*MIN($AM477/300,1)))*IF(J477="Wagon",50,10)</f>
        <v>6.5</v>
      </c>
      <c r="BJ477" s="1" t="n">
        <f aca="false">VLOOKUP($K477,Constants!$I:$K, 2, FALSE())</f>
        <v>1</v>
      </c>
      <c r="BK477" s="1" t="n">
        <f aca="false">VLOOKUP($K477,Constants!$I:$K, 3, FALSE())*IF(AND(J477="multiple_unit",AE477&lt;110),0.75,1)</f>
        <v>0.45</v>
      </c>
      <c r="BL477" s="1" t="n">
        <f aca="false">INT(POWER(((Constants!$G$2+$BE477+$BF477+$BG477+$BI477)*$BH477)*$BK477, 1.05))+$BD477</f>
        <v>11</v>
      </c>
      <c r="BM477" s="1" t="n">
        <f aca="false">INT(POWER((((Constants!$G$1+$BE477+$BF477+$BG477+$BI477)*($BH477))*$BJ477),IF($J477="wagon",1,1.2)))+$BC477</f>
        <v>31</v>
      </c>
      <c r="BN477" s="17" t="n">
        <f aca="false">BL477*IF($J477="wagon",62.5,781.25)</f>
        <v>687.5</v>
      </c>
      <c r="BO477" s="17" t="n">
        <f aca="false">BM477*IF($J477="wagon",2.73,81.25)</f>
        <v>84.63</v>
      </c>
      <c r="BX477" s="1" t="s">
        <v>1557</v>
      </c>
      <c r="BY477" s="1" t="n">
        <v>1</v>
      </c>
      <c r="BZ477" s="1" t="n">
        <v>185</v>
      </c>
      <c r="CB477" s="1" t="s">
        <v>1826</v>
      </c>
      <c r="CC477" s="1" t="s">
        <v>1827</v>
      </c>
      <c r="CD477" s="1" t="str">
        <f aca="false">VLOOKUP(M477,Eras!$A$2:$C$10, 2, TRUE())</f>
        <v>dsl</v>
      </c>
      <c r="CE477" s="1" t="s">
        <v>1828</v>
      </c>
      <c r="CF477" s="1" t="str">
        <f aca="false">CONCATENATE(CD477,"_",CE477)</f>
        <v>dsl_Van</v>
      </c>
      <c r="CG477" s="1"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1" t="s">
        <v>1838</v>
      </c>
      <c r="CL477" s="1" t="str">
        <f aca="false">IF($BX477="!param_no_gameplay_units","{GREEN}Included for gameplay purposes","")</f>
        <v>{GREEN}Included for gameplay purposes</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77" s="1" t="n">
        <v>1</v>
      </c>
    </row>
    <row r="478" customFormat="false" ht="14.25" hidden="false" customHeight="false" outlineLevel="0" collapsed="false">
      <c r="A478" s="1" t="s">
        <v>1839</v>
      </c>
      <c r="B478" s="15" t="s">
        <v>1840</v>
      </c>
      <c r="C478" s="1" t="n">
        <v>83</v>
      </c>
      <c r="E478" s="1" t="n">
        <v>1105</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198</v>
      </c>
      <c r="J478" s="1" t="s">
        <v>1476</v>
      </c>
      <c r="K478" s="1" t="s">
        <v>1476</v>
      </c>
      <c r="L478" s="1" t="s">
        <v>149</v>
      </c>
      <c r="M478" s="1" t="n">
        <v>1990</v>
      </c>
      <c r="Z478" s="1" t="n">
        <v>16</v>
      </c>
      <c r="AB478" s="1" t="n">
        <v>4</v>
      </c>
      <c r="AD478" s="4" t="str">
        <f aca="false">IF(AND(Z478&gt;0,AC478&gt;0),(AC478/((Z478+AA478)*10)),"")</f>
        <v/>
      </c>
      <c r="AE478" s="1" t="n">
        <v>75</v>
      </c>
      <c r="AF478" s="1" t="n">
        <f aca="false">ROUND(AE478*1.6, 0)</f>
        <v>120</v>
      </c>
      <c r="AI478" s="1" t="n">
        <v>12.2</v>
      </c>
      <c r="AJ478" s="1" t="n">
        <v>12.2</v>
      </c>
      <c r="AM478" s="5" t="n">
        <v>39</v>
      </c>
      <c r="AN478" s="1" t="str">
        <f aca="false">CONCATENATE(VLOOKUP(AO478, 'Voxel Sizes'!$A$2:$B$18,2,FALSE()),"x",INT(AK478*15), "x", INT(AL478*15))</f>
        <v>120x0x0</v>
      </c>
      <c r="AO478" s="1" t="n">
        <f aca="false">ROUND(15*((AJ478*10)/256),0)</f>
        <v>7</v>
      </c>
      <c r="AQ478" s="1" t="str">
        <f aca="false">CONCATENATE(VLOOKUP(AO478,Constants!$A$2:$C$16,IF(AP478&lt;&gt;"", 3, 2), FALSE()),IF(AP478&lt;&gt;"",CONCATENATE(",",VLOOKUP(AP478,$B:$AQ,39,FALSE())),""))</f>
        <v>2,3,2</v>
      </c>
      <c r="BA478" s="1" t="n">
        <v>30</v>
      </c>
      <c r="BB478" s="16" t="str">
        <f aca="false">IF(O478&lt;&gt;"",MAX(16,(O478-M478)+8),"")</f>
        <v/>
      </c>
      <c r="BE478" s="1" t="n">
        <f aca="false">MIN(AE478/150, 1)*30</f>
        <v>15</v>
      </c>
      <c r="BF478" s="1" t="n">
        <f aca="false">MIN(Q478/4000, 1)*20</f>
        <v>0</v>
      </c>
      <c r="BG478" s="1" t="n">
        <f aca="false">MIN(AC478/400,1)*20</f>
        <v>0</v>
      </c>
      <c r="BH478" s="4" t="n">
        <f aca="false">1-(MAX(M478-1900, 0)/750)</f>
        <v>0.88</v>
      </c>
      <c r="BI478" s="1" t="n">
        <f aca="false">((MAX($P478,1)*MIN($AM478/300,1)))*IF(J478="Wagon",50,10)</f>
        <v>6.5</v>
      </c>
      <c r="BJ478" s="1" t="n">
        <f aca="false">VLOOKUP($K478,Constants!$I:$K, 2, FALSE())</f>
        <v>1</v>
      </c>
      <c r="BK478" s="1" t="n">
        <f aca="false">VLOOKUP($K478,Constants!$I:$K, 3, FALSE())*IF(AND(J478="multiple_unit",AE478&lt;110),0.75,1)</f>
        <v>0.45</v>
      </c>
      <c r="BL478" s="1" t="n">
        <f aca="false">INT(POWER(((Constants!$G$2+$BE478+$BF478+$BG478+$BI478)*$BH478)*$BK478, 1.05))+$BD478</f>
        <v>11</v>
      </c>
      <c r="BM478" s="1" t="n">
        <f aca="false">INT(POWER((((Constants!$G$1+$BE478+$BF478+$BG478+$BI478)*($BH478))*$BJ478),IF($J478="wagon",1,1.2)))+$BC478</f>
        <v>32</v>
      </c>
      <c r="BN478" s="17" t="n">
        <f aca="false">BL478*IF($J478="wagon",62.5,781.25)</f>
        <v>687.5</v>
      </c>
      <c r="BO478" s="17" t="n">
        <f aca="false">BM478*IF($J478="wagon",2.73,81.25)</f>
        <v>87.36</v>
      </c>
      <c r="BX478" s="1" t="s">
        <v>1557</v>
      </c>
      <c r="BY478" s="1" t="n">
        <v>1</v>
      </c>
      <c r="BZ478" s="1" t="n">
        <v>185</v>
      </c>
      <c r="CB478" s="1" t="s">
        <v>1826</v>
      </c>
      <c r="CC478" s="1" t="s">
        <v>1827</v>
      </c>
      <c r="CD478" s="1" t="str">
        <f aca="false">VLOOKUP(M478,Eras!$A$2:$C$10, 2, TRUE())</f>
        <v>lbr</v>
      </c>
      <c r="CE478" s="1" t="s">
        <v>1828</v>
      </c>
      <c r="CF478" s="1" t="str">
        <f aca="false">CONCATENATE(CD478,"_",CE478)</f>
        <v>lbr_Van</v>
      </c>
      <c r="CG478" s="1" t="str">
        <f aca="false">_xlfn.CONCAT(K478, "_",L478)</f>
        <v>wagon_RAIL</v>
      </c>
      <c r="CH478" s="7" t="str">
        <f aca="false">_xlfn.CONCAT("{BLACK}Length: {GOLD}", TEXT(ROUNDUP(IF(AT478&lt;&gt;"",SUM(VALUE(_xlfn.TEXTSPLIT(AT478, ","))), SUM(VALUE(_xlfn.TEXTSPLIT(AQ478, ",")))*IF(P478, P478, 1))/16, 1), "#,##0.0"), " tiles{}")</f>
        <v>{BLACK}Length: {GOLD}0.5 tiles{}</v>
      </c>
      <c r="CI478" s="1" t="n">
        <f aca="false">VLOOKUP($CG478, Constants!$M:$N, 2, FALSE())</f>
        <v>0</v>
      </c>
      <c r="CJ478" s="1" t="str">
        <f aca="false">IF(P478&gt;1,_xlfn.CONCAT("{BLACK}Cars: {GOLD}", P478),"")</f>
        <v/>
      </c>
      <c r="CK478" s="1" t="s">
        <v>1841</v>
      </c>
      <c r="CL478" s="1" t="str">
        <f aca="false">IF($BX478="!param_no_gameplay_units","{GREEN}Included for gameplay purposes","")</f>
        <v>{GREEN}Included for gameplay purposes</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78" s="1" t="n">
        <v>1</v>
      </c>
    </row>
    <row r="479" s="25" customFormat="true" ht="14.25" hidden="false" customHeight="false" outlineLevel="0" collapsed="false">
      <c r="A479" s="25" t="s">
        <v>1842</v>
      </c>
      <c r="B479" s="26" t="s">
        <v>1843</v>
      </c>
      <c r="C479" s="1" t="n">
        <v>3098</v>
      </c>
      <c r="E479" s="1" t="n">
        <v>1106</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25" t="s">
        <v>198</v>
      </c>
      <c r="J479" s="25" t="s">
        <v>1476</v>
      </c>
      <c r="K479" s="25" t="s">
        <v>1476</v>
      </c>
      <c r="L479" s="25" t="s">
        <v>149</v>
      </c>
      <c r="M479" s="25" t="n">
        <v>1907</v>
      </c>
      <c r="N479" s="25" t="n">
        <v>1950</v>
      </c>
      <c r="O479" s="25" t="n">
        <v>1961</v>
      </c>
      <c r="R479" s="2"/>
      <c r="S479" s="3"/>
      <c r="T479" s="3"/>
      <c r="U479" s="3"/>
      <c r="V479" s="3"/>
      <c r="W479" s="3"/>
      <c r="X479" s="3"/>
      <c r="Y479" s="3"/>
      <c r="Z479" s="25" t="n">
        <v>6.4</v>
      </c>
      <c r="AA479" s="2"/>
      <c r="AB479" s="25" t="n">
        <v>3</v>
      </c>
      <c r="AD479" s="4" t="str">
        <f aca="false">IF(AND(Z479&gt;0,AC479&gt;0),(AC479/((Z479+AA479)*10)),"")</f>
        <v/>
      </c>
      <c r="AE479" s="25" t="n">
        <v>50</v>
      </c>
      <c r="AF479" s="25" t="n">
        <f aca="false">ROUND(AE479*1.6, 0)</f>
        <v>80</v>
      </c>
      <c r="AI479" s="25" t="n">
        <v>6</v>
      </c>
      <c r="AJ479" s="25" t="n">
        <v>8</v>
      </c>
      <c r="AK479" s="25" t="n">
        <v>2.5</v>
      </c>
      <c r="AL479" s="25" t="n">
        <v>3.35</v>
      </c>
      <c r="AM479" s="5" t="n">
        <v>13</v>
      </c>
      <c r="AN479" s="1" t="str">
        <f aca="false">CONCATENATE(VLOOKUP(AO479, '[1]Voxel Sizes'!$A$2:$B$18,2,FALSE()),"x",INT(AK479*15), "x", INT(AL479*15))</f>
        <v>82x37x50</v>
      </c>
      <c r="AO479" s="25" t="n">
        <f aca="false">ROUND(15*((AJ479*10)/256),0)</f>
        <v>5</v>
      </c>
      <c r="AQ479" s="1" t="str">
        <f aca="false">CONCATENATE(VLOOKUP(AO479,Constants!$A$2:$C$16,IF(AP479&lt;&gt;"", 3, 2), FALSE()),IF(AP479&lt;&gt;"",CONCATENATE(",",VLOOKUP(AP479,$B:$AQ,42,FALSE())),""))</f>
        <v>2,1,2</v>
      </c>
      <c r="AS479" s="6"/>
      <c r="AT479" s="6"/>
      <c r="BA479" s="25" t="n">
        <v>30</v>
      </c>
      <c r="BB479" s="16" t="n">
        <f aca="false">IF(O479&lt;&gt;"",MAX(16,(O479-M479)+8),"")</f>
        <v>62</v>
      </c>
      <c r="BC479" s="25" t="n">
        <v>5</v>
      </c>
      <c r="BD479" s="25" t="n">
        <v>0</v>
      </c>
      <c r="BE479" s="25" t="n">
        <f aca="false">MIN(AE479/150, 1)*30</f>
        <v>10</v>
      </c>
      <c r="BF479" s="25" t="n">
        <f aca="false">MIN(Q479/4000, 1)*20</f>
        <v>0</v>
      </c>
      <c r="BG479" s="25" t="n">
        <f aca="false">MIN(AC479/400,1)*20</f>
        <v>0</v>
      </c>
      <c r="BH479" s="4" t="n">
        <f aca="false">1-(MAX(M479-1900, 0)/750)</f>
        <v>0.990666666666667</v>
      </c>
      <c r="BI479" s="25" t="n">
        <f aca="false">((MAX($P479,1)*MIN($AM479/300,1)))*IF(J479="Wagon",50,10)</f>
        <v>2.16666666666667</v>
      </c>
      <c r="BJ479" s="1" t="n">
        <f aca="false">VLOOKUP($K479,Constants!$I:$K, 2, FALSE())</f>
        <v>1</v>
      </c>
      <c r="BK479" s="1" t="n">
        <f aca="false">VLOOKUP($K479,Constants!$I:$K, 3, FALSE())*IF(AND(J479="multiple_unit",AE479&lt;110),0.75,1)</f>
        <v>0.45</v>
      </c>
      <c r="BL479" s="25" t="n">
        <f aca="false">INT(POWER((([1]Constants!$G$2+$BE479+$BF479+$BG479+$BI479)*$BH479)*$BK479, 1.05))+$BD479</f>
        <v>8</v>
      </c>
      <c r="BM479" s="25" t="n">
        <f aca="false">INT(POWER(((([1]Constants!$G$1+$BE479+$BF479+$BG479+$BI479)*($BH479))*$BJ479),IF($J479="wagon",1,1.2)))+$BC479</f>
        <v>31</v>
      </c>
      <c r="BN479" s="17" t="n">
        <f aca="false">BL479*IF($J479="wagon",62.5,781.25)</f>
        <v>500</v>
      </c>
      <c r="BO479" s="17" t="n">
        <f aca="false">BM479*IF($J479="wagon",2.73,81.25)</f>
        <v>84.63</v>
      </c>
      <c r="BY479" s="25" t="n">
        <v>1</v>
      </c>
      <c r="BZ479" s="25" t="n">
        <v>185</v>
      </c>
      <c r="CB479" s="25" t="s">
        <v>1844</v>
      </c>
      <c r="CC479" s="25" t="s">
        <v>1845</v>
      </c>
      <c r="CD479" s="25" t="str">
        <f aca="false">VLOOKUP(M479,[1]Eras!$A$2:$C$10, 2, TRUE())</f>
        <v>edw</v>
      </c>
      <c r="CE479" s="25" t="s">
        <v>1795</v>
      </c>
      <c r="CF479" s="25" t="str">
        <f aca="false">CONCATENATE(CD479,"_",CE479)</f>
        <v>edw_Tanker</v>
      </c>
      <c r="CG479" s="25" t="str">
        <f aca="false">_xlfn.CONCAT(K479, "_",L479)</f>
        <v>wagon_RAIL</v>
      </c>
      <c r="CH479" s="7" t="str">
        <f aca="false">_xlfn.CONCAT("{BLACK}Length: {GOLD}", TEXT(ROUNDUP(IF(AT479&lt;&gt;"",SUM(VALUE(_xlfn.TEXTSPLIT(AT479, ","))), SUM(VALUE(_xlfn.TEXTSPLIT(AQ479, ",")))*IF(P479, P479, 1))/16, 1), "#,##0.0"), " tiles{}")</f>
        <v>{BLACK}Length: {GOLD}0.4 tiles{}</v>
      </c>
      <c r="CI479" s="1" t="n">
        <f aca="false">VLOOKUP($CG479, Constants!$M:$N, 2, FALSE())</f>
        <v>0</v>
      </c>
      <c r="CJ479" s="1" t="str">
        <f aca="false">IF(P479&gt;1,_xlfn.CONCAT("{BLACK}Cars: {GOLD}", P479),"")</f>
        <v/>
      </c>
      <c r="CK479" s="25" t="s">
        <v>1846</v>
      </c>
      <c r="CM479" s="25" t="str">
        <f aca="false">IF(CA479="buffet","{YELLOW}25% long distance bonus for consist{}",IF(CD479="BRAKE","{YELLOW}Speed bonus for slow wagons{}",IF(BZ479&gt;190,CONCATENATE("{YELLOW}",INT((BZ479-185)/1.85),"% bonus for long distance travel{}"),IF(AND(BZ479&lt;180,BZ479&lt;&gt;0),CONCATENATE("{YELLOW}",INT((185-BZ479)/1.85),"% penalty for long distance travel{}"),""))))</f>
        <v/>
      </c>
      <c r="CN479" s="25" t="str">
        <f aca="false">_xlfn.CONCAT(CI479,IF(CI479 &lt;&gt; "", " ", ""),CJ479,IF(OR(CJ479&lt;&gt;"", CI479&lt;&gt;""), "{}",""), CH479, CM479,"{SILVER}", CK479)</f>
        <v>{BLACK}Length: {GOLD}0.4 tiles{}{SILVER}The standard RCH Salt Wagon design of 1907 was long-lived in private ownership and saw some use beyond sodium chloride, which was largely used as part of the chemical industry.</v>
      </c>
    </row>
    <row r="480" s="25" customFormat="true" ht="14.25" hidden="false" customHeight="false" outlineLevel="0" collapsed="false">
      <c r="A480" s="25" t="s">
        <v>1847</v>
      </c>
      <c r="B480" s="26" t="s">
        <v>1848</v>
      </c>
      <c r="C480" s="1" t="n">
        <v>3099</v>
      </c>
      <c r="E480" s="1" t="n">
        <v>1107</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25" t="s">
        <v>198</v>
      </c>
      <c r="J480" s="25" t="s">
        <v>1476</v>
      </c>
      <c r="K480" s="25" t="s">
        <v>1476</v>
      </c>
      <c r="L480" s="25" t="s">
        <v>149</v>
      </c>
      <c r="M480" s="25" t="n">
        <v>1955</v>
      </c>
      <c r="N480" s="25" t="n">
        <v>1980</v>
      </c>
      <c r="O480" s="25" t="n">
        <v>1987</v>
      </c>
      <c r="R480" s="2"/>
      <c r="S480" s="3"/>
      <c r="T480" s="3"/>
      <c r="U480" s="3"/>
      <c r="V480" s="3"/>
      <c r="W480" s="3"/>
      <c r="X480" s="3"/>
      <c r="Y480" s="3"/>
      <c r="Z480" s="25" t="n">
        <v>13.4</v>
      </c>
      <c r="AA480" s="2"/>
      <c r="AB480" s="25" t="n">
        <v>5</v>
      </c>
      <c r="AD480" s="4" t="str">
        <f aca="false">IF(AND(Z480&gt;0,AC480&gt;0),(AC480/((Z480+AA480)*10)),"")</f>
        <v/>
      </c>
      <c r="AE480" s="25" t="n">
        <v>50</v>
      </c>
      <c r="AF480" s="25" t="n">
        <f aca="false">ROUND(AE480*1.6, 0)</f>
        <v>80</v>
      </c>
      <c r="AI480" s="25" t="n">
        <v>6</v>
      </c>
      <c r="AJ480" s="25" t="n">
        <v>8</v>
      </c>
      <c r="AK480" s="25" t="n">
        <v>2.5</v>
      </c>
      <c r="AL480" s="25" t="n">
        <v>3.35</v>
      </c>
      <c r="AM480" s="5" t="n">
        <v>20</v>
      </c>
      <c r="AN480" s="1" t="str">
        <f aca="false">CONCATENATE(VLOOKUP(AO480, '[1]Voxel Sizes'!$A$2:$B$18,2,FALSE()),"x",INT(AK480*15), "x", INT(AL480*15))</f>
        <v>82x37x50</v>
      </c>
      <c r="AO480" s="25" t="n">
        <f aca="false">ROUND(15*((AJ480*10)/256),0)</f>
        <v>5</v>
      </c>
      <c r="AQ480" s="1" t="str">
        <f aca="false">CONCATENATE(VLOOKUP(AO480,Constants!$A$2:$C$16,IF(AP480&lt;&gt;"", 3, 2), FALSE()),IF(AP480&lt;&gt;"",CONCATENATE(",",VLOOKUP(AP480,$B:$AQ,42,FALSE())),""))</f>
        <v>2,1,2</v>
      </c>
      <c r="AS480" s="6"/>
      <c r="AT480" s="6"/>
      <c r="BA480" s="25" t="n">
        <v>30</v>
      </c>
      <c r="BB480" s="16" t="n">
        <f aca="false">IF(O480&lt;&gt;"",MAX(16,(O480-M480)+8),"")</f>
        <v>40</v>
      </c>
      <c r="BC480" s="25" t="n">
        <v>5</v>
      </c>
      <c r="BE480" s="25" t="n">
        <f aca="false">MIN(AE480/150, 1)*30</f>
        <v>10</v>
      </c>
      <c r="BF480" s="25" t="n">
        <f aca="false">MIN(Q480/4000, 1)*20</f>
        <v>0</v>
      </c>
      <c r="BG480" s="25" t="n">
        <f aca="false">MIN(AC480/400,1)*20</f>
        <v>0</v>
      </c>
      <c r="BH480" s="4" t="n">
        <f aca="false">1-(MAX(M480-1900, 0)/750)</f>
        <v>0.926666666666667</v>
      </c>
      <c r="BI480" s="25" t="n">
        <f aca="false">((MAX($P480,1)*MIN($AM480/300,1)))*IF(J480="Wagon",50,10)</f>
        <v>3.33333333333333</v>
      </c>
      <c r="BJ480" s="1" t="n">
        <f aca="false">VLOOKUP($K480,Constants!$I:$K, 2, FALSE())</f>
        <v>1</v>
      </c>
      <c r="BK480" s="1" t="n">
        <f aca="false">VLOOKUP($K480,Constants!$I:$K, 3, FALSE())*IF(AND(J480="multiple_unit",AE480&lt;110),0.75,1)</f>
        <v>0.45</v>
      </c>
      <c r="BL480" s="25" t="n">
        <f aca="false">INT(POWER((([1]Constants!$G$2+$BE480+$BF480+$BG480+$BI480)*$BH480)*$BK480, 1.05))+$BD480</f>
        <v>8</v>
      </c>
      <c r="BM480" s="25" t="n">
        <f aca="false">INT(POWER(((([1]Constants!$G$1+$BE480+$BF480+$BG480+$BI480)*($BH480))*$BJ480),IF($J480="wagon",1,1.2)))+$BC480</f>
        <v>31</v>
      </c>
      <c r="BN480" s="17" t="n">
        <f aca="false">BL480*IF($J480="wagon",62.5,781.25)</f>
        <v>500</v>
      </c>
      <c r="BO480" s="17" t="n">
        <f aca="false">BM480*IF($J480="wagon",2.73,81.25)</f>
        <v>84.63</v>
      </c>
      <c r="BY480" s="25" t="n">
        <v>1</v>
      </c>
      <c r="BZ480" s="25" t="n">
        <v>185</v>
      </c>
      <c r="CB480" s="25" t="s">
        <v>1844</v>
      </c>
      <c r="CC480" s="25" t="s">
        <v>1849</v>
      </c>
      <c r="CD480" s="25" t="str">
        <f aca="false">VLOOKUP(M480,[1]Eras!$A$2:$C$10, 2, TRUE())</f>
        <v>dsl</v>
      </c>
      <c r="CE480" s="25" t="s">
        <v>1795</v>
      </c>
      <c r="CF480" s="25" t="str">
        <f aca="false">CONCATENATE(CD480,"_",CE480)</f>
        <v>dsl_Tanker</v>
      </c>
      <c r="CG480" s="25"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25" t="s">
        <v>1850</v>
      </c>
      <c r="CM480" s="25"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25" t="str">
        <f aca="false">_xlfn.CONCAT(CI480,IF(CI480 &lt;&gt; "", " ", ""),CJ480,IF(OR(CJ480&lt;&gt;"", CI480&lt;&gt;""), "{}",""), CH480, CM480,"{SILVER}", CK480)</f>
        <v>{BLACK}Length: {GOLD}0.4 tiles{}{SILVER}The Presflo covered hopper was designed specifically to carry cement powder, being unloaded via a pressurized air connection and liquefaction of the cargo.</v>
      </c>
      <c r="CO480" s="25" t="n">
        <v>1</v>
      </c>
    </row>
    <row r="481" s="25" customFormat="true" ht="14.25" hidden="false" customHeight="false" outlineLevel="0" collapsed="false">
      <c r="A481" s="25" t="s">
        <v>1851</v>
      </c>
      <c r="B481" s="26" t="s">
        <v>1852</v>
      </c>
      <c r="C481" s="1" t="n">
        <v>3100</v>
      </c>
      <c r="E481" s="1" t="n">
        <v>1108</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5" t="s">
        <v>198</v>
      </c>
      <c r="J481" s="25" t="s">
        <v>1476</v>
      </c>
      <c r="K481" s="25" t="s">
        <v>1476</v>
      </c>
      <c r="L481" s="25" t="s">
        <v>149</v>
      </c>
      <c r="M481" s="25" t="n">
        <v>1968</v>
      </c>
      <c r="N481" s="25" t="n">
        <v>2012</v>
      </c>
      <c r="O481" s="25" t="n">
        <v>2022</v>
      </c>
      <c r="R481" s="2"/>
      <c r="S481" s="3"/>
      <c r="T481" s="3"/>
      <c r="U481" s="3"/>
      <c r="V481" s="3"/>
      <c r="W481" s="3"/>
      <c r="X481" s="3"/>
      <c r="Y481" s="3"/>
      <c r="Z481" s="25" t="n">
        <v>12.4</v>
      </c>
      <c r="AA481" s="2"/>
      <c r="AB481" s="25" t="n">
        <v>4</v>
      </c>
      <c r="AD481" s="4" t="str">
        <f aca="false">IF(AND(Z481&gt;0,AC481&gt;0),(AC481/((Z481+AA481)*10)),"")</f>
        <v/>
      </c>
      <c r="AE481" s="25" t="n">
        <v>50</v>
      </c>
      <c r="AF481" s="25" t="n">
        <f aca="false">ROUND(AE481*1.6, 0)</f>
        <v>80</v>
      </c>
      <c r="AI481" s="25" t="n">
        <v>8</v>
      </c>
      <c r="AJ481" s="25" t="n">
        <v>8</v>
      </c>
      <c r="AK481" s="25" t="n">
        <v>2.6</v>
      </c>
      <c r="AL481" s="25" t="n">
        <v>3.9</v>
      </c>
      <c r="AM481" s="5" t="n">
        <v>33</v>
      </c>
      <c r="AN481" s="1" t="str">
        <f aca="false">CONCATENATE(VLOOKUP(AO481, '[1]Voxel Sizes'!$A$2:$B$18,2,FALSE()),"x",INT(AK481*15), "x", INT(AL481*15))</f>
        <v>82x39x58</v>
      </c>
      <c r="AO481" s="25" t="n">
        <f aca="false">ROUND(15*((AJ481*10)/256),0)</f>
        <v>5</v>
      </c>
      <c r="AQ481" s="1" t="str">
        <f aca="false">CONCATENATE(VLOOKUP(AO481,Constants!$A$2:$C$16,IF(AP481&lt;&gt;"", 3, 2), FALSE()),IF(AP481&lt;&gt;"",CONCATENATE(",",VLOOKUP(AP481,$B:$AQ,42,FALSE())),""))</f>
        <v>2,1,2</v>
      </c>
      <c r="AS481" s="6"/>
      <c r="AT481" s="6"/>
      <c r="BA481" s="25" t="n">
        <v>30</v>
      </c>
      <c r="BB481" s="16" t="n">
        <f aca="false">IF(O481&lt;&gt;"",MAX(16,(O481-M481)+8),"")</f>
        <v>62</v>
      </c>
      <c r="BC481" s="25" t="n">
        <v>5</v>
      </c>
      <c r="BE481" s="25" t="n">
        <f aca="false">MIN(AE481/150, 1)*30</f>
        <v>10</v>
      </c>
      <c r="BF481" s="25" t="n">
        <f aca="false">MIN(Q481/4000, 1)*20</f>
        <v>0</v>
      </c>
      <c r="BG481" s="25" t="n">
        <f aca="false">MIN(AC481/400,1)*20</f>
        <v>0</v>
      </c>
      <c r="BH481" s="4" t="n">
        <f aca="false">1-(MAX(M481-1900, 0)/750)</f>
        <v>0.909333333333333</v>
      </c>
      <c r="BI481" s="25" t="n">
        <f aca="false">((MAX($P481,1)*MIN($AM481/300,1)))*IF(J481="Wagon",50,10)</f>
        <v>5.5</v>
      </c>
      <c r="BJ481" s="1" t="n">
        <f aca="false">VLOOKUP($K481,Constants!$I:$K, 2, FALSE())</f>
        <v>1</v>
      </c>
      <c r="BK481" s="1" t="n">
        <f aca="false">VLOOKUP($K481,Constants!$I:$K, 3, FALSE())*IF(AND(J481="multiple_unit",AE481&lt;110),0.75,1)</f>
        <v>0.45</v>
      </c>
      <c r="BL481" s="25" t="n">
        <f aca="false">INT(POWER((([1]Constants!$G$2+$BE481+$BF481+$BG481+$BI481)*$BH481)*$BK481, 1.05))+$BD481</f>
        <v>9</v>
      </c>
      <c r="BM481" s="25" t="n">
        <f aca="false">INT(POWER(((([1]Constants!$G$1+$BE481+$BF481+$BG481+$BI481)*($BH481))*$BJ481),IF($J481="wagon",1,1.2)))+$BC481</f>
        <v>32</v>
      </c>
      <c r="BN481" s="17" t="n">
        <f aca="false">BL481*IF($J481="wagon",62.5,781.25)</f>
        <v>562.5</v>
      </c>
      <c r="BO481" s="17" t="n">
        <f aca="false">BM481*IF($J481="wagon",2.73,81.25)</f>
        <v>87.36</v>
      </c>
      <c r="BY481" s="25" t="n">
        <v>1</v>
      </c>
      <c r="BZ481" s="25" t="n">
        <v>185</v>
      </c>
      <c r="CB481" s="25" t="s">
        <v>1844</v>
      </c>
      <c r="CC481" s="25" t="s">
        <v>1849</v>
      </c>
      <c r="CD481" s="25" t="str">
        <f aca="false">VLOOKUP(M481,[1]Eras!$A$2:$C$10, 2, TRUE())</f>
        <v>dsl</v>
      </c>
      <c r="CE481" s="25" t="s">
        <v>1795</v>
      </c>
      <c r="CF481" s="25" t="str">
        <f aca="false">CONCATENATE(CD481,"_",CE481)</f>
        <v>dsl_Tanker</v>
      </c>
      <c r="CG481" s="25"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25" t="s">
        <v>1853</v>
      </c>
      <c r="CM481" s="25"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25" t="str">
        <f aca="false">_xlfn.CONCAT(CI481,IF(CI481 &lt;&gt; "", " ", ""),CJ481,IF(OR(CJ481&lt;&gt;"", CI481&lt;&gt;""), "{}",""), CH481, CM481,"{SILVER}", CK481)</f>
        <v>{BLACK}Length: {GOLD}0.4 tiles{}{SILVER}The PCA tanker, with it’s notable depressed-center ‘vee’ appearance, could carry large amounts of cement and was a common sight in mixed freight trains.</v>
      </c>
      <c r="CO481" s="25" t="n">
        <v>1</v>
      </c>
    </row>
    <row r="482" s="25" customFormat="true" ht="14.25" hidden="false" customHeight="false" outlineLevel="0" collapsed="false">
      <c r="A482" s="25" t="s">
        <v>1854</v>
      </c>
      <c r="B482" s="26" t="s">
        <v>1855</v>
      </c>
      <c r="C482" s="1" t="n">
        <v>3101</v>
      </c>
      <c r="E482" s="1" t="n">
        <v>1109</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25" t="s">
        <v>198</v>
      </c>
      <c r="J482" s="25" t="s">
        <v>1476</v>
      </c>
      <c r="K482" s="25" t="s">
        <v>1476</v>
      </c>
      <c r="L482" s="25" t="s">
        <v>149</v>
      </c>
      <c r="M482" s="25" t="n">
        <v>2007</v>
      </c>
      <c r="R482" s="2"/>
      <c r="S482" s="3"/>
      <c r="T482" s="3"/>
      <c r="U482" s="3"/>
      <c r="V482" s="3"/>
      <c r="W482" s="3"/>
      <c r="X482" s="3"/>
      <c r="Y482" s="3"/>
      <c r="Z482" s="25" t="n">
        <v>19.9</v>
      </c>
      <c r="AA482" s="2"/>
      <c r="AB482" s="25" t="n">
        <v>5</v>
      </c>
      <c r="AD482" s="4" t="str">
        <f aca="false">IF(AND(Z482&gt;0,AC482&gt;0),(AC482/((Z482+AA482)*10)),"")</f>
        <v/>
      </c>
      <c r="AE482" s="25" t="n">
        <v>75</v>
      </c>
      <c r="AF482" s="25" t="n">
        <f aca="false">ROUND(AE482*1.6, 0)</f>
        <v>120</v>
      </c>
      <c r="AI482" s="25" t="n">
        <v>16.2</v>
      </c>
      <c r="AJ482" s="25" t="n">
        <v>17</v>
      </c>
      <c r="AK482" s="25" t="n">
        <v>2.7</v>
      </c>
      <c r="AL482" s="25" t="n">
        <v>3.8</v>
      </c>
      <c r="AM482" s="5" t="n">
        <v>80</v>
      </c>
      <c r="AN482" s="1" t="str">
        <f aca="false">CONCATENATE(VLOOKUP(AO482, '[1]Voxel Sizes'!$A$2:$B$18,2,FALSE()),"x",INT(AK482*15), "x", INT(AL482*15))</f>
        <v>164x40x57</v>
      </c>
      <c r="AO482" s="25" t="n">
        <f aca="false">ROUND(15*((AJ482*10)/256),0)</f>
        <v>10</v>
      </c>
      <c r="AQ482" s="1" t="str">
        <f aca="false">CONCATENATE(VLOOKUP(AO482,Constants!$A$2:$C$16,IF(AP482&lt;&gt;"", 3, 2), FALSE()),IF(AP482&lt;&gt;"",CONCATENATE(",",VLOOKUP(AP482,$B:$AQ,42,FALSE())),""))</f>
        <v>4,2,4</v>
      </c>
      <c r="AS482" s="6"/>
      <c r="AT482" s="6"/>
      <c r="BA482" s="25" t="n">
        <v>30</v>
      </c>
      <c r="BB482" s="16" t="str">
        <f aca="false">IF(O482&lt;&gt;"",MAX(16,(O482-M482)+8),"")</f>
        <v/>
      </c>
      <c r="BE482" s="25" t="n">
        <f aca="false">MIN(AE482/150, 1)*30</f>
        <v>15</v>
      </c>
      <c r="BF482" s="25" t="n">
        <f aca="false">MIN(Q482/4000, 1)*20</f>
        <v>0</v>
      </c>
      <c r="BG482" s="25" t="n">
        <f aca="false">MIN(AC482/400,1)*20</f>
        <v>0</v>
      </c>
      <c r="BH482" s="4" t="n">
        <f aca="false">1-(MAX(M482-1900, 0)/750)</f>
        <v>0.857333333333333</v>
      </c>
      <c r="BI482" s="25" t="n">
        <f aca="false">((MAX($P482,1)*MIN($AM482/300,1)))*IF(J482="Wagon",50,10)</f>
        <v>13.3333333333333</v>
      </c>
      <c r="BJ482" s="1" t="n">
        <f aca="false">VLOOKUP($K482,Constants!$I:$K, 2, FALSE())</f>
        <v>1</v>
      </c>
      <c r="BK482" s="1" t="n">
        <f aca="false">VLOOKUP($K482,Constants!$I:$K, 3, FALSE())*IF(AND(J482="multiple_unit",AE482&lt;110),0.75,1)</f>
        <v>0.45</v>
      </c>
      <c r="BL482" s="25" t="n">
        <f aca="false">INT(POWER((([1]Constants!$G$2+$BE482+$BF482+$BG482+$BI482)*$BH482)*$BK482, 1.05))+$BD482</f>
        <v>14</v>
      </c>
      <c r="BM482" s="25" t="n">
        <f aca="false">INT(POWER(((([1]Constants!$G$1+$BE482+$BF482+$BG482+$BI482)*($BH482))*$BJ482),IF($J482="wagon",1,1.2)))+$BC482</f>
        <v>37</v>
      </c>
      <c r="BN482" s="17" t="n">
        <f aca="false">BL482*IF($J482="wagon",62.5,781.25)</f>
        <v>875</v>
      </c>
      <c r="BO482" s="17" t="n">
        <f aca="false">BM482*IF($J482="wagon",2.73,81.25)</f>
        <v>101.01</v>
      </c>
      <c r="BY482" s="25" t="n">
        <v>1</v>
      </c>
      <c r="BZ482" s="25" t="n">
        <v>185</v>
      </c>
      <c r="CB482" s="25" t="s">
        <v>1812</v>
      </c>
      <c r="CC482" s="25" t="s">
        <v>1849</v>
      </c>
      <c r="CD482" s="25" t="str">
        <f aca="false">VLOOKUP(M482,[1]Eras!$A$2:$C$10, 2, TRUE())</f>
        <v>mod</v>
      </c>
      <c r="CE482" s="25" t="s">
        <v>1795</v>
      </c>
      <c r="CF482" s="25" t="str">
        <f aca="false">CONCATENATE(CD482,"_",CE482)</f>
        <v>mod_Tanker</v>
      </c>
      <c r="CG482" s="25" t="str">
        <f aca="false">_xlfn.CONCAT(K482, "_",L482)</f>
        <v>wagon_RAIL</v>
      </c>
      <c r="CH482" s="7" t="str">
        <f aca="false">_xlfn.CONCAT("{BLACK}Length: {GOLD}", TEXT(ROUNDUP(IF(AT482&lt;&gt;"",SUM(VALUE(_xlfn.TEXTSPLIT(AT482, ","))), SUM(VALUE(_xlfn.TEXTSPLIT(AQ482, ",")))*IF(P482, P482, 1))/16, 1), "#,##0.0"), " tiles{}")</f>
        <v>{BLACK}Length: {GOLD}0.7 tiles{}</v>
      </c>
      <c r="CI482" s="1" t="n">
        <f aca="false">VLOOKUP($CG482, Constants!$M:$N, 2, FALSE())</f>
        <v>0</v>
      </c>
      <c r="CJ482" s="1" t="str">
        <f aca="false">IF(P482&gt;1,_xlfn.CONCAT("{BLACK}Cars: {GOLD}", P482),"")</f>
        <v/>
      </c>
      <c r="CK482" s="25" t="s">
        <v>1856</v>
      </c>
      <c r="CM482" s="25" t="str">
        <f aca="false">IF(CA482="buffet","{YELLOW}25% long distance bonus for consist{}",IF(CD482="BRAKE","{YELLOW}Speed bonus for slow wagons{}",IF(BZ482&gt;190,CONCATENATE("{YELLOW}",INT((BZ482-185)/1.85),"% bonus for long distance travel{}"),IF(AND(BZ482&lt;180,BZ482&lt;&gt;0),CONCATENATE("{YELLOW}",INT((185-BZ482)/1.85),"% penalty for long distance travel{}"),""))))</f>
        <v/>
      </c>
      <c r="CN482" s="25" t="str">
        <f aca="false">_xlfn.CONCAT(CI482,IF(CI482 &lt;&gt; "", " ", ""),CJ482,IF(OR(CJ482&lt;&gt;"", CI482&lt;&gt;""), "{}",""), CH482, CM482,"{SILVER}", CK482)</f>
        <v>{BLACK}Length: {GOLD}0.7 tiles{}{SILVER}By the 2000s the BR-era 2-axle cement tankers then in use were beginning to show their age. They were replaced by these large bogie tank wagons built in Germany, with a distinctive fish-belly shape.</v>
      </c>
    </row>
    <row r="483" customFormat="false" ht="14.25" hidden="false" customHeight="false" outlineLevel="0" collapsed="false">
      <c r="A483" s="1" t="s">
        <v>1857</v>
      </c>
      <c r="B483" s="15" t="s">
        <v>1858</v>
      </c>
      <c r="C483" s="1" t="n">
        <v>84</v>
      </c>
      <c r="E483" s="1" t="n">
        <v>1110</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198</v>
      </c>
      <c r="J483" s="1" t="s">
        <v>1476</v>
      </c>
      <c r="K483" s="1" t="s">
        <v>1476</v>
      </c>
      <c r="L483" s="1" t="s">
        <v>200</v>
      </c>
      <c r="M483" s="1" t="n">
        <v>1700</v>
      </c>
      <c r="O483" s="1" t="n">
        <v>1875</v>
      </c>
      <c r="Z483" s="1" t="n">
        <v>3</v>
      </c>
      <c r="AB483" s="1" t="n">
        <v>2</v>
      </c>
      <c r="AD483" s="4" t="str">
        <f aca="false">IF(AND(Z483&gt;0,AC483&gt;0),(AC483/((Z483+AA483)*10)),"")</f>
        <v/>
      </c>
      <c r="AE483" s="1" t="n">
        <v>35</v>
      </c>
      <c r="AF483" s="1" t="n">
        <f aca="false">ROUND(AE483*1.6, 0)</f>
        <v>56</v>
      </c>
      <c r="AI483" s="1" t="n">
        <v>6</v>
      </c>
      <c r="AJ483" s="1" t="n">
        <v>6</v>
      </c>
      <c r="AM483" s="5" t="n">
        <v>15</v>
      </c>
      <c r="AN483" s="1" t="str">
        <f aca="false">CONCATENATE(VLOOKUP(AO483, 'Voxel Sizes'!$A$2:$B$18,2,FALSE()),"x",INT(AK483*15), "x", INT(AL483*15))</f>
        <v>60x0x0</v>
      </c>
      <c r="AO483" s="1" t="n">
        <f aca="false">ROUND(15*((AJ483*10)/256),0)</f>
        <v>4</v>
      </c>
      <c r="AQ483" s="1" t="str">
        <f aca="false">CONCATENATE(VLOOKUP(AO483,Constants!$A$2:$C$16,IF(AP483&lt;&gt;"", 3, 2), FALSE()),IF(AP483&lt;&gt;"",CONCATENATE(",",VLOOKUP(AP483,$B:$AQ,39,FALSE())),""))</f>
        <v>1,2,1</v>
      </c>
      <c r="BA483" s="1" t="n">
        <v>30</v>
      </c>
      <c r="BB483" s="16" t="n">
        <f aca="false">IF(O483&lt;&gt;"",MAX(16,(O483-M483)+8),"")</f>
        <v>183</v>
      </c>
      <c r="BC483" s="1" t="n">
        <v>-15</v>
      </c>
      <c r="BD483" s="1" t="n">
        <v>-2</v>
      </c>
      <c r="BE483" s="1" t="n">
        <f aca="false">MIN(AE483/150, 1)*30</f>
        <v>7</v>
      </c>
      <c r="BF483" s="1" t="n">
        <f aca="false">MIN(Q483/4000, 1)*20</f>
        <v>0</v>
      </c>
      <c r="BG483" s="1" t="n">
        <f aca="false">MIN(AC483/400,1)*20</f>
        <v>0</v>
      </c>
      <c r="BH483" s="4" t="n">
        <f aca="false">1-(MAX(M483-1900, 0)/750)</f>
        <v>1</v>
      </c>
      <c r="BI483" s="1" t="n">
        <f aca="false">((MAX($P483,1)*MIN($AM483/300,1)))*IF(J483="Wagon",50,10)</f>
        <v>2.5</v>
      </c>
      <c r="BJ483" s="1" t="n">
        <f aca="false">VLOOKUP($K483,Constants!$I:$K, 2, FALSE())</f>
        <v>1</v>
      </c>
      <c r="BK483" s="1" t="n">
        <f aca="false">VLOOKUP($K483,Constants!$I:$K, 3, FALSE())*IF(AND(J483="multiple_unit",AE483&lt;110),0.75,1)</f>
        <v>0.45</v>
      </c>
      <c r="BL483" s="1" t="n">
        <f aca="false">INT(POWER(((Constants!$G$2+$BE483+$BF483+$BG483+$BI483)*$BH483)*$BK483, 1.05))+$BD483</f>
        <v>5</v>
      </c>
      <c r="BM483" s="1" t="n">
        <f aca="false">INT(POWER((((Constants!$G$1+$BE483+$BF483+$BG483+$BI483)*($BH483))*$BJ483),IF($J483="wagon",1,1.2)))+$BC483</f>
        <v>9</v>
      </c>
      <c r="BN483" s="17" t="n">
        <f aca="false">BL483*IF($J483="wagon",62.5,781.25)</f>
        <v>312.5</v>
      </c>
      <c r="BO483" s="17" t="n">
        <f aca="false">BM483*IF($J483="wagon",2.73,81.25)</f>
        <v>24.57</v>
      </c>
      <c r="BY483" s="1" t="n">
        <v>1</v>
      </c>
      <c r="BZ483" s="1" t="n">
        <v>185</v>
      </c>
      <c r="CB483" s="1" t="s">
        <v>1828</v>
      </c>
      <c r="CC483" s="1" t="s">
        <v>1378</v>
      </c>
      <c r="CD483" s="1" t="str">
        <f aca="false">VLOOKUP(M483,Eras!$A$2:$C$10, 2, TRUE())</f>
        <v>early</v>
      </c>
      <c r="CE483" s="1" t="s">
        <v>1828</v>
      </c>
      <c r="CF483" s="1" t="str">
        <f aca="false">CONCATENATE(CD483,"_",CE483)</f>
        <v>early_Van</v>
      </c>
      <c r="CG483" s="1" t="str">
        <f aca="false">_xlfn.CONCAT(K483, "_",L483)</f>
        <v>wagon_PLATEWAY</v>
      </c>
      <c r="CH483" s="7" t="str">
        <f aca="false">_xlfn.CONCAT("{BLACK}Length: {GOLD}", TEXT(ROUNDUP(IF(AT483&lt;&gt;"",SUM(VALUE(_xlfn.TEXTSPLIT(AT483, ","))), SUM(VALUE(_xlfn.TEXTSPLIT(AQ483, ",")))*IF(P483, P483, 1))/16, 1), "#,##0.0"), " tiles{}")</f>
        <v>{BLACK}Length: {GOLD}0.3 tiles{}</v>
      </c>
      <c r="CI483" s="1" t="n">
        <f aca="false">VLOOKUP($CG483, Constants!$M:$N, 2, FALSE())</f>
        <v>0</v>
      </c>
      <c r="CJ483" s="1" t="str">
        <f aca="false">IF(P483&gt;1,_xlfn.CONCAT("{BLACK}Cars: {GOLD}", P483),"")</f>
        <v/>
      </c>
      <c r="CK483" s="1" t="s">
        <v>1859</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{GOLD}0.3 tiles{}{SILVER}Simple canvas-covered wagons were some of the earliest vehicles for moving piece goods which needed to be sheltered from the elements.</v>
      </c>
    </row>
    <row r="484" customFormat="false" ht="14.25" hidden="false" customHeight="false" outlineLevel="0" collapsed="false">
      <c r="A484" s="1" t="s">
        <v>1860</v>
      </c>
      <c r="B484" s="15" t="s">
        <v>1861</v>
      </c>
      <c r="C484" s="1" t="n">
        <v>85</v>
      </c>
      <c r="E484" s="1" t="n">
        <v>1111</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198</v>
      </c>
      <c r="J484" s="1" t="s">
        <v>1476</v>
      </c>
      <c r="K484" s="1" t="s">
        <v>1476</v>
      </c>
      <c r="L484" s="1" t="s">
        <v>149</v>
      </c>
      <c r="M484" s="1" t="n">
        <v>1850</v>
      </c>
      <c r="O484" s="1" t="n">
        <v>1930</v>
      </c>
      <c r="Z484" s="1" t="n">
        <v>6</v>
      </c>
      <c r="AB484" s="1" t="n">
        <v>3</v>
      </c>
      <c r="AD484" s="4" t="str">
        <f aca="false">IF(AND(Z484&gt;0,AC484&gt;0),(AC484/((Z484+AA484)*10)),"")</f>
        <v/>
      </c>
      <c r="AE484" s="1" t="n">
        <v>45</v>
      </c>
      <c r="AF484" s="1" t="n">
        <f aca="false">ROUND(AE484*1.6, 0)</f>
        <v>72</v>
      </c>
      <c r="AI484" s="1" t="n">
        <v>6</v>
      </c>
      <c r="AJ484" s="1" t="n">
        <v>6</v>
      </c>
      <c r="AM484" s="5" t="n">
        <v>18</v>
      </c>
      <c r="AN484" s="1" t="str">
        <f aca="false">CONCATENATE(VLOOKUP(AO484, 'Voxel Sizes'!$A$2:$B$18,2,FALSE()),"x",INT(AK484*15), "x", INT(AL484*15))</f>
        <v>60x0x0</v>
      </c>
      <c r="AO484" s="1" t="n">
        <f aca="false">ROUND(15*((AJ484*10)/256),0)</f>
        <v>4</v>
      </c>
      <c r="AQ484" s="1" t="str">
        <f aca="false">CONCATENATE(VLOOKUP(AO484,Constants!$A$2:$C$16,IF(AP484&lt;&gt;"", 3, 2), FALSE()),IF(AP484&lt;&gt;"",CONCATENATE(",",VLOOKUP(AP484,$B:$AQ,39,FALSE())),""))</f>
        <v>1,2,1</v>
      </c>
      <c r="BA484" s="1" t="n">
        <v>30</v>
      </c>
      <c r="BB484" s="16" t="n">
        <f aca="false">IF(O484&lt;&gt;"",MAX(16,(O484-M484)+8),"")</f>
        <v>88</v>
      </c>
      <c r="BE484" s="1" t="n">
        <f aca="false">MIN(AE484/150, 1)*30</f>
        <v>9</v>
      </c>
      <c r="BF484" s="1" t="n">
        <f aca="false">MIN(Q484/4000, 1)*20</f>
        <v>0</v>
      </c>
      <c r="BG484" s="1" t="n">
        <f aca="false">MIN(AC484/400,1)*20</f>
        <v>0</v>
      </c>
      <c r="BH484" s="4" t="n">
        <f aca="false">1-(MAX(M484-1900, 0)/750)</f>
        <v>1</v>
      </c>
      <c r="BI484" s="1" t="n">
        <f aca="false">((MAX($P484,1)*MIN($AM484/300,1)))*IF(J484="Wagon",50,10)</f>
        <v>3</v>
      </c>
      <c r="BJ484" s="1" t="n">
        <f aca="false">VLOOKUP($K484,Constants!$I:$K, 2, FALSE())</f>
        <v>1</v>
      </c>
      <c r="BK484" s="1" t="n">
        <f aca="false">VLOOKUP($K484,Constants!$I:$K, 3, FALSE())*IF(AND(J484="multiple_unit",AE484&lt;110),0.75,1)</f>
        <v>0.45</v>
      </c>
      <c r="BL484" s="1" t="n">
        <f aca="false">INT(POWER(((Constants!$G$2+$BE484+$BF484+$BG484+$BI484)*$BH484)*$BK484, 1.05))+$BD484</f>
        <v>8</v>
      </c>
      <c r="BM484" s="1" t="n">
        <f aca="false">INT(POWER((((Constants!$G$1+$BE484+$BF484+$BG484+$BI484)*($BH484))*$BJ484),IF($J484="wagon",1,1.2)))+$BC484</f>
        <v>27</v>
      </c>
      <c r="BN484" s="17" t="n">
        <f aca="false">BL484*IF($J484="wagon",62.5,781.25)</f>
        <v>500</v>
      </c>
      <c r="BO484" s="17" t="n">
        <f aca="false">BM484*IF($J484="wagon",2.73,81.25)</f>
        <v>73.71</v>
      </c>
      <c r="BY484" s="1" t="n">
        <v>1</v>
      </c>
      <c r="BZ484" s="1" t="n">
        <v>185</v>
      </c>
      <c r="CB484" s="1" t="s">
        <v>1828</v>
      </c>
      <c r="CC484" s="1" t="s">
        <v>1378</v>
      </c>
      <c r="CD484" s="1" t="str">
        <f aca="false">VLOOKUP(M484,Eras!$A$2:$C$10, 2, TRUE())</f>
        <v>vct</v>
      </c>
      <c r="CE484" s="1" t="s">
        <v>1828</v>
      </c>
      <c r="CF484" s="1" t="str">
        <f aca="false">CONCATENATE(CD484,"_",CE484)</f>
        <v>vct_Van</v>
      </c>
      <c r="CG484" s="1" t="str">
        <f aca="false">_xlfn.CONCAT(K484, "_",L484)</f>
        <v>wagon_RAIL</v>
      </c>
      <c r="CH484" s="7" t="str">
        <f aca="false">_xlfn.CONCAT("{BLACK}Length: {GOLD}", TEXT(ROUNDUP(IF(AT484&lt;&gt;"",SUM(VALUE(_xlfn.TEXTSPLIT(AT484, ","))), SUM(VALUE(_xlfn.TEXTSPLIT(AQ484, ",")))*IF(P484, P484, 1))/16, 1), "#,##0.0"), " tiles{}")</f>
        <v>{BLACK}Length: {GOLD}0.3 tiles{}</v>
      </c>
      <c r="CI484" s="1" t="n">
        <f aca="false">VLOOKUP($CG484, Constants!$M:$N, 2, FALSE())</f>
        <v>0</v>
      </c>
      <c r="CJ484" s="1" t="str">
        <f aca="false">IF(P484&gt;1,_xlfn.CONCAT("{BLACK}Cars: {GOLD}", P484),"")</f>
        <v/>
      </c>
      <c r="CK484" s="1" t="s">
        <v>1862</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{GOLD}0.3 tiles{}{SILVER}Piece goods were an important source of revenue for early railways, with most building large quantities of covered vans.</v>
      </c>
    </row>
    <row r="485" customFormat="false" ht="14.25" hidden="false" customHeight="false" outlineLevel="0" collapsed="false">
      <c r="A485" s="1" t="s">
        <v>1863</v>
      </c>
      <c r="B485" s="15" t="s">
        <v>1864</v>
      </c>
      <c r="C485" s="1" t="n">
        <v>86</v>
      </c>
      <c r="E485" s="1" t="n">
        <v>1112</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198</v>
      </c>
      <c r="J485" s="1" t="s">
        <v>1476</v>
      </c>
      <c r="K485" s="1" t="s">
        <v>1476</v>
      </c>
      <c r="L485" s="1" t="s">
        <v>149</v>
      </c>
      <c r="M485" s="1" t="n">
        <v>1902</v>
      </c>
      <c r="O485" s="1" t="n">
        <v>1960</v>
      </c>
      <c r="Z485" s="1" t="n">
        <v>7</v>
      </c>
      <c r="AB485" s="1" t="n">
        <v>3</v>
      </c>
      <c r="AD485" s="4" t="str">
        <f aca="false">IF(AND(Z485&gt;0,AC485&gt;0),(AC485/((Z485+AA485)*10)),"")</f>
        <v/>
      </c>
      <c r="AE485" s="1" t="n">
        <v>50</v>
      </c>
      <c r="AF485" s="1" t="n">
        <f aca="false">ROUND(AE485*1.6, 0)</f>
        <v>80</v>
      </c>
      <c r="AI485" s="1" t="n">
        <v>8</v>
      </c>
      <c r="AJ485" s="1" t="n">
        <v>8</v>
      </c>
      <c r="AM485" s="5" t="n">
        <v>24</v>
      </c>
      <c r="AN485" s="1" t="str">
        <f aca="false">CONCATENATE(VLOOKUP(AO485, 'Voxel Sizes'!$A$2:$B$18,2,FALSE()),"x",INT(AK485*15), "x", INT(AL485*15))</f>
        <v>82x0x0</v>
      </c>
      <c r="AO485" s="1" t="n">
        <f aca="false">ROUND(15*((AJ485*10)/256),0)</f>
        <v>5</v>
      </c>
      <c r="AQ485" s="1" t="str">
        <f aca="false">CONCATENATE(VLOOKUP(AO485,Constants!$A$2:$C$16,IF(AP485&lt;&gt;"", 3, 2), FALSE()),IF(AP485&lt;&gt;"",CONCATENATE(",",VLOOKUP(AP485,$B:$AQ,39,FALSE())),""))</f>
        <v>2,1,2</v>
      </c>
      <c r="BA485" s="1" t="n">
        <v>30</v>
      </c>
      <c r="BB485" s="16" t="n">
        <f aca="false">IF(O485&lt;&gt;"",MAX(16,(O485-M485)+8),"")</f>
        <v>66</v>
      </c>
      <c r="BE485" s="1" t="n">
        <f aca="false">MIN(AE485/150, 1)*30</f>
        <v>10</v>
      </c>
      <c r="BF485" s="1" t="n">
        <f aca="false">MIN(Q485/4000, 1)*20</f>
        <v>0</v>
      </c>
      <c r="BG485" s="1" t="n">
        <f aca="false">MIN(AC485/400,1)*20</f>
        <v>0</v>
      </c>
      <c r="BH485" s="4" t="n">
        <f aca="false">1-(MAX(M485-1900, 0)/750)</f>
        <v>0.997333333333333</v>
      </c>
      <c r="BI485" s="1" t="n">
        <f aca="false">((MAX($P485,1)*MIN($AM485/300,1)))*IF(J485="Wagon",50,10)</f>
        <v>4</v>
      </c>
      <c r="BJ485" s="1" t="n">
        <f aca="false">VLOOKUP($K485,Constants!$I:$K, 2, FALSE())</f>
        <v>1</v>
      </c>
      <c r="BK485" s="1" t="n">
        <f aca="false">VLOOKUP($K485,Constants!$I:$K, 3, FALSE())*IF(AND(J485="multiple_unit",AE485&lt;110),0.75,1)</f>
        <v>0.45</v>
      </c>
      <c r="BL485" s="1" t="n">
        <f aca="false">INT(POWER(((Constants!$G$2+$BE485+$BF485+$BG485+$BI485)*$BH485)*$BK485, 1.05))+$BD485</f>
        <v>9</v>
      </c>
      <c r="BM485" s="1" t="n">
        <f aca="false">INT(POWER((((Constants!$G$1+$BE485+$BF485+$BG485+$BI485)*($BH485))*$BJ485),IF($J485="wagon",1,1.2)))+$BC485</f>
        <v>28</v>
      </c>
      <c r="BN485" s="17" t="n">
        <f aca="false">BL485*IF($J485="wagon",62.5,781.25)</f>
        <v>562.5</v>
      </c>
      <c r="BO485" s="17" t="n">
        <f aca="false">BM485*IF($J485="wagon",2.73,81.25)</f>
        <v>76.44</v>
      </c>
      <c r="BY485" s="1" t="n">
        <v>1</v>
      </c>
      <c r="BZ485" s="1" t="n">
        <v>185</v>
      </c>
      <c r="CB485" s="1" t="s">
        <v>1828</v>
      </c>
      <c r="CC485" s="1" t="s">
        <v>1378</v>
      </c>
      <c r="CD485" s="1" t="str">
        <f aca="false">VLOOKUP(M485,Eras!$A$2:$C$10, 2, TRUE())</f>
        <v>edw</v>
      </c>
      <c r="CE485" s="1" t="s">
        <v>1828</v>
      </c>
      <c r="CF485" s="1" t="str">
        <f aca="false">CONCATENATE(CD485,"_",CE485)</f>
        <v>edw_Van</v>
      </c>
      <c r="CG485" s="1"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1" t="s">
        <v>1865</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tiles{}{SILVER}This goods van uses an iron frame with a wooden body, making it stronger than earlier wooden-framed vans.</v>
      </c>
    </row>
    <row r="486" customFormat="false" ht="14.25" hidden="false" customHeight="false" outlineLevel="0" collapsed="false">
      <c r="A486" s="1" t="s">
        <v>1866</v>
      </c>
      <c r="B486" s="15" t="s">
        <v>1867</v>
      </c>
      <c r="C486" s="1" t="n">
        <v>87</v>
      </c>
      <c r="E486" s="1" t="n">
        <v>1113</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198</v>
      </c>
      <c r="J486" s="1" t="s">
        <v>1476</v>
      </c>
      <c r="K486" s="1" t="s">
        <v>1476</v>
      </c>
      <c r="L486" s="1" t="s">
        <v>149</v>
      </c>
      <c r="M486" s="1" t="n">
        <v>1932</v>
      </c>
      <c r="O486" s="1" t="n">
        <v>1970</v>
      </c>
      <c r="Z486" s="1" t="n">
        <v>8</v>
      </c>
      <c r="AB486" s="1" t="n">
        <v>3</v>
      </c>
      <c r="AD486" s="4" t="str">
        <f aca="false">IF(AND(Z486&gt;0,AC486&gt;0),(AC486/((Z486+AA486)*10)),"")</f>
        <v/>
      </c>
      <c r="AE486" s="1" t="n">
        <v>60</v>
      </c>
      <c r="AF486" s="1" t="n">
        <f aca="false">ROUND(AE486*1.6, 0)</f>
        <v>96</v>
      </c>
      <c r="AI486" s="1" t="n">
        <v>8</v>
      </c>
      <c r="AJ486" s="1" t="n">
        <v>8</v>
      </c>
      <c r="AM486" s="5" t="n">
        <v>27</v>
      </c>
      <c r="AN486" s="1" t="str">
        <f aca="false">CONCATENATE(VLOOKUP(AO486, 'Voxel Sizes'!$A$2:$B$18,2,FALSE()),"x",INT(AK486*15), "x", INT(AL486*15))</f>
        <v>82x0x0</v>
      </c>
      <c r="AO486" s="1" t="n">
        <f aca="false">ROUND(15*((AJ486*10)/256),0)</f>
        <v>5</v>
      </c>
      <c r="AQ486" s="1" t="str">
        <f aca="false">CONCATENATE(VLOOKUP(AO486,Constants!$A$2:$C$16,IF(AP486&lt;&gt;"", 3, 2), FALSE()),IF(AP486&lt;&gt;"",CONCATENATE(",",VLOOKUP(AP486,$B:$AQ,39,FALSE())),""))</f>
        <v>2,1,2</v>
      </c>
      <c r="BA486" s="1" t="n">
        <v>30</v>
      </c>
      <c r="BB486" s="16" t="n">
        <f aca="false">IF(O486&lt;&gt;"",MAX(16,(O486-M486)+8),"")</f>
        <v>46</v>
      </c>
      <c r="BE486" s="1" t="n">
        <f aca="false">MIN(AE486/150, 1)*30</f>
        <v>12</v>
      </c>
      <c r="BF486" s="1" t="n">
        <f aca="false">MIN(Q486/4000, 1)*20</f>
        <v>0</v>
      </c>
      <c r="BG486" s="1" t="n">
        <f aca="false">MIN(AC486/400,1)*20</f>
        <v>0</v>
      </c>
      <c r="BH486" s="4" t="n">
        <f aca="false">1-(MAX(M486-1900, 0)/750)</f>
        <v>0.957333333333333</v>
      </c>
      <c r="BI486" s="1" t="n">
        <f aca="false">((MAX($P486,1)*MIN($AM486/300,1)))*IF(J486="Wagon",50,10)</f>
        <v>4.5</v>
      </c>
      <c r="BJ486" s="1" t="n">
        <f aca="false">VLOOKUP($K486,Constants!$I:$K, 2, FALSE())</f>
        <v>1</v>
      </c>
      <c r="BK486" s="1" t="n">
        <f aca="false">VLOOKUP($K486,Constants!$I:$K, 3, FALSE())*IF(AND(J486="multiple_unit",AE486&lt;110),0.75,1)</f>
        <v>0.45</v>
      </c>
      <c r="BL486" s="1" t="n">
        <f aca="false">INT(POWER(((Constants!$G$2+$BE486+$BF486+$BG486+$BI486)*$BH486)*$BK486, 1.05))+$BD486</f>
        <v>10</v>
      </c>
      <c r="BM486" s="1" t="n">
        <f aca="false">INT(POWER((((Constants!$G$1+$BE486+$BF486+$BG486+$BI486)*($BH486))*$BJ486),IF($J486="wagon",1,1.2)))+$BC486</f>
        <v>30</v>
      </c>
      <c r="BN486" s="17" t="n">
        <f aca="false">BL486*IF($J486="wagon",62.5,781.25)</f>
        <v>625</v>
      </c>
      <c r="BO486" s="17" t="n">
        <f aca="false">BM486*IF($J486="wagon",2.73,81.25)</f>
        <v>81.9</v>
      </c>
      <c r="BY486" s="1" t="n">
        <v>1</v>
      </c>
      <c r="BZ486" s="1" t="n">
        <v>185</v>
      </c>
      <c r="CB486" s="1" t="s">
        <v>1828</v>
      </c>
      <c r="CC486" s="1" t="s">
        <v>1378</v>
      </c>
      <c r="CD486" s="1" t="str">
        <f aca="false">VLOOKUP(M486,Eras!$A$2:$C$10, 2, TRUE())</f>
        <v>big4</v>
      </c>
      <c r="CE486" s="1" t="s">
        <v>1828</v>
      </c>
      <c r="CF486" s="1" t="str">
        <f aca="false">CONCATENATE(CD486,"_",CE486)</f>
        <v>big4_Van</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1868</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tiles{}{SILVER}Fitted vans had brakes which could be controlled from the locomotive or a brake van, allowing higher braking force and thus speed. This example is typical of a Southern Railways vacuum-braked model.</v>
      </c>
    </row>
    <row r="487" customFormat="false" ht="14.25" hidden="false" customHeight="false" outlineLevel="0" collapsed="false">
      <c r="A487" s="1" t="s">
        <v>1869</v>
      </c>
      <c r="B487" s="15" t="s">
        <v>1870</v>
      </c>
      <c r="C487" s="1" t="n">
        <v>88</v>
      </c>
      <c r="E487" s="1" t="n">
        <v>1114</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198</v>
      </c>
      <c r="J487" s="1" t="s">
        <v>1476</v>
      </c>
      <c r="K487" s="1" t="s">
        <v>1476</v>
      </c>
      <c r="L487" s="1" t="s">
        <v>149</v>
      </c>
      <c r="M487" s="1" t="n">
        <v>1962</v>
      </c>
      <c r="O487" s="1" t="n">
        <v>1985</v>
      </c>
      <c r="Z487" s="1" t="n">
        <v>8</v>
      </c>
      <c r="AB487" s="1" t="n">
        <v>4</v>
      </c>
      <c r="AD487" s="4" t="str">
        <f aca="false">IF(AND(Z487&gt;0,AC487&gt;0),(AC487/((Z487+AA487)*10)),"")</f>
        <v/>
      </c>
      <c r="AE487" s="1" t="n">
        <v>65</v>
      </c>
      <c r="AF487" s="1" t="n">
        <f aca="false">ROUND(AE487*1.6, 0)</f>
        <v>104</v>
      </c>
      <c r="AI487" s="1" t="n">
        <v>8</v>
      </c>
      <c r="AJ487" s="1" t="n">
        <v>8</v>
      </c>
      <c r="AM487" s="5" t="n">
        <v>27</v>
      </c>
      <c r="AN487" s="1" t="str">
        <f aca="false">CONCATENATE(VLOOKUP(AO487, 'Voxel Sizes'!$A$2:$B$18,2,FALSE()),"x",INT(AK487*15), "x", INT(AL487*15))</f>
        <v>82x0x0</v>
      </c>
      <c r="AO487" s="1" t="n">
        <f aca="false">ROUND(15*((AJ487*10)/256),0)</f>
        <v>5</v>
      </c>
      <c r="AQ487" s="1" t="str">
        <f aca="false">CONCATENATE(VLOOKUP(AO487,Constants!$A$2:$C$16,IF(AP487&lt;&gt;"", 3, 2), FALSE()),IF(AP487&lt;&gt;"",CONCATENATE(",",VLOOKUP(AP487,$B:$AQ,39,FALSE())),""))</f>
        <v>2,1,2</v>
      </c>
      <c r="BA487" s="1" t="n">
        <v>30</v>
      </c>
      <c r="BB487" s="16" t="n">
        <f aca="false">IF(O487&lt;&gt;"",MAX(16,(O487-M487)+8),"")</f>
        <v>31</v>
      </c>
      <c r="BE487" s="1" t="n">
        <f aca="false">MIN(AE487/150, 1)*30</f>
        <v>13</v>
      </c>
      <c r="BF487" s="1" t="n">
        <f aca="false">MIN(Q487/4000, 1)*20</f>
        <v>0</v>
      </c>
      <c r="BG487" s="1" t="n">
        <f aca="false">MIN(AC487/400,1)*20</f>
        <v>0</v>
      </c>
      <c r="BH487" s="4" t="n">
        <f aca="false">1-(MAX(M487-1900, 0)/750)</f>
        <v>0.917333333333333</v>
      </c>
      <c r="BI487" s="1" t="n">
        <f aca="false">((MAX($P487,1)*MIN($AM487/300,1)))*IF(J487="Wagon",50,10)</f>
        <v>4.5</v>
      </c>
      <c r="BJ487" s="1" t="n">
        <f aca="false">VLOOKUP($K487,Constants!$I:$K, 2, FALSE())</f>
        <v>1</v>
      </c>
      <c r="BK487" s="1" t="n">
        <f aca="false">VLOOKUP($K487,Constants!$I:$K, 3, FALSE())*IF(AND(J487="multiple_unit",AE487&lt;110),0.75,1)</f>
        <v>0.45</v>
      </c>
      <c r="BL487" s="1" t="n">
        <f aca="false">INT(POWER(((Constants!$G$2+$BE487+$BF487+$BG487+$BI487)*$BH487)*$BK487, 1.05))+$BD487</f>
        <v>10</v>
      </c>
      <c r="BM487" s="1" t="n">
        <f aca="false">INT(POWER((((Constants!$G$1+$BE487+$BF487+$BG487+$BI487)*($BH487))*$BJ487),IF($J487="wagon",1,1.2)))+$BC487</f>
        <v>29</v>
      </c>
      <c r="BN487" s="17" t="n">
        <f aca="false">BL487*IF($J487="wagon",62.5,781.25)</f>
        <v>625</v>
      </c>
      <c r="BO487" s="17" t="n">
        <f aca="false">BM487*IF($J487="wagon",2.73,81.25)</f>
        <v>79.17</v>
      </c>
      <c r="BY487" s="1" t="n">
        <v>1</v>
      </c>
      <c r="BZ487" s="1" t="n">
        <v>185</v>
      </c>
      <c r="CB487" s="1" t="s">
        <v>1828</v>
      </c>
      <c r="CC487" s="1" t="s">
        <v>1378</v>
      </c>
      <c r="CD487" s="1" t="str">
        <f aca="false">VLOOKUP(M487,Eras!$A$2:$C$10, 2, TRUE())</f>
        <v>dsl</v>
      </c>
      <c r="CE487" s="1" t="s">
        <v>1828</v>
      </c>
      <c r="CF487" s="1" t="str">
        <f aca="false">CONCATENATE(CD487,"_",CE487)</f>
        <v>dsl_Van</v>
      </c>
      <c r="CG487" s="1" t="str">
        <f aca="false">_xlfn.CONCAT(K487, "_",L487)</f>
        <v>wagon_RAIL</v>
      </c>
      <c r="CH487" s="7" t="str">
        <f aca="false">_xlfn.CONCAT("{BLACK}Length: {GOLD}", TEXT(ROUNDUP(IF(AT487&lt;&gt;"",SUM(VALUE(_xlfn.TEXTSPLIT(AT487, ","))), SUM(VALUE(_xlfn.TEXTSPLIT(AQ487, ",")))*IF(P487, P487, 1))/16, 1), "#,##0.0"), " tiles{}")</f>
        <v>{BLACK}Length: {GOLD}0.4 tiles{}</v>
      </c>
      <c r="CI487" s="1" t="n">
        <f aca="false">VLOOKUP($CG487, Constants!$M:$N, 2, FALSE())</f>
        <v>0</v>
      </c>
      <c r="CJ487" s="1" t="str">
        <f aca="false">IF(P487&gt;1,_xlfn.CONCAT("{BLACK}Cars: {GOLD}", P487),"")</f>
        <v/>
      </c>
      <c r="CK487" s="1" t="s">
        <v>1871</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tiles{}{SILVER}The Vanwide was BR's final development of the traditional van design, featuring wider doors for increased loading speed.</v>
      </c>
      <c r="CO487" s="1" t="n">
        <v>1</v>
      </c>
    </row>
    <row r="488" s="25" customFormat="true" ht="14.25" hidden="false" customHeight="false" outlineLevel="0" collapsed="false">
      <c r="A488" s="25" t="s">
        <v>1872</v>
      </c>
      <c r="B488" s="26" t="s">
        <v>1873</v>
      </c>
      <c r="C488" s="1" t="n">
        <v>3110</v>
      </c>
      <c r="E488" s="1" t="n">
        <v>1115</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25" t="s">
        <v>198</v>
      </c>
      <c r="J488" s="25" t="s">
        <v>1476</v>
      </c>
      <c r="K488" s="25" t="s">
        <v>1476</v>
      </c>
      <c r="L488" s="25" t="s">
        <v>149</v>
      </c>
      <c r="M488" s="25" t="n">
        <v>1962</v>
      </c>
      <c r="N488" s="25" t="n">
        <v>1994</v>
      </c>
      <c r="O488" s="25" t="n">
        <v>2000</v>
      </c>
      <c r="R488" s="2"/>
      <c r="S488" s="3"/>
      <c r="T488" s="3"/>
      <c r="U488" s="3"/>
      <c r="V488" s="3"/>
      <c r="W488" s="3"/>
      <c r="X488" s="3"/>
      <c r="Y488" s="3"/>
      <c r="Z488" s="25" t="n">
        <v>14.8</v>
      </c>
      <c r="AA488" s="2"/>
      <c r="AB488" s="25" t="n">
        <v>4</v>
      </c>
      <c r="AD488" s="4" t="str">
        <f aca="false">IF(AND(Z488&gt;0,AC488&gt;0),(AC488/((Z488+AA488)*10)),"")</f>
        <v/>
      </c>
      <c r="AE488" s="25" t="n">
        <v>60</v>
      </c>
      <c r="AF488" s="25" t="n">
        <f aca="false">ROUND(AE488*1.6, 0)</f>
        <v>96</v>
      </c>
      <c r="AI488" s="25" t="n">
        <v>14</v>
      </c>
      <c r="AJ488" s="25" t="n">
        <v>14</v>
      </c>
      <c r="AK488" s="25" t="n">
        <v>2.7</v>
      </c>
      <c r="AL488" s="25" t="n">
        <v>3.8</v>
      </c>
      <c r="AM488" s="5" t="n">
        <v>34</v>
      </c>
      <c r="AN488" s="1" t="str">
        <f aca="false">CONCATENATE(VLOOKUP(AO488, '[1]Voxel Sizes'!$A$2:$B$18,2,FALSE()),"x",INT(AK488*15), "x", INT(AL488*15))</f>
        <v>136x40x57</v>
      </c>
      <c r="AO488" s="25" t="n">
        <f aca="false">ROUND(15*((AJ488*10)/256),0)</f>
        <v>8</v>
      </c>
      <c r="AQ488" s="1" t="str">
        <f aca="false">CONCATENATE(VLOOKUP(AO488,Constants!$A$2:$C$16,IF(AP488&lt;&gt;"", 3, 2), FALSE()),IF(AP488&lt;&gt;"",CONCATENATE(",",VLOOKUP(AP488,$B:$AQ,42,FALSE())),""))</f>
        <v>2,4,2</v>
      </c>
      <c r="AS488" s="6"/>
      <c r="AT488" s="6"/>
      <c r="AZ488" s="1" t="s">
        <v>1874</v>
      </c>
      <c r="BA488" s="25" t="n">
        <v>30</v>
      </c>
      <c r="BB488" s="16" t="n">
        <f aca="false">IF(O488&lt;&gt;"",MAX(16,(O488-M488)+8),"")</f>
        <v>46</v>
      </c>
      <c r="BE488" s="25" t="n">
        <f aca="false">MIN(AE488/150, 1)*30</f>
        <v>12</v>
      </c>
      <c r="BF488" s="25" t="n">
        <f aca="false">MIN(Q488/4000, 1)*20</f>
        <v>0</v>
      </c>
      <c r="BG488" s="25" t="n">
        <f aca="false">MIN(AC488/400,1)*20</f>
        <v>0</v>
      </c>
      <c r="BH488" s="4" t="n">
        <f aca="false">1-(MAX(M488-1900, 0)/750)</f>
        <v>0.917333333333333</v>
      </c>
      <c r="BI488" s="25" t="n">
        <f aca="false">((MAX($P488,1)*MIN($AM488/300,1)))*IF(J488="Wagon",50,10)</f>
        <v>5.66666666666667</v>
      </c>
      <c r="BJ488" s="1" t="n">
        <f aca="false">VLOOKUP($K488,Constants!$I:$K, 2, FALSE())</f>
        <v>1</v>
      </c>
      <c r="BK488" s="1" t="n">
        <f aca="false">VLOOKUP($K488,Constants!$I:$K, 3, FALSE())*IF(AND(J488="multiple_unit",AE488&lt;110),0.75,1)</f>
        <v>0.45</v>
      </c>
      <c r="BL488" s="25" t="n">
        <f aca="false">INT(POWER((([1]Constants!$G$2+$BE488+$BF488+$BG488+$BI488)*$BH488)*$BK488, 1.05))+$BD488</f>
        <v>10</v>
      </c>
      <c r="BM488" s="25" t="n">
        <f aca="false">INT(POWER(((([1]Constants!$G$1+$BE488+$BF488+$BG488+$BI488)*($BH488))*$BJ488),IF($J488="wagon",1,1.2)))+$BC488</f>
        <v>29</v>
      </c>
      <c r="BN488" s="17" t="n">
        <f aca="false">BL488*IF($J488="wagon",62.5,781.25)</f>
        <v>625</v>
      </c>
      <c r="BO488" s="17" t="n">
        <f aca="false">BM488*IF($J488="wagon",2.73,81.25)</f>
        <v>79.17</v>
      </c>
      <c r="BY488" s="25" t="n">
        <v>1</v>
      </c>
      <c r="BZ488" s="25" t="n">
        <v>185</v>
      </c>
      <c r="CB488" s="25" t="s">
        <v>1828</v>
      </c>
      <c r="CC488" s="25" t="s">
        <v>1378</v>
      </c>
      <c r="CD488" s="25" t="str">
        <f aca="false">VLOOKUP(M488,[1]Eras!$A$2:$C$10, 2, TRUE())</f>
        <v>dsl</v>
      </c>
      <c r="CE488" s="25" t="s">
        <v>1828</v>
      </c>
      <c r="CF488" s="25" t="str">
        <f aca="false">CONCATENATE(CD488,"_",CE488)</f>
        <v>dsl_Van</v>
      </c>
      <c r="CG488" s="25" t="str">
        <f aca="false">_xlfn.CONCAT(K488, "_",L488)</f>
        <v>wagon_RAIL</v>
      </c>
      <c r="CH488" s="7" t="str">
        <f aca="false">_xlfn.CONCAT("{BLACK}Length: {GOLD}", TEXT(ROUNDUP(IF(AT488&lt;&gt;"",SUM(VALUE(_xlfn.TEXTSPLIT(AT488, ","))), SUM(VALUE(_xlfn.TEXTSPLIT(AQ488, ",")))*IF(P488, P488, 1))/16, 1), "#,##0.0"), " tiles{}")</f>
        <v>{BLACK}Length: {GOLD}0.5 tiles{}</v>
      </c>
      <c r="CI488" s="1" t="n">
        <f aca="false">VLOOKUP($CG488, Constants!$M:$N, 2, FALSE())</f>
        <v>0</v>
      </c>
      <c r="CJ488" s="1" t="str">
        <f aca="false">IF(P488&gt;1,_xlfn.CONCAT("{BLACK}Cars: {GOLD}", P488),"")</f>
        <v/>
      </c>
      <c r="CK488" s="25" t="s">
        <v>1875</v>
      </c>
      <c r="CM488" s="25"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25" t="str">
        <f aca="false">_xlfn.CONCAT(CI488,IF(CI488 &lt;&gt; "", " ", ""),CJ488,IF(OR(CJ488&lt;&gt;"", CI488&lt;&gt;""), "{}",""), CH488, CM488,"{SILVER}", CK488)</f>
        <v>{BLACK}Length: {GOLD}0.5 tiles{}{SILVER}BR’s two-axle Ferry Vans were built for interoperation with european service via cross-channel ferry services, allowing British companies to send goods directly to continental customers.</v>
      </c>
    </row>
    <row r="489" customFormat="false" ht="14.25" hidden="false" customHeight="false" outlineLevel="0" collapsed="false">
      <c r="A489" s="1" t="s">
        <v>1876</v>
      </c>
      <c r="B489" s="15" t="s">
        <v>1877</v>
      </c>
      <c r="C489" s="1" t="n">
        <v>89</v>
      </c>
      <c r="E489" s="1" t="n">
        <v>1116</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198</v>
      </c>
      <c r="J489" s="1" t="s">
        <v>1476</v>
      </c>
      <c r="K489" s="1" t="s">
        <v>1476</v>
      </c>
      <c r="L489" s="1" t="s">
        <v>149</v>
      </c>
      <c r="M489" s="1" t="n">
        <v>1969</v>
      </c>
      <c r="O489" s="1" t="n">
        <v>2010</v>
      </c>
      <c r="Z489" s="1" t="n">
        <v>16</v>
      </c>
      <c r="AB489" s="1" t="n">
        <v>4</v>
      </c>
      <c r="AD489" s="4" t="str">
        <f aca="false">IF(AND(Z489&gt;0,AC489&gt;0),(AC489/((Z489+AA489)*10)),"")</f>
        <v/>
      </c>
      <c r="AE489" s="1" t="n">
        <v>75</v>
      </c>
      <c r="AF489" s="1" t="n">
        <f aca="false">ROUND(AE489*1.6, 0)</f>
        <v>120</v>
      </c>
      <c r="AI489" s="1" t="n">
        <v>11.2</v>
      </c>
      <c r="AJ489" s="1" t="n">
        <v>11.2</v>
      </c>
      <c r="AM489" s="5" t="n">
        <v>39</v>
      </c>
      <c r="AN489" s="1" t="str">
        <f aca="false">CONCATENATE(VLOOKUP(AO489, 'Voxel Sizes'!$A$2:$B$18,2,FALSE()),"x",INT(AK489*15), "x", INT(AL489*15))</f>
        <v>120x0x0</v>
      </c>
      <c r="AO489" s="1" t="n">
        <f aca="false">ROUND(15*((AJ489*10)/256),0)</f>
        <v>7</v>
      </c>
      <c r="AQ489" s="1" t="str">
        <f aca="false">CONCATENATE(VLOOKUP(AO489,Constants!$A$2:$C$16,IF(AP489&lt;&gt;"", 3, 2), FALSE()),IF(AP489&lt;&gt;"",CONCATENATE(",",VLOOKUP(AP489,$B:$AQ,39,FALSE())),""))</f>
        <v>2,3,2</v>
      </c>
      <c r="BA489" s="1" t="n">
        <v>30</v>
      </c>
      <c r="BB489" s="16" t="n">
        <f aca="false">IF(O489&lt;&gt;"",MAX(16,(O489-M489)+8),"")</f>
        <v>49</v>
      </c>
      <c r="BE489" s="1" t="n">
        <f aca="false">MIN(AE489/150, 1)*30</f>
        <v>15</v>
      </c>
      <c r="BF489" s="1" t="n">
        <f aca="false">MIN(Q489/4000, 1)*20</f>
        <v>0</v>
      </c>
      <c r="BG489" s="1" t="n">
        <f aca="false">MIN(AC489/400,1)*20</f>
        <v>0</v>
      </c>
      <c r="BH489" s="4" t="n">
        <f aca="false">1-(MAX(M489-1900, 0)/750)</f>
        <v>0.908</v>
      </c>
      <c r="BI489" s="1" t="n">
        <f aca="false">((MAX($P489,1)*MIN($AM489/300,1)))*IF(J489="Wagon",50,10)</f>
        <v>6.5</v>
      </c>
      <c r="BJ489" s="1" t="n">
        <f aca="false">VLOOKUP($K489,Constants!$I:$K, 2, FALSE())</f>
        <v>1</v>
      </c>
      <c r="BK489" s="1" t="n">
        <f aca="false">VLOOKUP($K489,Constants!$I:$K, 3, FALSE())*IF(AND(J489="multiple_unit",AE489&lt;110),0.75,1)</f>
        <v>0.45</v>
      </c>
      <c r="BL489" s="1" t="n">
        <f aca="false">INT(POWER(((Constants!$G$2+$BE489+$BF489+$BG489+$BI489)*$BH489)*$BK489, 1.05))+$BD489</f>
        <v>12</v>
      </c>
      <c r="BM489" s="1" t="n">
        <f aca="false">INT(POWER((((Constants!$G$1+$BE489+$BF489+$BG489+$BI489)*($BH489))*$BJ489),IF($J489="wagon",1,1.2)))+$BC489</f>
        <v>33</v>
      </c>
      <c r="BN489" s="17" t="n">
        <f aca="false">BL489*IF($J489="wagon",62.5,781.25)</f>
        <v>750</v>
      </c>
      <c r="BO489" s="17" t="n">
        <f aca="false">BM489*IF($J489="wagon",2.73,81.25)</f>
        <v>90.09</v>
      </c>
      <c r="BY489" s="1" t="n">
        <v>1</v>
      </c>
      <c r="BZ489" s="1" t="n">
        <v>185</v>
      </c>
      <c r="CB489" s="1" t="s">
        <v>1828</v>
      </c>
      <c r="CC489" s="1" t="s">
        <v>1378</v>
      </c>
      <c r="CD489" s="1" t="str">
        <f aca="false">VLOOKUP(M489,Eras!$A$2:$C$10, 2, TRUE())</f>
        <v>dsl</v>
      </c>
      <c r="CE489" s="1" t="s">
        <v>1828</v>
      </c>
      <c r="CF489" s="1" t="str">
        <f aca="false">CONCATENATE(CD489,"_",CE489)</f>
        <v>dsl_Van</v>
      </c>
      <c r="CG489" s="1" t="str">
        <f aca="false">_xlfn.CONCAT(K489, "_",L489)</f>
        <v>wagon_RAIL</v>
      </c>
      <c r="CH489" s="7" t="str">
        <f aca="false">_xlfn.CONCAT("{BLACK}Length: {GOLD}", TEXT(ROUNDUP(IF(AT489&lt;&gt;"",SUM(VALUE(_xlfn.TEXTSPLIT(AT489, ","))), SUM(VALUE(_xlfn.TEXTSPLIT(AQ489, ",")))*IF(P489, P489, 1))/16, 1), "#,##0.0"), " tiles{}")</f>
        <v>{BLACK}Length: {GOLD}0.5 tiles{}</v>
      </c>
      <c r="CI489" s="1" t="n">
        <f aca="false">VLOOKUP($CG489, Constants!$M:$N, 2, FALSE())</f>
        <v>0</v>
      </c>
      <c r="CJ489" s="1" t="str">
        <f aca="false">IF(P489&gt;1,_xlfn.CONCAT("{BLACK}Cars: {GOLD}", P489),"")</f>
        <v/>
      </c>
      <c r="CK489" s="1" t="s">
        <v>1878</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{GOLD}0.5 tiles{}{SILVER}The VDA was BR's first air braked general purpose van, later used for the Speedlink freight network.</v>
      </c>
      <c r="CO489" s="1" t="n">
        <v>1</v>
      </c>
    </row>
    <row r="490" s="25" customFormat="true" ht="14.25" hidden="false" customHeight="false" outlineLevel="0" collapsed="false">
      <c r="A490" s="25" t="s">
        <v>1879</v>
      </c>
      <c r="B490" s="26" t="s">
        <v>1880</v>
      </c>
      <c r="C490" s="1" t="n">
        <v>3111</v>
      </c>
      <c r="E490" s="1" t="n">
        <v>1117</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25" t="s">
        <v>198</v>
      </c>
      <c r="J490" s="25" t="s">
        <v>1476</v>
      </c>
      <c r="K490" s="25" t="s">
        <v>1476</v>
      </c>
      <c r="L490" s="25" t="s">
        <v>149</v>
      </c>
      <c r="M490" s="25" t="n">
        <v>1977</v>
      </c>
      <c r="R490" s="2"/>
      <c r="S490" s="3"/>
      <c r="T490" s="3"/>
      <c r="U490" s="3"/>
      <c r="V490" s="3"/>
      <c r="W490" s="3"/>
      <c r="X490" s="3"/>
      <c r="Y490" s="3"/>
      <c r="Z490" s="25" t="n">
        <v>26</v>
      </c>
      <c r="AA490" s="2"/>
      <c r="AB490" s="25" t="n">
        <v>4</v>
      </c>
      <c r="AD490" s="4" t="str">
        <f aca="false">IF(AND(Z490&gt;0,AC490&gt;0),(AC490/((Z490+AA490)*10)),"")</f>
        <v/>
      </c>
      <c r="AE490" s="25" t="n">
        <v>60</v>
      </c>
      <c r="AF490" s="25" t="n">
        <f aca="false">ROUND(AE490*1.6, 0)</f>
        <v>96</v>
      </c>
      <c r="AI490" s="25" t="n">
        <v>21.7</v>
      </c>
      <c r="AJ490" s="25" t="n">
        <v>21.7</v>
      </c>
      <c r="AL490" s="25" t="n">
        <v>3.8</v>
      </c>
      <c r="AM490" s="5" t="n">
        <v>58</v>
      </c>
      <c r="AN490" s="1" t="str">
        <f aca="false">CONCATENATE(VLOOKUP(AO490, '[1]Voxel Sizes'!$A$2:$B$18,2,FALSE()),"x",INT(AK490*15), "x", INT(AL490*15))</f>
        <v>214x0x57</v>
      </c>
      <c r="AO490" s="25" t="n">
        <f aca="false">ROUND(15*((AJ490*10)/256),0)</f>
        <v>13</v>
      </c>
      <c r="AQ490" s="1" t="str">
        <f aca="false">CONCATENATE(VLOOKUP(AO490,Constants!$A$2:$C$16,IF(AP490&lt;&gt;"", 3, 2), FALSE()),IF(AP490&lt;&gt;"",CONCATENATE(",",VLOOKUP(AP490,$B:$AQ,42,FALSE())),""))</f>
        <v>4,5,4</v>
      </c>
      <c r="AS490" s="6"/>
      <c r="AT490" s="6"/>
      <c r="AZ490" s="1"/>
      <c r="BA490" s="25" t="n">
        <v>30</v>
      </c>
      <c r="BB490" s="16" t="str">
        <f aca="false">IF(O490&lt;&gt;"",MAX(16,(O490-M490)+8),"")</f>
        <v/>
      </c>
      <c r="BE490" s="25" t="n">
        <f aca="false">MIN(AE490/150, 1)*30</f>
        <v>12</v>
      </c>
      <c r="BF490" s="25" t="n">
        <f aca="false">MIN(Q490/4000, 1)*20</f>
        <v>0</v>
      </c>
      <c r="BG490" s="25" t="n">
        <f aca="false">MIN(AC490/400,1)*20</f>
        <v>0</v>
      </c>
      <c r="BH490" s="4" t="n">
        <f aca="false">1-(MAX(M490-1900, 0)/750)</f>
        <v>0.897333333333333</v>
      </c>
      <c r="BI490" s="25" t="n">
        <f aca="false">((MAX($P490,1)*MIN($AM490/300,1)))*IF(J490="Wagon",50,10)</f>
        <v>9.66666666666667</v>
      </c>
      <c r="BJ490" s="1" t="n">
        <f aca="false">VLOOKUP($K490,Constants!$I:$K, 2, FALSE())</f>
        <v>1</v>
      </c>
      <c r="BK490" s="1" t="n">
        <f aca="false">VLOOKUP($K490,Constants!$I:$K, 3, FALSE())*IF(AND(J490="multiple_unit",AE490&lt;110),0.75,1)</f>
        <v>0.45</v>
      </c>
      <c r="BL490" s="25" t="n">
        <f aca="false">INT(POWER((([1]Constants!$G$2+$BE490+$BF490+$BG490+$BI490)*$BH490)*$BK490, 1.05))+$BD490</f>
        <v>12</v>
      </c>
      <c r="BM490" s="25" t="n">
        <f aca="false">INT(POWER(((([1]Constants!$G$1+$BE490+$BF490+$BG490+$BI490)*($BH490))*$BJ490),IF($J490="wagon",1,1.2)))+$BC490</f>
        <v>32</v>
      </c>
      <c r="BN490" s="17" t="n">
        <f aca="false">BL490*IF($J490="wagon",62.5,781.25)</f>
        <v>750</v>
      </c>
      <c r="BO490" s="17" t="n">
        <f aca="false">BM490*IF($J490="wagon",2.73,81.25)</f>
        <v>87.36</v>
      </c>
      <c r="BY490" s="25" t="n">
        <v>1</v>
      </c>
      <c r="BZ490" s="25" t="n">
        <v>185</v>
      </c>
      <c r="CB490" s="25" t="s">
        <v>1828</v>
      </c>
      <c r="CC490" s="25" t="s">
        <v>1378</v>
      </c>
      <c r="CD490" s="25" t="str">
        <f aca="false">VLOOKUP(M490,[1]Eras!$A$2:$C$10, 2, TRUE())</f>
        <v>lbr</v>
      </c>
      <c r="CE490" s="25" t="s">
        <v>1828</v>
      </c>
      <c r="CF490" s="25" t="str">
        <f aca="false">CONCATENATE(CD490,"_",CE490)</f>
        <v>lbr_Van</v>
      </c>
      <c r="CG490" s="25" t="str">
        <f aca="false">_xlfn.CONCAT(K490, "_",L490)</f>
        <v>wagon_RAIL</v>
      </c>
      <c r="CH490" s="7" t="str">
        <f aca="false">_xlfn.CONCAT("{BLACK}Length: {GOLD}", TEXT(ROUNDUP(IF(AT490&lt;&gt;"",SUM(VALUE(_xlfn.TEXTSPLIT(AT490, ","))), SUM(VALUE(_xlfn.TEXTSPLIT(AQ490, ",")))*IF(P490, P490, 1))/16, 1), "#,##0.0"), " tiles{}")</f>
        <v>{BLACK}Length: {GOLD}0.9 tiles{}</v>
      </c>
      <c r="CI490" s="1" t="n">
        <f aca="false">VLOOKUP($CG490, Constants!$M:$N, 2, FALSE())</f>
        <v>0</v>
      </c>
      <c r="CJ490" s="1" t="str">
        <f aca="false">IF(P490&gt;1,_xlfn.CONCAT("{BLACK}Cars: {GOLD}", P490),"")</f>
        <v/>
      </c>
      <c r="CK490" s="25" t="s">
        <v>1881</v>
      </c>
      <c r="CM490" s="25" t="str">
        <f aca="false">IF(CA490="buffet","{YELLOW}25% long distance bonus for consist{}",IF(CD490="BRAKE","{YELLOW}Speed bonus for slow wagons{}",IF(BZ490&gt;190,CONCATENATE("{YELLOW}",INT((BZ490-185)/1.85),"% bonus for long distance travel{}"),IF(AND(BZ490&lt;180,BZ490&lt;&gt;0),CONCATENATE("{YELLOW}",INT((185-BZ490)/1.85),"% penalty for long distance travel{}"),""))))</f>
        <v/>
      </c>
      <c r="CN490" s="25" t="str">
        <f aca="false">_xlfn.CONCAT(CI490,IF(CI490 &lt;&gt; "", " ", ""),CJ490,IF(OR(CJ490&lt;&gt;"", CI490&lt;&gt;""), "{}",""), CH490, CM490,"{SILVER}", CK490)</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1" customFormat="false" ht="14.25" hidden="false" customHeight="false" outlineLevel="0" collapsed="false">
      <c r="A491" s="1" t="s">
        <v>1882</v>
      </c>
      <c r="B491" s="15" t="s">
        <v>1883</v>
      </c>
      <c r="C491" s="1" t="n">
        <v>90</v>
      </c>
      <c r="E491" s="1" t="n">
        <v>1118</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198</v>
      </c>
      <c r="J491" s="1" t="s">
        <v>1476</v>
      </c>
      <c r="K491" s="1" t="s">
        <v>1476</v>
      </c>
      <c r="L491" s="1" t="s">
        <v>149</v>
      </c>
      <c r="M491" s="1" t="n">
        <v>1978</v>
      </c>
      <c r="Z491" s="1" t="n">
        <v>8</v>
      </c>
      <c r="AB491" s="1" t="n">
        <v>4</v>
      </c>
      <c r="AD491" s="4" t="str">
        <f aca="false">IF(AND(Z491&gt;0,AC491&gt;0),(AC491/((Z491+AA491)*10)),"")</f>
        <v/>
      </c>
      <c r="AE491" s="1" t="n">
        <v>75</v>
      </c>
      <c r="AF491" s="1" t="n">
        <f aca="false">ROUND(AE491*1.6, 0)</f>
        <v>120</v>
      </c>
      <c r="AI491" s="1" t="n">
        <v>8</v>
      </c>
      <c r="AJ491" s="1" t="n">
        <v>8</v>
      </c>
      <c r="AM491" s="5" t="n">
        <v>27</v>
      </c>
      <c r="AN491" s="1" t="str">
        <f aca="false">CONCATENATE(VLOOKUP(AO491, 'Voxel Sizes'!$A$2:$B$18,2,FALSE()),"x",INT(AK491*15), "x", INT(AL491*15))</f>
        <v>82x0x0</v>
      </c>
      <c r="AO491" s="1" t="n">
        <f aca="false">ROUND(15*((AJ491*10)/256),0)</f>
        <v>5</v>
      </c>
      <c r="AQ491" s="1" t="str">
        <f aca="false">CONCATENATE(VLOOKUP(AO491,Constants!$A$2:$C$16,IF(AP491&lt;&gt;"", 3, 2), FALSE()),IF(AP491&lt;&gt;"",CONCATENATE(",",VLOOKUP(AP491,$B:$AQ,39,FALSE())),""))</f>
        <v>2,1,2</v>
      </c>
      <c r="BA491" s="1" t="n">
        <v>30</v>
      </c>
      <c r="BB491" s="16" t="str">
        <f aca="false">IF(O491&lt;&gt;"",MAX(16,(O491-M491)+8),"")</f>
        <v/>
      </c>
      <c r="BE491" s="1" t="n">
        <f aca="false">MIN(AE491/150, 1)*30</f>
        <v>15</v>
      </c>
      <c r="BF491" s="1" t="n">
        <f aca="false">MIN(Q491/4000, 1)*20</f>
        <v>0</v>
      </c>
      <c r="BG491" s="1" t="n">
        <f aca="false">MIN(AC491/400,1)*20</f>
        <v>0</v>
      </c>
      <c r="BH491" s="4" t="n">
        <f aca="false">1-(MAX(M491-1900, 0)/750)</f>
        <v>0.896</v>
      </c>
      <c r="BI491" s="1" t="n">
        <f aca="false">((MAX($P491,1)*MIN($AM491/300,1)))*IF(J491="Wagon",50,10)</f>
        <v>4.5</v>
      </c>
      <c r="BJ491" s="1" t="n">
        <f aca="false">VLOOKUP($K491,Constants!$I:$K, 2, FALSE())</f>
        <v>1</v>
      </c>
      <c r="BK491" s="1" t="n">
        <f aca="false">VLOOKUP($K491,Constants!$I:$K, 3, FALSE())*IF(AND(J491="multiple_unit",AE491&lt;110),0.75,1)</f>
        <v>0.45</v>
      </c>
      <c r="BL491" s="1" t="n">
        <f aca="false">INT(POWER(((Constants!$G$2+$BE491+$BF491+$BG491+$BI491)*$BH491)*$BK491, 1.05))+$BD491</f>
        <v>11</v>
      </c>
      <c r="BM491" s="1" t="n">
        <f aca="false">INT(POWER((((Constants!$G$1+$BE491+$BF491+$BG491+$BI491)*($BH491))*$BJ491),IF($J491="wagon",1,1.2)))+$BC491</f>
        <v>30</v>
      </c>
      <c r="BN491" s="17" t="n">
        <f aca="false">BL491*IF($J491="wagon",62.5,781.25)</f>
        <v>687.5</v>
      </c>
      <c r="BO491" s="17" t="n">
        <f aca="false">BM491*IF($J491="wagon",2.73,81.25)</f>
        <v>81.9</v>
      </c>
      <c r="BY491" s="1" t="n">
        <v>1</v>
      </c>
      <c r="BZ491" s="1" t="n">
        <v>185</v>
      </c>
      <c r="CB491" s="1" t="s">
        <v>1828</v>
      </c>
      <c r="CC491" s="1" t="s">
        <v>1378</v>
      </c>
      <c r="CD491" s="1" t="str">
        <f aca="false">VLOOKUP(M491,Eras!$A$2:$C$10, 2, TRUE())</f>
        <v>lbr</v>
      </c>
      <c r="CE491" s="1" t="s">
        <v>1828</v>
      </c>
      <c r="CF491" s="1" t="str">
        <f aca="false">CONCATENATE(CD491,"_",CE491)</f>
        <v>lbr_Van</v>
      </c>
      <c r="CG491" s="1" t="str">
        <f aca="false">_xlfn.CONCAT(K491, "_",L491)</f>
        <v>wagon_RAIL</v>
      </c>
      <c r="CH491" s="7" t="str">
        <f aca="false">_xlfn.CONCAT("{BLACK}Length: {GOLD}", TEXT(ROUNDUP(IF(AT491&lt;&gt;"",SUM(VALUE(_xlfn.TEXTSPLIT(AT491, ","))), SUM(VALUE(_xlfn.TEXTSPLIT(AQ491, ",")))*IF(P491, P491, 1))/16, 1), "#,##0.0"), " tiles{}")</f>
        <v>{BLACK}Length: {GOLD}0.4 tiles{}</v>
      </c>
      <c r="CI491" s="1" t="n">
        <f aca="false">VLOOKUP($CG491, Constants!$M:$N, 2, FALSE())</f>
        <v>0</v>
      </c>
      <c r="CJ491" s="1" t="str">
        <f aca="false">IF(P491&gt;1,_xlfn.CONCAT("{BLACK}Cars: {GOLD}", P491),"")</f>
        <v/>
      </c>
      <c r="CK491" s="1" t="s">
        <v>1884</v>
      </c>
      <c r="CL491" s="1" t="str">
        <f aca="fals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{GOLD}0.4 tiles{}{SILVER}VEA vans were refurbished vans fitted with improved suspension and air brakes, allowing higher speed operation while still being suitable for narrow radius curves in small yards.</v>
      </c>
      <c r="CO491" s="1" t="n">
        <v>1</v>
      </c>
    </row>
    <row r="492" customFormat="false" ht="14.25" hidden="false" customHeight="false" outlineLevel="0" collapsed="false">
      <c r="A492" s="1" t="s">
        <v>1885</v>
      </c>
      <c r="B492" s="15" t="s">
        <v>1886</v>
      </c>
      <c r="C492" s="1" t="n">
        <v>91</v>
      </c>
      <c r="E492" s="1" t="n">
        <v>1119</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198</v>
      </c>
      <c r="J492" s="1" t="s">
        <v>1476</v>
      </c>
      <c r="K492" s="1" t="s">
        <v>1476</v>
      </c>
      <c r="L492" s="1" t="s">
        <v>149</v>
      </c>
      <c r="M492" s="1" t="n">
        <v>1982</v>
      </c>
      <c r="Z492" s="1" t="n">
        <v>21</v>
      </c>
      <c r="AB492" s="1" t="n">
        <v>6</v>
      </c>
      <c r="AD492" s="4" t="str">
        <f aca="false">IF(AND(Z492&gt;0,AC492&gt;0),(AC492/((Z492+AA492)*10)),"")</f>
        <v/>
      </c>
      <c r="AE492" s="1" t="n">
        <v>85</v>
      </c>
      <c r="AF492" s="1" t="n">
        <f aca="false">ROUND(AE492*1.6, 0)</f>
        <v>136</v>
      </c>
      <c r="AI492" s="1" t="n">
        <v>12.8</v>
      </c>
      <c r="AJ492" s="1" t="n">
        <v>12.8</v>
      </c>
      <c r="AM492" s="5" t="n">
        <v>45</v>
      </c>
      <c r="AN492" s="1" t="str">
        <f aca="false">CONCATENATE(VLOOKUP(AO492, 'Voxel Sizes'!$A$2:$B$18,2,FALSE()),"x",INT(AK492*15), "x", INT(AL492*15))</f>
        <v>136x0x0</v>
      </c>
      <c r="AO492" s="1" t="n">
        <f aca="false">ROUND(15*((AJ492*10)/256),0)</f>
        <v>8</v>
      </c>
      <c r="AQ492" s="1" t="str">
        <f aca="false">CONCATENATE(VLOOKUP(AO492,Constants!$A$2:$C$16,IF(AP492&lt;&gt;"", 3, 2), FALSE()),IF(AP492&lt;&gt;"",CONCATENATE(",",VLOOKUP(AP492,$B:$AQ,39,FALSE())),""))</f>
        <v>2,4,2</v>
      </c>
      <c r="BA492" s="1" t="n">
        <v>30</v>
      </c>
      <c r="BB492" s="16" t="str">
        <f aca="false">IF(O492&lt;&gt;"",MAX(16,(O492-M492)+8),"")</f>
        <v/>
      </c>
      <c r="BE492" s="1" t="n">
        <f aca="false">MIN(AE492/150, 1)*30</f>
        <v>17</v>
      </c>
      <c r="BF492" s="1" t="n">
        <f aca="false">MIN(Q492/4000, 1)*20</f>
        <v>0</v>
      </c>
      <c r="BG492" s="1" t="n">
        <f aca="false">MIN(AC492/400,1)*20</f>
        <v>0</v>
      </c>
      <c r="BH492" s="4" t="n">
        <f aca="false">1-(MAX(M492-1900, 0)/750)</f>
        <v>0.890666666666667</v>
      </c>
      <c r="BI492" s="1" t="n">
        <f aca="false">((MAX($P492,1)*MIN($AM492/300,1)))*IF(J492="Wagon",50,10)</f>
        <v>7.5</v>
      </c>
      <c r="BJ492" s="1" t="n">
        <f aca="false">VLOOKUP($K492,Constants!$I:$K, 2, FALSE())</f>
        <v>1</v>
      </c>
      <c r="BK492" s="1" t="n">
        <f aca="false">VLOOKUP($K492,Constants!$I:$K, 3, FALSE())*IF(AND(J492="multiple_unit",AE492&lt;110),0.75,1)</f>
        <v>0.45</v>
      </c>
      <c r="BL492" s="1" t="n">
        <f aca="false">INT(POWER(((Constants!$G$2+$BE492+$BF492+$BG492+$BI492)*$BH492)*$BK492, 1.05))+$BD492</f>
        <v>13</v>
      </c>
      <c r="BM492" s="1" t="n">
        <f aca="false">INT(POWER((((Constants!$G$1+$BE492+$BF492+$BG492+$BI492)*($BH492))*$BJ492),IF($J492="wagon",1,1.2)))+$BC492</f>
        <v>35</v>
      </c>
      <c r="BN492" s="17" t="n">
        <f aca="false">BL492*IF($J492="wagon",62.5,781.25)</f>
        <v>812.5</v>
      </c>
      <c r="BO492" s="17" t="n">
        <f aca="false">BM492*IF($J492="wagon",2.73,81.25)</f>
        <v>95.55</v>
      </c>
      <c r="BY492" s="1" t="n">
        <v>1</v>
      </c>
      <c r="BZ492" s="1" t="n">
        <v>185</v>
      </c>
      <c r="CB492" s="1" t="s">
        <v>1828</v>
      </c>
      <c r="CC492" s="1" t="s">
        <v>1378</v>
      </c>
      <c r="CD492" s="1" t="str">
        <f aca="false">VLOOKUP(M492,Eras!$A$2:$C$10, 2, TRUE())</f>
        <v>lbr</v>
      </c>
      <c r="CE492" s="1" t="s">
        <v>1828</v>
      </c>
      <c r="CF492" s="1" t="str">
        <f aca="false">CONCATENATE(CD492,"_",CE492)</f>
        <v>lbr_Van</v>
      </c>
      <c r="CG492" s="1" t="str">
        <f aca="false">_xlfn.CONCAT(K492, "_",L492)</f>
        <v>wagon_RAIL</v>
      </c>
      <c r="CH492" s="7" t="str">
        <f aca="false">_xlfn.CONCAT("{BLACK}Length: {GOLD}", TEXT(ROUNDUP(IF(AT492&lt;&gt;"",SUM(VALUE(_xlfn.TEXTSPLIT(AT492, ","))), SUM(VALUE(_xlfn.TEXTSPLIT(AQ492, ",")))*IF(P492, P492, 1))/16, 1), "#,##0.0"), " tiles{}")</f>
        <v>{BLACK}Length: {GOLD}0.5 tiles{}</v>
      </c>
      <c r="CI492" s="1" t="n">
        <f aca="false">VLOOKUP($CG492, Constants!$M:$N, 2, FALSE())</f>
        <v>0</v>
      </c>
      <c r="CJ492" s="1" t="str">
        <f aca="false">IF(P492&gt;1,_xlfn.CONCAT("{BLACK}Cars: {GOLD}", P492),"")</f>
        <v/>
      </c>
      <c r="CK492" s="1" t="s">
        <v>1887</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{GOLD}0.5 tiles{}{SILVER}VGA vans followed continental practice with doors extending into the roof panel, providing a larger vertical opening.</v>
      </c>
      <c r="CO492" s="1" t="n">
        <v>1</v>
      </c>
    </row>
    <row r="493" s="25" customFormat="true" ht="14.25" hidden="false" customHeight="false" outlineLevel="0" collapsed="false">
      <c r="A493" s="25" t="s">
        <v>1888</v>
      </c>
      <c r="B493" s="26" t="s">
        <v>1889</v>
      </c>
      <c r="C493" s="1" t="n">
        <v>3112</v>
      </c>
      <c r="E493" s="1" t="n">
        <v>1120</v>
      </c>
      <c r="F493" s="1"/>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25" t="s">
        <v>198</v>
      </c>
      <c r="J493" s="25" t="s">
        <v>998</v>
      </c>
      <c r="K493" s="25" t="s">
        <v>1476</v>
      </c>
      <c r="L493" s="25" t="s">
        <v>149</v>
      </c>
      <c r="M493" s="25" t="n">
        <v>1987</v>
      </c>
      <c r="P493" s="25" t="n">
        <v>2</v>
      </c>
      <c r="R493" s="2"/>
      <c r="S493" s="3"/>
      <c r="T493" s="3"/>
      <c r="U493" s="3"/>
      <c r="V493" s="3"/>
      <c r="W493" s="3"/>
      <c r="X493" s="3"/>
      <c r="Y493" s="3"/>
      <c r="Z493" s="25" t="n">
        <v>27.3</v>
      </c>
      <c r="AA493" s="2"/>
      <c r="AB493" s="25" t="n">
        <v>4</v>
      </c>
      <c r="AD493" s="4" t="str">
        <f aca="false">IF(AND(Z493&gt;0,AC493&gt;0),(AC493/((Z493+AA493)*10)),"")</f>
        <v/>
      </c>
      <c r="AE493" s="25" t="n">
        <v>60</v>
      </c>
      <c r="AF493" s="25" t="n">
        <f aca="false">ROUND(AE493*1.6, 0)</f>
        <v>96</v>
      </c>
      <c r="AI493" s="25" t="n">
        <v>13.5</v>
      </c>
      <c r="AJ493" s="25" t="n">
        <v>13.5</v>
      </c>
      <c r="AL493" s="25" t="n">
        <v>3.8</v>
      </c>
      <c r="AM493" s="5" t="n">
        <v>34</v>
      </c>
      <c r="AN493" s="1" t="str">
        <f aca="false">CONCATENATE(VLOOKUP(AO493, '[1]Voxel Sizes'!$A$2:$B$18,2,FALSE()),"x",INT(AK493*15), "x", INT(AL493*15))</f>
        <v>136x0x57</v>
      </c>
      <c r="AO493" s="25" t="n">
        <f aca="false">ROUND(15*((AJ493*10)/256),0)</f>
        <v>8</v>
      </c>
      <c r="AQ493" s="1" t="str">
        <f aca="false">CONCATENATE(VLOOKUP(AO493,Constants!$A$2:$C$16,IF(AP493&lt;&gt;"", 3, 2), FALSE()),IF(AP493&lt;&gt;"",CONCATENATE(",",VLOOKUP(AP493,$B:$AQ,42,FALSE())),""))</f>
        <v>2,4,2</v>
      </c>
      <c r="AS493" s="6"/>
      <c r="AT493" s="6"/>
      <c r="AU493" s="25" t="s">
        <v>1890</v>
      </c>
      <c r="AW493" s="25" t="s">
        <v>770</v>
      </c>
      <c r="AX493" s="25" t="s">
        <v>1891</v>
      </c>
      <c r="AZ493" s="1"/>
      <c r="BA493" s="25" t="n">
        <v>30</v>
      </c>
      <c r="BB493" s="16" t="str">
        <f aca="false">IF(O493&lt;&gt;"",MAX(16,(O493-M493)+8),"")</f>
        <v/>
      </c>
      <c r="BE493" s="25" t="n">
        <f aca="false">MIN(AE493/150, 1)*30</f>
        <v>12</v>
      </c>
      <c r="BF493" s="25" t="n">
        <f aca="false">MIN(Q493/4000, 1)*20</f>
        <v>0</v>
      </c>
      <c r="BG493" s="25" t="n">
        <f aca="false">MIN(AC493/400,1)*20</f>
        <v>0</v>
      </c>
      <c r="BH493" s="4" t="n">
        <f aca="false">1-(MAX(M493-1900, 0)/750)</f>
        <v>0.884</v>
      </c>
      <c r="BI493" s="25" t="n">
        <f aca="false">((MAX($P493,1)*MIN($AM493/300,1)))*IF(J493="Wagon",50,10)</f>
        <v>2.26666666666667</v>
      </c>
      <c r="BJ493" s="1" t="n">
        <f aca="false">VLOOKUP($K493,Constants!$I:$K, 2, FALSE())</f>
        <v>1</v>
      </c>
      <c r="BK493" s="1" t="n">
        <f aca="false">VLOOKUP($K493,Constants!$I:$K, 3, FALSE())*IF(AND(J493="multiple_unit",AE493&lt;110),0.75,1)</f>
        <v>0.45</v>
      </c>
      <c r="BL493" s="25" t="n">
        <f aca="false">INT(POWER((([1]Constants!$G$2+$BE493+$BF493+$BG493+$BI493)*$BH493)*$BK493, 1.05))+$BD493</f>
        <v>8</v>
      </c>
      <c r="BM493" s="25" t="n">
        <f aca="false">INT(POWER(((([1]Constants!$G$1+$BE493+$BF493+$BG493+$BI493)*($BH493))*$BJ493),IF($J493="wagon",1,1.2)))+$BC493</f>
        <v>49</v>
      </c>
      <c r="BN493" s="17" t="n">
        <f aca="false">BL493*IF($J493="wagon",62.5,781.25)</f>
        <v>6250</v>
      </c>
      <c r="BO493" s="17" t="n">
        <f aca="false">BM493*IF($J493="wagon",2.73,81.25)</f>
        <v>3981.25</v>
      </c>
      <c r="BY493" s="25" t="n">
        <v>1</v>
      </c>
      <c r="BZ493" s="25" t="n">
        <v>185</v>
      </c>
      <c r="CB493" s="25" t="s">
        <v>1828</v>
      </c>
      <c r="CC493" s="25" t="s">
        <v>1378</v>
      </c>
      <c r="CD493" s="25" t="str">
        <f aca="false">VLOOKUP(M493,[1]Eras!$A$2:$C$10, 2, TRUE())</f>
        <v>lbr</v>
      </c>
      <c r="CE493" s="25" t="s">
        <v>1828</v>
      </c>
      <c r="CF493" s="25" t="str">
        <f aca="false">CONCATENATE(CD493,"_",CE493)</f>
        <v>lbr_Van</v>
      </c>
      <c r="CG493" s="25" t="str">
        <f aca="false">_xlfn.CONCAT(K493, "_",L493)</f>
        <v>wagon_RAIL</v>
      </c>
      <c r="CH493" s="7" t="str">
        <f aca="false">_xlfn.CONCAT("{BLACK}Length: {GOLD}", TEXT(ROUNDUP(IF(AT493&lt;&gt;"",SUM(VALUE(_xlfn.TEXTSPLIT(AT493, ","))), SUM(VALUE(_xlfn.TEXTSPLIT(AQ493, ",")))*IF(P493, P493, 1))/16, 1), "#,##0.0"), " tiles{}")</f>
        <v>{BLACK}Length: {GOLD}1.0 tiles{}</v>
      </c>
      <c r="CI493" s="1" t="n">
        <f aca="false">VLOOKUP($CG493, Constants!$M:$N, 2, FALSE())</f>
        <v>0</v>
      </c>
      <c r="CJ493" s="1" t="str">
        <f aca="false">IF(P493&gt;1,_xlfn.CONCAT("{BLACK}Cars: {GOLD}", P493),"")</f>
        <v>{BLACK}Cars: {GOLD}2</v>
      </c>
      <c r="CK493" s="25" t="s">
        <v>1892</v>
      </c>
      <c r="CM493" s="25" t="str">
        <f aca="false">IF(CA493="buffet","{YELLOW}25% long distance bonus for consist{}",IF(CD493="BRAKE","{YELLOW}Speed bonus for slow wagons{}",IF(BZ493&gt;190,CONCATENATE("{YELLOW}",INT((BZ493-185)/1.85),"% bonus for long distance travel{}"),IF(AND(BZ493&lt;180,BZ493&lt;&gt;0),CONCATENATE("{YELLOW}",INT((185-BZ493)/1.85),"% penalty for long distance travel{}"),""))))</f>
        <v/>
      </c>
      <c r="CN493" s="25" t="str">
        <f aca="false">_xlfn.CONCAT(CI493,IF(CI493 &lt;&gt; "", " ", ""),CJ493,IF(OR(CJ493&lt;&gt;"", CI493&lt;&gt;""), "{}",""), CH493, CM493,"{SILVER}", CK493)</f>
        <v>{BLACK}Cars: {GOLD}2{}{BLACK}Length: {GOLD}1.0 tiles{}{SILVER}Built as permanently-coupled pairs of two-axle wagons, supposedly to capture an EU subsidy, these smaller cargowaggon sets continue to see service within the UK.</v>
      </c>
    </row>
    <row r="494" customFormat="false" ht="14.25" hidden="false" customHeight="false" outlineLevel="0" collapsed="false">
      <c r="A494" s="1" t="s">
        <v>1893</v>
      </c>
      <c r="B494" s="15" t="s">
        <v>1894</v>
      </c>
      <c r="C494" s="1" t="n">
        <v>92</v>
      </c>
      <c r="E494" s="1" t="n">
        <v>1121</v>
      </c>
      <c r="G494" s="1" t="str">
        <f aca="false">IF($F494&lt;&gt;"",_xlfn.CONCAT(VLOOKUP($CE494, Constants!$T:$U, 2, FALSE()),",",$F494),VLOOKUP($CE494, Constants!$T:$U, 2, FALSE()))</f>
        <v>role/mail</v>
      </c>
      <c r="H494" s="1" t="str">
        <f aca="false">IF($G494&lt;&gt;"",_xlfn.CONCAT(VLOOKUP($CG494, Constants!$M:$P, 4, FALSE()),",",$G494),VLOOKUP($CG494, Constants!$M:$P, 4, FALSE()))</f>
        <v>flag/GB,role/mail</v>
      </c>
      <c r="I494" s="1" t="s">
        <v>198</v>
      </c>
      <c r="J494" s="1" t="s">
        <v>1476</v>
      </c>
      <c r="K494" s="1" t="s">
        <v>1476</v>
      </c>
      <c r="L494" s="1" t="s">
        <v>149</v>
      </c>
      <c r="M494" s="1" t="n">
        <v>1913</v>
      </c>
      <c r="N494" s="1" t="n">
        <v>1955</v>
      </c>
      <c r="O494" s="1" t="n">
        <v>1965</v>
      </c>
      <c r="Z494" s="1" t="n">
        <v>20</v>
      </c>
      <c r="AB494" s="1" t="n">
        <v>4</v>
      </c>
      <c r="AD494" s="4" t="str">
        <f aca="false">IF(AND(Z494&gt;0,AC494&gt;0),(AC494/((Z494+AA494)*10)),"")</f>
        <v/>
      </c>
      <c r="AE494" s="1" t="n">
        <v>70</v>
      </c>
      <c r="AF494" s="1" t="n">
        <f aca="false">ROUND(AE494*1.6, 0)</f>
        <v>112</v>
      </c>
      <c r="AI494" s="1" t="n">
        <v>15</v>
      </c>
      <c r="AJ494" s="1" t="n">
        <v>15</v>
      </c>
      <c r="AM494" s="5" t="n">
        <v>60</v>
      </c>
      <c r="AN494" s="1" t="str">
        <f aca="false">CONCATENATE(VLOOKUP(AO494, 'Voxel Sizes'!$A$2:$B$18,2,FALSE()),"x",INT(AK494*15), "x", INT(AL494*15))</f>
        <v>152x0x0</v>
      </c>
      <c r="AO494" s="1" t="n">
        <f aca="false">ROUND(15*((AJ494*10)/256),0)</f>
        <v>9</v>
      </c>
      <c r="AQ494" s="1" t="str">
        <f aca="false">CONCATENATE(VLOOKUP(AO494,Constants!$A$2:$C$16,IF(AP494&lt;&gt;"", 3, 2), FALSE()),IF(AP494&lt;&gt;"",CONCATENATE(",",VLOOKUP(AP494,$B:$AQ,39,FALSE())),""))</f>
        <v>2,5,2</v>
      </c>
      <c r="BA494" s="1" t="n">
        <v>30</v>
      </c>
      <c r="BB494" s="16" t="n">
        <f aca="false">IF(O494&lt;&gt;"",MAX(16,(O494-M494)+8),"")</f>
        <v>60</v>
      </c>
      <c r="BC494" s="1" t="n">
        <v>25</v>
      </c>
      <c r="BD494" s="1" t="n">
        <v>8</v>
      </c>
      <c r="BE494" s="1" t="n">
        <f aca="false">MIN(AE494/150, 1)*30</f>
        <v>14</v>
      </c>
      <c r="BF494" s="1" t="n">
        <f aca="false">MIN(Q494/4000, 1)*20</f>
        <v>0</v>
      </c>
      <c r="BG494" s="1" t="n">
        <f aca="false">MIN(AC494/400,1)*20</f>
        <v>0</v>
      </c>
      <c r="BH494" s="4" t="n">
        <f aca="false">1-(MAX(M494-1900, 0)/750)</f>
        <v>0.982666666666667</v>
      </c>
      <c r="BI494" s="1" t="n">
        <f aca="false">((MAX($P494,1)*MIN($AM494/300,1)))*IF(J494="Wagon",50,10)</f>
        <v>10</v>
      </c>
      <c r="BJ494" s="1" t="n">
        <f aca="false">VLOOKUP($K494,Constants!$I:$K, 2, FALSE())</f>
        <v>1</v>
      </c>
      <c r="BK494" s="1" t="n">
        <f aca="false">VLOOKUP($K494,Constants!$I:$K, 3, FALSE())*IF(AND(J494="multiple_unit",AE494&lt;110),0.75,1)</f>
        <v>0.45</v>
      </c>
      <c r="BL494" s="1" t="n">
        <f aca="false">INT(POWER(((Constants!$G$2+$BE494+$BF494+$BG494+$BI494)*$BH494)*$BK494, 1.05))+$BD494</f>
        <v>22</v>
      </c>
      <c r="BM494" s="1" t="n">
        <f aca="false">INT(POWER((((Constants!$G$1+$BE494+$BF494+$BG494+$BI494)*($BH494))*$BJ494),IF($J494="wagon",1,1.2)))+$BC494</f>
        <v>63</v>
      </c>
      <c r="BN494" s="17" t="n">
        <f aca="false">BL494*IF($J494="wagon",62.5,781.25)</f>
        <v>1375</v>
      </c>
      <c r="BO494" s="17" t="n">
        <f aca="false">BM494*IF($J494="wagon",2.73,81.25)</f>
        <v>171.99</v>
      </c>
      <c r="BY494" s="1" t="n">
        <v>1</v>
      </c>
      <c r="BZ494" s="1" t="n">
        <v>185</v>
      </c>
      <c r="CB494" s="1" t="s">
        <v>1895</v>
      </c>
      <c r="CC494" s="1" t="s">
        <v>662</v>
      </c>
      <c r="CD494" s="1" t="str">
        <f aca="false">VLOOKUP(M494,Eras!$A$2:$C$10, 2, TRUE())</f>
        <v>edw</v>
      </c>
      <c r="CE494" s="1" t="s">
        <v>1583</v>
      </c>
      <c r="CF494" s="1" t="str">
        <f aca="false">CONCATENATE(CD494,"_",CE494)</f>
        <v>edw_Mail Carriage</v>
      </c>
      <c r="CG494" s="1" t="str">
        <f aca="false">_xlfn.CONCAT(K494, "_",L494)</f>
        <v>wagon_RAIL</v>
      </c>
      <c r="CH494" s="7" t="str">
        <f aca="false">_xlfn.CONCAT("{BLACK}Length: {GOLD}", TEXT(ROUNDUP(IF(AT494&lt;&gt;"",SUM(VALUE(_xlfn.TEXTSPLIT(AT494, ","))), SUM(VALUE(_xlfn.TEXTSPLIT(AQ494, ",")))*IF(P494, P494, 1))/16, 1), "#,##0.0"), " tiles{}")</f>
        <v>{BLACK}Length: {GOLD}0.6 tiles{}</v>
      </c>
      <c r="CI494" s="1" t="n">
        <f aca="false">VLOOKUP($CG494, Constants!$M:$N, 2, FALSE())</f>
        <v>0</v>
      </c>
      <c r="CJ494" s="1" t="str">
        <f aca="false">IF(P494&gt;1,_xlfn.CONCAT("{BLACK}Cars: {GOLD}", P494),"")</f>
        <v/>
      </c>
      <c r="CK494" s="1" t="s">
        <v>1896</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{GOLD}0.6 tiles{}{SILVER}GWR's "Siphon" vans were built to carry loads of milk churns at passenger train speeds. They were also used for parcel and newspaper traffic, the basic design being built well into the BR era.</v>
      </c>
    </row>
    <row r="495" customFormat="false" ht="14.25" hidden="false" customHeight="false" outlineLevel="0" collapsed="false">
      <c r="A495" s="1" t="s">
        <v>1897</v>
      </c>
      <c r="B495" s="15" t="s">
        <v>1898</v>
      </c>
      <c r="C495" s="1" t="n">
        <v>93</v>
      </c>
      <c r="E495" s="1" t="n">
        <v>1122</v>
      </c>
      <c r="G495" s="1" t="str">
        <f aca="false">IF($F495&lt;&gt;"",_xlfn.CONCAT(VLOOKUP($CE495, Constants!$T:$U, 2, FALSE()),",",$F495),VLOOKUP($CE495, Constants!$T:$U, 2, FALSE()))</f>
        <v>role/mail</v>
      </c>
      <c r="H495" s="1" t="str">
        <f aca="false">IF($G495&lt;&gt;"",_xlfn.CONCAT(VLOOKUP($CG495, Constants!$M:$P, 4, FALSE()),",",$G495),VLOOKUP($CG495, Constants!$M:$P, 4, FALSE()))</f>
        <v>flag/GB,role/mail</v>
      </c>
      <c r="I495" s="1" t="s">
        <v>198</v>
      </c>
      <c r="J495" s="1" t="s">
        <v>1476</v>
      </c>
      <c r="K495" s="1" t="s">
        <v>1476</v>
      </c>
      <c r="L495" s="1" t="s">
        <v>149</v>
      </c>
      <c r="M495" s="1" t="n">
        <v>1950</v>
      </c>
      <c r="O495" s="1" t="n">
        <v>1975</v>
      </c>
      <c r="Z495" s="1" t="n">
        <v>18</v>
      </c>
      <c r="AB495" s="1" t="n">
        <v>4</v>
      </c>
      <c r="AD495" s="4" t="str">
        <f aca="false">IF(AND(Z495&gt;0,AC495&gt;0),(AC495/((Z495+AA495)*10)),"")</f>
        <v/>
      </c>
      <c r="AE495" s="1" t="n">
        <v>80</v>
      </c>
      <c r="AF495" s="1" t="n">
        <f aca="false">ROUND(AE495*1.6, 0)</f>
        <v>128</v>
      </c>
      <c r="AI495" s="1" t="n">
        <v>11.2</v>
      </c>
      <c r="AJ495" s="1" t="n">
        <v>11.2</v>
      </c>
      <c r="AM495" s="5" t="n">
        <v>45</v>
      </c>
      <c r="AN495" s="1" t="str">
        <f aca="false">CONCATENATE(VLOOKUP(AO495, 'Voxel Sizes'!$A$2:$B$18,2,FALSE()),"x",INT(AK495*15), "x", INT(AL495*15))</f>
        <v>120x0x0</v>
      </c>
      <c r="AO495" s="1" t="n">
        <f aca="false">ROUND(15*((AJ495*10)/256),0)</f>
        <v>7</v>
      </c>
      <c r="AQ495" s="1" t="str">
        <f aca="false">CONCATENATE(VLOOKUP(AO495,Constants!$A$2:$C$16,IF(AP495&lt;&gt;"", 3, 2), FALSE()),IF(AP495&lt;&gt;"",CONCATENATE(",",VLOOKUP(AP495,$B:$AQ,39,FALSE())),""))</f>
        <v>2,3,2</v>
      </c>
      <c r="BA495" s="1" t="n">
        <v>30</v>
      </c>
      <c r="BB495" s="16" t="n">
        <f aca="false">IF(O495&lt;&gt;"",MAX(16,(O495-M495)+8),"")</f>
        <v>33</v>
      </c>
      <c r="BC495" s="1" t="n">
        <v>25</v>
      </c>
      <c r="BD495" s="1" t="n">
        <v>9</v>
      </c>
      <c r="BE495" s="1" t="n">
        <f aca="false">MIN(AE495/150, 1)*30</f>
        <v>16</v>
      </c>
      <c r="BF495" s="1" t="n">
        <f aca="false">MIN(Q495/4000, 1)*20</f>
        <v>0</v>
      </c>
      <c r="BG495" s="1" t="n">
        <f aca="false">MIN(AC495/400,1)*20</f>
        <v>0</v>
      </c>
      <c r="BH495" s="4" t="n">
        <f aca="false">1-(MAX(M495-1900, 0)/750)</f>
        <v>0.933333333333333</v>
      </c>
      <c r="BI495" s="1" t="n">
        <f aca="false">((MAX($P495,1)*MIN($AM495/300,1)))*IF(J495="Wagon",50,10)</f>
        <v>7.5</v>
      </c>
      <c r="BJ495" s="1" t="n">
        <f aca="false">VLOOKUP($K495,Constants!$I:$K, 2, FALSE())</f>
        <v>1</v>
      </c>
      <c r="BK495" s="1" t="n">
        <f aca="false">VLOOKUP($K495,Constants!$I:$K, 3, FALSE())*IF(AND(J495="multiple_unit",AE495&lt;110),0.75,1)</f>
        <v>0.45</v>
      </c>
      <c r="BL495" s="1" t="n">
        <f aca="false">INT(POWER(((Constants!$G$2+$BE495+$BF495+$BG495+$BI495)*$BH495)*$BK495, 1.05))+$BD495</f>
        <v>22</v>
      </c>
      <c r="BM495" s="1" t="n">
        <f aca="false">INT(POWER((((Constants!$G$1+$BE495+$BF495+$BG495+$BI495)*($BH495))*$BJ495),IF($J495="wagon",1,1.2)))+$BC495</f>
        <v>60</v>
      </c>
      <c r="BN495" s="17" t="n">
        <f aca="false">BL495*IF($J495="wagon",62.5,781.25)</f>
        <v>1375</v>
      </c>
      <c r="BO495" s="17" t="n">
        <f aca="false">BM495*IF($J495="wagon",2.73,81.25)</f>
        <v>163.8</v>
      </c>
      <c r="BY495" s="1" t="n">
        <v>1</v>
      </c>
      <c r="BZ495" s="1" t="n">
        <v>185</v>
      </c>
      <c r="CB495" s="1" t="s">
        <v>661</v>
      </c>
      <c r="CC495" s="1" t="s">
        <v>662</v>
      </c>
      <c r="CD495" s="1" t="str">
        <f aca="false">VLOOKUP(M495,Eras!$A$2:$C$10, 2, TRUE())</f>
        <v>ebr</v>
      </c>
      <c r="CE495" s="1" t="s">
        <v>1583</v>
      </c>
      <c r="CF495" s="1" t="str">
        <f aca="false">CONCATENATE(CD495,"_",CE495)</f>
        <v>ebr_Mail Carriage</v>
      </c>
      <c r="CG495" s="1" t="str">
        <f aca="false">_xlfn.CONCAT(K495, "_",L495)</f>
        <v>wagon_RAIL</v>
      </c>
      <c r="CH495" s="7" t="str">
        <f aca="false">_xlfn.CONCAT("{BLACK}Length: {GOLD}", TEXT(ROUNDUP(IF(AT495&lt;&gt;"",SUM(VALUE(_xlfn.TEXTSPLIT(AT495, ","))), SUM(VALUE(_xlfn.TEXTSPLIT(AQ495, ",")))*IF(P495, P495, 1))/16, 1), "#,##0.0"), " tiles{}")</f>
        <v>{BLACK}Length: {GOLD}0.5 tiles{}</v>
      </c>
      <c r="CI495" s="1" t="n">
        <f aca="false">VLOOKUP($CG495, Constants!$M:$N, 2, FALSE())</f>
        <v>0</v>
      </c>
      <c r="CJ495" s="1" t="str">
        <f aca="false">IF(P495&gt;1,_xlfn.CONCAT("{BLACK}Cars: {GOLD}", P495),"")</f>
        <v/>
      </c>
      <c r="CK495" s="1" t="s">
        <v>1899</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{GOLD}0.5 tiles{}{SILVER}BR built several of these six-wheeled parcels vans in the early 1950s.</v>
      </c>
    </row>
    <row r="496" customFormat="false" ht="14.25" hidden="false" customHeight="false" outlineLevel="0" collapsed="false">
      <c r="A496" s="1" t="s">
        <v>1900</v>
      </c>
      <c r="B496" s="19" t="s">
        <v>1901</v>
      </c>
      <c r="C496" s="1" t="n">
        <v>1020</v>
      </c>
      <c r="E496" s="1" t="n">
        <v>1123</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198</v>
      </c>
      <c r="J496" s="1" t="s">
        <v>1476</v>
      </c>
      <c r="K496" s="1" t="s">
        <v>1476</v>
      </c>
      <c r="L496" s="1" t="s">
        <v>149</v>
      </c>
      <c r="M496" s="1" t="n">
        <v>1969</v>
      </c>
      <c r="Z496" s="1" t="n">
        <v>160</v>
      </c>
      <c r="AB496" s="1" t="n">
        <v>5</v>
      </c>
      <c r="AD496" s="4" t="str">
        <f aca="false">IF(AND(Z496&gt;0,AC496&gt;0),(AC496/((Z496+AA496)*10)),"")</f>
        <v/>
      </c>
      <c r="AE496" s="1" t="n">
        <v>65</v>
      </c>
      <c r="AF496" s="1" t="n">
        <f aca="false">ROUND(AE496*1.6, 0)</f>
        <v>104</v>
      </c>
      <c r="AI496" s="1" t="n">
        <v>25</v>
      </c>
      <c r="AJ496" s="1" t="n">
        <v>22</v>
      </c>
      <c r="AM496" s="5" t="n">
        <v>81</v>
      </c>
      <c r="AN496" s="16" t="s">
        <v>753</v>
      </c>
      <c r="AO496" s="16" t="n">
        <f aca="false">ROUND(15*((AJ496*10)/256),0)</f>
        <v>13</v>
      </c>
      <c r="AQ496" s="1" t="str">
        <f aca="false">CONCATENATE(VLOOKUP(AO496,Constants!$A$2:$C$16,IF(AP496&lt;&gt;"", 3, 2), FALSE()),IF(AP496&lt;&gt;"",CONCATENATE(",",VLOOKUP(AP496,$B:$AQ,42,FALSE())),""))</f>
        <v>4,5,4</v>
      </c>
      <c r="BA496" s="1" t="n">
        <v>30</v>
      </c>
      <c r="BB496" s="16" t="str">
        <f aca="false">IF(O496&lt;&gt;"",MAX(16,(O496-M496)+8),"")</f>
        <v/>
      </c>
      <c r="BE496" s="20" t="n">
        <f aca="false">MIN(AE496/150, 1)*30</f>
        <v>13</v>
      </c>
      <c r="BF496" s="20" t="n">
        <f aca="false">MIN(Q496/4000, 1)*20</f>
        <v>0</v>
      </c>
      <c r="BG496" s="20" t="n">
        <f aca="false">MIN(AC496/400,1)*20</f>
        <v>0</v>
      </c>
      <c r="BH496" s="21" t="n">
        <f aca="false">1-(MAX(M496-1900, 0)/750)</f>
        <v>0.908</v>
      </c>
      <c r="BI496" s="20" t="n">
        <f aca="false">((MAX($P496,1)*MIN($AM496/300,1)))*IF(J496="Wagon",50,10)</f>
        <v>13.5</v>
      </c>
      <c r="BJ496" s="1" t="n">
        <f aca="false">VLOOKUP($K496,Constants!$I:$K, 2, FALSE())</f>
        <v>1</v>
      </c>
      <c r="BK496" s="1" t="n">
        <f aca="false">VLOOKUP($K496,Constants!$I:$K, 3, FALSE())*IF(AND(J496="multiple_unit",AE496&lt;110),0.75,1)</f>
        <v>0.45</v>
      </c>
      <c r="BL496" s="20" t="n">
        <v>14</v>
      </c>
      <c r="BM496" s="20" t="n">
        <v>37</v>
      </c>
      <c r="BN496" s="22" t="n">
        <f aca="false">BL496*IF($J496="wagon",62.5,781.25)</f>
        <v>875</v>
      </c>
      <c r="BO496" s="22" t="n">
        <f aca="false">BM496*IF($J496="wagon",2.73,81.25)</f>
        <v>101.01</v>
      </c>
      <c r="BY496" s="1" t="n">
        <v>1</v>
      </c>
      <c r="BZ496" s="1" t="n">
        <v>205</v>
      </c>
      <c r="CB496" s="1" t="s">
        <v>1902</v>
      </c>
      <c r="CC496" s="1" t="s">
        <v>327</v>
      </c>
      <c r="CD496" s="23" t="s">
        <v>569</v>
      </c>
      <c r="CE496" s="25" t="s">
        <v>1738</v>
      </c>
      <c r="CF496" s="23" t="str">
        <f aca="false">CONCATENATE(CD496,"_",CE496)</f>
        <v>dsl_Extra</v>
      </c>
      <c r="CG496" s="23" t="str">
        <f aca="false">_xlfn.CONCAT(K496, "_",L496)</f>
        <v>wagon_RAIL</v>
      </c>
      <c r="CH496" s="7" t="str">
        <f aca="false">_xlfn.CONCAT("{BLACK}Length: {GOLD}", TEXT(ROUNDUP(IF(AT496&lt;&gt;"",SUM(VALUE(_xlfn.TEXTSPLIT(AT496, ","))), SUM(VALUE(_xlfn.TEXTSPLIT(AQ496, ",")))*IF(P496, P496, 1))/16, 1), "#,##0.0"), " tiles{}")</f>
        <v>{BLACK}Length: {GOLD}0.9 tiles{}</v>
      </c>
      <c r="CI496" s="1" t="n">
        <f aca="false">VLOOKUP($CG496, Constants!$M:$N, 2, FALSE())</f>
        <v>0</v>
      </c>
      <c r="CJ496" s="1" t="str">
        <f aca="false">IF(P496&gt;1,_xlfn.CONCAT("{BLACK}Cars: {GOLD}", P496),"")</f>
        <v/>
      </c>
      <c r="CK496" s="1" t="s">
        <v>1903</v>
      </c>
      <c r="CL496" s="1" t="str">
        <f aca="false">IF($BX496="!param_no_gameplay_units","{GREEN}Included for gameplay purposes","")</f>
        <v/>
      </c>
      <c r="CM496" s="1" t="str">
        <f aca="false">IF(CA496="buffet","{YELLOW}25% long distance bonus for consist{}",IF(CB496="DANDY","{YELLOW}Faster downhill speeds for horse-drawn trains (1 required per 2 horses){}",IF(CB496="BRAKE","{YELLOW}Speed bonus for slow wagons{}",IF(CB496="NGPassengers","{YELLOW}Preserved railway bonus: passengers pay more when hauled by old locomotives{}",IF(AND(BZ496&gt;190,NOT(AND(L496="NARROW_GAUGE",CB496&lt;&gt;"PASS"))),CONCATENATE("{YELLOW}",INT((BZ496-185)/1.85),"% bonus for long distance travel{}"),IF(AND(BZ496&lt;180,BZ496&lt;&gt;0),CONCATENATE("{YELLOW}",INT((185-BZ496)/1.85),"% penalty for long distance travel{}"),""))))))</f>
        <v>{YELLOW}10% bonus for long distance travel{}</v>
      </c>
      <c r="CN496" s="1" t="str">
        <f aca="false">_xlfn.CONCAT(CI496,IF(CI496&lt;&gt;""," ",""),CJ496,IF(OR(CJ496&lt;&gt;"",CI496&lt;&gt;""),"{}",""),CH496,CM496,"{SILVER}",CK496,IF(CL496&lt;&gt;"","{}{}",""),CL496)</f>
        <v>{BLACK}Length: {GOLD}0.9 tiles{}{YELLOW}10% bonus for long distance travel{}{SILVER}Torpedo cars haul molten metal directly from furnaces, meaning it does not have to be processed to an intermediate form and melted again.</v>
      </c>
    </row>
    <row r="497" customFormat="false" ht="14.25" hidden="false" customHeight="false" outlineLevel="0" collapsed="false">
      <c r="A497" s="1" t="s">
        <v>1904</v>
      </c>
      <c r="B497" s="15" t="s">
        <v>1905</v>
      </c>
      <c r="C497" s="1" t="n">
        <v>94</v>
      </c>
      <c r="E497" s="1" t="n">
        <v>1124</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198</v>
      </c>
      <c r="J497" s="1" t="s">
        <v>1476</v>
      </c>
      <c r="K497" s="1" t="s">
        <v>1906</v>
      </c>
      <c r="L497" s="1" t="s">
        <v>200</v>
      </c>
      <c r="M497" s="1" t="n">
        <v>1700</v>
      </c>
      <c r="O497" s="1" t="n">
        <v>1860</v>
      </c>
      <c r="Z497" s="1" t="n">
        <v>5</v>
      </c>
      <c r="AD497" s="4" t="str">
        <f aca="false">IF(AND(Z497&gt;0,AC497&gt;0),(AC497/((Z497+AA497)*10)),"")</f>
        <v/>
      </c>
      <c r="AE497" s="1" t="n">
        <v>39</v>
      </c>
      <c r="AF497" s="1" t="n">
        <f aca="false">ROUND(AE497*1.6, 0)</f>
        <v>62</v>
      </c>
      <c r="AI497" s="1" t="n">
        <v>6</v>
      </c>
      <c r="AJ497" s="1" t="n">
        <v>6</v>
      </c>
      <c r="AM497" s="5" t="n">
        <v>0</v>
      </c>
      <c r="AN497" s="1" t="str">
        <f aca="false">CONCATENATE(VLOOKUP(AO497, 'Voxel Sizes'!$A$2:$B$18,2,FALSE()),"x",INT(AK497*15), "x", INT(AL497*15))</f>
        <v>60x0x0</v>
      </c>
      <c r="AO497" s="1" t="n">
        <f aca="false">ROUND(15*((AJ497*10)/256),0)</f>
        <v>4</v>
      </c>
      <c r="AQ497" s="1" t="str">
        <f aca="false">CONCATENATE(VLOOKUP(AO497,Constants!$A$2:$C$16,IF(AP497&lt;&gt;"", 3, 2), FALSE()),IF(AP497&lt;&gt;"",CONCATENATE(",",VLOOKUP(AP497,$B:$AQ,39,FALSE())),""))</f>
        <v>1,2,1</v>
      </c>
      <c r="BA497" s="1" t="n">
        <v>30</v>
      </c>
      <c r="BB497" s="16" t="n">
        <f aca="false">IF(O497&lt;&gt;"",MAX(16,(O497-M497)+8),"")</f>
        <v>168</v>
      </c>
      <c r="BE497" s="1" t="n">
        <f aca="false">MIN(AE497/150, 1)*30</f>
        <v>7.8</v>
      </c>
      <c r="BF497" s="1" t="n">
        <f aca="false">MIN(Q497/4000, 1)*20</f>
        <v>0</v>
      </c>
      <c r="BG497" s="1" t="n">
        <f aca="false">MIN(AC497/400,1)*20</f>
        <v>0</v>
      </c>
      <c r="BH497" s="4" t="n">
        <f aca="false">1-(MAX(M497-1900, 0)/750)</f>
        <v>1</v>
      </c>
      <c r="BI497" s="1" t="n">
        <f aca="false">((MAX($P497,1)*MIN($AM497/300,1)))*IF(J497="Wagon",50,10)</f>
        <v>0</v>
      </c>
      <c r="BJ497" s="1" t="n">
        <f aca="false">VLOOKUP($K497,Constants!$I:$K, 2, FALSE())</f>
        <v>1</v>
      </c>
      <c r="BK497" s="1" t="n">
        <f aca="false">VLOOKUP($K497,Constants!$I:$K, 3, FALSE())*IF(AND(J497="multiple_unit",AE497&lt;110),0.75,1)</f>
        <v>0.4</v>
      </c>
      <c r="BL497" s="1" t="n">
        <f aca="false">INT(POWER(((Constants!$G$2+$BE497+$BF497+$BG497+$BI497)*$BH497)*$BK497, 1.05))+$BD497</f>
        <v>5</v>
      </c>
      <c r="BM497" s="1" t="n">
        <f aca="false">INT(POWER((((Constants!$G$1+$BE497+$BF497+$BG497+$BI497)*($BH497))*$BJ497),IF($J497="wagon",1,1.2)))+$BC497</f>
        <v>22</v>
      </c>
      <c r="BN497" s="17" t="n">
        <f aca="false">BL497*IF($J497="wagon",62.5,781.25)</f>
        <v>312.5</v>
      </c>
      <c r="BO497" s="17" t="n">
        <f aca="false">BM497*IF($J497="wagon",2.73,81.25)</f>
        <v>60.06</v>
      </c>
      <c r="BY497" s="1" t="n">
        <v>7</v>
      </c>
      <c r="CB497" s="1" t="s">
        <v>1907</v>
      </c>
      <c r="CC497" s="1" t="s">
        <v>1908</v>
      </c>
      <c r="CD497" s="1" t="str">
        <f aca="false">VLOOKUP(M497,Eras!$A$2:$C$10, 2, TRUE())</f>
        <v>early</v>
      </c>
      <c r="CE497" s="1" t="s">
        <v>1738</v>
      </c>
      <c r="CF497" s="1" t="str">
        <f aca="false">CONCATENATE(CD497,"_",CE497)</f>
        <v>early_Extra</v>
      </c>
      <c r="CG497" s="1" t="str">
        <f aca="false">_xlfn.CONCAT(K497, "_",L497)</f>
        <v>brake_PLATEWAY</v>
      </c>
      <c r="CH497" s="7" t="str">
        <f aca="false">_xlfn.CONCAT("{BLACK}Length: {GOLD}", TEXT(ROUNDUP(IF(AT497&lt;&gt;"",SUM(VALUE(_xlfn.TEXTSPLIT(AT497, ","))), SUM(VALUE(_xlfn.TEXTSPLIT(AQ497, ",")))*IF(P497, P497, 1))/16, 1), "#,##0.0"), " tiles{}")</f>
        <v>{BLACK}Length: {GOLD}0.3 tiles{}</v>
      </c>
      <c r="CI497" s="1" t="n">
        <f aca="false">VLOOKUP($CG497, Constants!$M:$N, 2, FALSE())</f>
        <v>0</v>
      </c>
      <c r="CJ497" s="1" t="str">
        <f aca="false">IF(P497&gt;1,_xlfn.CONCAT("{BLACK}Cars: {GOLD}", P497),"")</f>
        <v/>
      </c>
      <c r="CK497" s="1" t="s">
        <v>1909</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{YELLOW}Speed bonus for slow wagons{}</v>
      </c>
      <c r="CN497" s="1" t="str">
        <f aca="false">_xlfn.CONCAT(CI497,IF(CI497&lt;&gt;""," ",""),CJ497,IF(OR(CJ497&lt;&gt;"",CI497&lt;&gt;""),"{}",""),CH497,CM497,"{SILVER}",CK497,IF(CL497&lt;&gt;"","{}{}",""),CL497)</f>
        <v>{BLACK}Length: {GOLD}0.3 tiles{}{YELLOW}Speed bonus for slow wagons{}{SILVER}Early brake wagons were little more than open wagons with basic friction brakes added.</v>
      </c>
    </row>
    <row r="498" customFormat="false" ht="14.25" hidden="false" customHeight="false" outlineLevel="0" collapsed="false">
      <c r="A498" s="1" t="s">
        <v>1910</v>
      </c>
      <c r="B498" s="15" t="s">
        <v>1911</v>
      </c>
      <c r="C498" s="1" t="n">
        <v>95</v>
      </c>
      <c r="E498" s="1" t="n">
        <v>1125</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198</v>
      </c>
      <c r="J498" s="1" t="s">
        <v>1476</v>
      </c>
      <c r="K498" s="1" t="s">
        <v>1906</v>
      </c>
      <c r="L498" s="1" t="s">
        <v>149</v>
      </c>
      <c r="M498" s="1" t="n">
        <v>1850</v>
      </c>
      <c r="O498" s="1" t="n">
        <v>1910</v>
      </c>
      <c r="Z498" s="1" t="n">
        <v>10</v>
      </c>
      <c r="AD498" s="4" t="str">
        <f aca="false">IF(AND(Z498&gt;0,AC498&gt;0),(AC498/((Z498+AA498)*10)),"")</f>
        <v/>
      </c>
      <c r="AE498" s="1" t="n">
        <v>50</v>
      </c>
      <c r="AF498" s="1" t="n">
        <f aca="false">ROUND(AE498*1.6, 0)</f>
        <v>80</v>
      </c>
      <c r="AI498" s="1" t="n">
        <v>6</v>
      </c>
      <c r="AJ498" s="1" t="n">
        <v>6</v>
      </c>
      <c r="AM498" s="5" t="n">
        <v>0</v>
      </c>
      <c r="AN498" s="1" t="str">
        <f aca="false">CONCATENATE(VLOOKUP(AO498, 'Voxel Sizes'!$A$2:$B$18,2,FALSE()),"x",INT(AK498*15), "x", INT(AL498*15))</f>
        <v>60x0x0</v>
      </c>
      <c r="AO498" s="1" t="n">
        <f aca="false">ROUND(15*((AJ498*10)/256),0)</f>
        <v>4</v>
      </c>
      <c r="AQ498" s="1" t="str">
        <f aca="false">CONCATENATE(VLOOKUP(AO498,Constants!$A$2:$C$16,IF(AP498&lt;&gt;"", 3, 2), FALSE()),IF(AP498&lt;&gt;"",CONCATENATE(",",VLOOKUP(AP498,$B:$AQ,39,FALSE())),""))</f>
        <v>1,2,1</v>
      </c>
      <c r="BA498" s="1" t="n">
        <v>30</v>
      </c>
      <c r="BB498" s="16" t="n">
        <f aca="false">IF(O498&lt;&gt;"",MAX(16,(O498-M498)+8),"")</f>
        <v>68</v>
      </c>
      <c r="BE498" s="1" t="n">
        <f aca="false">MIN(AE498/150, 1)*30</f>
        <v>10</v>
      </c>
      <c r="BF498" s="1" t="n">
        <f aca="false">MIN(Q498/4000, 1)*20</f>
        <v>0</v>
      </c>
      <c r="BG498" s="1" t="n">
        <f aca="false">MIN(AC498/400,1)*20</f>
        <v>0</v>
      </c>
      <c r="BH498" s="4" t="n">
        <f aca="false">1-(MAX(M498-1900, 0)/750)</f>
        <v>1</v>
      </c>
      <c r="BI498" s="1" t="n">
        <f aca="false">((MAX($P498,1)*MIN($AM498/300,1)))*IF(J498="Wagon",50,10)</f>
        <v>0</v>
      </c>
      <c r="BJ498" s="1" t="n">
        <f aca="false">VLOOKUP($K498,Constants!$I:$K, 2, FALSE())</f>
        <v>1</v>
      </c>
      <c r="BK498" s="1" t="n">
        <f aca="false">VLOOKUP($K498,Constants!$I:$K, 3, FALSE())*IF(AND(J498="multiple_unit",AE498&lt;110),0.75,1)</f>
        <v>0.4</v>
      </c>
      <c r="BL498" s="1" t="n">
        <f aca="false">INT(POWER(((Constants!$G$2+$BE498+$BF498+$BG498+$BI498)*$BH498)*$BK498, 1.05))+$BD498</f>
        <v>6</v>
      </c>
      <c r="BM498" s="1" t="n">
        <f aca="false">INT(POWER((((Constants!$G$1+$BE498+$BF498+$BG498+$BI498)*($BH498))*$BJ498),IF($J498="wagon",1,1.2)))+$BC498</f>
        <v>25</v>
      </c>
      <c r="BN498" s="17" t="n">
        <f aca="false">BL498*IF($J498="wagon",62.5,781.25)</f>
        <v>375</v>
      </c>
      <c r="BO498" s="17" t="n">
        <f aca="false">BM498*IF($J498="wagon",2.73,81.25)</f>
        <v>68.25</v>
      </c>
      <c r="BY498" s="1" t="n">
        <v>7</v>
      </c>
      <c r="CB498" s="1" t="s">
        <v>1907</v>
      </c>
      <c r="CC498" s="1" t="s">
        <v>1908</v>
      </c>
      <c r="CD498" s="1" t="str">
        <f aca="false">VLOOKUP(M498,Eras!$A$2:$C$10, 2, TRUE())</f>
        <v>vct</v>
      </c>
      <c r="CE498" s="1" t="s">
        <v>1738</v>
      </c>
      <c r="CF498" s="1" t="str">
        <f aca="false">CONCATENATE(CD498,"_",CE498)</f>
        <v>vct_Extra</v>
      </c>
      <c r="CG498" s="1" t="str">
        <f aca="false">_xlfn.CONCAT(K498, "_",L498)</f>
        <v>brake_RAIL</v>
      </c>
      <c r="CH498" s="7" t="str">
        <f aca="false">_xlfn.CONCAT("{BLACK}Length: {GOLD}", TEXT(ROUNDUP(IF(AT498&lt;&gt;"",SUM(VALUE(_xlfn.TEXTSPLIT(AT498, ","))), SUM(VALUE(_xlfn.TEXTSPLIT(AQ498, ",")))*IF(P498, P498, 1))/16, 1), "#,##0.0"), " tiles{}")</f>
        <v>{BLACK}Length: {GOLD}0.3 tiles{}</v>
      </c>
      <c r="CI498" s="1" t="n">
        <f aca="false">VLOOKUP($CG498, Constants!$M:$N, 2, FALSE())</f>
        <v>0</v>
      </c>
      <c r="CJ498" s="1" t="str">
        <f aca="false">IF(P498&gt;1,_xlfn.CONCAT("{BLACK}Cars: {GOLD}", P498),"")</f>
        <v/>
      </c>
      <c r="CK498" s="1" t="s">
        <v>1912</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{YELLOW}Speed bonus for slow wagons{}</v>
      </c>
      <c r="CN498" s="1" t="str">
        <f aca="false">_xlfn.CONCAT(CI498,IF(CI498&lt;&gt;""," ",""),CJ498,IF(OR(CJ498&lt;&gt;"",CI498&lt;&gt;""),"{}",""),CH498,CM498,"{SILVER}",CK498,IF(CL498&lt;&gt;"","{}{}",""),CL498)</f>
        <v>{BLACK}Length: {GOLD}0.3 tiles{}{YELLOW}Speed bonus for slow wagons{}{SILVER}Brake vans gave extra braking power to allow trains to run at higher speed, and also gave a place for a guard to look after the train from the rear.</v>
      </c>
    </row>
    <row r="499" customFormat="false" ht="14.25" hidden="false" customHeight="false" outlineLevel="0" collapsed="false">
      <c r="A499" s="1" t="s">
        <v>1913</v>
      </c>
      <c r="B499" s="15" t="s">
        <v>1914</v>
      </c>
      <c r="C499" s="1" t="n">
        <v>96</v>
      </c>
      <c r="E499" s="1" t="n">
        <v>1126</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198</v>
      </c>
      <c r="J499" s="1" t="s">
        <v>1476</v>
      </c>
      <c r="K499" s="1" t="s">
        <v>1906</v>
      </c>
      <c r="L499" s="1" t="s">
        <v>149</v>
      </c>
      <c r="M499" s="1" t="n">
        <v>1894</v>
      </c>
      <c r="O499" s="1" t="n">
        <v>1970</v>
      </c>
      <c r="Z499" s="1" t="n">
        <v>20</v>
      </c>
      <c r="AD499" s="4" t="str">
        <f aca="false">IF(AND(Z499&gt;0,AC499&gt;0),(AC499/((Z499+AA499)*10)),"")</f>
        <v/>
      </c>
      <c r="AE499" s="1" t="n">
        <v>70</v>
      </c>
      <c r="AF499" s="1" t="n">
        <f aca="false">ROUND(AE499*1.6, 0)</f>
        <v>112</v>
      </c>
      <c r="AI499" s="1" t="n">
        <v>7.3</v>
      </c>
      <c r="AJ499" s="1" t="n">
        <v>11</v>
      </c>
      <c r="AM499" s="5" t="n">
        <v>0</v>
      </c>
      <c r="AN499" s="1" t="str">
        <f aca="false">CONCATENATE(VLOOKUP(AO499, 'Voxel Sizes'!$A$2:$B$18,2,FALSE()),"x",INT(AK499*15), "x", INT(AL499*15))</f>
        <v>102x0x0</v>
      </c>
      <c r="AO499" s="1" t="n">
        <f aca="false">ROUND(15*((AJ499*10)/256),0)</f>
        <v>6</v>
      </c>
      <c r="AQ499" s="1" t="str">
        <f aca="false">CONCATENATE(VLOOKUP(AO499,Constants!$A$2:$C$16,IF(AP499&lt;&gt;"", 3, 2), FALSE()),IF(AP499&lt;&gt;"",CONCATENATE(",",VLOOKUP(AP499,$B:$AQ,39,FALSE())),""))</f>
        <v>2,2,2</v>
      </c>
      <c r="BA499" s="1" t="n">
        <v>30</v>
      </c>
      <c r="BB499" s="16" t="n">
        <f aca="false">IF(O499&lt;&gt;"",MAX(16,(O499-M499)+8),"")</f>
        <v>84</v>
      </c>
      <c r="BE499" s="1" t="n">
        <f aca="false">MIN(AE499/150, 1)*30</f>
        <v>14</v>
      </c>
      <c r="BF499" s="1" t="n">
        <f aca="false">MIN(Q499/4000, 1)*20</f>
        <v>0</v>
      </c>
      <c r="BG499" s="1" t="n">
        <f aca="false">MIN(AC499/400,1)*20</f>
        <v>0</v>
      </c>
      <c r="BH499" s="4" t="n">
        <f aca="false">1-(MAX(M499-1900, 0)/750)</f>
        <v>1</v>
      </c>
      <c r="BI499" s="1" t="n">
        <f aca="false">((MAX($P499,1)*MIN($AM499/300,1)))*IF(J499="Wagon",50,10)</f>
        <v>0</v>
      </c>
      <c r="BJ499" s="1" t="n">
        <f aca="false">VLOOKUP($K499,Constants!$I:$K, 2, FALSE())</f>
        <v>1</v>
      </c>
      <c r="BK499" s="1" t="n">
        <f aca="false">VLOOKUP($K499,Constants!$I:$K, 3, FALSE())*IF(AND(J499="multiple_unit",AE499&lt;110),0.75,1)</f>
        <v>0.4</v>
      </c>
      <c r="BL499" s="1" t="n">
        <f aca="false">INT(POWER(((Constants!$G$2+$BE499+$BF499+$BG499+$BI499)*$BH499)*$BK499, 1.05))+$BD499</f>
        <v>8</v>
      </c>
      <c r="BM499" s="1" t="n">
        <f aca="false">INT(POWER((((Constants!$G$1+$BE499+$BF499+$BG499+$BI499)*($BH499))*$BJ499),IF($J499="wagon",1,1.2)))+$BC499</f>
        <v>29</v>
      </c>
      <c r="BN499" s="17" t="n">
        <f aca="false">BL499*IF($J499="wagon",62.5,781.25)</f>
        <v>500</v>
      </c>
      <c r="BO499" s="17" t="n">
        <f aca="false">BM499*IF($J499="wagon",2.73,81.25)</f>
        <v>79.17</v>
      </c>
      <c r="BY499" s="1" t="n">
        <v>7</v>
      </c>
      <c r="CB499" s="1" t="s">
        <v>1907</v>
      </c>
      <c r="CC499" s="1" t="s">
        <v>1908</v>
      </c>
      <c r="CD499" s="1" t="str">
        <f aca="false">VLOOKUP(M499,Eras!$A$2:$C$10, 2, TRUE())</f>
        <v>vct</v>
      </c>
      <c r="CE499" s="1" t="s">
        <v>1738</v>
      </c>
      <c r="CF499" s="1" t="str">
        <f aca="false">CONCATENATE(CD499,"_",CE499)</f>
        <v>vct_Extra</v>
      </c>
      <c r="CG499" s="1" t="str">
        <f aca="false">_xlfn.CONCAT(K499, "_",L499)</f>
        <v>brake_RAIL</v>
      </c>
      <c r="CH499" s="7" t="str">
        <f aca="false">_xlfn.CONCAT("{BLACK}Length: {GOLD}", TEXT(ROUNDUP(IF(AT499&lt;&gt;"",SUM(VALUE(_xlfn.TEXTSPLIT(AT499, ","))), SUM(VALUE(_xlfn.TEXTSPLIT(AQ499, ",")))*IF(P499, P499, 1))/16, 1), "#,##0.0"), " tiles{}")</f>
        <v>{BLACK}Length: {GOLD}0.4 tiles{}</v>
      </c>
      <c r="CI499" s="1" t="n">
        <f aca="false">VLOOKUP($CG499, Constants!$M:$N, 2, FALSE())</f>
        <v>0</v>
      </c>
      <c r="CJ499" s="1" t="str">
        <f aca="false">IF(P499&gt;1,_xlfn.CONCAT("{BLACK}Cars: {GOLD}", P499),"")</f>
        <v/>
      </c>
      <c r="CK499" s="1" t="s">
        <v>1915</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{YELLOW}Speed bonus for slow wagons{}</v>
      </c>
      <c r="CN499" s="1" t="str">
        <f aca="false">_xlfn.CONCAT(CI499,IF(CI499&lt;&gt;""," ",""),CJ499,IF(OR(CJ499&lt;&gt;"",CI499&lt;&gt;""),"{}",""),CH499,CM499,"{SILVER}",CK499,IF(CL499&lt;&gt;"","{}{}",""),CL499)</f>
        <v>{BLACK}Length: {GOLD}0.4 tiles{}{YELLOW}Speed bonus for slow wagons{}{SILVER}The Great Western Railway standardised brake van designs from 1894. The distinctive design includes an open "veranda" at the back of the vehicle.</v>
      </c>
    </row>
    <row r="500" s="25" customFormat="true" ht="14.25" hidden="false" customHeight="false" outlineLevel="0" collapsed="false">
      <c r="A500" s="25" t="s">
        <v>1916</v>
      </c>
      <c r="B500" s="26" t="s">
        <v>1917</v>
      </c>
      <c r="C500" s="1" t="n">
        <v>3102</v>
      </c>
      <c r="E500" s="1" t="n">
        <v>1127</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25" t="s">
        <v>198</v>
      </c>
      <c r="J500" s="25" t="s">
        <v>1476</v>
      </c>
      <c r="K500" s="25" t="s">
        <v>1906</v>
      </c>
      <c r="L500" s="25" t="s">
        <v>149</v>
      </c>
      <c r="M500" s="25" t="n">
        <v>1924</v>
      </c>
      <c r="N500" s="25" t="n">
        <v>1955</v>
      </c>
      <c r="O500" s="25" t="n">
        <v>1961</v>
      </c>
      <c r="R500" s="2"/>
      <c r="S500" s="3"/>
      <c r="T500" s="3"/>
      <c r="U500" s="3"/>
      <c r="V500" s="3"/>
      <c r="W500" s="3"/>
      <c r="X500" s="3"/>
      <c r="Y500" s="3"/>
      <c r="Z500" s="25" t="n">
        <v>20</v>
      </c>
      <c r="AA500" s="2"/>
      <c r="AB500" s="25" t="n">
        <v>4</v>
      </c>
      <c r="AD500" s="4" t="str">
        <f aca="false">IF(AND(Z500&gt;0,AC500&gt;0),(AC500/((Z500+AA500)*10)),"")</f>
        <v/>
      </c>
      <c r="AE500" s="25" t="n">
        <v>60</v>
      </c>
      <c r="AF500" s="25" t="n">
        <f aca="false">ROUND(AE500*1.6, 0)</f>
        <v>96</v>
      </c>
      <c r="AI500" s="25" t="n">
        <v>6.1</v>
      </c>
      <c r="AJ500" s="25" t="n">
        <v>8</v>
      </c>
      <c r="AK500" s="25" t="n">
        <v>2.5</v>
      </c>
      <c r="AL500" s="25" t="n">
        <v>3.35</v>
      </c>
      <c r="AM500" s="5" t="n">
        <v>0</v>
      </c>
      <c r="AN500" s="1" t="str">
        <f aca="false">CONCATENATE(VLOOKUP(AO500, '[1]Voxel Sizes'!$A$2:$B$18,2,FALSE()),"x",INT(AK500*15), "x", INT(AL500*15))</f>
        <v>82x37x50</v>
      </c>
      <c r="AO500" s="25" t="n">
        <f aca="false">ROUND(15*((AJ500*10)/256),0)</f>
        <v>5</v>
      </c>
      <c r="AQ500" s="1" t="str">
        <f aca="false">CONCATENATE(VLOOKUP(AO500,Constants!$A$2:$C$16,IF(AP500&lt;&gt;"", 3, 2), FALSE()),IF(AP500&lt;&gt;"",CONCATENATE(",",VLOOKUP(AP500,$B:$AQ,42,FALSE())),""))</f>
        <v>2,1,2</v>
      </c>
      <c r="AS500" s="6"/>
      <c r="AT500" s="6"/>
      <c r="BA500" s="25" t="n">
        <v>50</v>
      </c>
      <c r="BB500" s="16" t="n">
        <f aca="false">IF(O500&lt;&gt;"",MAX(16,(O500-M500)+8),"")</f>
        <v>45</v>
      </c>
      <c r="BC500" s="25" t="n">
        <v>12</v>
      </c>
      <c r="BD500" s="25" t="n">
        <v>6</v>
      </c>
      <c r="BE500" s="25" t="n">
        <f aca="false">MIN(AE500/150, 1)*30</f>
        <v>12</v>
      </c>
      <c r="BF500" s="25" t="n">
        <f aca="false">MIN(Q500/4000, 1)*20</f>
        <v>0</v>
      </c>
      <c r="BG500" s="25" t="n">
        <f aca="false">MIN(AC500/400,1)*20</f>
        <v>0</v>
      </c>
      <c r="BH500" s="4" t="n">
        <f aca="false">1-(MAX(M500-1900, 0)/750)</f>
        <v>0.968</v>
      </c>
      <c r="BI500" s="25" t="n">
        <f aca="false">((MAX($P500,1)*MIN($AM500/300,1)))*IF(J500="Wagon",50,10)</f>
        <v>0</v>
      </c>
      <c r="BJ500" s="1" t="n">
        <f aca="false">VLOOKUP($K500,Constants!$I:$K, 2, FALSE())</f>
        <v>1</v>
      </c>
      <c r="BK500" s="1" t="n">
        <f aca="false">VLOOKUP($K500,Constants!$I:$K, 3, FALSE())*IF(AND(J500="multiple_unit",AE500&lt;110),0.75,1)</f>
        <v>0.4</v>
      </c>
      <c r="BL500" s="25" t="n">
        <f aca="false">INT(POWER((([1]Constants!$G$2+$BE500+$BF500+$BG500+$BI500)*$BH500)*$BK500, 1.05))+$BD500</f>
        <v>13</v>
      </c>
      <c r="BM500" s="25" t="n">
        <f aca="false">INT(POWER(((([1]Constants!$G$1+$BE500+$BF500+$BG500+$BI500)*($BH500))*$BJ500),IF($J500="wagon",1,1.2)))+$BC500</f>
        <v>38</v>
      </c>
      <c r="BN500" s="17" t="n">
        <f aca="false">BL500*IF($J500="wagon",62.5,781.25)</f>
        <v>812.5</v>
      </c>
      <c r="BO500" s="17" t="n">
        <f aca="false">BM500*IF($J500="wagon",2.73,81.25)</f>
        <v>103.74</v>
      </c>
      <c r="BY500" s="25" t="n">
        <v>1</v>
      </c>
      <c r="CB500" s="25" t="s">
        <v>1907</v>
      </c>
      <c r="CC500" s="25" t="s">
        <v>1908</v>
      </c>
      <c r="CD500" s="25" t="str">
        <f aca="false">VLOOKUP(M500,[1]Eras!$A$2:$C$10, 2, TRUE())</f>
        <v>big4</v>
      </c>
      <c r="CE500" s="25" t="s">
        <v>1738</v>
      </c>
      <c r="CF500" s="25" t="str">
        <f aca="false">CONCATENATE(CD500,"_",CE500)</f>
        <v>big4_Extra</v>
      </c>
      <c r="CG500" s="25" t="str">
        <f aca="false">_xlfn.CONCAT(K500, "_",L500)</f>
        <v>brake_RAIL</v>
      </c>
      <c r="CH500" s="7" t="str">
        <f aca="false">_xlfn.CONCAT("{BLACK}Length: {GOLD}", TEXT(ROUNDUP(IF(AT500&lt;&gt;"",SUM(VALUE(_xlfn.TEXTSPLIT(AT500, ","))), SUM(VALUE(_xlfn.TEXTSPLIT(AQ500, ",")))*IF(P500, P500, 1))/16, 1), "#,##0.0"), " tiles{}")</f>
        <v>{BLACK}Length: {GOLD}0.4 tiles{}</v>
      </c>
      <c r="CI500" s="1" t="n">
        <f aca="false">VLOOKUP($CG500, Constants!$M:$N, 2, FALSE())</f>
        <v>0</v>
      </c>
      <c r="CJ500" s="1" t="str">
        <f aca="false">IF(P500&gt;1,_xlfn.CONCAT("{BLACK}Cars: {GOLD}", P500),"")</f>
        <v/>
      </c>
      <c r="CK500" s="25" t="s">
        <v>1918</v>
      </c>
      <c r="CM500" s="25" t="str">
        <f aca="false">IF(CC500="buffet","{YELLOW}25% long distance bonus for consist{}",IF(CD500="BRAKE","{YELLOW}Speed bonus for slow wagons{}",IF(BZ500&gt;190,CONCATENATE("{YELLOW}",INT((BZ500-185)/1.85),"% bonus for long distance travel{}"),IF(AND(BZ500&lt;180,BZ500&lt;&gt;0),CONCATENATE("{YELLOW}",INT((185-BZ500)/1.85),"% penalty for long distance travel{}"),""))))</f>
        <v/>
      </c>
      <c r="CN500" s="25" t="str">
        <f aca="false">_xlfn.CONCAT(CI500,IF(CI500 &lt;&gt; "", " ", ""),CJ500,IF(OR(CJ500&lt;&gt;"", CI500&lt;&gt;""), "{}",""), CH500, CM500,"{SILVER}", CK500)</f>
        <v>{BLACK}Length: {GOLD}0.4 tiles{}{SILVER}This Midland Railway design of Brake Van was also built by the LMS - over 800 were constructed and they were still extant into the early 1960s.</v>
      </c>
    </row>
    <row r="501" s="25" customFormat="true" ht="14.25" hidden="false" customHeight="false" outlineLevel="0" collapsed="false">
      <c r="A501" s="25" t="s">
        <v>1919</v>
      </c>
      <c r="B501" s="26" t="s">
        <v>1920</v>
      </c>
      <c r="C501" s="1" t="n">
        <v>3105</v>
      </c>
      <c r="E501" s="1" t="n">
        <v>1128</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25" t="s">
        <v>198</v>
      </c>
      <c r="J501" s="25" t="s">
        <v>1476</v>
      </c>
      <c r="K501" s="25" t="s">
        <v>1906</v>
      </c>
      <c r="L501" s="25" t="s">
        <v>149</v>
      </c>
      <c r="M501" s="25" t="n">
        <v>1936</v>
      </c>
      <c r="N501" s="25" t="n">
        <v>1990</v>
      </c>
      <c r="O501" s="25" t="n">
        <v>1998</v>
      </c>
      <c r="R501" s="2"/>
      <c r="S501" s="3"/>
      <c r="T501" s="3"/>
      <c r="U501" s="3"/>
      <c r="V501" s="3"/>
      <c r="W501" s="3"/>
      <c r="X501" s="3"/>
      <c r="Y501" s="3"/>
      <c r="Z501" s="25" t="n">
        <v>26</v>
      </c>
      <c r="AA501" s="2"/>
      <c r="AB501" s="25" t="n">
        <v>4</v>
      </c>
      <c r="AD501" s="4" t="str">
        <f aca="false">IF(AND(Z501&gt;0,AC501&gt;0),(AC501/((Z501+AA501)*10)),"")</f>
        <v/>
      </c>
      <c r="AE501" s="25" t="n">
        <v>75</v>
      </c>
      <c r="AF501" s="25" t="n">
        <f aca="false">ROUND(AE501*1.6, 0)</f>
        <v>120</v>
      </c>
      <c r="AI501" s="25" t="n">
        <v>12.8</v>
      </c>
      <c r="AJ501" s="25" t="n">
        <v>12.8</v>
      </c>
      <c r="AK501" s="25" t="n">
        <v>2.5</v>
      </c>
      <c r="AL501" s="25" t="n">
        <v>3.35</v>
      </c>
      <c r="AM501" s="5" t="n">
        <v>0</v>
      </c>
      <c r="AN501" s="1" t="str">
        <f aca="false">CONCATENATE(VLOOKUP(AO501, '[1]Voxel Sizes'!$A$2:$B$18,2,FALSE()),"x",INT(AK501*15), "x", INT(AL501*15))</f>
        <v>136x37x50</v>
      </c>
      <c r="AO501" s="25" t="n">
        <f aca="false">ROUND(15*((AJ501*10)/256),0)</f>
        <v>8</v>
      </c>
      <c r="AQ501" s="1" t="str">
        <f aca="false">CONCATENATE(VLOOKUP(AO501,Constants!$A$2:$C$16,IF(AP501&lt;&gt;"", 3, 2), FALSE()),IF(AP501&lt;&gt;"",CONCATENATE(",",VLOOKUP(AP501,$B:$AQ,42,FALSE())),""))</f>
        <v>2,4,2</v>
      </c>
      <c r="AS501" s="6"/>
      <c r="AT501" s="6"/>
      <c r="BA501" s="25" t="n">
        <v>50</v>
      </c>
      <c r="BB501" s="16" t="n">
        <f aca="false">IF(O501&lt;&gt;"",MAX(16,(O501-M501)+8),"")</f>
        <v>70</v>
      </c>
      <c r="BE501" s="25" t="n">
        <f aca="false">MIN(AE501/150, 1)*30</f>
        <v>15</v>
      </c>
      <c r="BF501" s="25" t="n">
        <f aca="false">MIN(Q501/4000, 1)*20</f>
        <v>0</v>
      </c>
      <c r="BG501" s="25" t="n">
        <f aca="false">MIN(AC501/400,1)*20</f>
        <v>0</v>
      </c>
      <c r="BH501" s="4" t="n">
        <f aca="false">1-(MAX(M501-1900, 0)/750)</f>
        <v>0.952</v>
      </c>
      <c r="BI501" s="25" t="n">
        <f aca="false">((MAX($P501,1)*MIN($AM501/300,1)))*IF(J501="Wagon",50,10)</f>
        <v>0</v>
      </c>
      <c r="BJ501" s="1" t="n">
        <f aca="false">VLOOKUP($K501,Constants!$I:$K, 2, FALSE())</f>
        <v>1</v>
      </c>
      <c r="BK501" s="1" t="n">
        <f aca="false">VLOOKUP($K501,Constants!$I:$K, 3, FALSE())*IF(AND(J501="multiple_unit",AE501&lt;110),0.75,1)</f>
        <v>0.4</v>
      </c>
      <c r="BL501" s="25" t="n">
        <f aca="false">INT(POWER((([1]Constants!$G$2+$BE501+$BF501+$BG501+$BI501)*$BH501)*$BK501, 1.05))+$BD501</f>
        <v>8</v>
      </c>
      <c r="BM501" s="25" t="n">
        <f aca="false">INT(POWER(((([1]Constants!$G$1+$BE501+$BF501+$BG501+$BI501)*($BH501))*$BJ501),IF($J501="wagon",1,1.2)))+$BC501</f>
        <v>28</v>
      </c>
      <c r="BN501" s="17" t="n">
        <f aca="false">BL501*IF($J501="wagon",62.5,781.25)</f>
        <v>500</v>
      </c>
      <c r="BO501" s="17" t="n">
        <f aca="false">BM501*IF($J501="wagon",2.73,81.25)</f>
        <v>76.44</v>
      </c>
      <c r="BY501" s="25" t="n">
        <v>1</v>
      </c>
      <c r="CB501" s="25" t="s">
        <v>1907</v>
      </c>
      <c r="CC501" s="25" t="s">
        <v>1908</v>
      </c>
      <c r="CD501" s="25" t="str">
        <f aca="false">VLOOKUP(M501,[1]Eras!$A$2:$C$10, 2, TRUE())</f>
        <v>big4</v>
      </c>
      <c r="CE501" s="25" t="s">
        <v>1738</v>
      </c>
      <c r="CF501" s="25" t="str">
        <f aca="false">CONCATENATE(CD501,"_",CE501)</f>
        <v>big4_Extra</v>
      </c>
      <c r="CG501" s="25" t="str">
        <f aca="false">_xlfn.CONCAT(K501, "_",L501)</f>
        <v>brake_RAIL</v>
      </c>
      <c r="CH501" s="7" t="str">
        <f aca="false">_xlfn.CONCAT("{BLACK}Length: {GOLD}", TEXT(ROUNDUP(IF(AT501&lt;&gt;"",SUM(VALUE(_xlfn.TEXTSPLIT(AT501, ","))), SUM(VALUE(_xlfn.TEXTSPLIT(AQ501, ",")))*IF(P501, P501, 1))/16, 1), "#,##0.0"), " tiles{}")</f>
        <v>{BLACK}Length: {GOLD}0.5 tiles{}</v>
      </c>
      <c r="CI501" s="1" t="n">
        <f aca="false">VLOOKUP($CG501, Constants!$M:$N, 2, FALSE())</f>
        <v>0</v>
      </c>
      <c r="CJ501" s="1" t="str">
        <f aca="false">IF(P501&gt;1,_xlfn.CONCAT("{BLACK}Cars: {GOLD}", P501),"")</f>
        <v/>
      </c>
      <c r="CK501" s="25" t="s">
        <v>1921</v>
      </c>
      <c r="CM501" s="25" t="str">
        <f aca="false">IF(CC501="buffet","{YELLOW}25% long distance bonus for consist{}",IF(CD501="BRAKE","{YELLOW}Speed bonus for slow wagons{}",IF(BZ501&gt;190,CONCATENATE("{YELLOW}",INT((BZ501-185)/1.85),"% bonus for long distance travel{}"),IF(AND(BZ501&lt;180,BZ501&lt;&gt;0),CONCATENATE("{YELLOW}",INT((185-BZ501)/1.85),"% penalty for long distance travel{}"),""))))</f>
        <v/>
      </c>
      <c r="CN501" s="25" t="str">
        <f aca="false">_xlfn.CONCAT(CI501,IF(CI501 &lt;&gt; "", " ", ""),CJ501,IF(OR(CJ501&lt;&gt;"", CI501&lt;&gt;""), "{}",""), CH501, CM501,"{SILVER}", CK501)</f>
        <v>{BLACK}Length: {GOLD}0.5 tiles{}{SILVER}The first SR ‘Queen Mary’ Brake vans converted from LBSCR ‘Milk Van’ MLVs, and lasted in departmental and limited freight service into the 2000s! A shed on rails with a stove and a desk has 1000 uses.</v>
      </c>
    </row>
    <row r="502" s="25" customFormat="true" ht="14.25" hidden="false" customHeight="false" outlineLevel="0" collapsed="false">
      <c r="A502" s="25" t="s">
        <v>1922</v>
      </c>
      <c r="B502" s="26" t="s">
        <v>1923</v>
      </c>
      <c r="C502" s="1" t="n">
        <v>3106</v>
      </c>
      <c r="D502" s="25" t="n">
        <v>3105</v>
      </c>
      <c r="E502" s="1" t="n">
        <v>1129</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25" t="s">
        <v>198</v>
      </c>
      <c r="J502" s="25" t="s">
        <v>1476</v>
      </c>
      <c r="K502" s="25" t="s">
        <v>1906</v>
      </c>
      <c r="L502" s="25" t="s">
        <v>149</v>
      </c>
      <c r="M502" s="25" t="n">
        <v>1936</v>
      </c>
      <c r="N502" s="25" t="n">
        <v>1990</v>
      </c>
      <c r="O502" s="25" t="n">
        <v>1998</v>
      </c>
      <c r="R502" s="2"/>
      <c r="S502" s="3"/>
      <c r="T502" s="3"/>
      <c r="U502" s="3"/>
      <c r="V502" s="3"/>
      <c r="W502" s="3"/>
      <c r="X502" s="3"/>
      <c r="Y502" s="3"/>
      <c r="Z502" s="25" t="n">
        <v>26</v>
      </c>
      <c r="AA502" s="2"/>
      <c r="AB502" s="25" t="n">
        <v>4</v>
      </c>
      <c r="AD502" s="4" t="str">
        <f aca="false">IF(AND(Z502&gt;0,AC502&gt;0),(AC502/((Z502+AA502)*10)),"")</f>
        <v/>
      </c>
      <c r="AE502" s="25" t="n">
        <v>75</v>
      </c>
      <c r="AF502" s="25" t="n">
        <f aca="false">ROUND(AE502*1.6, 0)</f>
        <v>120</v>
      </c>
      <c r="AI502" s="25" t="n">
        <v>12.8</v>
      </c>
      <c r="AJ502" s="25" t="n">
        <v>12.8</v>
      </c>
      <c r="AK502" s="25" t="n">
        <v>2.5</v>
      </c>
      <c r="AL502" s="25" t="n">
        <v>3.35</v>
      </c>
      <c r="AM502" s="5" t="n">
        <v>0</v>
      </c>
      <c r="AN502" s="1" t="str">
        <f aca="false">CONCATENATE(VLOOKUP(AO502, '[1]Voxel Sizes'!$A$2:$B$18,2,FALSE()),"x",INT(AK502*15), "x", INT(AL502*15))</f>
        <v>136x37x50</v>
      </c>
      <c r="AO502" s="25" t="n">
        <f aca="false">ROUND(15*((AJ502*10)/256),0)</f>
        <v>8</v>
      </c>
      <c r="AQ502" s="1" t="str">
        <f aca="false">CONCATENATE(VLOOKUP(AO502,Constants!$A$2:$C$16,IF(AP502&lt;&gt;"", 3, 2), FALSE()),IF(AP502&lt;&gt;"",CONCATENATE(",",VLOOKUP(AP502,$B:$AQ,42,FALSE())),""))</f>
        <v>2,4,2</v>
      </c>
      <c r="AS502" s="6"/>
      <c r="AT502" s="6"/>
      <c r="BA502" s="25" t="n">
        <v>50</v>
      </c>
      <c r="BB502" s="16" t="n">
        <f aca="false">IF(O502&lt;&gt;"",MAX(16,(O502-M502)+8),"")</f>
        <v>70</v>
      </c>
      <c r="BE502" s="25" t="n">
        <f aca="false">MIN(AE502/150, 1)*30</f>
        <v>15</v>
      </c>
      <c r="BF502" s="25" t="n">
        <f aca="false">MIN(Q502/4000, 1)*20</f>
        <v>0</v>
      </c>
      <c r="BG502" s="25" t="n">
        <f aca="false">MIN(AC502/400,1)*20</f>
        <v>0</v>
      </c>
      <c r="BH502" s="4" t="n">
        <f aca="false">1-(MAX(M502-1900, 0)/750)</f>
        <v>0.952</v>
      </c>
      <c r="BI502" s="25" t="n">
        <f aca="false">((MAX($P502,1)*MIN($AM502/300,1)))*IF(J502="Wagon",50,10)</f>
        <v>0</v>
      </c>
      <c r="BJ502" s="1" t="n">
        <f aca="false">VLOOKUP($K502,Constants!$I:$K, 2, FALSE())</f>
        <v>1</v>
      </c>
      <c r="BK502" s="1" t="n">
        <f aca="false">VLOOKUP($K502,Constants!$I:$K, 3, FALSE())*IF(AND(J502="multiple_unit",AE502&lt;110),0.75,1)</f>
        <v>0.4</v>
      </c>
      <c r="BL502" s="25" t="n">
        <f aca="false">INT(POWER((([1]Constants!$G$2+$BE502+$BF502+$BG502+$BI502)*$BH502)*$BK502, 1.05))+$BD502</f>
        <v>8</v>
      </c>
      <c r="BM502" s="25" t="n">
        <f aca="false">INT(POWER(((([1]Constants!$G$1+$BE502+$BF502+$BG502+$BI502)*($BH502))*$BJ502),IF($J502="wagon",1,1.2)))+$BC502</f>
        <v>28</v>
      </c>
      <c r="BN502" s="17" t="n">
        <f aca="false">BL502*IF($J502="wagon",62.5,781.25)</f>
        <v>500</v>
      </c>
      <c r="BO502" s="17" t="n">
        <f aca="false">BM502*IF($J502="wagon",2.73,81.25)</f>
        <v>76.44</v>
      </c>
      <c r="BY502" s="25" t="n">
        <v>1</v>
      </c>
      <c r="CC502" s="25" t="s">
        <v>1908</v>
      </c>
      <c r="CD502" s="25" t="str">
        <f aca="false">VLOOKUP(M502,[1]Eras!$A$2:$C$10, 2, TRUE())</f>
        <v>big4</v>
      </c>
      <c r="CE502" s="25" t="s">
        <v>1738</v>
      </c>
      <c r="CF502" s="25" t="str">
        <f aca="false">CONCATENATE(CD502,"_",CE502)</f>
        <v>big4_Extra</v>
      </c>
      <c r="CG502" s="25" t="str">
        <f aca="false">_xlfn.CONCAT(K502, "_",L502)</f>
        <v>brake_RAIL</v>
      </c>
      <c r="CH502" s="7" t="str">
        <f aca="false">_xlfn.CONCAT("{BLACK}Length: {GOLD}", TEXT(ROUNDUP(IF(AT502&lt;&gt;"",SUM(VALUE(_xlfn.TEXTSPLIT(AT502, ","))), SUM(VALUE(_xlfn.TEXTSPLIT(AQ502, ",")))*IF(P502, P502, 1))/16, 1), "#,##0.0"), " tiles{}")</f>
        <v>{BLACK}Length: {GOLD}0.5 tiles{}</v>
      </c>
      <c r="CI502" s="1" t="n">
        <f aca="false">VLOOKUP($CG502, Constants!$M:$N, 2, FALSE())</f>
        <v>0</v>
      </c>
      <c r="CJ502" s="1" t="str">
        <f aca="false">IF(P502&gt;1,_xlfn.CONCAT("{BLACK}Cars: {GOLD}", P502),"")</f>
        <v/>
      </c>
      <c r="CK502" s="25" t="s">
        <v>1924</v>
      </c>
      <c r="CM502" s="25" t="str">
        <f aca="false">IF(CC502="buffet","{YELLOW}25% long distance bonus for consist{}",IF(CD502="BRAKE","{YELLOW}Speed bonus for slow wagons{}",IF(BZ502&gt;190,CONCATENATE("{YELLOW}",INT((BZ502-185)/1.85),"% bonus for long distance travel{}"),IF(AND(BZ502&lt;180,BZ502&lt;&gt;0),CONCATENATE("{YELLOW}",INT((185-BZ502)/1.85),"% penalty for long distance travel{}"),""))))</f>
        <v/>
      </c>
      <c r="CN502" s="25" t="str">
        <f aca="false">_xlfn.CONCAT(CI502,IF(CI502 &lt;&gt; "", " ", ""),CJ502,IF(OR(CJ502&lt;&gt;"", CI502&lt;&gt;""), "{}",""), CH502, CM502,"{SILVER}", CK502)</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03" s="25" customFormat="true" ht="14.25" hidden="false" customHeight="false" outlineLevel="0" collapsed="false">
      <c r="A503" s="25" t="s">
        <v>1925</v>
      </c>
      <c r="B503" s="26" t="s">
        <v>1926</v>
      </c>
      <c r="C503" s="1" t="n">
        <v>3103</v>
      </c>
      <c r="E503" s="1" t="n">
        <v>1130</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25" t="s">
        <v>198</v>
      </c>
      <c r="J503" s="25" t="s">
        <v>1476</v>
      </c>
      <c r="K503" s="25" t="s">
        <v>1906</v>
      </c>
      <c r="L503" s="25" t="s">
        <v>149</v>
      </c>
      <c r="M503" s="25" t="n">
        <v>1938</v>
      </c>
      <c r="N503" s="25" t="n">
        <v>1969</v>
      </c>
      <c r="O503" s="25" t="n">
        <v>1988</v>
      </c>
      <c r="R503" s="2"/>
      <c r="S503" s="3"/>
      <c r="T503" s="3"/>
      <c r="U503" s="3"/>
      <c r="V503" s="3"/>
      <c r="W503" s="3"/>
      <c r="X503" s="3"/>
      <c r="Y503" s="3"/>
      <c r="Z503" s="25" t="n">
        <v>20</v>
      </c>
      <c r="AA503" s="2"/>
      <c r="AB503" s="25" t="n">
        <v>4</v>
      </c>
      <c r="AD503" s="4" t="str">
        <f aca="false">IF(AND(Z503&gt;0,AC503&gt;0),(AC503/((Z503+AA503)*10)),"")</f>
        <v/>
      </c>
      <c r="AE503" s="25" t="n">
        <v>60</v>
      </c>
      <c r="AF503" s="25" t="n">
        <f aca="false">ROUND(AE503*1.6, 0)</f>
        <v>96</v>
      </c>
      <c r="AI503" s="25" t="n">
        <v>10</v>
      </c>
      <c r="AJ503" s="25" t="n">
        <v>10</v>
      </c>
      <c r="AK503" s="25" t="n">
        <v>2.5</v>
      </c>
      <c r="AL503" s="25" t="n">
        <v>3.35</v>
      </c>
      <c r="AM503" s="5" t="n">
        <v>0</v>
      </c>
      <c r="AN503" s="1" t="str">
        <f aca="false">CONCATENATE(VLOOKUP(AO503, '[1]Voxel Sizes'!$A$2:$B$18,2,FALSE()),"x",INT(AK503*15), "x", INT(AL503*15))</f>
        <v>102x37x50</v>
      </c>
      <c r="AO503" s="25" t="n">
        <f aca="false">ROUND(15*((AJ503*10)/256),0)</f>
        <v>6</v>
      </c>
      <c r="AQ503" s="1" t="str">
        <f aca="false">CONCATENATE(VLOOKUP(AO503,Constants!$A$2:$C$16,IF(AP503&lt;&gt;"", 3, 2), FALSE()),IF(AP503&lt;&gt;"",CONCATENATE(",",VLOOKUP(AP503,$B:$AQ,42,FALSE())),""))</f>
        <v>2,2,2</v>
      </c>
      <c r="AS503" s="6"/>
      <c r="AT503" s="6"/>
      <c r="BA503" s="25" t="n">
        <v>50</v>
      </c>
      <c r="BB503" s="16" t="n">
        <f aca="false">IF(O503&lt;&gt;"",MAX(16,(O503-M503)+8),"")</f>
        <v>58</v>
      </c>
      <c r="BC503" s="25" t="n">
        <v>12</v>
      </c>
      <c r="BD503" s="25" t="n">
        <v>6</v>
      </c>
      <c r="BE503" s="25" t="n">
        <f aca="false">MIN(AE503/150, 1)*30</f>
        <v>12</v>
      </c>
      <c r="BF503" s="25" t="n">
        <f aca="false">MIN(Q503/4000, 1)*20</f>
        <v>0</v>
      </c>
      <c r="BG503" s="25" t="n">
        <f aca="false">MIN(AC503/400,1)*20</f>
        <v>0</v>
      </c>
      <c r="BH503" s="4" t="n">
        <f aca="false">1-(MAX(M503-1900, 0)/750)</f>
        <v>0.949333333333333</v>
      </c>
      <c r="BI503" s="25" t="n">
        <f aca="false">((MAX($P503,1)*MIN($AM503/300,1)))*IF(J503="Wagon",50,10)</f>
        <v>0</v>
      </c>
      <c r="BJ503" s="1" t="n">
        <f aca="false">VLOOKUP($K503,Constants!$I:$K, 2, FALSE())</f>
        <v>1</v>
      </c>
      <c r="BK503" s="1" t="n">
        <f aca="false">VLOOKUP($K503,Constants!$I:$K, 3, FALSE())*IF(AND(J503="multiple_unit",AE503&lt;110),0.75,1)</f>
        <v>0.4</v>
      </c>
      <c r="BL503" s="25" t="n">
        <f aca="false">INT(POWER((([1]Constants!$G$2+$BE503+$BF503+$BG503+$BI503)*$BH503)*$BK503, 1.05))+$BD503</f>
        <v>13</v>
      </c>
      <c r="BM503" s="25" t="n">
        <f aca="false">INT(POWER(((([1]Constants!$G$1+$BE503+$BF503+$BG503+$BI503)*($BH503))*$BJ503),IF($J503="wagon",1,1.2)))+$BC503</f>
        <v>37</v>
      </c>
      <c r="BN503" s="17" t="n">
        <f aca="false">BL503*IF($J503="wagon",62.5,781.25)</f>
        <v>812.5</v>
      </c>
      <c r="BO503" s="17" t="n">
        <f aca="false">BM503*IF($J503="wagon",2.73,81.25)</f>
        <v>101.01</v>
      </c>
      <c r="BY503" s="25" t="n">
        <v>1</v>
      </c>
      <c r="CB503" s="25" t="s">
        <v>1907</v>
      </c>
      <c r="CC503" s="25" t="s">
        <v>1908</v>
      </c>
      <c r="CD503" s="25" t="str">
        <f aca="false">VLOOKUP(M503,[1]Eras!$A$2:$C$10, 2, TRUE())</f>
        <v>big4</v>
      </c>
      <c r="CE503" s="25" t="s">
        <v>1738</v>
      </c>
      <c r="CF503" s="25" t="str">
        <f aca="false">CONCATENATE(CD503,"_",CE503)</f>
        <v>big4_Extra</v>
      </c>
      <c r="CG503" s="25" t="str">
        <f aca="false">_xlfn.CONCAT(K503, "_",L503)</f>
        <v>brake_RAIL</v>
      </c>
      <c r="CH503" s="7" t="str">
        <f aca="false">_xlfn.CONCAT("{BLACK}Length: {GOLD}", TEXT(ROUNDUP(IF(AT503&lt;&gt;"",SUM(VALUE(_xlfn.TEXTSPLIT(AT503, ","))), SUM(VALUE(_xlfn.TEXTSPLIT(AQ503, ",")))*IF(P503, P503, 1))/16, 1), "#,##0.0"), " tiles{}")</f>
        <v>{BLACK}Length: {GOLD}0.4 tiles{}</v>
      </c>
      <c r="CI503" s="1" t="n">
        <f aca="false">VLOOKUP($CG503, Constants!$M:$N, 2, FALSE())</f>
        <v>0</v>
      </c>
      <c r="CJ503" s="1" t="str">
        <f aca="false">IF(P503&gt;1,_xlfn.CONCAT("{BLACK}Cars: {GOLD}", P503),"")</f>
        <v/>
      </c>
      <c r="CK503" s="25" t="s">
        <v>1927</v>
      </c>
      <c r="CM503" s="25" t="str">
        <f aca="false">IF(CC503="buffet","{YELLOW}25% long distance bonus for consist{}",IF(CD503="BRAKE","{YELLOW}Speed bonus for slow wagons{}",IF(BZ503&gt;190,CONCATENATE("{YELLOW}",INT((BZ503-185)/1.85),"% bonus for long distance travel{}"),IF(AND(BZ503&lt;180,BZ503&lt;&gt;0),CONCATENATE("{YELLOW}",INT((185-BZ503)/1.85),"% penalty for long distance travel{}"),""))))</f>
        <v/>
      </c>
      <c r="CN503" s="25" t="str">
        <f aca="false">_xlfn.CONCAT(CI503,IF(CI503 &lt;&gt; "", " ", ""),CJ503,IF(OR(CJ503&lt;&gt;"", CI503&lt;&gt;""), "{}",""), CH503, CM503,"{SILVER}", CK503)</f>
        <v>{BLACK}Length: {GOLD}0.4 tiles{}{SILVER}The native design of LMS Brake Van had a sizable veranda at both ends. Once again, they lasted well into BR ownership as part of Engineers’ trains.</v>
      </c>
    </row>
    <row r="504" customFormat="false" ht="14.25" hidden="false" customHeight="false" outlineLevel="0" collapsed="false">
      <c r="A504" s="1" t="s">
        <v>1928</v>
      </c>
      <c r="B504" s="15" t="s">
        <v>1929</v>
      </c>
      <c r="C504" s="1" t="n">
        <v>97</v>
      </c>
      <c r="E504" s="1" t="n">
        <v>1131</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198</v>
      </c>
      <c r="J504" s="1" t="s">
        <v>1476</v>
      </c>
      <c r="K504" s="1" t="s">
        <v>1906</v>
      </c>
      <c r="L504" s="1" t="s">
        <v>149</v>
      </c>
      <c r="M504" s="1" t="n">
        <v>1941</v>
      </c>
      <c r="O504" s="1" t="n">
        <v>1970</v>
      </c>
      <c r="Z504" s="1" t="n">
        <v>20</v>
      </c>
      <c r="AD504" s="4" t="str">
        <f aca="false">IF(AND(Z504&gt;0,AC504&gt;0),(AC504/((Z504+AA504)*10)),"")</f>
        <v/>
      </c>
      <c r="AE504" s="1" t="n">
        <v>70</v>
      </c>
      <c r="AF504" s="1" t="n">
        <f aca="false">ROUND(AE504*1.6, 0)</f>
        <v>112</v>
      </c>
      <c r="AI504" s="1" t="n">
        <v>7.3</v>
      </c>
      <c r="AJ504" s="1" t="n">
        <v>11</v>
      </c>
      <c r="AM504" s="5" t="n">
        <v>0</v>
      </c>
      <c r="AN504" s="1" t="str">
        <f aca="false">CONCATENATE(VLOOKUP(AO504, 'Voxel Sizes'!$A$2:$B$18,2,FALSE()),"x",INT(AK504*15), "x", INT(AL504*15))</f>
        <v>102x0x0</v>
      </c>
      <c r="AO504" s="1" t="n">
        <f aca="false">ROUND(15*((AJ504*10)/256),0)</f>
        <v>6</v>
      </c>
      <c r="AQ504" s="1" t="str">
        <f aca="false">CONCATENATE(VLOOKUP(AO504,Constants!$A$2:$C$16,IF(AP504&lt;&gt;"", 3, 2), FALSE()),IF(AP504&lt;&gt;"",CONCATENATE(",",VLOOKUP(AP504,$B:$AQ,39,FALSE())),""))</f>
        <v>2,2,2</v>
      </c>
      <c r="BA504" s="1" t="n">
        <v>30</v>
      </c>
      <c r="BB504" s="16" t="n">
        <f aca="false">IF(O504&lt;&gt;"",MAX(16,(O504-M504)+8),"")</f>
        <v>37</v>
      </c>
      <c r="BE504" s="1" t="n">
        <f aca="false">MIN(AE504/150, 1)*30</f>
        <v>14</v>
      </c>
      <c r="BF504" s="1" t="n">
        <f aca="false">MIN(Q504/4000, 1)*20</f>
        <v>0</v>
      </c>
      <c r="BG504" s="1" t="n">
        <f aca="false">MIN(AC504/400,1)*20</f>
        <v>0</v>
      </c>
      <c r="BH504" s="4" t="n">
        <f aca="false">1-(MAX(M504-1900, 0)/750)</f>
        <v>0.945333333333333</v>
      </c>
      <c r="BI504" s="1" t="n">
        <f aca="false">((MAX($P504,1)*MIN($AM504/300,1)))*IF(J504="Wagon",50,10)</f>
        <v>0</v>
      </c>
      <c r="BJ504" s="1" t="n">
        <f aca="false">VLOOKUP($K504,Constants!$I:$K, 2, FALSE())</f>
        <v>1</v>
      </c>
      <c r="BK504" s="1" t="n">
        <f aca="false">VLOOKUP($K504,Constants!$I:$K, 3, FALSE())*IF(AND(J504="multiple_unit",AE504&lt;110),0.75,1)</f>
        <v>0.4</v>
      </c>
      <c r="BL504" s="1" t="n">
        <f aca="false">INT(POWER(((Constants!$G$2+$BE504+$BF504+$BG504+$BI504)*$BH504)*$BK504, 1.05))+$BD504</f>
        <v>7</v>
      </c>
      <c r="BM504" s="1" t="n">
        <f aca="false">INT(POWER((((Constants!$G$1+$BE504+$BF504+$BG504+$BI504)*($BH504))*$BJ504),IF($J504="wagon",1,1.2)))+$BC504</f>
        <v>27</v>
      </c>
      <c r="BN504" s="17" t="n">
        <f aca="false">BL504*IF($J504="wagon",62.5,781.25)</f>
        <v>437.5</v>
      </c>
      <c r="BO504" s="17" t="n">
        <f aca="false">BM504*IF($J504="wagon",2.73,81.25)</f>
        <v>73.71</v>
      </c>
      <c r="BY504" s="1" t="n">
        <v>8</v>
      </c>
      <c r="CB504" s="1" t="s">
        <v>1907</v>
      </c>
      <c r="CC504" s="1" t="s">
        <v>1908</v>
      </c>
      <c r="CD504" s="1" t="str">
        <f aca="false">VLOOKUP(M504,Eras!$A$2:$C$10, 2, TRUE())</f>
        <v>big4</v>
      </c>
      <c r="CE504" s="1" t="s">
        <v>1738</v>
      </c>
      <c r="CF504" s="1" t="str">
        <f aca="false">CONCATENATE(CD504,"_",CE504)</f>
        <v>big4_Extra</v>
      </c>
      <c r="CG504" s="1" t="str">
        <f aca="false">_xlfn.CONCAT(K504, "_",L504)</f>
        <v>brake_RAIL</v>
      </c>
      <c r="CH504" s="7" t="str">
        <f aca="false">_xlfn.CONCAT("{BLACK}Length: {GOLD}", TEXT(ROUNDUP(IF(AT504&lt;&gt;"",SUM(VALUE(_xlfn.TEXTSPLIT(AT504, ","))), SUM(VALUE(_xlfn.TEXTSPLIT(AQ504, ",")))*IF(P504, P504, 1))/16, 1), "#,##0.0"), " tiles{}")</f>
        <v>{BLACK}Length: {GOLD}0.4 tiles{}</v>
      </c>
      <c r="CI504" s="1" t="n">
        <f aca="false">VLOOKUP($CG504, Constants!$M:$N, 2, FALSE())</f>
        <v>0</v>
      </c>
      <c r="CJ504" s="1" t="str">
        <f aca="false">IF(P504&gt;1,_xlfn.CONCAT("{BLACK}Cars: {GOLD}", P504),"")</f>
        <v/>
      </c>
      <c r="CK504" s="1" t="s">
        <v>1930</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{YELLOW}Speed bonus for slow wagons{}</v>
      </c>
      <c r="CN504" s="1" t="str">
        <f aca="false">_xlfn.CONCAT(CI504,IF(CI504&lt;&gt;""," ",""),CJ504,IF(OR(CJ504&lt;&gt;"",CI504&lt;&gt;""),"{}",""),CH504,CM504,"{SILVER}",CK504,IF(CL504&lt;&gt;"","{}{}",""),CL504)</f>
        <v>{BLACK}Length: {GOLD}0.4 tiles{}{YELLOW}Speed bonus for slow wagons{}{SILVER}BR inherited a large number of brake vans from the Big Four, but quickly set about introducing their own standard model based on 1940s LNER practice.</v>
      </c>
    </row>
    <row r="505" customFormat="false" ht="14.25" hidden="false" customHeight="false" outlineLevel="0" collapsed="false">
      <c r="A505" s="1" t="s">
        <v>1931</v>
      </c>
      <c r="B505" s="19" t="s">
        <v>1932</v>
      </c>
      <c r="C505" s="1" t="n">
        <v>1018</v>
      </c>
      <c r="E505" s="1" t="n">
        <v>1900</v>
      </c>
      <c r="G505" s="1" t="str">
        <f aca="false">IF($F505&lt;&gt;"",_xlfn.CONCAT(VLOOKUP($CE505, Constants!$T:$U, 2, FALSE()),",",$F505),VLOOKUP($CE505, Constants!$T:$U, 2, FALSE()))</f>
        <v>role/passenger</v>
      </c>
      <c r="H505" s="1" t="str">
        <f aca="false">IF($G505&lt;&gt;"",_xlfn.CONCAT(VLOOKUP($CG505, Constants!$M:$P, 4, FALSE()),",",$G505),VLOOKUP($CG505, Constants!$M:$P, 4, FALSE()))</f>
        <v>flag/GB,role/passenger</v>
      </c>
      <c r="I505" s="1" t="s">
        <v>198</v>
      </c>
      <c r="J505" s="1" t="s">
        <v>1476</v>
      </c>
      <c r="K505" s="1" t="s">
        <v>1477</v>
      </c>
      <c r="L505" s="1" t="s">
        <v>149</v>
      </c>
      <c r="M505" s="1" t="n">
        <v>1960</v>
      </c>
      <c r="Z505" s="1" t="n">
        <v>28</v>
      </c>
      <c r="AB505" s="1" t="n">
        <v>4</v>
      </c>
      <c r="AD505" s="4" t="str">
        <f aca="false">IF(AND(Z505&gt;0,AC505&gt;0),(AC505/((Z505+AA505)*10)),"")</f>
        <v/>
      </c>
      <c r="AE505" s="1" t="n">
        <v>25</v>
      </c>
      <c r="AF505" s="1" t="n">
        <f aca="false">ROUND(AE505*1.6, 0)</f>
        <v>40</v>
      </c>
      <c r="AI505" s="1" t="n">
        <v>16.2</v>
      </c>
      <c r="AJ505" s="1" t="n">
        <v>16.2</v>
      </c>
      <c r="AK505" s="1" t="n">
        <v>2.8</v>
      </c>
      <c r="AM505" s="5" t="n">
        <v>42</v>
      </c>
      <c r="AN505" s="16" t="s">
        <v>1933</v>
      </c>
      <c r="AO505" s="16" t="n">
        <f aca="false">ROUND(15*((AJ505*10)/256),0)</f>
        <v>9</v>
      </c>
      <c r="AQ505" s="1" t="str">
        <f aca="false">CONCATENATE(VLOOKUP(AO505,Constants!$A$2:$C$16,IF(AP505&lt;&gt;"", 3, 2), FALSE()),IF(AP505&lt;&gt;"",CONCATENATE(",",VLOOKUP(AP505,$B:$AQ,42,FALSE())),""))</f>
        <v>2,5,2</v>
      </c>
      <c r="BA505" s="1" t="n">
        <v>30</v>
      </c>
      <c r="BB505" s="16" t="str">
        <f aca="false">IF(O505&lt;&gt;"",MAX(16,(O505-M505)+8),"")</f>
        <v/>
      </c>
      <c r="BC505" s="1" t="n">
        <v>69</v>
      </c>
      <c r="BD505" s="1" t="n">
        <v>57</v>
      </c>
      <c r="BE505" s="20" t="n">
        <f aca="false">MIN(AE505/150, 1)*30</f>
        <v>5</v>
      </c>
      <c r="BF505" s="20" t="n">
        <f aca="false">MIN(Q505/4000, 1)*20</f>
        <v>0</v>
      </c>
      <c r="BG505" s="20" t="n">
        <f aca="false">MIN(AC505/400,1)*20</f>
        <v>0</v>
      </c>
      <c r="BH505" s="21" t="n">
        <f aca="false">1-(MAX(M505-1900, 0)/750)</f>
        <v>0.92</v>
      </c>
      <c r="BI505" s="20" t="n">
        <f aca="false">((MAX($P505,1)*MIN($AM505/300,1)))*IF(J505="Wagon",50,10)</f>
        <v>7</v>
      </c>
      <c r="BJ505" s="1" t="n">
        <f aca="false">VLOOKUP($K505,Constants!$I:$K, 2, FALSE())</f>
        <v>1.2</v>
      </c>
      <c r="BK505" s="1" t="n">
        <f aca="false">VLOOKUP($K505,Constants!$I:$K, 3, FALSE())*IF(AND(J505="multiple_unit",AE505&lt;110),0.75,1)</f>
        <v>0.6</v>
      </c>
      <c r="BL505" s="20" t="n">
        <v>67</v>
      </c>
      <c r="BM505" s="20" t="n">
        <v>98</v>
      </c>
      <c r="BN505" s="22" t="n">
        <f aca="false">BL505*IF($J505="wagon",62.5,781.25)</f>
        <v>4187.5</v>
      </c>
      <c r="BO505" s="22" t="n">
        <f aca="false">BM505*IF($J505="wagon",2.73,81.25)</f>
        <v>267.54</v>
      </c>
      <c r="BY505" s="1" t="n">
        <v>1</v>
      </c>
      <c r="BZ505" s="1" t="n">
        <v>74</v>
      </c>
      <c r="CB505" s="1" t="s">
        <v>1934</v>
      </c>
      <c r="CC505" s="1" t="s">
        <v>327</v>
      </c>
      <c r="CD505" s="23" t="s">
        <v>569</v>
      </c>
      <c r="CE505" s="25" t="s">
        <v>1478</v>
      </c>
      <c r="CF505" s="23" t="str">
        <f aca="false">CONCATENATE(CD505,"_",CE505)</f>
        <v>dsl_Carriage</v>
      </c>
      <c r="CG505" s="23" t="str">
        <f aca="false">_xlfn.CONCAT(K505, "_",L505)</f>
        <v>carriage_RAIL</v>
      </c>
      <c r="CH505" s="7" t="str">
        <f aca="false">_xlfn.CONCAT("{BLACK}Length: {GOLD}", TEXT(ROUNDUP(IF(AT505&lt;&gt;"",SUM(VALUE(_xlfn.TEXTSPLIT(AT505, ","))), SUM(VALUE(_xlfn.TEXTSPLIT(AQ505, ",")))*IF(P505, P505, 1))/16, 1), "#,##0.0"), " tiles{}")</f>
        <v>{BLACK}Length: {GOLD}0.6 tiles{}</v>
      </c>
      <c r="CI505" s="1" t="n">
        <f aca="false">VLOOKUP($CG505, Constants!$M:$N, 2, FALSE())</f>
        <v>0</v>
      </c>
      <c r="CJ505" s="1" t="str">
        <f aca="false">IF(P505&gt;1,_xlfn.CONCAT("{BLACK}Cars: {GOLD}", P505),"")</f>
        <v/>
      </c>
      <c r="CK505" s="1" t="s">
        <v>1935</v>
      </c>
      <c r="CL505" s="1" t="str">
        <f aca="false">IF($BX505="!param_no_gameplay_units","{GREEN}Included for gameplay purposes","")</f>
        <v/>
      </c>
      <c r="CM505" s="1" t="str">
        <f aca="false">IF(CA505="buffet","{YELLOW}25% long distance bonus for consist{}",IF(CB505="DANDY","{YELLOW}Faster downhill speeds for horse-drawn trains (1 required per 2 horses){}",IF(CB505="BRAKE","{YELLOW}Speed bonus for slow wagons{}",IF(CB505="NGPassengers","{YELLOW}Preserved railway bonus: passengers pay more when hauled by old locomotives{}",IF(AND(BZ505&gt;190,NOT(AND(L505="NARROW_GAUGE",CB505&lt;&gt;"PASS"))),CONCATENATE("{YELLOW}",INT((BZ505-185)/1.85),"% bonus for long distance travel{}"),IF(AND(BZ505&lt;180,BZ505&lt;&gt;0),CONCATENATE("{YELLOW}",INT((185-BZ505)/1.85),"% penalty for long distance travel{}"),""))))))</f>
        <v>{YELLOW}Preserved railway bonus: passengers pay more when hauled by old locomotives{}</v>
      </c>
      <c r="CN505" s="1" t="str">
        <f aca="false">_xlfn.CONCAT(CI505,IF(CI505&lt;&gt;""," ",""),CJ505,IF(OR(CJ505&lt;&gt;"",CI505&lt;&gt;""),"{}",""),CH505,CM505,"{SILVER}",CK505,IF(CL505&lt;&gt;"","{}{}",""),CL505)</f>
        <v>{BLACK}Length: {GOLD}0.6 tiles{}{YELLOW}Preserved railway bonus: passengers pay more when hauled by old locomotives{}{SILVER}The first standard gauge preservation railway in the UK was the Bluebell Railway, opened in 1960. Preservation lines are limited to 25mph.</v>
      </c>
    </row>
    <row r="506" customFormat="false" ht="14.25" hidden="false" customHeight="false" outlineLevel="0" collapsed="false">
      <c r="A506" s="1" t="s">
        <v>1936</v>
      </c>
      <c r="B506" s="19" t="s">
        <v>1937</v>
      </c>
      <c r="C506" s="1" t="n">
        <v>1019</v>
      </c>
      <c r="E506" s="1" t="n">
        <v>1901</v>
      </c>
      <c r="G506" s="1" t="str">
        <f aca="false">IF($F506&lt;&gt;"",_xlfn.CONCAT(VLOOKUP($CE506, Constants!$T:$U, 2, FALSE()),",",$F506),VLOOKUP($CE506, Constants!$T:$U, 2, FALSE()))</f>
        <v>role/passenger</v>
      </c>
      <c r="H506" s="1" t="str">
        <f aca="false">IF($G506&lt;&gt;"",_xlfn.CONCAT(VLOOKUP($CG506, Constants!$M:$P, 4, FALSE()),",",$G506),VLOOKUP($CG506, Constants!$M:$P, 4, FALSE()))</f>
        <v>flag/GB,role/passenger</v>
      </c>
      <c r="I506" s="1" t="s">
        <v>198</v>
      </c>
      <c r="J506" s="1" t="s">
        <v>1476</v>
      </c>
      <c r="K506" s="1" t="s">
        <v>1477</v>
      </c>
      <c r="L506" s="1" t="s">
        <v>149</v>
      </c>
      <c r="M506" s="1" t="n">
        <v>1979</v>
      </c>
      <c r="Z506" s="1" t="n">
        <v>32.5</v>
      </c>
      <c r="AB506" s="1" t="n">
        <v>5</v>
      </c>
      <c r="AD506" s="4" t="str">
        <f aca="false">IF(AND(Z506&gt;0,AC506&gt;0),(AC506/((Z506+AA506)*10)),"")</f>
        <v/>
      </c>
      <c r="AE506" s="1" t="n">
        <v>25</v>
      </c>
      <c r="AF506" s="1" t="n">
        <f aca="false">ROUND(AE506*1.6, 0)</f>
        <v>40</v>
      </c>
      <c r="AI506" s="1" t="n">
        <v>19.3</v>
      </c>
      <c r="AJ506" s="1" t="n">
        <v>20</v>
      </c>
      <c r="AM506" s="5" t="n">
        <v>54</v>
      </c>
      <c r="AN506" s="16" t="s">
        <v>741</v>
      </c>
      <c r="AO506" s="16" t="n">
        <f aca="false">ROUND(15*((AJ506*10)/256),0)</f>
        <v>12</v>
      </c>
      <c r="AQ506" s="1" t="str">
        <f aca="false">CONCATENATE(VLOOKUP(AO506,Constants!$A$2:$C$16,IF(AP506&lt;&gt;"", 3, 2), FALSE()),IF(AP506&lt;&gt;"",CONCATENATE(",",VLOOKUP(AP506,$B:$AQ,42,FALSE())),""))</f>
        <v>4,4,4</v>
      </c>
      <c r="BA506" s="1" t="n">
        <v>30</v>
      </c>
      <c r="BB506" s="16" t="str">
        <f aca="false">IF(O506&lt;&gt;"",MAX(16,(O506-M506)+8),"")</f>
        <v/>
      </c>
      <c r="BC506" s="1" t="n">
        <v>76</v>
      </c>
      <c r="BD506" s="1" t="n">
        <f aca="false">23*3</f>
        <v>69</v>
      </c>
      <c r="BE506" s="20" t="n">
        <f aca="false">MIN(AE506/150, 1)*30</f>
        <v>5</v>
      </c>
      <c r="BF506" s="20" t="n">
        <f aca="false">MIN(Q506/4000, 1)*20</f>
        <v>0</v>
      </c>
      <c r="BG506" s="20" t="n">
        <f aca="false">MIN(AC506/400,1)*20</f>
        <v>0</v>
      </c>
      <c r="BH506" s="21" t="n">
        <f aca="false">1-(MAX(M506-1900, 0)/750)</f>
        <v>0.894666666666667</v>
      </c>
      <c r="BI506" s="20" t="n">
        <f aca="false">((MAX($P506,1)*MIN($AM506/300,1)))*IF(J506="Wagon",50,10)</f>
        <v>9</v>
      </c>
      <c r="BJ506" s="1" t="n">
        <f aca="false">VLOOKUP($K506,Constants!$I:$K, 2, FALSE())</f>
        <v>1.2</v>
      </c>
      <c r="BK506" s="1" t="n">
        <f aca="false">VLOOKUP($K506,Constants!$I:$K, 3, FALSE())*IF(AND(J506="multiple_unit",AE506&lt;110),0.75,1)</f>
        <v>0.6</v>
      </c>
      <c r="BL506" s="20" t="n">
        <v>80</v>
      </c>
      <c r="BM506" s="20" t="n">
        <v>107</v>
      </c>
      <c r="BN506" s="22" t="n">
        <f aca="false">BL506*IF($J506="wagon",62.5,781.25)</f>
        <v>5000</v>
      </c>
      <c r="BO506" s="22" t="n">
        <f aca="false">BM506*IF($J506="wagon",2.73,81.25)</f>
        <v>292.11</v>
      </c>
      <c r="BY506" s="1" t="n">
        <v>1</v>
      </c>
      <c r="BZ506" s="1" t="n">
        <v>74</v>
      </c>
      <c r="CB506" s="1" t="s">
        <v>1934</v>
      </c>
      <c r="CC506" s="1" t="s">
        <v>327</v>
      </c>
      <c r="CD506" s="23" t="s">
        <v>605</v>
      </c>
      <c r="CE506" s="25" t="s">
        <v>1478</v>
      </c>
      <c r="CF506" s="23" t="str">
        <f aca="false">CONCATENATE(CD506,"_",CE506)</f>
        <v>lbr_Carriage</v>
      </c>
      <c r="CG506" s="23" t="str">
        <f aca="false">_xlfn.CONCAT(K506, "_",L506)</f>
        <v>carriage_RAIL</v>
      </c>
      <c r="CH506" s="7" t="str">
        <f aca="false">_xlfn.CONCAT("{BLACK}Length: {GOLD}", TEXT(ROUNDUP(IF(AT506&lt;&gt;"",SUM(VALUE(_xlfn.TEXTSPLIT(AT506, ","))), SUM(VALUE(_xlfn.TEXTSPLIT(AQ506, ",")))*IF(P506, P506, 1))/16, 1), "#,##0.0"), " tiles{}")</f>
        <v>{BLACK}Length: {GOLD}0.8 tiles{}</v>
      </c>
      <c r="CI506" s="1" t="n">
        <f aca="false">VLOOKUP($CG506, Constants!$M:$N, 2, FALSE())</f>
        <v>0</v>
      </c>
      <c r="CJ506" s="1" t="str">
        <f aca="false">IF(P506&gt;1,_xlfn.CONCAT("{BLACK}Cars: {GOLD}", P506),"")</f>
        <v/>
      </c>
      <c r="CK506" s="1" t="s">
        <v>1938</v>
      </c>
      <c r="CL506" s="1" t="str">
        <f aca="false">IF($BX506="!param_no_gameplay_units","{GREEN}Included for gameplay purposes","")</f>
        <v/>
      </c>
      <c r="CM506" s="1" t="str">
        <f aca="false">IF(CA506="buffet","{YELLOW}25% long distance bonus for consist{}",IF(CB506="DANDY","{YELLOW}Faster downhill speeds for horse-drawn trains (1 required per 2 horses){}",IF(CB506="BRAKE","{YELLOW}Speed bonus for slow wagons{}",IF(CB506="NGPassengers","{YELLOW}Preserved railway bonus: passengers pay more when hauled by old locomotives{}",IF(AND(BZ506&gt;190,NOT(AND(L506="NARROW_GAUGE",CB506&lt;&gt;"PASS"))),CONCATENATE("{YELLOW}",INT((BZ506-185)/1.85),"% bonus for long distance travel{}"),IF(AND(BZ506&lt;180,BZ506&lt;&gt;0),CONCATENATE("{YELLOW}",INT((185-BZ506)/1.85),"% penalty for long distance travel{}"),""))))))</f>
        <v>{YELLOW}Preserved railway bonus: passengers pay more when hauled by old locomotives{}</v>
      </c>
      <c r="CN506" s="1" t="str">
        <f aca="false">_xlfn.CONCAT(CI506,IF(CI506&lt;&gt;""," ",""),CJ506,IF(OR(CJ506&lt;&gt;"",CI506&lt;&gt;""),"{}",""),CH506,CM506,"{SILVER}",CK506,IF(CL506&lt;&gt;"","{}{}",""),CL506)</f>
        <v>{BLACK}Length: {GOLD}0.8 tiles{}{YELLOW}Preserved railway bonus: passengers pay more when hauled by old locomotives{}{SILVER}The ubiquity of the BR Mk1 carriage has made it a mainstay of preserved railways across the UK.</v>
      </c>
    </row>
    <row r="507" customFormat="false" ht="14.25" hidden="false" customHeight="false" outlineLevel="0" collapsed="false">
      <c r="A507" s="24" t="s">
        <v>1939</v>
      </c>
      <c r="B507" s="19" t="s">
        <v>1940</v>
      </c>
      <c r="C507" s="1" t="n">
        <v>1055</v>
      </c>
      <c r="E507" s="1" t="n">
        <v>-1</v>
      </c>
      <c r="G507" s="1" t="str">
        <f aca="false">IF($F507&lt;&gt;"",_xlfn.CONCAT(VLOOKUP($CE507, Constants!$T:$U, 2, FALSE()),",",$F507),VLOOKUP($CE507, Constants!$T:$U, 2, FALSE()))</f>
        <v>role/passenger</v>
      </c>
      <c r="H507" s="1" t="str">
        <f aca="false">IF($G507&lt;&gt;"",_xlfn.CONCAT(VLOOKUP($CG507, Constants!$M:$P, 4, FALSE()),",",$G507),VLOOKUP($CG507, Constants!$M:$P, 4, FALSE()))</f>
        <v>flag/GB,role/passenger</v>
      </c>
      <c r="J507" s="1" t="s">
        <v>309</v>
      </c>
      <c r="K507" s="1" t="s">
        <v>1395</v>
      </c>
      <c r="L507" s="1" t="s">
        <v>149</v>
      </c>
      <c r="AD507" s="4" t="str">
        <f aca="false">IF(AND(Z507&gt;0,AC507&gt;0),(AC507/((Z507+AA507)*10)),"")</f>
        <v/>
      </c>
      <c r="AF507" s="1" t="n">
        <f aca="false">ROUND(AE507*1.6, 0)</f>
        <v>0</v>
      </c>
      <c r="AN507" s="16" t="s">
        <v>331</v>
      </c>
      <c r="AO507" s="16" t="n">
        <f aca="false">ROUND(15*((AJ507*10)/256),0)</f>
        <v>0</v>
      </c>
      <c r="AQ507" s="1" t="str">
        <f aca="false">CONCATENATE(VLOOKUP(AO507,Constants!$A$2:$C$16,IF(AP507&lt;&gt;"", 3, 2), FALSE()),IF(AP507&lt;&gt;"",CONCATENATE(",",VLOOKUP(AP507,$B:$AQ,42,FALSE())),""))</f>
        <v>na</v>
      </c>
      <c r="BA507" s="1" t="n">
        <v>30</v>
      </c>
      <c r="BB507" s="16" t="str">
        <f aca="false">IF(O507&lt;&gt;"",MAX(16,(O507-M507)+8),"")</f>
        <v/>
      </c>
      <c r="BE507" s="20" t="n">
        <f aca="false">MIN(AE507/150, 1)*30</f>
        <v>0</v>
      </c>
      <c r="BF507" s="20" t="n">
        <f aca="false">MIN(Q507/4000, 1)*20</f>
        <v>0</v>
      </c>
      <c r="BG507" s="20" t="n">
        <f aca="false">MIN(AC507/400,1)*20</f>
        <v>0</v>
      </c>
      <c r="BH507" s="4" t="n">
        <f aca="false">1-(MAX(M507-1900, 0)/750)</f>
        <v>1</v>
      </c>
      <c r="BI507" s="20" t="n">
        <f aca="false">((MAX($P507,1)*MIN($AM507/300,1)))*IF(J507="Wagon",50,10)</f>
        <v>0</v>
      </c>
      <c r="BJ507" s="1" t="n">
        <f aca="false">VLOOKUP($K507,Constants!$I:$K, 2, FALSE())</f>
        <v>0.9</v>
      </c>
      <c r="BK507" s="1" t="n">
        <f aca="false">VLOOKUP($K507,Constants!$I:$K, 3, FALSE())*IF(AND(J507="multiple_unit",AE507&lt;110),0.75,1)</f>
        <v>1.6</v>
      </c>
      <c r="BL507" s="20" t="n">
        <v>8</v>
      </c>
      <c r="BM507" s="20" t="n">
        <v>22</v>
      </c>
      <c r="BN507" s="17" t="n">
        <f aca="false">BL507*IF($J507="wagon",62.5,781.25)</f>
        <v>6250</v>
      </c>
      <c r="BO507" s="17" t="n">
        <f aca="false">BM507*IF($J507="wagon",2.73,81.25)</f>
        <v>1787.5</v>
      </c>
      <c r="BY507" s="1" t="n">
        <v>4</v>
      </c>
      <c r="CD507" s="23" t="s">
        <v>569</v>
      </c>
      <c r="CE507" s="1" t="s">
        <v>123</v>
      </c>
      <c r="CF507" s="23" t="str">
        <f aca="false">CONCATENATE(CD507,"_",CE507)</f>
        <v>dsl_Passenger</v>
      </c>
      <c r="CG507" s="23" t="str">
        <f aca="false">_xlfn.CONCAT(K507, "_",L507)</f>
        <v>tube_RAIL</v>
      </c>
      <c r="CH507" s="7" t="e">
        <f aca="false">_xlfn.CONCAT("{BLACK}Length: {GOLD}", TEXT(ROUNDUP(IF(AT507&lt;&gt;"",SUM(VALUE(_xlfn.TEXTSPLIT(AT507, ","))), SUM(VALUE(_xlfn.TEXTSPLIT(AQ507, ",")))*IF(P507, P507, 1))/16, 1), "#,##0.0"), " tiles{}")</f>
        <v>#VALUE!</v>
      </c>
      <c r="CI507" s="1" t="n">
        <f aca="false">VLOOKUP($CG507, Constants!$M:$N, 2, FALSE())</f>
        <v>0</v>
      </c>
      <c r="CJ507" s="1" t="str">
        <f aca="false">IF(P507&gt;1,_xlfn.CONCAT("{BLACK}Cars: {GOLD}", P507),"")</f>
        <v/>
      </c>
      <c r="CL507" s="1" t="str">
        <f aca="false">IF($BX507="!param_no_gameplay_units","{GREEN}Included for gameplay purposes","")</f>
        <v/>
      </c>
      <c r="CM507" s="1" t="str">
        <f aca="false">IF(CA507="buffet","{YELLOW}25% long distance bonus for consist{}",IF(CB507="DANDY","{YELLOW}Faster downhill speeds for horse-drawn trains (1 required per 2 horses){}",IF(CB507="BRAKE","{YELLOW}Speed bonus for slow wagons{}",IF(CB507="NGPassengers","{YELLOW}Preserved railway bonus: passengers pay more when hauled by old locomotives{}",IF(AND(BZ507&gt;190,NOT(AND(L507="NARROW_GAUGE",CB507&lt;&gt;"PASS"))),CONCATENATE("{YELLOW}",INT((BZ507-185)/1.85),"% bonus for long distance travel{}"),IF(AND(BZ507&lt;180,BZ507&lt;&gt;0),CONCATENATE("{YELLOW}",INT((185-BZ507)/1.85),"% penalty for long distance travel{}"),""))))))</f>
        <v/>
      </c>
      <c r="CN507" s="1" t="e">
        <f aca="false">_xlfn.CONCAT(CI507,IF(CI507&lt;&gt;""," ",""),CJ507,IF(OR(CJ507&lt;&gt;"",CI507&lt;&gt;""),"{}",""),CH507,CM507,"{SILVER}",CK507,IF(CL507&lt;&gt;"","{}{}",""),CL507)</f>
        <v>#VALUE!</v>
      </c>
    </row>
    <row r="508" customFormat="false" ht="14.25" hidden="false" customHeight="false" outlineLevel="0" collapsed="false">
      <c r="A508" s="24" t="s">
        <v>1941</v>
      </c>
      <c r="B508" s="19" t="s">
        <v>1942</v>
      </c>
      <c r="C508" s="1" t="n">
        <v>1056</v>
      </c>
      <c r="E508" s="1" t="n">
        <v>-1</v>
      </c>
      <c r="G508" s="1" t="str">
        <f aca="false">IF($F508&lt;&gt;"",_xlfn.CONCAT(VLOOKUP($CE508, Constants!$T:$U, 2, FALSE()),",",$F508),VLOOKUP($CE508, Constants!$T:$U, 2, FALSE()))</f>
        <v>role/passenger</v>
      </c>
      <c r="H508" s="1" t="str">
        <f aca="false">IF($G508&lt;&gt;"",_xlfn.CONCAT(VLOOKUP($CG508, Constants!$M:$P, 4, FALSE()),",",$G508),VLOOKUP($CG508, Constants!$M:$P, 4, FALSE()))</f>
        <v>flag/GB,role/passenger</v>
      </c>
      <c r="J508" s="1" t="s">
        <v>309</v>
      </c>
      <c r="K508" s="1" t="s">
        <v>1395</v>
      </c>
      <c r="L508" s="1" t="s">
        <v>149</v>
      </c>
      <c r="AD508" s="4" t="str">
        <f aca="false">IF(AND(Z508&gt;0,AC508&gt;0),(AC508/((Z508+AA508)*10)),"")</f>
        <v/>
      </c>
      <c r="AF508" s="1" t="n">
        <f aca="false">ROUND(AE508*1.6, 0)</f>
        <v>0</v>
      </c>
      <c r="AN508" s="16" t="s">
        <v>331</v>
      </c>
      <c r="AO508" s="16" t="n">
        <f aca="false">ROUND(15*((AJ508*10)/256),0)</f>
        <v>0</v>
      </c>
      <c r="AQ508" s="1" t="str">
        <f aca="false">CONCATENATE(VLOOKUP(AO508,Constants!$A$2:$C$16,IF(AP508&lt;&gt;"", 3, 2), FALSE()),IF(AP508&lt;&gt;"",CONCATENATE(",",VLOOKUP(AP508,$B:$AQ,42,FALSE())),""))</f>
        <v>na</v>
      </c>
      <c r="BA508" s="1" t="n">
        <v>30</v>
      </c>
      <c r="BB508" s="16" t="str">
        <f aca="false">IF(O508&lt;&gt;"",MAX(16,(O508-M508)+8),"")</f>
        <v/>
      </c>
      <c r="BE508" s="20" t="n">
        <f aca="false">MIN(AE508/150, 1)*30</f>
        <v>0</v>
      </c>
      <c r="BF508" s="20" t="n">
        <f aca="false">MIN(Q508/4000, 1)*20</f>
        <v>0</v>
      </c>
      <c r="BG508" s="20" t="n">
        <f aca="false">MIN(AC508/400,1)*20</f>
        <v>0</v>
      </c>
      <c r="BH508" s="4" t="n">
        <f aca="false">1-(MAX(M508-1900, 0)/750)</f>
        <v>1</v>
      </c>
      <c r="BI508" s="20" t="n">
        <f aca="false">((MAX($P508,1)*MIN($AM508/300,1)))*IF(J508="Wagon",50,10)</f>
        <v>0</v>
      </c>
      <c r="BJ508" s="1" t="n">
        <f aca="false">VLOOKUP($K508,Constants!$I:$K, 2, FALSE())</f>
        <v>0.9</v>
      </c>
      <c r="BK508" s="1" t="n">
        <f aca="false">VLOOKUP($K508,Constants!$I:$K, 3, FALSE())*IF(AND(J508="multiple_unit",AE508&lt;110),0.75,1)</f>
        <v>1.6</v>
      </c>
      <c r="BL508" s="20" t="n">
        <v>8</v>
      </c>
      <c r="BM508" s="20" t="n">
        <v>22</v>
      </c>
      <c r="BN508" s="17" t="n">
        <f aca="false">BL508*IF($J508="wagon",62.5,781.25)</f>
        <v>6250</v>
      </c>
      <c r="BO508" s="17" t="n">
        <f aca="false">BM508*IF($J508="wagon",2.73,81.25)</f>
        <v>1787.5</v>
      </c>
      <c r="BY508" s="1" t="n">
        <v>6</v>
      </c>
      <c r="BZ508" s="1" t="n">
        <v>120</v>
      </c>
      <c r="CD508" s="23" t="s">
        <v>265</v>
      </c>
      <c r="CE508" s="1" t="s">
        <v>1397</v>
      </c>
      <c r="CF508" s="23" t="str">
        <f aca="false">CONCATENATE(CD508,"_",CE508)</f>
        <v>vct_LU</v>
      </c>
      <c r="CG508" s="23" t="str">
        <f aca="false">_xlfn.CONCAT(K508, "_",L508)</f>
        <v>tube_RAIL</v>
      </c>
      <c r="CH508" s="7" t="e">
        <f aca="false">_xlfn.CONCAT("{BLACK}Length: {GOLD}", TEXT(ROUNDUP(IF(AT508&lt;&gt;"",SUM(VALUE(_xlfn.TEXTSPLIT(AT508, ","))), SUM(VALUE(_xlfn.TEXTSPLIT(AQ508, ",")))*IF(P508, P508, 1))/16, 1), "#,##0.0"), " tiles{}")</f>
        <v>#VALUE!</v>
      </c>
      <c r="CI508" s="1" t="n">
        <f aca="false">VLOOKUP($CG508, Constants!$M:$N, 2, FALSE())</f>
        <v>0</v>
      </c>
      <c r="CJ508" s="1" t="str">
        <f aca="false">IF(P508&gt;1,_xlfn.CONCAT("{BLACK}Cars: {GOLD}", P508),"")</f>
        <v/>
      </c>
      <c r="CL508" s="1" t="str">
        <f aca="false">IF($BX508="!param_no_gameplay_units","{GREEN}Included for gameplay purposes","")</f>
        <v/>
      </c>
      <c r="CM508" s="1" t="str">
        <f aca="false">IF(CA508="buffet","{YELLOW}25% long distance bonus for consist{}",IF(CB508="DANDY","{YELLOW}Faster downhill speeds for horse-drawn trains (1 required per 2 horses){}",IF(CB508="BRAKE","{YELLOW}Speed bonus for slow wagons{}",IF(CB508="NGPassengers","{YELLOW}Preserved railway bonus: passengers pay more when hauled by old locomotives{}",IF(AND(BZ508&gt;190,NOT(AND(L508="NARROW_GAUGE",CB508&lt;&gt;"PASS"))),CONCATENATE("{YELLOW}",INT((BZ508-185)/1.85),"% bonus for long distance travel{}"),IF(AND(BZ508&lt;180,BZ508&lt;&gt;0),CONCATENATE("{YELLOW}",INT((185-BZ508)/1.85),"% penalty for long distance travel{}"),""))))))</f>
        <v>{YELLOW}35% penalty for long distance travel{}</v>
      </c>
      <c r="CN508" s="1" t="e">
        <f aca="false">_xlfn.CONCAT(CI508,IF(CI508&lt;&gt;""," ",""),CJ508,IF(OR(CJ508&lt;&gt;"",CI508&lt;&gt;""),"{}",""),CH508,CM508,"{SILVER}",CK508,IF(CL508&lt;&gt;"","{}{}",""),CL508)</f>
        <v>#VALUE!</v>
      </c>
    </row>
    <row r="509" customFormat="false" ht="14.25" hidden="false" customHeight="false" outlineLevel="0" collapsed="false">
      <c r="A509" s="24" t="s">
        <v>1943</v>
      </c>
      <c r="B509" s="19" t="s">
        <v>1944</v>
      </c>
      <c r="C509" s="1" t="n">
        <v>1057</v>
      </c>
      <c r="E509" s="1" t="n">
        <v>-1</v>
      </c>
      <c r="G509" s="1" t="str">
        <f aca="false">IF($F509&lt;&gt;"",_xlfn.CONCAT(VLOOKUP($CE509, Constants!$T:$U, 2, FALSE()),",",$F509),VLOOKUP($CE509, Constants!$T:$U, 2, FALSE()))</f>
        <v>role/passenger</v>
      </c>
      <c r="H509" s="1" t="e">
        <f aca="false">IF($G509&lt;&gt;"",_xlfn.CONCAT(VLOOKUP($CG509, Constants!$M:$P, 4, FALSE()),",",$G509),VLOOKUP($CG509, Constants!$M:$P, 4, FALSE()))</f>
        <v>#N/A</v>
      </c>
      <c r="J509" s="1" t="s">
        <v>309</v>
      </c>
      <c r="K509" s="1" t="s">
        <v>309</v>
      </c>
      <c r="L509" s="1" t="s">
        <v>498</v>
      </c>
      <c r="M509" s="1" t="n">
        <v>1893</v>
      </c>
      <c r="N509" s="1" t="n">
        <v>1896</v>
      </c>
      <c r="O509" s="1" t="n">
        <v>1956</v>
      </c>
      <c r="P509" s="1" t="n">
        <v>2</v>
      </c>
      <c r="Q509" s="1" t="n">
        <v>120</v>
      </c>
      <c r="Z509" s="1" t="n">
        <v>10</v>
      </c>
      <c r="AB509" s="1" t="n">
        <v>7</v>
      </c>
      <c r="AC509" s="1" t="n">
        <v>30</v>
      </c>
      <c r="AD509" s="4" t="n">
        <f aca="false">IF(AND(Z509&gt;0,AC509&gt;0),(AC509/((Z509+AA509)*10)),"")</f>
        <v>0.3</v>
      </c>
      <c r="AE509" s="1" t="n">
        <v>35</v>
      </c>
      <c r="AF509" s="1" t="n">
        <f aca="false">ROUND(AE509*1.6, 0)</f>
        <v>56</v>
      </c>
      <c r="AI509" s="1" t="n">
        <v>14</v>
      </c>
      <c r="AJ509" s="1" t="n">
        <v>14</v>
      </c>
      <c r="AK509" s="1" t="n">
        <v>2.59</v>
      </c>
      <c r="AM509" s="5" t="n">
        <f aca="false">41+16</f>
        <v>57</v>
      </c>
      <c r="AN509" s="16" t="s">
        <v>1945</v>
      </c>
      <c r="AO509" s="16" t="n">
        <f aca="false">ROUND(15*((AJ509*10)/256),0)</f>
        <v>8</v>
      </c>
      <c r="AQ509" s="1" t="str">
        <f aca="false">CONCATENATE(VLOOKUP(AO509,Constants!$A$2:$C$16,IF(AP509&lt;&gt;"", 3, 2), FALSE()),IF(AP509&lt;&gt;"",CONCATENATE(",",VLOOKUP(AP509,$B:$AQ,42,FALSE())),""))</f>
        <v>2,4,2</v>
      </c>
      <c r="AU509" s="1" t="s">
        <v>1946</v>
      </c>
      <c r="AW509" s="1" t="s">
        <v>770</v>
      </c>
      <c r="BA509" s="1" t="n">
        <v>25</v>
      </c>
      <c r="BB509" s="16" t="n">
        <f aca="false">IF(O509&lt;&gt;"",MAX(16,(O509-M509)+8),"")</f>
        <v>71</v>
      </c>
      <c r="BE509" s="20" t="n">
        <f aca="false">MIN(AE509/150, 1)*30</f>
        <v>7</v>
      </c>
      <c r="BF509" s="20" t="n">
        <f aca="false">MIN(Q509/4000, 1)*20</f>
        <v>0.6</v>
      </c>
      <c r="BG509" s="20" t="n">
        <f aca="false">MIN(AC509/400,1)*20</f>
        <v>1.5</v>
      </c>
      <c r="BH509" s="4" t="n">
        <f aca="false">1-(MAX(M509-1900, 0)/750)</f>
        <v>1</v>
      </c>
      <c r="BI509" s="20" t="n">
        <f aca="false">((MAX($P509,1)*MIN($AM509/300,1)))*IF(J509="Wagon",50,10)</f>
        <v>3.8</v>
      </c>
      <c r="BJ509" s="1" t="e">
        <f aca="false">VLOOKUP($K509,Constants!$I:$K, 2, FALSE())</f>
        <v>#N/A</v>
      </c>
      <c r="BK509" s="1" t="e">
        <f aca="false">VLOOKUP($K509,Constants!$I:$K, 3, FALSE())*IF(AND(J509="multiple_unit",AE509&lt;110),0.75,1)</f>
        <v>#N/A</v>
      </c>
      <c r="BL509" s="20" t="e">
        <f aca="false">#N/A</f>
        <v>#N/A</v>
      </c>
      <c r="BM509" s="20" t="e">
        <f aca="false">#N/A</f>
        <v>#N/A</v>
      </c>
      <c r="BN509" s="17" t="e">
        <f aca="false">BL509*IF($J509="wagon",62.5,781.25)</f>
        <v>#N/A</v>
      </c>
      <c r="BO509" s="17" t="e">
        <f aca="false">BM509*IF($J509="wagon",2.73,81.25)</f>
        <v>#N/A</v>
      </c>
      <c r="BY509" s="1" t="n">
        <v>2</v>
      </c>
      <c r="CC509" s="1" t="s">
        <v>327</v>
      </c>
      <c r="CD509" s="23" t="s">
        <v>265</v>
      </c>
      <c r="CE509" s="1" t="s">
        <v>785</v>
      </c>
      <c r="CF509" s="23" t="str">
        <f aca="false">CONCATENATE(CD509,"_",CE509)</f>
        <v>vct_EMU</v>
      </c>
      <c r="CG509" s="23" t="str">
        <f aca="false">_xlfn.CONCAT(K509, "_",L509)</f>
        <v>na_THIRD_RAIL</v>
      </c>
      <c r="CH509" s="7" t="str">
        <f aca="false">_xlfn.CONCAT("{BLACK}Length: {GOLD}", TEXT(ROUNDUP(IF(AT509&lt;&gt;"",SUM(VALUE(_xlfn.TEXTSPLIT(AT509, ","))), SUM(VALUE(_xlfn.TEXTSPLIT(AQ509, ",")))*IF(P509, P509, 1))/16, 1), "#,##0.0"), " tiles{}")</f>
        <v>{BLACK}Length: {GOLD}1.0 tiles{}</v>
      </c>
      <c r="CI509" s="1" t="e">
        <f aca="false">VLOOKUP($CG509, Constants!$M:$N, 2, FALSE())</f>
        <v>#N/A</v>
      </c>
      <c r="CJ509" s="1" t="str">
        <f aca="false">IF(P509&gt;1,_xlfn.CONCAT("{BLACK}Cars: {GOLD}", P509),"")</f>
        <v>{BLACK}Cars: {GOLD}2</v>
      </c>
      <c r="CK509" s="1" t="s">
        <v>1947</v>
      </c>
      <c r="CL509" s="1" t="str">
        <f aca="false">IF($BX509="!param_no_gameplay_units","{GREEN}Included for gameplay purposes","")</f>
        <v/>
      </c>
      <c r="CM509" s="1" t="str">
        <f aca="false">IF(CA509="buffet","{YELLOW}25% long distance bonus for consist{}",IF(CB509="DANDY","{YELLOW}Faster downhill speeds for horse-drawn trains (1 required per 2 horses){}",IF(CB509="BRAKE","{YELLOW}Speed bonus for slow wagons{}",IF(CB509="NGPassengers","{YELLOW}Preserved railway bonus: passengers pay more when hauled by old locomotives{}",IF(AND(BZ509&gt;190,NOT(AND(L509="NARROW_GAUGE",CB509&lt;&gt;"PASS"))),CONCATENATE("{YELLOW}",INT((BZ509-185)/1.85),"% bonus for long distance travel{}"),IF(AND(BZ509&lt;180,BZ509&lt;&gt;0),CONCATENATE("{YELLOW}",INT((185-BZ509)/1.85),"% penalty for long distance travel{}"),""))))))</f>
        <v/>
      </c>
      <c r="CN509" s="1" t="e">
        <f aca="false">_xlfn.CONCAT(CI509,IF(CI509&lt;&gt;""," ",""),CJ509,IF(OR(CJ509&lt;&gt;"",CI509&lt;&gt;""),"{}",""),CH509,CM509,"{SILVER}",CK509,IF(CL509&lt;&gt;"","{}{}",""),CL509)</f>
        <v>#N/A</v>
      </c>
    </row>
    <row r="510" customFormat="false" ht="14.25" hidden="false" customHeight="false" outlineLevel="0" collapsed="false">
      <c r="A510" s="24" t="s">
        <v>1948</v>
      </c>
      <c r="B510" s="19" t="s">
        <v>1949</v>
      </c>
      <c r="C510" s="1" t="n">
        <v>1058</v>
      </c>
      <c r="E510" s="1" t="n">
        <v>-1</v>
      </c>
      <c r="G510" s="1" t="str">
        <f aca="false">IF($F510&lt;&gt;"",_xlfn.CONCAT(VLOOKUP($CE510, Constants!$T:$U, 2, FALSE()),",",$F510),VLOOKUP($CE510, Constants!$T:$U, 2, FALSE()))</f>
        <v>role/passenger</v>
      </c>
      <c r="H510" s="1" t="str">
        <f aca="false">IF($G510&lt;&gt;"",_xlfn.CONCAT(VLOOKUP($CG510, Constants!$M:$P, 4, FALSE()),",",$G510),VLOOKUP($CG510, Constants!$M:$P, 4, FALSE()))</f>
        <v>flag/GB,role/passenger</v>
      </c>
      <c r="J510" s="1" t="s">
        <v>309</v>
      </c>
      <c r="K510" s="1" t="s">
        <v>1395</v>
      </c>
      <c r="L510" s="1" t="s">
        <v>149</v>
      </c>
      <c r="M510" s="1" t="n">
        <v>1983</v>
      </c>
      <c r="AD510" s="4" t="str">
        <f aca="false">IF(AND(Z510&gt;0,AC510&gt;0),(AC510/((Z510+AA510)*10)),"")</f>
        <v/>
      </c>
      <c r="AF510" s="1" t="n">
        <f aca="false">ROUND(AE510*1.6, 0)</f>
        <v>0</v>
      </c>
      <c r="AN510" s="16" t="s">
        <v>331</v>
      </c>
      <c r="AO510" s="16" t="n">
        <f aca="false">ROUND(15*((AJ510*10)/256),0)</f>
        <v>0</v>
      </c>
      <c r="AQ510" s="1" t="str">
        <f aca="false">CONCATENATE(VLOOKUP(AO510,Constants!$A$2:$C$16,IF(AP510&lt;&gt;"", 3, 2), FALSE()),IF(AP510&lt;&gt;"",CONCATENATE(",",VLOOKUP(AP510,$B:$AQ,42,FALSE())),""))</f>
        <v>na</v>
      </c>
      <c r="BA510" s="1" t="n">
        <v>30</v>
      </c>
      <c r="BB510" s="16" t="str">
        <f aca="false">IF(O510&lt;&gt;"",MAX(16,(O510-M510)+8),"")</f>
        <v/>
      </c>
      <c r="BE510" s="20" t="n">
        <f aca="false">MIN(AE510/150, 1)*30</f>
        <v>0</v>
      </c>
      <c r="BF510" s="20" t="n">
        <f aca="false">MIN(Q510/4000, 1)*20</f>
        <v>0</v>
      </c>
      <c r="BG510" s="20" t="n">
        <f aca="false">MIN(AC510/400,1)*20</f>
        <v>0</v>
      </c>
      <c r="BH510" s="4" t="n">
        <f aca="false">1-(MAX(M510-1900, 0)/750)</f>
        <v>0.889333333333333</v>
      </c>
      <c r="BI510" s="20" t="n">
        <f aca="false">((MAX($P510,1)*MIN($AM510/300,1)))*IF(J510="Wagon",50,10)</f>
        <v>0</v>
      </c>
      <c r="BJ510" s="1" t="n">
        <f aca="false">VLOOKUP($K510,Constants!$I:$K, 2, FALSE())</f>
        <v>0.9</v>
      </c>
      <c r="BK510" s="1" t="n">
        <f aca="false">VLOOKUP($K510,Constants!$I:$K, 3, FALSE())*IF(AND(J510="multiple_unit",AE510&lt;110),0.75,1)</f>
        <v>1.6</v>
      </c>
      <c r="BL510" s="20" t="n">
        <v>7</v>
      </c>
      <c r="BM510" s="20" t="n">
        <v>19</v>
      </c>
      <c r="BN510" s="17" t="n">
        <f aca="false">BL510*IF($J510="wagon",62.5,781.25)</f>
        <v>5468.75</v>
      </c>
      <c r="BO510" s="17" t="n">
        <f aca="false">BM510*IF($J510="wagon",2.73,81.25)</f>
        <v>1543.75</v>
      </c>
      <c r="BY510" s="1" t="n">
        <v>10</v>
      </c>
      <c r="BZ510" s="1" t="n">
        <v>120</v>
      </c>
      <c r="CC510" s="1" t="s">
        <v>327</v>
      </c>
      <c r="CD510" s="23" t="s">
        <v>605</v>
      </c>
      <c r="CE510" s="1" t="s">
        <v>1397</v>
      </c>
      <c r="CF510" s="23" t="str">
        <f aca="false">CONCATENATE(CD510,"_",CE510)</f>
        <v>lbr_LU</v>
      </c>
      <c r="CG510" s="23" t="str">
        <f aca="false">_xlfn.CONCAT(K510, "_",L510)</f>
        <v>tube_RAIL</v>
      </c>
      <c r="CH510" s="7" t="e">
        <f aca="false">_xlfn.CONCAT("{BLACK}Length: {GOLD}", TEXT(ROUNDUP(IF(AT510&lt;&gt;"",SUM(VALUE(_xlfn.TEXTSPLIT(AT510, ","))), SUM(VALUE(_xlfn.TEXTSPLIT(AQ510, ",")))*IF(P510, P510, 1))/16, 1), "#,##0.0"), " tiles{}")</f>
        <v>#VALUE!</v>
      </c>
      <c r="CI510" s="1" t="n">
        <f aca="false">VLOOKUP($CG510, Constants!$M:$N, 2, FALSE())</f>
        <v>0</v>
      </c>
      <c r="CJ510" s="1" t="str">
        <f aca="false">IF(P510&gt;1,_xlfn.CONCAT("{BLACK}Cars: {GOLD}", P510),"")</f>
        <v/>
      </c>
      <c r="CL510" s="1" t="str">
        <f aca="false">IF($BX510="!param_no_gameplay_units","{GREEN}Included for gameplay purposes","")</f>
        <v/>
      </c>
      <c r="CM510" s="1" t="str">
        <f aca="false">IF(CA510="buffet","{YELLOW}25% long distance bonus for consist{}",IF(CB510="DANDY","{YELLOW}Faster downhill speeds for horse-drawn trains (1 required per 2 horses){}",IF(CB510="BRAKE","{YELLOW}Speed bonus for slow wagons{}",IF(CB510="NGPassengers","{YELLOW}Preserved railway bonus: passengers pay more when hauled by old locomotives{}",IF(AND(BZ510&gt;190,NOT(AND(L510="NARROW_GAUGE",CB510&lt;&gt;"PASS"))),CONCATENATE("{YELLOW}",INT((BZ510-185)/1.85),"% bonus for long distance travel{}"),IF(AND(BZ510&lt;180,BZ510&lt;&gt;0),CONCATENATE("{YELLOW}",INT((185-BZ510)/1.85),"% penalty for long distance travel{}"),""))))))</f>
        <v>{YELLOW}35% penalty for long distance travel{}</v>
      </c>
      <c r="CN510" s="1" t="e">
        <f aca="false">_xlfn.CONCAT(CI510,IF(CI510&lt;&gt;""," ",""),CJ510,IF(OR(CJ510&lt;&gt;"",CI510&lt;&gt;""),"{}",""),CH510,CM510,"{SILVER}",CK510,IF(CL510&lt;&gt;"","{}{}",""),CL510)</f>
        <v>#VALUE!</v>
      </c>
    </row>
    <row r="511" customFormat="false" ht="14.25" hidden="false" customHeight="false" outlineLevel="0" collapsed="false">
      <c r="A511" s="1" t="s">
        <v>1950</v>
      </c>
      <c r="B511" s="19" t="s">
        <v>1951</v>
      </c>
      <c r="C511" s="1" t="n">
        <v>2010</v>
      </c>
      <c r="E511" s="1" t="n">
        <v>2000</v>
      </c>
      <c r="G511" s="1" t="str">
        <f aca="false">IF($F511&lt;&gt;"",_xlfn.CONCAT(VLOOKUP($CE511, Constants!$T:$U, 2, FALSE()),",",$F511),VLOOKUP($CE511, Constants!$T:$U, 2, FALSE()))</f>
        <v>role/mixed</v>
      </c>
      <c r="H511" s="1" t="str">
        <f aca="false">IF($G511&lt;&gt;"",_xlfn.CONCAT(VLOOKUP($CG511, Constants!$M:$P, 4, FALSE()),",",$G511),VLOOKUP($CG511, Constants!$M:$P, 4, FALSE()))</f>
        <v>flag/GB,power/animal,role/mixed</v>
      </c>
      <c r="I511" s="1" t="s">
        <v>198</v>
      </c>
      <c r="J511" s="1" t="s">
        <v>199</v>
      </c>
      <c r="K511" s="1" t="s">
        <v>199</v>
      </c>
      <c r="L511" s="1" t="s">
        <v>1952</v>
      </c>
      <c r="M511" s="1" t="n">
        <v>1800</v>
      </c>
      <c r="O511" s="1" t="n">
        <v>1880</v>
      </c>
      <c r="Q511" s="1" t="n">
        <v>5</v>
      </c>
      <c r="W511" s="18"/>
      <c r="Z511" s="1" t="n">
        <v>1</v>
      </c>
      <c r="AC511" s="1" t="n">
        <v>4</v>
      </c>
      <c r="AD511" s="4" t="n">
        <f aca="false">IF(AND(Z511&gt;0,AC511&gt;0),(AC511/((Z511+AA511)*10)),"")</f>
        <v>0.4</v>
      </c>
      <c r="AE511" s="1" t="n">
        <v>15</v>
      </c>
      <c r="AF511" s="1" t="n">
        <f aca="false">ROUND(AE511*1.6, 0)</f>
        <v>24</v>
      </c>
      <c r="AJ511" s="1" t="n">
        <v>6</v>
      </c>
      <c r="AM511" s="5" t="n">
        <v>0</v>
      </c>
      <c r="AN511" s="16" t="s">
        <v>237</v>
      </c>
      <c r="AO511" s="16" t="n">
        <f aca="false">ROUND(15*((AJ511*10)/256),0)</f>
        <v>4</v>
      </c>
      <c r="AQ511" s="1" t="str">
        <f aca="false">CONCATENATE(VLOOKUP(AO511,Constants!$A$2:$C$16,IF(AP511&lt;&gt;"", 3, 2), FALSE()),IF(AP511&lt;&gt;"",CONCATENATE(",",VLOOKUP(AP511,$B:$AQ,42,FALSE())),""))</f>
        <v>1,2,1</v>
      </c>
      <c r="AY511" s="1" t="n">
        <v>1</v>
      </c>
      <c r="BA511" s="1" t="n">
        <v>14</v>
      </c>
      <c r="BB511" s="16" t="n">
        <f aca="false">IF(O511&lt;&gt;"",MAX(16,(O511-M511)+8),"")</f>
        <v>88</v>
      </c>
      <c r="BC511" s="1" t="n">
        <v>-13</v>
      </c>
      <c r="BD511" s="1" t="n">
        <v>-3</v>
      </c>
      <c r="BE511" s="20" t="n">
        <f aca="false">MIN(AE511/150, 1)*30</f>
        <v>3</v>
      </c>
      <c r="BF511" s="20" t="n">
        <f aca="false">MIN(Q511/4000, 1)*20</f>
        <v>0.025</v>
      </c>
      <c r="BG511" s="20" t="n">
        <f aca="false">MIN(AC511/400,1)*20</f>
        <v>0.2</v>
      </c>
      <c r="BH511" s="21" t="n">
        <f aca="false">1-(MAX(M511-1900, 0)/750)</f>
        <v>1</v>
      </c>
      <c r="BI511" s="20" t="n">
        <f aca="false">((MAX($P511,1)*MIN($AM511/300,1)))*IF(J511="Wagon",50,10)</f>
        <v>0</v>
      </c>
      <c r="BJ511" s="1" t="n">
        <f aca="false">VLOOKUP($K511,Constants!$I:$K, 2, FALSE())</f>
        <v>0.5</v>
      </c>
      <c r="BK511" s="1" t="n">
        <f aca="false">VLOOKUP($K511,Constants!$I:$K, 3, FALSE())*IF(AND(J511="multiple_unit",AE511&lt;110),0.75,1)</f>
        <v>0.5</v>
      </c>
      <c r="BL511" s="20" t="n">
        <v>1</v>
      </c>
      <c r="BM511" s="20" t="n">
        <v>1</v>
      </c>
      <c r="BN511" s="22" t="n">
        <f aca="false">BL511*IF($J511="wagon",62.5,781.25)</f>
        <v>781.25</v>
      </c>
      <c r="BO511" s="22" t="n">
        <f aca="false">BM511*IF($J511="wagon",2.73,81.25)</f>
        <v>81.25</v>
      </c>
      <c r="BY511" s="1" t="n">
        <v>1</v>
      </c>
      <c r="CD511" s="23" t="s">
        <v>230</v>
      </c>
      <c r="CE511" s="1" t="s">
        <v>129</v>
      </c>
      <c r="CF511" s="23" t="str">
        <f aca="false">CONCATENATE(CD511,"_",CE511)</f>
        <v>early_Mixed Traffic</v>
      </c>
      <c r="CG511" s="23" t="str">
        <f aca="false">_xlfn.CONCAT(K511, "_",L511)</f>
        <v>horses_NARROW_GAUGE</v>
      </c>
      <c r="CH511" s="7" t="str">
        <f aca="false">_xlfn.CONCAT("{BLACK}Length: {GOLD}", TEXT(ROUNDUP(IF(AT511&lt;&gt;"",SUM(VALUE(_xlfn.TEXTSPLIT(AT511, ","))), SUM(VALUE(_xlfn.TEXTSPLIT(AQ511, ",")))*IF(P511, P511, 1))/16, 1), "#,##0.0"), " tiles{}")</f>
        <v>{BLACK}Length: {GOLD}0.3 tiles{}</v>
      </c>
      <c r="CI511" s="1" t="n">
        <f aca="false">VLOOKUP($CG511, Constants!$M:$N, 2, FALSE())</f>
        <v>0</v>
      </c>
      <c r="CJ511" s="1" t="str">
        <f aca="false">IF(P511&gt;1,_xlfn.CONCAT("{BLACK}Cars: {GOLD}", P511),"")</f>
        <v/>
      </c>
      <c r="CK511" s="1" t="s">
        <v>1953</v>
      </c>
      <c r="CL511" s="1" t="str">
        <f aca="false">IF($BX511="!param_no_gameplay_units","{GREEN}Included for gameplay purposes","")</f>
        <v/>
      </c>
      <c r="CM511" s="1" t="str">
        <f aca="false">IF(CA511="buffet","{YELLOW}25% long distance bonus for consist{}",IF(CB511="DANDY","{YELLOW}Faster downhill speeds for horse-drawn trains (1 required per 2 horses){}",IF(CB511="BRAKE","{YELLOW}Speed bonus for slow wagons{}",IF(CB511="NGPassengers","{YELLOW}Preserved railway bonus: passengers pay more when hauled by old locomotives{}",IF(AND(BZ511&gt;190,NOT(AND(L511="NARROW_GAUGE",CB511&lt;&gt;"PASS"))),CONCATENATE("{YELLOW}",INT((BZ511-185)/1.85),"%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{GOLD}0.3 tiles{}{SILVER}A smaller horse for a smaller railway.</v>
      </c>
    </row>
    <row r="512" customFormat="false" ht="14.25" hidden="false" customHeight="false" outlineLevel="0" collapsed="false">
      <c r="A512" s="1" t="s">
        <v>1954</v>
      </c>
      <c r="B512" s="19" t="s">
        <v>1955</v>
      </c>
      <c r="C512" s="1" t="n">
        <v>-1</v>
      </c>
      <c r="E512" s="1" t="n">
        <v>-1</v>
      </c>
      <c r="G512" s="1" t="str">
        <f aca="false">IF($F512&lt;&gt;"",_xlfn.CONCAT(VLOOKUP($CE512, Constants!$T:$U, 2, FALSE()),",",$F512),VLOOKUP($CE512, Constants!$T:$U, 2, FALSE()))</f>
        <v>role/mixed</v>
      </c>
      <c r="H512" s="1" t="str">
        <f aca="false">IF($G512&lt;&gt;"",_xlfn.CONCAT(VLOOKUP($CG512, Constants!$M:$P, 4, FALSE()),",",$G512),VLOOKUP($CG512, Constants!$M:$P, 4, FALSE()))</f>
        <v>flag/GB,role/mixed</v>
      </c>
      <c r="J512" s="1" t="s">
        <v>41</v>
      </c>
      <c r="K512" s="1" t="s">
        <v>41</v>
      </c>
      <c r="L512" s="1" t="s">
        <v>149</v>
      </c>
      <c r="M512" s="1" t="n">
        <v>1804</v>
      </c>
      <c r="Z512" s="1" t="n">
        <v>2</v>
      </c>
      <c r="AD512" s="4" t="str">
        <f aca="false">IF(AND(Z512&gt;0,AC512&gt;0),(AC512/((Z512+AA512)*10)),"")</f>
        <v/>
      </c>
      <c r="AI512" s="1" t="n">
        <v>7.5</v>
      </c>
      <c r="AJ512" s="1" t="n">
        <v>5</v>
      </c>
      <c r="AM512" s="5" t="n">
        <v>0</v>
      </c>
      <c r="AN512" s="16" t="s">
        <v>1956</v>
      </c>
      <c r="AO512" s="16" t="n">
        <f aca="false">ROUND(15*((AJ512*10)/256),0)</f>
        <v>3</v>
      </c>
      <c r="AQ512" s="1" t="str">
        <f aca="false">CONCATENATE(VLOOKUP(AO512,Constants!$A$2:$C$16,IF(AP512&lt;&gt;"", 3, 2), FALSE()),IF(AP512&lt;&gt;"",CONCATENATE(",",VLOOKUP(AP512,$B:$AQ,42,FALSE())),""))</f>
        <v>1,1,1</v>
      </c>
      <c r="BA512" s="1" t="n">
        <v>30</v>
      </c>
      <c r="BB512" s="16" t="str">
        <f aca="false">IF(O512&lt;&gt;"",MAX(16,(O512-M512)+8),"")</f>
        <v/>
      </c>
      <c r="BE512" s="20" t="n">
        <f aca="false">MIN(AE512/150, 1)*30</f>
        <v>0</v>
      </c>
      <c r="BF512" s="20" t="n">
        <f aca="false">MIN(Q512/4000, 1)*20</f>
        <v>0</v>
      </c>
      <c r="BG512" s="20" t="n">
        <f aca="false">MIN(AC512/400,1)*20</f>
        <v>0</v>
      </c>
      <c r="BH512" s="21" t="n">
        <f aca="false">1-(MAX(M512-1900, 0)/750)</f>
        <v>1</v>
      </c>
      <c r="BI512" s="20" t="n">
        <f aca="false">((MAX($P512,1)*MIN($AM512/300,1)))*IF(J512="Wagon",50,10)</f>
        <v>0</v>
      </c>
      <c r="BJ512" s="1" t="n">
        <f aca="false">VLOOKUP($K512,Constants!$I:$K, 2, FALSE())</f>
        <v>0</v>
      </c>
      <c r="BK512" s="1" t="n">
        <f aca="false">VLOOKUP($K512,Constants!$I:$K, 3, FALSE())*IF(AND(J512="multiple_unit",AE512&lt;110),0.75,1)</f>
        <v>0</v>
      </c>
      <c r="BL512" s="20" t="n">
        <v>0</v>
      </c>
      <c r="BM512" s="20" t="n">
        <v>0</v>
      </c>
      <c r="BN512" s="22" t="n">
        <f aca="false">BL512*IF($J512="wagon",62.5,781.25)</f>
        <v>0</v>
      </c>
      <c r="BO512" s="22" t="n">
        <f aca="false">BM512*IF($J512="wagon",2.73,81.25)</f>
        <v>0</v>
      </c>
      <c r="CD512" s="23" t="s">
        <v>230</v>
      </c>
      <c r="CE512" s="1" t="s">
        <v>129</v>
      </c>
      <c r="CF512" s="23" t="str">
        <f aca="false">CONCATENATE(CD512,"_",CE512)</f>
        <v>early_Mixed Traffic</v>
      </c>
      <c r="CG512" s="23" t="str">
        <f aca="false">_xlfn.CONCAT(K512, "_",L512)</f>
        <v>tender_RAIL</v>
      </c>
      <c r="CH512" s="7" t="str">
        <f aca="false">_xlfn.CONCAT("{BLACK}Length: {GOLD}", TEXT(ROUNDUP(IF(AT512&lt;&gt;"",SUM(VALUE(_xlfn.TEXTSPLIT(AT512, ","))), SUM(VALUE(_xlfn.TEXTSPLIT(AQ512, ",")))*IF(P512, P512, 1))/16, 1), "#,##0.0"), " tiles{}")</f>
        <v>{BLACK}Length: {GOLD}0.2 tiles{}</v>
      </c>
      <c r="CI512" s="1" t="n">
        <f aca="false">VLOOKUP($CG512, Constants!$M:$N, 2, FALSE())</f>
        <v>0</v>
      </c>
      <c r="CJ512" s="1" t="str">
        <f aca="false">IF(P512&gt;1,_xlfn.CONCAT("{BLACK}Cars: {GOLD}", P512),"")</f>
        <v/>
      </c>
      <c r="CL512" s="1" t="str">
        <f aca="false">IF($BX512="!param_no_gameplay_units","{GREEN}Included for gameplay purposes","")</f>
        <v/>
      </c>
      <c r="CM512" s="1" t="str">
        <f aca="false">IF(CA512="buffet","{YELLOW}25% long distance bonus for consist{}",IF(CB512="DANDY","{YELLOW}Faster downhill speeds for horse-drawn trains (1 required per 2 horses){}",IF(CB512="BRAKE","{YELLOW}Speed bonus for slow wagons{}",IF(CB512="NGPassengers","{YELLOW}Preserved railway bonus: passengers pay more when hauled by old locomotives{}",IF(AND(BZ512&gt;190,NOT(AND(L512="NARROW_GAUGE",CB512&lt;&gt;"PASS"))),CONCATENATE("{YELLOW}",INT((BZ512-185)/1.85),"%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{GOLD}0.2 tiles{}{SILVER}</v>
      </c>
    </row>
    <row r="513" customFormat="false" ht="14.25" hidden="false" customHeight="false" outlineLevel="0" collapsed="false">
      <c r="A513" s="1" t="s">
        <v>1957</v>
      </c>
      <c r="B513" s="19" t="s">
        <v>1958</v>
      </c>
      <c r="C513" s="1" t="n">
        <v>2011</v>
      </c>
      <c r="E513" s="1" t="n">
        <v>2001</v>
      </c>
      <c r="G513" s="1" t="str">
        <f aca="false">IF($F513&lt;&gt;"",_xlfn.CONCAT(VLOOKUP($CE513, Constants!$T:$U, 2, FALSE()),",",$F513),VLOOKUP($CE513, Constants!$T:$U, 2, FALSE()))</f>
        <v>role/mixed</v>
      </c>
      <c r="H513" s="1" t="str">
        <f aca="false">IF($G513&lt;&gt;"",_xlfn.CONCAT(VLOOKUP($CG513, Constants!$M:$P, 4, FALSE()),",",$G513),VLOOKUP($CG513, Constants!$M:$P, 4, FALSE()))</f>
        <v>flag/GB,power/steam,role/mixed</v>
      </c>
      <c r="I513" s="1" t="s">
        <v>198</v>
      </c>
      <c r="J513" s="1" t="s">
        <v>206</v>
      </c>
      <c r="K513" s="1" t="s">
        <v>207</v>
      </c>
      <c r="L513" s="1" t="s">
        <v>1952</v>
      </c>
      <c r="M513" s="1" t="n">
        <v>1804</v>
      </c>
      <c r="O513" s="1" t="n">
        <v>1840</v>
      </c>
      <c r="Q513" s="1" t="n">
        <v>10</v>
      </c>
      <c r="S513" s="3" t="n">
        <v>8.6</v>
      </c>
      <c r="T513" s="3" t="n">
        <v>16</v>
      </c>
      <c r="U513" s="3" t="n">
        <v>1</v>
      </c>
      <c r="V513" s="3" t="n">
        <v>160</v>
      </c>
      <c r="W513" s="18" t="n">
        <f aca="false">((($AE513/2)/60)*5280)/($X513*3.2*PI())</f>
        <v>87.5352187005424</v>
      </c>
      <c r="X513" s="3" t="n">
        <v>0.7</v>
      </c>
      <c r="Y513" s="3" t="n">
        <f aca="false">((($S513*$S513/4)*PI())*($T513/12)*$U513*$V513*$W513)/(33000*1.1)</f>
        <v>29.8828282828283</v>
      </c>
      <c r="Z513" s="1" t="n">
        <v>5</v>
      </c>
      <c r="AB513" s="1" t="n">
        <v>5</v>
      </c>
      <c r="AC513" s="1" t="n">
        <v>12</v>
      </c>
      <c r="AD513" s="4" t="n">
        <f aca="false">IF(AND(Z513&gt;0,AC513&gt;0),(AC513/((Z513+AA513)*10)),"")</f>
        <v>0.24</v>
      </c>
      <c r="AE513" s="1" t="n">
        <v>14</v>
      </c>
      <c r="AF513" s="1" t="n">
        <f aca="false">ROUND(AE513*1.6, 0)</f>
        <v>22</v>
      </c>
      <c r="AI513" s="1" t="n">
        <v>5.5</v>
      </c>
      <c r="AJ513" s="1" t="n">
        <v>8</v>
      </c>
      <c r="AM513" s="5" t="n">
        <v>0</v>
      </c>
      <c r="AN513" s="16" t="s">
        <v>229</v>
      </c>
      <c r="AO513" s="16" t="n">
        <f aca="false">ROUND(15*((AJ513*10)/256),0)</f>
        <v>5</v>
      </c>
      <c r="AP513" s="1" t="s">
        <v>1955</v>
      </c>
      <c r="AQ513" s="1" t="str">
        <f aca="false">CONCATENATE(VLOOKUP(AO513,Constants!$A$2:$C$16,IF(AP513&lt;&gt;"", 3, 2), FALSE()),IF(AP513&lt;&gt;"",CONCATENATE(",",VLOOKUP(AP513,$B:$AQ,42,FALSE())),""))</f>
        <v>2,1,2,1,1,1</v>
      </c>
      <c r="AY513" s="1" t="n">
        <v>1</v>
      </c>
      <c r="BA513" s="1" t="n">
        <v>28</v>
      </c>
      <c r="BB513" s="16" t="n">
        <f aca="false">IF(O513&lt;&gt;"",MAX(16,(O513-M513)+8),"")</f>
        <v>44</v>
      </c>
      <c r="BC513" s="1" t="n">
        <v>-34</v>
      </c>
      <c r="BD513" s="1" t="n">
        <v>-13</v>
      </c>
      <c r="BE513" s="20" t="n">
        <f aca="false">MIN(AE513/150, 1)*30</f>
        <v>2.8</v>
      </c>
      <c r="BF513" s="20" t="n">
        <f aca="false">MIN(Q513/4000, 1)*20</f>
        <v>0.05</v>
      </c>
      <c r="BG513" s="20" t="n">
        <f aca="false">MIN(AC513/400,1)*20</f>
        <v>0.6</v>
      </c>
      <c r="BH513" s="21" t="n">
        <f aca="false">1-(MAX(M513-1900, 0)/750)</f>
        <v>1</v>
      </c>
      <c r="BI513" s="20" t="n">
        <f aca="false">((MAX($P513,1)*MIN($AM513/300,1)))*IF(J513="Wagon",50,10)</f>
        <v>0</v>
      </c>
      <c r="BJ513" s="1" t="n">
        <f aca="false">VLOOKUP($K513,Constants!$I:$K, 2, FALSE())</f>
        <v>1.15</v>
      </c>
      <c r="BK513" s="1" t="n">
        <f aca="false">VLOOKUP($K513,Constants!$I:$K, 3, FALSE())*IF(AND(J513="multiple_unit",AE513&lt;110),0.75,1)</f>
        <v>1.7</v>
      </c>
      <c r="BL513" s="20" t="n">
        <v>3</v>
      </c>
      <c r="BM513" s="20" t="n">
        <v>5</v>
      </c>
      <c r="BN513" s="22" t="n">
        <f aca="false">BL513*IF($J513="wagon",62.5,781.25)</f>
        <v>2343.75</v>
      </c>
      <c r="BO513" s="22" t="n">
        <f aca="false">BM513*IF($J513="wagon",2.73,81.25)</f>
        <v>406.25</v>
      </c>
      <c r="BY513" s="1" t="n">
        <v>2</v>
      </c>
      <c r="CD513" s="23" t="s">
        <v>230</v>
      </c>
      <c r="CE513" s="1" t="s">
        <v>316</v>
      </c>
      <c r="CF513" s="23" t="str">
        <f aca="false">CONCATENATE(CD513,"_",CE513)</f>
        <v>early_Cheap</v>
      </c>
      <c r="CG513" s="23" t="str">
        <f aca="false">_xlfn.CONCAT(K513, "_",L513)</f>
        <v>steam_NARROW_GAUGE</v>
      </c>
      <c r="CH513" s="7" t="str">
        <f aca="false">_xlfn.CONCAT("{BLACK}Length: {GOLD}", TEXT(ROUNDUP(IF(AT513&lt;&gt;"",SUM(VALUE(_xlfn.TEXTSPLIT(AT513, ","))), SUM(VALUE(_xlfn.TEXTSPLIT(AQ513, ",")))*IF(P513, P513, 1))/16, 1), "#,##0.0"), " tiles{}")</f>
        <v>{BLACK}Length: {GOLD}0.5 tiles{}</v>
      </c>
      <c r="CI513" s="1" t="n">
        <f aca="false">VLOOKUP($CG513, Constants!$M:$N, 2, FALSE())</f>
        <v>0</v>
      </c>
      <c r="CJ513" s="1" t="str">
        <f aca="false">IF(P513&gt;1,_xlfn.CONCAT("{BLACK}Cars: {GOLD}", P513),"")</f>
        <v/>
      </c>
      <c r="CK513" s="1" t="s">
        <v>1959</v>
      </c>
      <c r="CL513" s="1" t="str">
        <f aca="false">IF($BX513="!param_no_gameplay_units","{GREEN}Included for gameplay purposes","")</f>
        <v/>
      </c>
      <c r="CM513" s="1" t="str">
        <f aca="false">IF(CA513="buffet","{YELLOW}25% long distance bonus for consist{}",IF(CB513="DANDY","{YELLOW}Faster downhill speeds for horse-drawn trains (1 required per 2 horses){}",IF(CB513="BRAKE","{YELLOW}Speed bonus for slow wagons{}",IF(CB513="NGPassengers","{YELLOW}Preserved railway bonus: passengers pay more when hauled by old locomotives{}",IF(AND(BZ513&gt;190,NOT(AND(L513="NARROW_GAUGE",CB513&lt;&gt;"PASS"))),CONCATENATE("{YELLOW}",INT((BZ513-185)/1.85),"%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4" customFormat="false" ht="14.25" hidden="false" customHeight="false" outlineLevel="0" collapsed="false">
      <c r="A514" s="1" t="s">
        <v>1960</v>
      </c>
      <c r="B514" s="19" t="s">
        <v>1961</v>
      </c>
      <c r="C514" s="1" t="n">
        <v>-1</v>
      </c>
      <c r="E514" s="1" t="n">
        <v>-1</v>
      </c>
      <c r="G514" s="1" t="str">
        <f aca="false">IF($F514&lt;&gt;"",_xlfn.CONCAT(VLOOKUP($CE514, Constants!$T:$U, 2, FALSE()),",",$F514),VLOOKUP($CE514, Constants!$T:$U, 2, FALSE()))</f>
        <v>role/mixed</v>
      </c>
      <c r="H514" s="1" t="str">
        <f aca="false">IF($G514&lt;&gt;"",_xlfn.CONCAT(VLOOKUP($CG514, Constants!$M:$P, 4, FALSE()),",",$G514),VLOOKUP($CG514, Constants!$M:$P, 4, FALSE()))</f>
        <v>flag/GB,role/mixed</v>
      </c>
      <c r="J514" s="1" t="s">
        <v>41</v>
      </c>
      <c r="K514" s="1" t="s">
        <v>41</v>
      </c>
      <c r="L514" s="1" t="s">
        <v>149</v>
      </c>
      <c r="M514" s="1" t="n">
        <v>1863</v>
      </c>
      <c r="Z514" s="1" t="n">
        <v>4</v>
      </c>
      <c r="AD514" s="4" t="str">
        <f aca="false">IF(AND(Z514&gt;0,AC514&gt;0),(AC514/((Z514+AA514)*10)),"")</f>
        <v/>
      </c>
      <c r="AI514" s="1" t="n">
        <v>7.5</v>
      </c>
      <c r="AJ514" s="1" t="n">
        <v>5</v>
      </c>
      <c r="AM514" s="5" t="n">
        <v>0</v>
      </c>
      <c r="AN514" s="16" t="s">
        <v>1956</v>
      </c>
      <c r="AO514" s="16" t="n">
        <f aca="false">ROUND(15*((AJ514*10)/256),0)</f>
        <v>3</v>
      </c>
      <c r="AQ514" s="1" t="str">
        <f aca="false">CONCATENATE(VLOOKUP(AO514,Constants!$A$2:$C$16,IF(AP514&lt;&gt;"", 3, 2), FALSE()),IF(AP514&lt;&gt;"",CONCATENATE(",",VLOOKUP(AP514,$B:$AQ,42,FALSE())),""))</f>
        <v>1,1,1</v>
      </c>
      <c r="BA514" s="1" t="n">
        <v>30</v>
      </c>
      <c r="BB514" s="16" t="str">
        <f aca="false">IF(O514&lt;&gt;"",MAX(16,(O514-M514)+8),"")</f>
        <v/>
      </c>
      <c r="BE514" s="20" t="n">
        <f aca="false">MIN(AE514/150, 1)*30</f>
        <v>0</v>
      </c>
      <c r="BF514" s="20" t="n">
        <f aca="false">MIN(Q514/4000, 1)*20</f>
        <v>0</v>
      </c>
      <c r="BG514" s="20" t="n">
        <f aca="false">MIN(AC514/400,1)*20</f>
        <v>0</v>
      </c>
      <c r="BH514" s="21" t="n">
        <f aca="false">1-(MAX(M514-1900, 0)/750)</f>
        <v>1</v>
      </c>
      <c r="BI514" s="20" t="n">
        <f aca="false">((MAX($P514,1)*MIN($AM514/300,1)))*IF(J514="Wagon",50,10)</f>
        <v>0</v>
      </c>
      <c r="BJ514" s="1" t="n">
        <f aca="false">VLOOKUP($K514,Constants!$I:$K, 2, FALSE())</f>
        <v>0</v>
      </c>
      <c r="BK514" s="1" t="n">
        <f aca="false">VLOOKUP($K514,Constants!$I:$K, 3, FALSE())*IF(AND(J514="multiple_unit",AE514&lt;110),0.75,1)</f>
        <v>0</v>
      </c>
      <c r="BL514" s="20" t="n">
        <v>0</v>
      </c>
      <c r="BM514" s="20" t="n">
        <v>0</v>
      </c>
      <c r="BN514" s="22" t="n">
        <f aca="false">BL514*IF($J514="wagon",62.5,781.25)</f>
        <v>0</v>
      </c>
      <c r="BO514" s="22" t="n">
        <f aca="false">BM514*IF($J514="wagon",2.73,81.25)</f>
        <v>0</v>
      </c>
      <c r="CD514" s="23" t="s">
        <v>265</v>
      </c>
      <c r="CE514" s="1" t="s">
        <v>129</v>
      </c>
      <c r="CF514" s="23" t="str">
        <f aca="false">CONCATENATE(CD514,"_",CE514)</f>
        <v>vct_Mixed Traffic</v>
      </c>
      <c r="CG514" s="23" t="str">
        <f aca="false">_xlfn.CONCAT(K514, "_",L514)</f>
        <v>tender_RAIL</v>
      </c>
      <c r="CH514" s="7" t="str">
        <f aca="false">_xlfn.CONCAT("{BLACK}Length: {GOLD}", TEXT(ROUNDUP(IF(AT514&lt;&gt;"",SUM(VALUE(_xlfn.TEXTSPLIT(AT514, ","))), SUM(VALUE(_xlfn.TEXTSPLIT(AQ514, ",")))*IF(P514, P514, 1))/16, 1), "#,##0.0"), " tiles{}")</f>
        <v>{BLACK}Length: {GOLD}0.2 tiles{}</v>
      </c>
      <c r="CI514" s="1" t="n">
        <f aca="false">VLOOKUP($CG514, Constants!$M:$N, 2, FALSE())</f>
        <v>0</v>
      </c>
      <c r="CJ514" s="1" t="str">
        <f aca="false">IF(P514&gt;1,_xlfn.CONCAT("{BLACK}Cars: {GOLD}", P514),"")</f>
        <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{GOLD}0.2 tiles{}{SILVER}</v>
      </c>
    </row>
    <row r="515" customFormat="false" ht="14.25" hidden="false" customHeight="false" outlineLevel="0" collapsed="false">
      <c r="A515" s="1" t="s">
        <v>1962</v>
      </c>
      <c r="B515" s="19" t="s">
        <v>1963</v>
      </c>
      <c r="C515" s="1" t="n">
        <v>2012</v>
      </c>
      <c r="E515" s="1" t="n">
        <v>2002</v>
      </c>
      <c r="G515" s="1" t="str">
        <f aca="false">IF($F515&lt;&gt;"",_xlfn.CONCAT(VLOOKUP($CE515, Constants!$T:$U, 2, FALSE()),",",$F515),VLOOKUP($CE515, Constants!$T:$U, 2, FALSE()))</f>
        <v>role/mixed</v>
      </c>
      <c r="H515" s="1" t="str">
        <f aca="false">IF($G515&lt;&gt;"",_xlfn.CONCAT(VLOOKUP($CG515, Constants!$M:$P, 4, FALSE()),",",$G515),VLOOKUP($CG515, Constants!$M:$P, 4, FALSE()))</f>
        <v>flag/GB,power/steam,role/mixed</v>
      </c>
      <c r="I515" s="1" t="s">
        <v>198</v>
      </c>
      <c r="J515" s="1" t="s">
        <v>206</v>
      </c>
      <c r="K515" s="1" t="s">
        <v>207</v>
      </c>
      <c r="L515" s="1" t="s">
        <v>1952</v>
      </c>
      <c r="M515" s="1" t="n">
        <v>1863</v>
      </c>
      <c r="O515" s="1" t="n">
        <v>1946</v>
      </c>
      <c r="Q515" s="1" t="n">
        <v>90</v>
      </c>
      <c r="S515" s="3" t="n">
        <v>8.25</v>
      </c>
      <c r="T515" s="3" t="n">
        <v>12</v>
      </c>
      <c r="U515" s="3" t="n">
        <v>2</v>
      </c>
      <c r="V515" s="3" t="n">
        <v>160</v>
      </c>
      <c r="W515" s="18" t="n">
        <f aca="false">((($AE515/2)/60)*5280)/($X515*3.2*PI())</f>
        <v>165.025412304301</v>
      </c>
      <c r="X515" s="3" t="n">
        <v>0.61</v>
      </c>
      <c r="Y515" s="3" t="n">
        <f aca="false">((($S515*$S515/4)*PI())*($T515/12)*$U515*$V515*$W515)/(33000*1.1)</f>
        <v>77.766393442623</v>
      </c>
      <c r="Z515" s="1" t="n">
        <v>15</v>
      </c>
      <c r="AB515" s="1" t="n">
        <v>5</v>
      </c>
      <c r="AC515" s="1" t="n">
        <v>29</v>
      </c>
      <c r="AD515" s="4" t="n">
        <f aca="false">IF(AND(Z515&gt;0,AC515&gt;0),(AC515/((Z515+AA515)*10)),"")</f>
        <v>0.193333333333333</v>
      </c>
      <c r="AE515" s="1" t="n">
        <v>23</v>
      </c>
      <c r="AF515" s="1" t="n">
        <f aca="false">ROUND(AE515*1.6, 0)</f>
        <v>37</v>
      </c>
      <c r="AI515" s="1" t="n">
        <v>5.5</v>
      </c>
      <c r="AJ515" s="1" t="n">
        <v>6</v>
      </c>
      <c r="AM515" s="5" t="n">
        <v>0</v>
      </c>
      <c r="AN515" s="16" t="s">
        <v>237</v>
      </c>
      <c r="AO515" s="16" t="n">
        <f aca="false">ROUND(15*((AJ515*10)/256),0)</f>
        <v>4</v>
      </c>
      <c r="AP515" s="1" t="s">
        <v>1961</v>
      </c>
      <c r="AQ515" s="1" t="str">
        <f aca="false">CONCATENATE(VLOOKUP(AO515,Constants!$A$2:$C$16,IF(AP515&lt;&gt;"", 3, 2), FALSE()),IF(AP515&lt;&gt;"",CONCATENATE(",",VLOOKUP(AP515,$B:$AQ,42,FALSE())),""))</f>
        <v>1,2,1,1,1,1</v>
      </c>
      <c r="AY515" s="1" t="n">
        <v>1</v>
      </c>
      <c r="BA515" s="1" t="n">
        <v>250</v>
      </c>
      <c r="BB515" s="16" t="n">
        <f aca="false">IF(O515&lt;&gt;"",MAX(16,(O515-M515)+8),"")</f>
        <v>91</v>
      </c>
      <c r="BC515" s="1" t="n">
        <v>-5</v>
      </c>
      <c r="BD515" s="1" t="n">
        <v>-3</v>
      </c>
      <c r="BE515" s="20" t="n">
        <f aca="false">MIN(AE515/150, 1)*30</f>
        <v>4.6</v>
      </c>
      <c r="BF515" s="20" t="n">
        <f aca="false">MIN(Q515/4000, 1)*20</f>
        <v>0.45</v>
      </c>
      <c r="BG515" s="20" t="n">
        <f aca="false">MIN(AC515/400,1)*20</f>
        <v>1.45</v>
      </c>
      <c r="BH515" s="21" t="n">
        <f aca="false">1-(MAX(M515-1900, 0)/750)</f>
        <v>1</v>
      </c>
      <c r="BI515" s="20" t="n">
        <f aca="false">((MAX($P515,1)*MIN($AM515/300,1)))*IF(J515="Wagon",50,10)</f>
        <v>0</v>
      </c>
      <c r="BJ515" s="1" t="n">
        <f aca="false">VLOOKUP($K515,Constants!$I:$K, 2, FALSE())</f>
        <v>1.15</v>
      </c>
      <c r="BK515" s="1" t="n">
        <f aca="false">VLOOKUP($K515,Constants!$I:$K, 3, FALSE())*IF(AND(J515="multiple_unit",AE515&lt;110),0.75,1)</f>
        <v>1.7</v>
      </c>
      <c r="BL515" s="20" t="n">
        <v>19</v>
      </c>
      <c r="BM515" s="20" t="n">
        <v>41</v>
      </c>
      <c r="BN515" s="22" t="n">
        <f aca="false">BL515*IF($J515="wagon",62.5,781.25)</f>
        <v>14843.75</v>
      </c>
      <c r="BO515" s="22" t="n">
        <f aca="false">BM515*IF($J515="wagon",2.73,81.25)</f>
        <v>3331.25</v>
      </c>
      <c r="BY515" s="1" t="n">
        <v>9</v>
      </c>
      <c r="CD515" s="23" t="s">
        <v>265</v>
      </c>
      <c r="CE515" s="1" t="s">
        <v>316</v>
      </c>
      <c r="CF515" s="23" t="str">
        <f aca="false">CONCATENATE(CD515,"_",CE515)</f>
        <v>vct_Cheap</v>
      </c>
      <c r="CG515" s="23" t="str">
        <f aca="false">_xlfn.CONCAT(K515, "_",L515)</f>
        <v>steam_NARROW_GAUGE</v>
      </c>
      <c r="CH515" s="7" t="str">
        <f aca="false">_xlfn.CONCAT("{BLACK}Length: {GOLD}", TEXT(ROUNDUP(IF(AT515&lt;&gt;"",SUM(VALUE(_xlfn.TEXTSPLIT(AT515, ","))), SUM(VALUE(_xlfn.TEXTSPLIT(AQ515, ",")))*IF(P515, P515, 1))/16, 1), "#,##0.0"), " tiles{}")</f>
        <v>{BLACK}Length: {GOLD}0.5 tiles{}</v>
      </c>
      <c r="CI515" s="1" t="n">
        <f aca="false">VLOOKUP($CG515, Constants!$M:$N, 2, FALSE())</f>
        <v>0</v>
      </c>
      <c r="CJ515" s="1" t="str">
        <f aca="false">IF(P515&gt;1,_xlfn.CONCAT("{BLACK}Cars: {GOLD}", P515),"")</f>
        <v/>
      </c>
      <c r="CK515" s="1" t="s">
        <v>1964</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{GOLD}0.5 tiles{}{SILVER}"Princess" was the first locomotive on the Ffestiniog Railway, going through multiple rebuilds and serving on the railway until its eventual closure in 1946.</v>
      </c>
    </row>
    <row r="516" customFormat="false" ht="14.25" hidden="false" customHeight="false" outlineLevel="0" collapsed="false">
      <c r="A516" s="1" t="s">
        <v>1965</v>
      </c>
      <c r="B516" s="19" t="s">
        <v>1966</v>
      </c>
      <c r="C516" s="1" t="n">
        <v>2013</v>
      </c>
      <c r="E516" s="1" t="n">
        <v>2003</v>
      </c>
      <c r="G516" s="1" t="str">
        <f aca="false">IF($F516&lt;&gt;"",_xlfn.CONCAT(VLOOKUP($CE516, Constants!$T:$U, 2, FALSE()),",",$F516),VLOOKUP($CE516, Constants!$T:$U, 2, FALSE()))</f>
        <v>role/mixed</v>
      </c>
      <c r="H516" s="1" t="str">
        <f aca="false">IF($G516&lt;&gt;"",_xlfn.CONCAT(VLOOKUP($CG516, Constants!$M:$P, 4, FALSE()),",",$G516),VLOOKUP($CG516, Constants!$M:$P, 4, FALSE()))</f>
        <v>flag/GB,power/steam,role/mixed</v>
      </c>
      <c r="I516" s="1" t="s">
        <v>198</v>
      </c>
      <c r="J516" s="1" t="s">
        <v>206</v>
      </c>
      <c r="K516" s="1" t="s">
        <v>207</v>
      </c>
      <c r="L516" s="1" t="s">
        <v>1952</v>
      </c>
      <c r="M516" s="1" t="n">
        <v>1864</v>
      </c>
      <c r="O516" s="1" t="n">
        <v>1945</v>
      </c>
      <c r="Q516" s="1" t="n">
        <v>110</v>
      </c>
      <c r="S516" s="3" t="n">
        <v>8.6</v>
      </c>
      <c r="T516" s="3" t="n">
        <v>16</v>
      </c>
      <c r="U516" s="3" t="n">
        <v>2</v>
      </c>
      <c r="V516" s="3" t="n">
        <v>160</v>
      </c>
      <c r="W516" s="18" t="n">
        <f aca="false">((($AE516/2)/60)*5280)/($X516*3.2*PI())</f>
        <v>156.312890536683</v>
      </c>
      <c r="X516" s="3" t="n">
        <v>0.7</v>
      </c>
      <c r="Y516" s="3" t="n">
        <f aca="false">((($S516*$S516/4)*PI())*($T516/12)*$U516*$V516*$W516)/(33000*1.1)</f>
        <v>106.724386724387</v>
      </c>
      <c r="Z516" s="1" t="n">
        <v>13</v>
      </c>
      <c r="AB516" s="1" t="n">
        <v>5</v>
      </c>
      <c r="AC516" s="1" t="n">
        <v>26</v>
      </c>
      <c r="AD516" s="4" t="n">
        <f aca="false">IF(AND(Z516&gt;0,AC516&gt;0),(AC516/((Z516+AA516)*10)),"")</f>
        <v>0.2</v>
      </c>
      <c r="AE516" s="1" t="n">
        <v>25</v>
      </c>
      <c r="AF516" s="1" t="n">
        <f aca="false">ROUND(AE516*1.6, 0)</f>
        <v>40</v>
      </c>
      <c r="AI516" s="1" t="n">
        <v>5.5</v>
      </c>
      <c r="AJ516" s="1" t="n">
        <v>6</v>
      </c>
      <c r="AM516" s="5" t="n">
        <v>0</v>
      </c>
      <c r="AN516" s="16" t="s">
        <v>237</v>
      </c>
      <c r="AO516" s="16" t="n">
        <f aca="false">ROUND(15*((AJ516*10)/256),0)</f>
        <v>4</v>
      </c>
      <c r="AQ516" s="1" t="str">
        <f aca="false">CONCATENATE(VLOOKUP(AO516,Constants!$A$2:$C$16,IF(AP516&lt;&gt;"", 3, 2), FALSE()),IF(AP516&lt;&gt;"",CONCATENATE(",",VLOOKUP(AP516,$B:$AQ,42,FALSE())),""))</f>
        <v>1,2,1</v>
      </c>
      <c r="AY516" s="1" t="n">
        <v>1</v>
      </c>
      <c r="BA516" s="1" t="n">
        <v>250</v>
      </c>
      <c r="BB516" s="16" t="n">
        <f aca="false">IF(O516&lt;&gt;"",MAX(16,(O516-M516)+8),"")</f>
        <v>89</v>
      </c>
      <c r="BC516" s="1" t="n">
        <v>-5</v>
      </c>
      <c r="BD516" s="1" t="n">
        <v>-3</v>
      </c>
      <c r="BE516" s="20" t="n">
        <f aca="false">MIN(AE516/150, 1)*30</f>
        <v>5</v>
      </c>
      <c r="BF516" s="20" t="n">
        <f aca="false">MIN(Q516/4000, 1)*20</f>
        <v>0.55</v>
      </c>
      <c r="BG516" s="20" t="n">
        <f aca="false">MIN(AC516/400,1)*20</f>
        <v>1.3</v>
      </c>
      <c r="BH516" s="21" t="n">
        <f aca="false">1-(MAX(M516-1900, 0)/750)</f>
        <v>1</v>
      </c>
      <c r="BI516" s="20" t="n">
        <f aca="false">((MAX($P516,1)*MIN($AM516/300,1)))*IF(J516="Wagon",50,10)</f>
        <v>0</v>
      </c>
      <c r="BJ516" s="1" t="n">
        <f aca="false">VLOOKUP($K516,Constants!$I:$K, 2, FALSE())</f>
        <v>1.15</v>
      </c>
      <c r="BK516" s="1" t="n">
        <f aca="false">VLOOKUP($K516,Constants!$I:$K, 3, FALSE())*IF(AND(J516="multiple_unit",AE516&lt;110),0.75,1)</f>
        <v>1.7</v>
      </c>
      <c r="BL516" s="20" t="n">
        <v>20</v>
      </c>
      <c r="BM516" s="20" t="n">
        <v>42</v>
      </c>
      <c r="BN516" s="22" t="n">
        <f aca="false">BL516*IF($J516="wagon",62.5,781.25)</f>
        <v>15625</v>
      </c>
      <c r="BO516" s="22" t="n">
        <f aca="false">BM516*IF($J516="wagon",2.73,81.25)</f>
        <v>3412.5</v>
      </c>
      <c r="BY516" s="1" t="n">
        <v>12</v>
      </c>
      <c r="CD516" s="23" t="s">
        <v>265</v>
      </c>
      <c r="CE516" s="1" t="s">
        <v>316</v>
      </c>
      <c r="CF516" s="23" t="str">
        <f aca="false">CONCATENATE(CD516,"_",CE516)</f>
        <v>vct_Cheap</v>
      </c>
      <c r="CG516" s="23" t="str">
        <f aca="false">_xlfn.CONCAT(K516, "_",L516)</f>
        <v>steam_NARROW_GAUGE</v>
      </c>
      <c r="CH516" s="7" t="str">
        <f aca="false">_xlfn.CONCAT("{BLACK}Length: {GOLD}", TEXT(ROUNDUP(IF(AT516&lt;&gt;"",SUM(VALUE(_xlfn.TEXTSPLIT(AT516, ","))), SUM(VALUE(_xlfn.TEXTSPLIT(AQ516, ",")))*IF(P516, P516, 1))/16, 1), "#,##0.0"), " tiles{}")</f>
        <v>{BLACK}Length: {GOLD}0.3 tiles{}</v>
      </c>
      <c r="CI516" s="1" t="n">
        <f aca="false">VLOOKUP($CG516, Constants!$M:$N, 2, FALSE())</f>
        <v>0</v>
      </c>
      <c r="CJ516" s="1" t="str">
        <f aca="false">IF(P516&gt;1,_xlfn.CONCAT("{BLACK}Cars: {GOLD}", P516),"")</f>
        <v/>
      </c>
      <c r="CK516" s="1" t="s">
        <v>1967</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{GOLD}0.3 tiles{}{SILVER}"Talyllyn" was delivered to the Talyllyn railway as an 0-4-0, but converted to 0-4-2 after a few years to improve riding quality. It was retired in 1945, but refurbished in the late 1950s and returned to preservation service.</v>
      </c>
    </row>
    <row r="517" customFormat="false" ht="14.25" hidden="false" customHeight="false" outlineLevel="0" collapsed="false">
      <c r="A517" s="1" t="s">
        <v>1968</v>
      </c>
      <c r="B517" s="19" t="s">
        <v>1969</v>
      </c>
      <c r="C517" s="1" t="n">
        <v>2014</v>
      </c>
      <c r="E517" s="1" t="n">
        <v>2004</v>
      </c>
      <c r="G517" s="1" t="str">
        <f aca="false">IF($F517&lt;&gt;"",_xlfn.CONCAT(VLOOKUP($CE517, Constants!$T:$U, 2, FALSE()),",",$F517),VLOOKUP($CE517, Constants!$T:$U, 2, FALSE()))</f>
        <v>role/mixed</v>
      </c>
      <c r="H517" s="1" t="str">
        <f aca="false">IF($G517&lt;&gt;"",_xlfn.CONCAT(VLOOKUP($CG517, Constants!$M:$P, 4, FALSE()),",",$G517),VLOOKUP($CG517, Constants!$M:$P, 4, FALSE()))</f>
        <v>flag/GB,power/steam,role/mixed</v>
      </c>
      <c r="I517" s="1" t="s">
        <v>198</v>
      </c>
      <c r="J517" s="1" t="s">
        <v>206</v>
      </c>
      <c r="K517" s="1" t="s">
        <v>207</v>
      </c>
      <c r="L517" s="1" t="s">
        <v>1952</v>
      </c>
      <c r="M517" s="1" t="n">
        <v>1866</v>
      </c>
      <c r="O517" s="1" t="n">
        <v>1945</v>
      </c>
      <c r="Q517" s="1" t="n">
        <v>85</v>
      </c>
      <c r="S517" s="3" t="n">
        <v>7.6</v>
      </c>
      <c r="T517" s="3" t="n">
        <v>16</v>
      </c>
      <c r="U517" s="3" t="n">
        <v>2</v>
      </c>
      <c r="V517" s="3" t="n">
        <v>150</v>
      </c>
      <c r="W517" s="18" t="n">
        <f aca="false">((($AE517/2)/60)*5280)/($X517*3.2*PI())</f>
        <v>156.312890536683</v>
      </c>
      <c r="X517" s="3" t="n">
        <v>0.7</v>
      </c>
      <c r="Y517" s="3" t="n">
        <f aca="false">((($S517*$S517/4)*PI())*($T517/12)*$U517*$V517*$W517)/(33000*1.1)</f>
        <v>78.1385281385281</v>
      </c>
      <c r="Z517" s="1" t="n">
        <v>10</v>
      </c>
      <c r="AB517" s="1" t="n">
        <v>5</v>
      </c>
      <c r="AC517" s="1" t="n">
        <v>18</v>
      </c>
      <c r="AD517" s="4" t="n">
        <f aca="false">IF(AND(Z517&gt;0,AC517&gt;0),(AC517/((Z517+AA517)*10)),"")</f>
        <v>0.18</v>
      </c>
      <c r="AE517" s="1" t="n">
        <v>25</v>
      </c>
      <c r="AF517" s="1" t="n">
        <f aca="false">ROUND(AE517*1.6, 0)</f>
        <v>40</v>
      </c>
      <c r="AI517" s="1" t="n">
        <v>5.5</v>
      </c>
      <c r="AJ517" s="1" t="n">
        <v>6</v>
      </c>
      <c r="AM517" s="5" t="n">
        <v>0</v>
      </c>
      <c r="AN517" s="16" t="s">
        <v>237</v>
      </c>
      <c r="AO517" s="16" t="n">
        <f aca="false">ROUND(15*((AJ517*10)/256),0)</f>
        <v>4</v>
      </c>
      <c r="AQ517" s="1" t="str">
        <f aca="false">CONCATENATE(VLOOKUP(AO517,Constants!$A$2:$C$16,IF(AP517&lt;&gt;"", 3, 2), FALSE()),IF(AP517&lt;&gt;"",CONCATENATE(",",VLOOKUP(AP517,$B:$AQ,42,FALSE())),""))</f>
        <v>1,2,1</v>
      </c>
      <c r="AY517" s="1" t="n">
        <v>1</v>
      </c>
      <c r="BA517" s="1" t="n">
        <v>250</v>
      </c>
      <c r="BB517" s="16" t="n">
        <f aca="false">IF(O517&lt;&gt;"",MAX(16,(O517-M517)+8),"")</f>
        <v>87</v>
      </c>
      <c r="BC517" s="1" t="n">
        <v>-5</v>
      </c>
      <c r="BD517" s="1" t="n">
        <v>-6</v>
      </c>
      <c r="BE517" s="20" t="n">
        <f aca="false">MIN(AE517/150, 1)*30</f>
        <v>5</v>
      </c>
      <c r="BF517" s="20" t="n">
        <f aca="false">MIN(Q517/4000, 1)*20</f>
        <v>0.425</v>
      </c>
      <c r="BG517" s="20" t="n">
        <f aca="false">MIN(AC517/400,1)*20</f>
        <v>0.9</v>
      </c>
      <c r="BH517" s="21" t="n">
        <f aca="false">1-(MAX(M517-1900, 0)/750)</f>
        <v>1</v>
      </c>
      <c r="BI517" s="20" t="n">
        <f aca="false">((MAX($P517,1)*MIN($AM517/300,1)))*IF(J517="Wagon",50,10)</f>
        <v>0</v>
      </c>
      <c r="BJ517" s="1" t="n">
        <f aca="false">VLOOKUP($K517,Constants!$I:$K, 2, FALSE())</f>
        <v>1.15</v>
      </c>
      <c r="BK517" s="1" t="n">
        <f aca="false">VLOOKUP($K517,Constants!$I:$K, 3, FALSE())*IF(AND(J517="multiple_unit",AE517&lt;110),0.75,1)</f>
        <v>1.7</v>
      </c>
      <c r="BL517" s="20" t="n">
        <v>16</v>
      </c>
      <c r="BM517" s="20" t="n">
        <v>41</v>
      </c>
      <c r="BN517" s="22" t="n">
        <f aca="false">BL517*IF($J517="wagon",62.5,781.25)</f>
        <v>12500</v>
      </c>
      <c r="BO517" s="22" t="n">
        <f aca="false">BM517*IF($J517="wagon",2.73,81.25)</f>
        <v>3331.25</v>
      </c>
      <c r="BY517" s="1" t="n">
        <v>11</v>
      </c>
      <c r="CD517" s="23" t="s">
        <v>265</v>
      </c>
      <c r="CE517" s="1" t="s">
        <v>316</v>
      </c>
      <c r="CF517" s="23" t="str">
        <f aca="false">CONCATENATE(CD517,"_",CE517)</f>
        <v>vct_Cheap</v>
      </c>
      <c r="CG517" s="23" t="str">
        <f aca="false">_xlfn.CONCAT(K517, "_",L517)</f>
        <v>steam_NARROW_GAUGE</v>
      </c>
      <c r="CH517" s="7" t="str">
        <f aca="false">_xlfn.CONCAT("{BLACK}Length: {GOLD}", TEXT(ROUNDUP(IF(AT517&lt;&gt;"",SUM(VALUE(_xlfn.TEXTSPLIT(AT517, ","))), SUM(VALUE(_xlfn.TEXTSPLIT(AQ517, ",")))*IF(P517, P517, 1))/16, 1), "#,##0.0"), " tiles{}")</f>
        <v>{BLACK}Length: {GOLD}0.3 tiles{}</v>
      </c>
      <c r="CI517" s="1" t="n">
        <f aca="false">VLOOKUP($CG517, Constants!$M:$N, 2, FALSE())</f>
        <v>0</v>
      </c>
      <c r="CJ517" s="1" t="str">
        <f aca="false">IF(P517&gt;1,_xlfn.CONCAT("{BLACK}Cars: {GOLD}", P517),"")</f>
        <v/>
      </c>
      <c r="CK517" s="1" t="s">
        <v>1970</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18" customFormat="false" ht="14.25" hidden="false" customHeight="false" outlineLevel="0" collapsed="false">
      <c r="A518" s="1" t="s">
        <v>1971</v>
      </c>
      <c r="B518" s="19" t="s">
        <v>1972</v>
      </c>
      <c r="C518" s="1" t="n">
        <v>2015</v>
      </c>
      <c r="E518" s="1" t="n">
        <v>2005</v>
      </c>
      <c r="G518" s="1" t="str">
        <f aca="false">IF($F518&lt;&gt;"",_xlfn.CONCAT(VLOOKUP($CE518, Constants!$T:$U, 2, FALSE()),",",$F518),VLOOKUP($CE518, Constants!$T:$U, 2, FALSE()))</f>
        <v>role/mixed</v>
      </c>
      <c r="H518" s="1" t="str">
        <f aca="false">IF($G518&lt;&gt;"",_xlfn.CONCAT(VLOOKUP($CG518, Constants!$M:$P, 4, FALSE()),",",$G518),VLOOKUP($CG518, Constants!$M:$P, 4, FALSE()))</f>
        <v>flag/GB,power/steam,role/mixed</v>
      </c>
      <c r="I518" s="1" t="s">
        <v>198</v>
      </c>
      <c r="J518" s="1" t="s">
        <v>206</v>
      </c>
      <c r="K518" s="1" t="s">
        <v>207</v>
      </c>
      <c r="L518" s="1" t="s">
        <v>1952</v>
      </c>
      <c r="M518" s="1" t="n">
        <v>1869</v>
      </c>
      <c r="Q518" s="1" t="n">
        <v>275</v>
      </c>
      <c r="S518" s="3" t="n">
        <v>8.25</v>
      </c>
      <c r="T518" s="3" t="n">
        <v>13</v>
      </c>
      <c r="U518" s="3" t="n">
        <v>4</v>
      </c>
      <c r="V518" s="3" t="n">
        <v>160</v>
      </c>
      <c r="W518" s="18" t="n">
        <f aca="false">((($AE518/2)/60)*5280)/($X518*3.2*PI())</f>
        <v>218.838046751356</v>
      </c>
      <c r="X518" s="3" t="n">
        <v>0.7</v>
      </c>
      <c r="Y518" s="3" t="n">
        <f aca="false">((($S518*$S518/4)*PI())*($T518/12)*$U518*$V518*$W518)/(33000*1.1)</f>
        <v>223.4375</v>
      </c>
      <c r="Z518" s="1" t="n">
        <v>10</v>
      </c>
      <c r="AB518" s="1" t="n">
        <v>5</v>
      </c>
      <c r="AC518" s="1" t="n">
        <v>38</v>
      </c>
      <c r="AD518" s="4" t="n">
        <f aca="false">IF(AND(Z518&gt;0,AC518&gt;0),(AC518/((Z518+AA518)*10)),"")</f>
        <v>0.38</v>
      </c>
      <c r="AE518" s="1" t="n">
        <v>35</v>
      </c>
      <c r="AF518" s="1" t="n">
        <f aca="false">ROUND(AE518*1.6, 0)</f>
        <v>56</v>
      </c>
      <c r="AJ518" s="1" t="n">
        <v>12</v>
      </c>
      <c r="AM518" s="5" t="n">
        <v>0</v>
      </c>
      <c r="AN518" s="16" t="s">
        <v>280</v>
      </c>
      <c r="AO518" s="16" t="n">
        <f aca="false">ROUND(15*((AJ518*10)/256),0)</f>
        <v>7</v>
      </c>
      <c r="AQ518" s="1" t="str">
        <f aca="false">CONCATENATE(VLOOKUP(AO518,Constants!$A$2:$C$16,IF(AP518&lt;&gt;"", 3, 2), FALSE()),IF(AP518&lt;&gt;"",CONCATENATE(",",VLOOKUP(AP518,$B:$AQ,42,FALSE())),""))</f>
        <v>2,3,2</v>
      </c>
      <c r="AY518" s="1" t="n">
        <v>1</v>
      </c>
      <c r="BA518" s="1" t="n">
        <v>250</v>
      </c>
      <c r="BB518" s="16" t="str">
        <f aca="false">IF(O518&lt;&gt;"",MAX(16,(O518-M518)+8),"")</f>
        <v/>
      </c>
      <c r="BC518" s="1" t="n">
        <v>-5</v>
      </c>
      <c r="BD518" s="1" t="n">
        <v>-6</v>
      </c>
      <c r="BE518" s="20" t="n">
        <f aca="false">MIN(AE518/150, 1)*30</f>
        <v>7</v>
      </c>
      <c r="BF518" s="20" t="n">
        <f aca="false">MIN(Q518/4000, 1)*20</f>
        <v>1.375</v>
      </c>
      <c r="BG518" s="20" t="n">
        <f aca="false">MIN(AC518/400,1)*20</f>
        <v>1.9</v>
      </c>
      <c r="BH518" s="21" t="n">
        <f aca="false">1-(MAX(M518-1900, 0)/750)</f>
        <v>1</v>
      </c>
      <c r="BI518" s="20" t="n">
        <f aca="false">((MAX($P518,1)*MIN($AM518/300,1)))*IF(J518="Wagon",50,10)</f>
        <v>0</v>
      </c>
      <c r="BJ518" s="1" t="n">
        <f aca="false">VLOOKUP($K518,Constants!$I:$K, 2, FALSE())</f>
        <v>1.15</v>
      </c>
      <c r="BK518" s="1" t="n">
        <f aca="false">VLOOKUP($K518,Constants!$I:$K, 3, FALSE())*IF(AND(J518="multiple_unit",AE518&lt;110),0.75,1)</f>
        <v>1.7</v>
      </c>
      <c r="BL518" s="20" t="n">
        <v>24</v>
      </c>
      <c r="BM518" s="20" t="n">
        <v>52</v>
      </c>
      <c r="BN518" s="22" t="n">
        <f aca="false">BL518*IF($J518="wagon",62.5,781.25)</f>
        <v>18750</v>
      </c>
      <c r="BO518" s="22" t="n">
        <f aca="false">BM518*IF($J518="wagon",2.73,81.25)</f>
        <v>4225</v>
      </c>
      <c r="BY518" s="1" t="n">
        <v>11</v>
      </c>
      <c r="CD518" s="23" t="s">
        <v>265</v>
      </c>
      <c r="CE518" s="1" t="s">
        <v>316</v>
      </c>
      <c r="CF518" s="23" t="str">
        <f aca="false">CONCATENATE(CD518,"_",CE518)</f>
        <v>vct_Cheap</v>
      </c>
      <c r="CG518" s="23" t="str">
        <f aca="false">_xlfn.CONCAT(K518, "_",L518)</f>
        <v>steam_NARROW_GAUGE</v>
      </c>
      <c r="CH518" s="7" t="str">
        <f aca="false">_xlfn.CONCAT("{BLACK}Length: {GOLD}", TEXT(ROUNDUP(IF(AT518&lt;&gt;"",SUM(VALUE(_xlfn.TEXTSPLIT(AT518, ","))), SUM(VALUE(_xlfn.TEXTSPLIT(AQ518, ",")))*IF(P518, P518, 1))/16, 1), "#,##0.0"), " tiles{}")</f>
        <v>{BLACK}Length: {GOLD}0.5 tiles{}</v>
      </c>
      <c r="CI518" s="1" t="n">
        <f aca="false">VLOOKUP($CG518, Constants!$M:$N, 2, FALSE())</f>
        <v>0</v>
      </c>
      <c r="CJ518" s="1" t="str">
        <f aca="false">IF(P518&gt;1,_xlfn.CONCAT("{BLACK}Cars: {GOLD}", P518),"")</f>
        <v/>
      </c>
      <c r="CK518" s="1" t="s">
        <v>1973</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19" customFormat="false" ht="14.25" hidden="false" customHeight="false" outlineLevel="0" collapsed="false">
      <c r="A519" s="1" t="s">
        <v>1974</v>
      </c>
      <c r="B519" s="19" t="s">
        <v>1975</v>
      </c>
      <c r="C519" s="1" t="n">
        <v>2016</v>
      </c>
      <c r="E519" s="1" t="n">
        <v>2006</v>
      </c>
      <c r="G519" s="1" t="str">
        <f aca="false">IF($F519&lt;&gt;"",_xlfn.CONCAT(VLOOKUP($CE519, Constants!$T:$U, 2, FALSE()),",",$F519),VLOOKUP($CE519, Constants!$T:$U, 2, FALSE()))</f>
        <v>role/mixed</v>
      </c>
      <c r="H519" s="1" t="str">
        <f aca="false">IF($G519&lt;&gt;"",_xlfn.CONCAT(VLOOKUP($CG519, Constants!$M:$P, 4, FALSE()),",",$G519),VLOOKUP($CG519, Constants!$M:$P, 4, FALSE()))</f>
        <v>flag/GB,power/steam,role/mixed</v>
      </c>
      <c r="I519" s="1" t="s">
        <v>198</v>
      </c>
      <c r="J519" s="1" t="s">
        <v>206</v>
      </c>
      <c r="K519" s="1" t="s">
        <v>207</v>
      </c>
      <c r="L519" s="1" t="s">
        <v>1952</v>
      </c>
      <c r="M519" s="1" t="n">
        <v>1903</v>
      </c>
      <c r="O519" s="1" t="n">
        <v>1960</v>
      </c>
      <c r="Q519" s="1" t="n">
        <v>55</v>
      </c>
      <c r="S519" s="3" t="n">
        <v>7</v>
      </c>
      <c r="T519" s="3" t="n">
        <v>10</v>
      </c>
      <c r="U519" s="3" t="n">
        <v>2</v>
      </c>
      <c r="V519" s="3" t="n">
        <v>160</v>
      </c>
      <c r="W519" s="18" t="n">
        <f aca="false">((($AE519/2)/60)*5280)/($X519*3.2*PI())</f>
        <v>187.57546864402</v>
      </c>
      <c r="X519" s="3" t="n">
        <v>0.7</v>
      </c>
      <c r="Y519" s="3" t="n">
        <f aca="false">((($S519*$S519/4)*PI())*($T519/12)*$U519*$V519*$W519)/(33000*1.1)</f>
        <v>53.030303030303</v>
      </c>
      <c r="Z519" s="1" t="n">
        <v>7</v>
      </c>
      <c r="AB519" s="1" t="n">
        <v>5</v>
      </c>
      <c r="AC519" s="1" t="n">
        <v>12</v>
      </c>
      <c r="AD519" s="4" t="n">
        <f aca="false">IF(AND(Z519&gt;0,AC519&gt;0),(AC519/((Z519+AA519)*10)),"")</f>
        <v>0.171428571428571</v>
      </c>
      <c r="AE519" s="1" t="n">
        <v>30</v>
      </c>
      <c r="AF519" s="1" t="n">
        <f aca="false">ROUND(AE519*1.6, 0)</f>
        <v>48</v>
      </c>
      <c r="AI519" s="1" t="n">
        <v>4</v>
      </c>
      <c r="AJ519" s="1" t="n">
        <v>6</v>
      </c>
      <c r="AM519" s="5" t="n">
        <v>0</v>
      </c>
      <c r="AN519" s="16" t="s">
        <v>237</v>
      </c>
      <c r="AO519" s="16" t="n">
        <f aca="false">ROUND(15*((AJ519*10)/256),0)</f>
        <v>4</v>
      </c>
      <c r="AQ519" s="1" t="str">
        <f aca="false">CONCATENATE(VLOOKUP(AO519,Constants!$A$2:$C$16,IF(AP519&lt;&gt;"", 3, 2), FALSE()),IF(AP519&lt;&gt;"",CONCATENATE(",",VLOOKUP(AP519,$B:$AQ,42,FALSE())),""))</f>
        <v>1,2,1</v>
      </c>
      <c r="AY519" s="1" t="n">
        <v>1</v>
      </c>
      <c r="BA519" s="1" t="n">
        <v>250</v>
      </c>
      <c r="BB519" s="16" t="n">
        <f aca="false">IF(O519&lt;&gt;"",MAX(16,(O519-M519)+8),"")</f>
        <v>65</v>
      </c>
      <c r="BC519" s="1" t="n">
        <v>-5</v>
      </c>
      <c r="BD519" s="1" t="n">
        <v>-5</v>
      </c>
      <c r="BE519" s="20" t="n">
        <f aca="false">MIN(AE519/150, 1)*30</f>
        <v>6</v>
      </c>
      <c r="BF519" s="20" t="n">
        <f aca="false">MIN(Q519/4000, 1)*20</f>
        <v>0.275</v>
      </c>
      <c r="BG519" s="20" t="n">
        <f aca="false">MIN(AC519/400,1)*20</f>
        <v>0.6</v>
      </c>
      <c r="BH519" s="21" t="n">
        <f aca="false">1-(MAX(M519-1900, 0)/750)</f>
        <v>0.996</v>
      </c>
      <c r="BI519" s="20" t="n">
        <f aca="false">((MAX($P519,1)*MIN($AM519/300,1)))*IF(J519="Wagon",50,10)</f>
        <v>0</v>
      </c>
      <c r="BJ519" s="1" t="n">
        <f aca="false">VLOOKUP($K519,Constants!$I:$K, 2, FALSE())</f>
        <v>1.15</v>
      </c>
      <c r="BK519" s="1" t="n">
        <f aca="false">VLOOKUP($K519,Constants!$I:$K, 3, FALSE())*IF(AND(J519="multiple_unit",AE519&lt;110),0.75,1)</f>
        <v>1.7</v>
      </c>
      <c r="BL519" s="20" t="n">
        <v>18</v>
      </c>
      <c r="BM519" s="20" t="n">
        <v>42</v>
      </c>
      <c r="BN519" s="22" t="n">
        <f aca="false">BL519*IF($J519="wagon",62.5,781.25)</f>
        <v>14062.5</v>
      </c>
      <c r="BO519" s="22" t="n">
        <f aca="false">BM519*IF($J519="wagon",2.73,81.25)</f>
        <v>3412.5</v>
      </c>
      <c r="BY519" s="1" t="n">
        <v>10</v>
      </c>
      <c r="CD519" s="23" t="s">
        <v>343</v>
      </c>
      <c r="CE519" s="1" t="s">
        <v>316</v>
      </c>
      <c r="CF519" s="23" t="str">
        <f aca="false">CONCATENATE(CD519,"_",CE519)</f>
        <v>edw_Cheap</v>
      </c>
      <c r="CG519" s="23" t="str">
        <f aca="false">_xlfn.CONCAT(K519, "_",L519)</f>
        <v>steam_NARROW_GAUGE</v>
      </c>
      <c r="CH519" s="7" t="str">
        <f aca="false">_xlfn.CONCAT("{BLACK}Length: {GOLD}", TEXT(ROUNDUP(IF(AT519&lt;&gt;"",SUM(VALUE(_xlfn.TEXTSPLIT(AT519, ","))), SUM(VALUE(_xlfn.TEXTSPLIT(AQ519, ",")))*IF(P519, P519, 1))/16, 1), "#,##0.0"), " tiles{}")</f>
        <v>{BLACK}Length: {GOLD}0.3 tiles{}</v>
      </c>
      <c r="CI519" s="1" t="n">
        <f aca="false">VLOOKUP($CG519, Constants!$M:$N, 2, FALSE())</f>
        <v>0</v>
      </c>
      <c r="CJ519" s="1" t="str">
        <f aca="false">IF(P519&gt;1,_xlfn.CONCAT("{BLACK}Cars: {GOLD}", P519),"")</f>
        <v/>
      </c>
      <c r="CK519" s="1" t="s">
        <v>1976</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{GOLD}0.3 tiles{}{SILVER}These small Hunslet tank engines were used as quarry locomotives. "Alice" worked at Dinorwic, being used as a source of spare parts afterward, before being restored in the late '80s and early '90s and now running on the Bala Lake Railway.</v>
      </c>
    </row>
    <row r="520" customFormat="false" ht="14.25" hidden="false" customHeight="false" outlineLevel="0" collapsed="false">
      <c r="A520" s="24" t="s">
        <v>1977</v>
      </c>
      <c r="B520" s="19" t="s">
        <v>1978</v>
      </c>
      <c r="C520" s="1" t="n">
        <v>2017</v>
      </c>
      <c r="E520" s="1" t="n">
        <v>-1</v>
      </c>
      <c r="G520" s="1" t="str">
        <f aca="false">IF($F520&lt;&gt;"",_xlfn.CONCAT(VLOOKUP($CE520, Constants!$T:$U, 2, FALSE()),",",$F520),VLOOKUP($CE520, Constants!$T:$U, 2, FALSE()))</f>
        <v>role/mixed</v>
      </c>
      <c r="H520" s="1" t="str">
        <f aca="false">IF($G520&lt;&gt;"",_xlfn.CONCAT(VLOOKUP($CG520, Constants!$M:$P, 4, FALSE()),",",$G520),VLOOKUP($CG520, Constants!$M:$P, 4, FALSE()))</f>
        <v>flag/GB,power/steam,role/mixed</v>
      </c>
      <c r="J520" s="1" t="s">
        <v>309</v>
      </c>
      <c r="K520" s="1" t="s">
        <v>207</v>
      </c>
      <c r="L520" s="1" t="s">
        <v>1952</v>
      </c>
      <c r="M520" s="1" t="n">
        <v>1903</v>
      </c>
      <c r="O520" s="1" t="n">
        <v>1951</v>
      </c>
      <c r="W520" s="18" t="n">
        <f aca="false">((($AE520/2)/60)*5280)/($X520*3.2*PI())</f>
        <v>0</v>
      </c>
      <c r="X520" s="3" t="n">
        <v>0.7</v>
      </c>
      <c r="Y520" s="3" t="n">
        <f aca="false">((($S520*$S520/4)*PI())*($T520/12)*$U520*$V520*$W520)/(33000*1.1)</f>
        <v>0</v>
      </c>
      <c r="AB520" s="1" t="n">
        <v>5</v>
      </c>
      <c r="AD520" s="4" t="str">
        <f aca="false">IF(AND(Z520&gt;0,AC520&gt;0),(AC520/((Z520+AA520)*10)),"")</f>
        <v/>
      </c>
      <c r="AF520" s="1" t="n">
        <f aca="false">ROUND(AE520*1.6, 0)</f>
        <v>0</v>
      </c>
      <c r="AM520" s="5" t="n">
        <v>0</v>
      </c>
      <c r="AN520" s="16" t="s">
        <v>331</v>
      </c>
      <c r="AO520" s="16" t="n">
        <f aca="false">ROUND(15*((AJ520*10)/256),0)</f>
        <v>0</v>
      </c>
      <c r="AQ520" s="1" t="str">
        <f aca="false">CONCATENATE(VLOOKUP(AO520,Constants!$A$2:$C$16,IF(AP520&lt;&gt;"", 3, 2), FALSE()),IF(AP520&lt;&gt;"",CONCATENATE(",",VLOOKUP(AP520,$B:$AQ,42,FALSE())),""))</f>
        <v>na</v>
      </c>
      <c r="AY520" s="1" t="n">
        <v>1</v>
      </c>
      <c r="BA520" s="1" t="n">
        <v>250</v>
      </c>
      <c r="BB520" s="16" t="n">
        <f aca="false">IF(O520&lt;&gt;"",MAX(16,(O520-M520)+8),"")</f>
        <v>56</v>
      </c>
      <c r="BC520" s="1" t="n">
        <v>-5</v>
      </c>
      <c r="BD520" s="1" t="n">
        <v>-5</v>
      </c>
      <c r="BE520" s="20" t="n">
        <f aca="false">MIN(AE520/150, 1)*30</f>
        <v>0</v>
      </c>
      <c r="BF520" s="20" t="n">
        <f aca="false">MIN(Q520/4000, 1)*20</f>
        <v>0</v>
      </c>
      <c r="BG520" s="20" t="n">
        <f aca="false">MIN(AC520/400,1)*20</f>
        <v>0</v>
      </c>
      <c r="BH520" s="21" t="n">
        <f aca="false">1-(MAX(M520-1900, 0)/750)</f>
        <v>0.996</v>
      </c>
      <c r="BI520" s="20" t="n">
        <f aca="false">((MAX($P520,1)*MIN($AM520/300,1)))*IF(J520="Wagon",50,10)</f>
        <v>0</v>
      </c>
      <c r="BJ520" s="1" t="n">
        <f aca="false">VLOOKUP($K520,Constants!$I:$K, 2, FALSE())</f>
        <v>1.15</v>
      </c>
      <c r="BK520" s="1" t="n">
        <f aca="false">VLOOKUP($K520,Constants!$I:$K, 3, FALSE())*IF(AND(J520="multiple_unit",AE520&lt;110),0.75,1)</f>
        <v>1.7</v>
      </c>
      <c r="BL520" s="20" t="n">
        <v>4</v>
      </c>
      <c r="BM520" s="20" t="n">
        <v>25</v>
      </c>
      <c r="BN520" s="22" t="n">
        <f aca="false">BL520*IF($J520="wagon",62.5,781.25)</f>
        <v>3125</v>
      </c>
      <c r="BO520" s="22" t="n">
        <f aca="false">BM520*IF($J520="wagon",2.73,81.25)</f>
        <v>2031.25</v>
      </c>
      <c r="BY520" s="1" t="n">
        <v>9</v>
      </c>
      <c r="CD520" s="23" t="s">
        <v>343</v>
      </c>
      <c r="CE520" s="1" t="s">
        <v>316</v>
      </c>
      <c r="CF520" s="23" t="str">
        <f aca="false">CONCATENATE(CD520,"_",CE520)</f>
        <v>edw_Cheap</v>
      </c>
      <c r="CG520" s="23" t="str">
        <f aca="false">_xlfn.CONCAT(K520, "_",L520)</f>
        <v>steam_NARROW_GAUGE</v>
      </c>
      <c r="CH520" s="7" t="e">
        <f aca="false">_xlfn.CONCAT("{BLACK}Length: {GOLD}", TEXT(ROUNDUP(IF(AT520&lt;&gt;"",SUM(VALUE(_xlfn.TEXTSPLIT(AT520, ","))), SUM(VALUE(_xlfn.TEXTSPLIT(AQ520, ",")))*IF(P520, P520, 1))/16, 1), "#,##0.0"), " tiles{}")</f>
        <v>#VALUE!</v>
      </c>
      <c r="CI520" s="1" t="n">
        <f aca="false">VLOOKUP($CG520, Constants!$M:$N, 2, FALSE())</f>
        <v>0</v>
      </c>
      <c r="CJ520" s="1" t="str">
        <f aca="false">IF(P520&gt;1,_xlfn.CONCAT("{BLACK}Cars: {GOLD}", P520),"")</f>
        <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e">
        <f aca="false">_xlfn.CONCAT(CI520,IF(CI520&lt;&gt;""," ",""),CJ520,IF(OR(CJ520&lt;&gt;"",CI520&lt;&gt;""),"{}",""),CH520,CM520,"{SILVER}",CK520,IF(CL520&lt;&gt;"","{}{}",""),CL520)</f>
        <v>#VALUE!</v>
      </c>
    </row>
    <row r="521" customFormat="false" ht="14.25" hidden="false" customHeight="false" outlineLevel="0" collapsed="false">
      <c r="A521" s="1" t="s">
        <v>1979</v>
      </c>
      <c r="B521" s="19" t="s">
        <v>1980</v>
      </c>
      <c r="C521" s="1" t="n">
        <v>2018</v>
      </c>
      <c r="E521" s="1" t="n">
        <v>2007</v>
      </c>
      <c r="G521" s="1" t="str">
        <f aca="false">IF($F521&lt;&gt;"",_xlfn.CONCAT(VLOOKUP($CE521, Constants!$T:$U, 2, FALSE()),",",$F521),VLOOKUP($CE521, Constants!$T:$U, 2, FALSE()))</f>
        <v>role/mixed</v>
      </c>
      <c r="H521" s="1" t="str">
        <f aca="false">IF($G521&lt;&gt;"",_xlfn.CONCAT(VLOOKUP($CG521, Constants!$M:$P, 4, FALSE()),",",$G521),VLOOKUP($CG521, Constants!$M:$P, 4, FALSE()))</f>
        <v>flag/GB,power/steam,role/mixed</v>
      </c>
      <c r="I521" s="1" t="s">
        <v>198</v>
      </c>
      <c r="J521" s="1" t="s">
        <v>206</v>
      </c>
      <c r="K521" s="1" t="s">
        <v>207</v>
      </c>
      <c r="L521" s="1" t="s">
        <v>1952</v>
      </c>
      <c r="M521" s="1" t="n">
        <v>1918</v>
      </c>
      <c r="O521" s="1" t="n">
        <v>1955</v>
      </c>
      <c r="Q521" s="1" t="n">
        <v>65</v>
      </c>
      <c r="S521" s="3" t="n">
        <v>6.8</v>
      </c>
      <c r="T521" s="3" t="n">
        <v>10.75</v>
      </c>
      <c r="U521" s="3" t="n">
        <v>2</v>
      </c>
      <c r="V521" s="3" t="n">
        <v>160</v>
      </c>
      <c r="W521" s="18" t="n">
        <f aca="false">((($AE521/2)/60)*5280)/($X521*3.2*PI())</f>
        <v>218.838046751356</v>
      </c>
      <c r="X521" s="3" t="n">
        <v>0.6</v>
      </c>
      <c r="Y521" s="3" t="n">
        <f aca="false">((($S521*$S521/4)*PI())*($T521/12)*$U521*$V521*$W521)/(33000*1.1)</f>
        <v>62.7626262626263</v>
      </c>
      <c r="Z521" s="1" t="n">
        <v>8</v>
      </c>
      <c r="AB521" s="1" t="n">
        <v>5</v>
      </c>
      <c r="AC521" s="1" t="n">
        <v>15</v>
      </c>
      <c r="AD521" s="4" t="n">
        <f aca="false">IF(AND(Z521&gt;0,AC521&gt;0),(AC521/((Z521+AA521)*10)),"")</f>
        <v>0.1875</v>
      </c>
      <c r="AE521" s="1" t="n">
        <v>30</v>
      </c>
      <c r="AF521" s="1" t="n">
        <f aca="false">ROUND(AE521*1.6, 0)</f>
        <v>48</v>
      </c>
      <c r="AI521" s="1" t="n">
        <v>4.7</v>
      </c>
      <c r="AJ521" s="1" t="n">
        <v>6</v>
      </c>
      <c r="AM521" s="5" t="n">
        <v>0</v>
      </c>
      <c r="AN521" s="16" t="s">
        <v>237</v>
      </c>
      <c r="AO521" s="16" t="n">
        <f aca="false">ROUND(15*((AJ521*10)/256),0)</f>
        <v>4</v>
      </c>
      <c r="AQ521" s="1" t="str">
        <f aca="false">CONCATENATE(VLOOKUP(AO521,Constants!$A$2:$C$16,IF(AP521&lt;&gt;"", 3, 2), FALSE()),IF(AP521&lt;&gt;"",CONCATENATE(",",VLOOKUP(AP521,$B:$AQ,42,FALSE())),""))</f>
        <v>1,2,1</v>
      </c>
      <c r="AY521" s="1" t="n">
        <v>1</v>
      </c>
      <c r="BA521" s="1" t="n">
        <v>250</v>
      </c>
      <c r="BB521" s="16" t="n">
        <f aca="false">IF(O521&lt;&gt;"",MAX(16,(O521-M521)+8),"")</f>
        <v>45</v>
      </c>
      <c r="BC521" s="1" t="n">
        <v>-5</v>
      </c>
      <c r="BD521" s="1" t="n">
        <v>-7</v>
      </c>
      <c r="BE521" s="20" t="n">
        <f aca="false">MIN(AE521/150, 1)*30</f>
        <v>6</v>
      </c>
      <c r="BF521" s="20" t="n">
        <f aca="false">MIN(Q521/4000, 1)*20</f>
        <v>0.325</v>
      </c>
      <c r="BG521" s="20" t="n">
        <f aca="false">MIN(AC521/400,1)*20</f>
        <v>0.75</v>
      </c>
      <c r="BH521" s="21" t="n">
        <f aca="false">1-(MAX(M521-1900, 0)/750)</f>
        <v>0.976</v>
      </c>
      <c r="BI521" s="20" t="n">
        <f aca="false">((MAX($P521,1)*MIN($AM521/300,1)))*IF(J521="Wagon",50,10)</f>
        <v>0</v>
      </c>
      <c r="BJ521" s="1" t="n">
        <f aca="false">VLOOKUP($K521,Constants!$I:$K, 2, FALSE())</f>
        <v>1.15</v>
      </c>
      <c r="BK521" s="1" t="n">
        <f aca="false">VLOOKUP($K521,Constants!$I:$K, 3, FALSE())*IF(AND(J521="multiple_unit",AE521&lt;110),0.75,1)</f>
        <v>1.7</v>
      </c>
      <c r="BL521" s="20" t="n">
        <v>16</v>
      </c>
      <c r="BM521" s="20" t="n">
        <v>42</v>
      </c>
      <c r="BN521" s="22" t="n">
        <f aca="false">BL521*IF($J521="wagon",62.5,781.25)</f>
        <v>12500</v>
      </c>
      <c r="BO521" s="22" t="n">
        <f aca="false">BM521*IF($J521="wagon",2.73,81.25)</f>
        <v>3412.5</v>
      </c>
      <c r="BY521" s="1" t="n">
        <v>8</v>
      </c>
      <c r="CD521" s="23" t="s">
        <v>343</v>
      </c>
      <c r="CE521" s="1" t="s">
        <v>316</v>
      </c>
      <c r="CF521" s="23" t="str">
        <f aca="false">CONCATENATE(CD521,"_",CE521)</f>
        <v>edw_Cheap</v>
      </c>
      <c r="CG521" s="23" t="str">
        <f aca="false">_xlfn.CONCAT(K521, "_",L521)</f>
        <v>steam_NARROW_GAUGE</v>
      </c>
      <c r="CH521" s="7" t="str">
        <f aca="false">_xlfn.CONCAT("{BLACK}Length: {GOLD}", TEXT(ROUNDUP(IF(AT521&lt;&gt;"",SUM(VALUE(_xlfn.TEXTSPLIT(AT521, ","))), SUM(VALUE(_xlfn.TEXTSPLIT(AQ521, ",")))*IF(P521, P521, 1))/16, 1), "#,##0.0"), " tiles{}")</f>
        <v>{BLACK}Length: {GOLD}0.3 tiles{}</v>
      </c>
      <c r="CI521" s="1" t="n">
        <f aca="false">VLOOKUP($CG521, Constants!$M:$N, 2, FALSE())</f>
        <v>0</v>
      </c>
      <c r="CJ521" s="1" t="str">
        <f aca="false">IF(P521&gt;1,_xlfn.CONCAT("{BLACK}Cars: {GOLD}", P521),"")</f>
        <v/>
      </c>
      <c r="CK521" s="1" t="s">
        <v>1981</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{GOLD}0.3 tiles{}{SILVER}The E Class is a small 0-4-0 well tank. One used by the RAF is preserved on the Talyllyn railway as "Douglas", named after second owner Douglas Abelson who donated it from his engineering firm.</v>
      </c>
    </row>
    <row r="522" customFormat="false" ht="14.25" hidden="false" customHeight="false" outlineLevel="0" collapsed="false">
      <c r="A522" s="1" t="s">
        <v>1982</v>
      </c>
      <c r="B522" s="19" t="s">
        <v>1983</v>
      </c>
      <c r="C522" s="1" t="n">
        <v>2019</v>
      </c>
      <c r="E522" s="1" t="n">
        <v>2008</v>
      </c>
      <c r="G522" s="1" t="str">
        <f aca="false">IF($F522&lt;&gt;"",_xlfn.CONCAT(VLOOKUP($CE522, Constants!$T:$U, 2, FALSE()),",",$F522),VLOOKUP($CE522, Constants!$T:$U, 2, FALSE()))</f>
        <v>role/mixed</v>
      </c>
      <c r="H522" s="1" t="str">
        <f aca="false">IF($G522&lt;&gt;"",_xlfn.CONCAT(VLOOKUP($CG522, Constants!$M:$P, 4, FALSE()),",",$G522),VLOOKUP($CG522, Constants!$M:$P, 4, FALSE()))</f>
        <v>flag/GB,power/steam,role/mixed</v>
      </c>
      <c r="I522" s="1" t="s">
        <v>198</v>
      </c>
      <c r="J522" s="1" t="s">
        <v>206</v>
      </c>
      <c r="K522" s="1" t="s">
        <v>207</v>
      </c>
      <c r="L522" s="1" t="s">
        <v>1952</v>
      </c>
      <c r="M522" s="1" t="n">
        <v>1923</v>
      </c>
      <c r="O522" s="1" t="n">
        <v>1968</v>
      </c>
      <c r="Q522" s="1" t="n">
        <v>250</v>
      </c>
      <c r="S522" s="3" t="n">
        <v>11.5</v>
      </c>
      <c r="T522" s="3" t="n">
        <v>17</v>
      </c>
      <c r="U522" s="3" t="n">
        <v>2</v>
      </c>
      <c r="V522" s="3" t="n">
        <v>165</v>
      </c>
      <c r="W522" s="18" t="n">
        <f aca="false">((($AE522/2)/60)*5280)/($X522*3.2*PI())</f>
        <v>153.186632725949</v>
      </c>
      <c r="X522" s="3" t="n">
        <v>1</v>
      </c>
      <c r="Y522" s="3" t="n">
        <f aca="false">((($S522*$S522/4)*PI())*($T522/12)*$U522*$V522*$W522)/(33000*1.1)</f>
        <v>204.918619791667</v>
      </c>
      <c r="Z522" s="1" t="n">
        <v>25</v>
      </c>
      <c r="AB522" s="1" t="n">
        <v>5</v>
      </c>
      <c r="AC522" s="1" t="n">
        <v>44</v>
      </c>
      <c r="AD522" s="4" t="n">
        <f aca="false">IF(AND(Z522&gt;0,AC522&gt;0),(AC522/((Z522+AA522)*10)),"")</f>
        <v>0.176</v>
      </c>
      <c r="AE522" s="1" t="n">
        <v>35</v>
      </c>
      <c r="AF522" s="1" t="n">
        <f aca="false">ROUND(AE522*1.6, 0)</f>
        <v>56</v>
      </c>
      <c r="AJ522" s="1" t="n">
        <v>8</v>
      </c>
      <c r="AM522" s="5" t="n">
        <v>0</v>
      </c>
      <c r="AN522" s="16" t="s">
        <v>229</v>
      </c>
      <c r="AO522" s="16" t="n">
        <f aca="false">ROUND(15*((AJ522*10)/256),0)</f>
        <v>5</v>
      </c>
      <c r="AQ522" s="1" t="str">
        <f aca="false">CONCATENATE(VLOOKUP(AO522,Constants!$A$2:$C$16,IF(AP522&lt;&gt;"", 3, 2), FALSE()),IF(AP522&lt;&gt;"",CONCATENATE(",",VLOOKUP(AP522,$B:$AQ,42,FALSE())),""))</f>
        <v>2,1,2</v>
      </c>
      <c r="AY522" s="1" t="n">
        <v>1</v>
      </c>
      <c r="BA522" s="1" t="n">
        <v>250</v>
      </c>
      <c r="BB522" s="16" t="n">
        <f aca="false">IF(O522&lt;&gt;"",MAX(16,(O522-M522)+8),"")</f>
        <v>53</v>
      </c>
      <c r="BC522" s="1" t="n">
        <v>-10</v>
      </c>
      <c r="BD522" s="1" t="n">
        <v>-5</v>
      </c>
      <c r="BE522" s="20" t="n">
        <f aca="false">MIN(AE522/150, 1)*30</f>
        <v>7</v>
      </c>
      <c r="BF522" s="20" t="n">
        <f aca="false">MIN(Q522/4000, 1)*20</f>
        <v>1.25</v>
      </c>
      <c r="BG522" s="20" t="n">
        <f aca="false">MIN(AC522/400,1)*20</f>
        <v>2.2</v>
      </c>
      <c r="BH522" s="21" t="n">
        <f aca="false">1-(MAX(M522-1900, 0)/750)</f>
        <v>0.969333333333333</v>
      </c>
      <c r="BI522" s="20" t="n">
        <f aca="false">((MAX($P522,1)*MIN($AM522/300,1)))*IF(J522="Wagon",50,10)</f>
        <v>0</v>
      </c>
      <c r="BJ522" s="1" t="n">
        <f aca="false">VLOOKUP($K522,Constants!$I:$K, 2, FALSE())</f>
        <v>1.15</v>
      </c>
      <c r="BK522" s="1" t="n">
        <f aca="false">VLOOKUP($K522,Constants!$I:$K, 3, FALSE())*IF(AND(J522="multiple_unit",AE522&lt;110),0.75,1)</f>
        <v>1.7</v>
      </c>
      <c r="BL522" s="20" t="n">
        <v>24</v>
      </c>
      <c r="BM522" s="20" t="n">
        <v>45</v>
      </c>
      <c r="BN522" s="22" t="n">
        <f aca="false">BL522*IF($J522="wagon",62.5,781.25)</f>
        <v>18750</v>
      </c>
      <c r="BO522" s="22" t="n">
        <f aca="false">BM522*IF($J522="wagon",2.73,81.25)</f>
        <v>3656.25</v>
      </c>
      <c r="BY522" s="1" t="n">
        <v>7</v>
      </c>
      <c r="CD522" s="23" t="s">
        <v>428</v>
      </c>
      <c r="CE522" s="1" t="s">
        <v>316</v>
      </c>
      <c r="CF522" s="23" t="str">
        <f aca="false">CONCATENATE(CD522,"_",CE522)</f>
        <v>big4_Cheap</v>
      </c>
      <c r="CG522" s="23" t="str">
        <f aca="false">_xlfn.CONCAT(K522, "_",L522)</f>
        <v>steam_NARROW_GAUGE</v>
      </c>
      <c r="CH522" s="7" t="str">
        <f aca="false">_xlfn.CONCAT("{BLACK}Length: {GOLD}", TEXT(ROUNDUP(IF(AT522&lt;&gt;"",SUM(VALUE(_xlfn.TEXTSPLIT(AT522, ","))), SUM(VALUE(_xlfn.TEXTSPLIT(AQ522, ",")))*IF(P522, P522, 1))/16, 1), "#,##0.0"), " tiles{}")</f>
        <v>{BLACK}Length: {GOLD}0.4 tiles{}</v>
      </c>
      <c r="CI522" s="1" t="n">
        <f aca="false">VLOOKUP($CG522, Constants!$M:$N, 2, FALSE())</f>
        <v>0</v>
      </c>
      <c r="CJ522" s="1" t="str">
        <f aca="false">IF(P522&gt;1,_xlfn.CONCAT("{BLACK}Cars: {GOLD}", P522),"")</f>
        <v/>
      </c>
      <c r="CK522" s="1" t="s">
        <v>1984</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{GOLD}0.4 tiles{}{SILVER}Charles Collett designed these tank locomotives to replace worn-out engines on the Vale of Rheidol line. They became the last steam locomotives running on British Railways, up until the line became a heritage railway in 1989.</v>
      </c>
    </row>
    <row r="523" customFormat="false" ht="14.25" hidden="false" customHeight="false" outlineLevel="0" collapsed="false">
      <c r="A523" s="24" t="s">
        <v>1985</v>
      </c>
      <c r="B523" s="19" t="s">
        <v>1986</v>
      </c>
      <c r="C523" s="1" t="n">
        <v>2020</v>
      </c>
      <c r="E523" s="1" t="n">
        <v>-1</v>
      </c>
      <c r="G523" s="1" t="str">
        <f aca="false">IF($F523&lt;&gt;"",_xlfn.CONCAT(VLOOKUP($CE523, Constants!$T:$U, 2, FALSE()),",",$F523),VLOOKUP($CE523, Constants!$T:$U, 2, FALSE()))</f>
        <v>role/mixed</v>
      </c>
      <c r="H523" s="1" t="str">
        <f aca="false">IF($G523&lt;&gt;"",_xlfn.CONCAT(VLOOKUP($CG523, Constants!$M:$P, 4, FALSE()),",",$G523),VLOOKUP($CG523, Constants!$M:$P, 4, FALSE()))</f>
        <v>flag/GB,power/diesel,role/mixed</v>
      </c>
      <c r="J523" s="1" t="s">
        <v>309</v>
      </c>
      <c r="K523" s="1" t="s">
        <v>482</v>
      </c>
      <c r="L523" s="1" t="s">
        <v>1952</v>
      </c>
      <c r="M523" s="1" t="n">
        <v>1940</v>
      </c>
      <c r="O523" s="1" t="n">
        <v>1980</v>
      </c>
      <c r="Q523" s="1" t="n">
        <v>40</v>
      </c>
      <c r="W523" s="18" t="n">
        <f aca="false">((($AE523/2)/60)*5280)/($X523*3.2*PI())</f>
        <v>0</v>
      </c>
      <c r="X523" s="3" t="n">
        <v>0.7</v>
      </c>
      <c r="Y523" s="3" t="n">
        <f aca="false">((($S523*$S523/4)*PI())*($T523/12)*$U523*$V523*$W523)/(33000*1.1)</f>
        <v>0</v>
      </c>
      <c r="AB523" s="1" t="n">
        <v>5</v>
      </c>
      <c r="AD523" s="4" t="str">
        <f aca="false">IF(AND(Z523&gt;0,AC523&gt;0),(AC523/((Z523+AA523)*10)),"")</f>
        <v/>
      </c>
      <c r="AF523" s="1" t="n">
        <f aca="false">ROUND(AE523*1.6, 0)</f>
        <v>0</v>
      </c>
      <c r="AM523" s="5" t="n">
        <v>0</v>
      </c>
      <c r="AN523" s="16" t="s">
        <v>331</v>
      </c>
      <c r="AO523" s="16" t="n">
        <f aca="false">ROUND(15*((AJ523*10)/256),0)</f>
        <v>0</v>
      </c>
      <c r="AQ523" s="1" t="str">
        <f aca="false">CONCATENATE(VLOOKUP(AO523,Constants!$A$2:$C$16,IF(AP523&lt;&gt;"", 3, 2), FALSE()),IF(AP523&lt;&gt;"",CONCATENATE(",",VLOOKUP(AP523,$B:$AQ,42,FALSE())),""))</f>
        <v>na</v>
      </c>
      <c r="AY523" s="1" t="n">
        <v>1</v>
      </c>
      <c r="BA523" s="1" t="n">
        <v>250</v>
      </c>
      <c r="BB523" s="16" t="n">
        <f aca="false">IF(O523&lt;&gt;"",MAX(16,(O523-M523)+8),"")</f>
        <v>48</v>
      </c>
      <c r="BC523" s="1" t="n">
        <v>-5</v>
      </c>
      <c r="BD523" s="1" t="n">
        <v>-2</v>
      </c>
      <c r="BE523" s="20" t="n">
        <f aca="false">MIN(AE523/150, 1)*30</f>
        <v>0</v>
      </c>
      <c r="BF523" s="20" t="n">
        <f aca="false">MIN(Q523/4000, 1)*20</f>
        <v>0.2</v>
      </c>
      <c r="BG523" s="20" t="n">
        <f aca="false">MIN(AC523/400,1)*20</f>
        <v>0</v>
      </c>
      <c r="BH523" s="21" t="n">
        <f aca="false">1-(MAX(M523-1900, 0)/750)</f>
        <v>0.946666666666667</v>
      </c>
      <c r="BI523" s="20" t="n">
        <f aca="false">((MAX($P523,1)*MIN($AM523/300,1)))*IF(J523="Wagon",50,10)</f>
        <v>0</v>
      </c>
      <c r="BJ523" s="1" t="n">
        <f aca="false">VLOOKUP($K523,Constants!$I:$K, 2, FALSE())</f>
        <v>1</v>
      </c>
      <c r="BK523" s="1" t="n">
        <f aca="false">VLOOKUP($K523,Constants!$I:$K, 3, FALSE())*IF(AND(J523="multiple_unit",AE523&lt;110),0.75,1)</f>
        <v>2</v>
      </c>
      <c r="BL523" s="20" t="n">
        <v>9</v>
      </c>
      <c r="BM523" s="20" t="n">
        <v>19</v>
      </c>
      <c r="BN523" s="22" t="n">
        <f aca="false">BL523*IF($J523="wagon",62.5,781.25)</f>
        <v>7031.25</v>
      </c>
      <c r="BO523" s="22" t="n">
        <f aca="false">BM523*IF($J523="wagon",2.73,81.25)</f>
        <v>1543.75</v>
      </c>
      <c r="BY523" s="1" t="n">
        <v>6</v>
      </c>
      <c r="CD523" s="23" t="s">
        <v>428</v>
      </c>
      <c r="CE523" s="1" t="s">
        <v>316</v>
      </c>
      <c r="CF523" s="23" t="str">
        <f aca="false">CONCATENATE(CD523,"_",CE523)</f>
        <v>big4_Cheap</v>
      </c>
      <c r="CG523" s="23" t="str">
        <f aca="false">_xlfn.CONCAT(K523, "_",L523)</f>
        <v>diesel_NARROW_GAUGE</v>
      </c>
      <c r="CH523" s="7" t="e">
        <f aca="false">_xlfn.CONCAT("{BLACK}Length: {GOLD}", TEXT(ROUNDUP(IF(AT523&lt;&gt;"",SUM(VALUE(_xlfn.TEXTSPLIT(AT523, ","))), SUM(VALUE(_xlfn.TEXTSPLIT(AQ523, ",")))*IF(P523, P523, 1))/16, 1), "#,##0.0"), " tiles{}")</f>
        <v>#VALUE!</v>
      </c>
      <c r="CI523" s="1" t="n">
        <f aca="false">VLOOKUP($CG523, Constants!$M:$N, 2, FALSE())</f>
        <v>0</v>
      </c>
      <c r="CJ523" s="1" t="str">
        <f aca="false">IF(P523&gt;1,_xlfn.CONCAT("{BLACK}Cars: {GOLD}", P523),"")</f>
        <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e">
        <f aca="false">_xlfn.CONCAT(CI523,IF(CI523&lt;&gt;""," ",""),CJ523,IF(OR(CJ523&lt;&gt;"",CI523&lt;&gt;""),"{}",""),CH523,CM523,"{SILVER}",CK523,IF(CL523&lt;&gt;"","{}{}",""),CL523)</f>
        <v>#VALUE!</v>
      </c>
    </row>
    <row r="524" customFormat="false" ht="14.25" hidden="false" customHeight="false" outlineLevel="0" collapsed="false">
      <c r="A524" s="1" t="s">
        <v>1987</v>
      </c>
      <c r="B524" s="19" t="s">
        <v>1988</v>
      </c>
      <c r="C524" s="1" t="n">
        <v>2021</v>
      </c>
      <c r="E524" s="1" t="n">
        <v>2009</v>
      </c>
      <c r="G524" s="1" t="str">
        <f aca="false">IF($F524&lt;&gt;"",_xlfn.CONCAT(VLOOKUP($CE524, Constants!$T:$U, 2, FALSE()),",",$F524),VLOOKUP($CE524, Constants!$T:$U, 2, FALSE()))</f>
        <v>role/mixed</v>
      </c>
      <c r="H524" s="1" t="str">
        <f aca="false">IF($G524&lt;&gt;"",_xlfn.CONCAT(VLOOKUP($CG524, Constants!$M:$P, 4, FALSE()),",",$G524),VLOOKUP($CG524, Constants!$M:$P, 4, FALSE()))</f>
        <v>flag/GB,power/diesel,role/mixed</v>
      </c>
      <c r="I524" s="1" t="s">
        <v>198</v>
      </c>
      <c r="J524" s="1" t="s">
        <v>206</v>
      </c>
      <c r="K524" s="1" t="s">
        <v>482</v>
      </c>
      <c r="L524" s="1" t="s">
        <v>1952</v>
      </c>
      <c r="M524" s="1" t="n">
        <v>1941</v>
      </c>
      <c r="O524" s="1" t="n">
        <v>1985</v>
      </c>
      <c r="Q524" s="1" t="n">
        <v>50</v>
      </c>
      <c r="W524" s="18" t="n">
        <f aca="false">((($AE524/2)/60)*5280)/($X524*3.2*PI())</f>
        <v>187.57546864402</v>
      </c>
      <c r="X524" s="3" t="n">
        <v>0.7</v>
      </c>
      <c r="Y524" s="3" t="n">
        <f aca="false">((($S524*$S524/4)*PI())*($T524/12)*$U524*$V524*$W524)/(33000*1.1)</f>
        <v>0</v>
      </c>
      <c r="Z524" s="1" t="n">
        <v>7</v>
      </c>
      <c r="AB524" s="1" t="n">
        <v>5</v>
      </c>
      <c r="AC524" s="1" t="n">
        <v>22</v>
      </c>
      <c r="AD524" s="4" t="n">
        <f aca="false">IF(AND(Z524&gt;0,AC524&gt;0),(AC524/((Z524+AA524)*10)),"")</f>
        <v>0.314285714285714</v>
      </c>
      <c r="AE524" s="1" t="n">
        <v>30</v>
      </c>
      <c r="AF524" s="1" t="n">
        <f aca="false">ROUND(AE524*1.6, 0)</f>
        <v>48</v>
      </c>
      <c r="AJ524" s="1" t="n">
        <v>6</v>
      </c>
      <c r="AM524" s="5" t="n">
        <v>0</v>
      </c>
      <c r="AN524" s="16" t="s">
        <v>237</v>
      </c>
      <c r="AO524" s="16" t="n">
        <f aca="false">ROUND(15*((AJ524*10)/256),0)</f>
        <v>4</v>
      </c>
      <c r="AQ524" s="1" t="str">
        <f aca="false">CONCATENATE(VLOOKUP(AO524,Constants!$A$2:$C$16,IF(AP524&lt;&gt;"", 3, 2), FALSE()),IF(AP524&lt;&gt;"",CONCATENATE(",",VLOOKUP(AP524,$B:$AQ,42,FALSE())),""))</f>
        <v>1,2,1</v>
      </c>
      <c r="BA524" s="1" t="n">
        <v>125</v>
      </c>
      <c r="BB524" s="16" t="n">
        <f aca="false">IF(O524&lt;&gt;"",MAX(16,(O524-M524)+8),"")</f>
        <v>52</v>
      </c>
      <c r="BC524" s="1" t="n">
        <v>-9</v>
      </c>
      <c r="BD524" s="1" t="n">
        <v>-12</v>
      </c>
      <c r="BE524" s="20" t="n">
        <f aca="false">MIN(AE524/150, 1)*30</f>
        <v>6</v>
      </c>
      <c r="BF524" s="20" t="n">
        <f aca="false">MIN(Q524/4000, 1)*20</f>
        <v>0.25</v>
      </c>
      <c r="BG524" s="20" t="n">
        <f aca="false">MIN(AC524/400,1)*20</f>
        <v>1.1</v>
      </c>
      <c r="BH524" s="21" t="n">
        <f aca="false">1-(MAX(M524-1900, 0)/750)</f>
        <v>0.945333333333333</v>
      </c>
      <c r="BI524" s="20" t="n">
        <f aca="false">((MAX($P524,1)*MIN($AM524/300,1)))*IF(J524="Wagon",50,10)</f>
        <v>0</v>
      </c>
      <c r="BJ524" s="1" t="n">
        <f aca="false">VLOOKUP($K524,Constants!$I:$K, 2, FALSE())</f>
        <v>1</v>
      </c>
      <c r="BK524" s="1" t="n">
        <f aca="false">VLOOKUP($K524,Constants!$I:$K, 3, FALSE())*IF(AND(J524="multiple_unit",AE524&lt;110),0.75,1)</f>
        <v>2</v>
      </c>
      <c r="BL524" s="20" t="n">
        <v>15</v>
      </c>
      <c r="BM524" s="20" t="n">
        <v>29</v>
      </c>
      <c r="BN524" s="22" t="n">
        <f aca="false">BL524*IF($J524="wagon",62.5,781.25)</f>
        <v>11718.75</v>
      </c>
      <c r="BO524" s="22" t="n">
        <f aca="false">BM524*IF($J524="wagon",2.73,81.25)</f>
        <v>2356.25</v>
      </c>
      <c r="BY524" s="1" t="n">
        <v>5</v>
      </c>
      <c r="CD524" s="23" t="s">
        <v>428</v>
      </c>
      <c r="CE524" s="1" t="s">
        <v>316</v>
      </c>
      <c r="CF524" s="23" t="str">
        <f aca="false">CONCATENATE(CD524,"_",CE524)</f>
        <v>big4_Cheap</v>
      </c>
      <c r="CG524" s="23" t="str">
        <f aca="false">_xlfn.CONCAT(K524, "_",L524)</f>
        <v>diesel_NARROW_GAUGE</v>
      </c>
      <c r="CH524" s="7" t="str">
        <f aca="false">_xlfn.CONCAT("{BLACK}Length: {GOLD}", TEXT(ROUNDUP(IF(AT524&lt;&gt;"",SUM(VALUE(_xlfn.TEXTSPLIT(AT524, ","))), SUM(VALUE(_xlfn.TEXTSPLIT(AQ524, ",")))*IF(P524, P524, 1))/16, 1), "#,##0.0"), " tiles{}")</f>
        <v>{BLACK}Length: {GOLD}0.3 tiles{}</v>
      </c>
      <c r="CI524" s="1" t="n">
        <f aca="false">VLOOKUP($CG524, Constants!$M:$N, 2, FALSE())</f>
        <v>0</v>
      </c>
      <c r="CJ524" s="1" t="str">
        <f aca="false">IF(P524&gt;1,_xlfn.CONCAT("{BLACK}Cars: {GOLD}", P524),"")</f>
        <v/>
      </c>
      <c r="CK524" s="1" t="s">
        <v>1989</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{GOLD}0.3 tiles{}{SILVER}Ruston and Hornsby built diesel locomotives for small industrial lines, which would often only need a small locomotive for hauling goods short distances.</v>
      </c>
    </row>
    <row r="525" customFormat="false" ht="14.25" hidden="false" customHeight="false" outlineLevel="0" collapsed="false">
      <c r="A525" s="1" t="s">
        <v>1990</v>
      </c>
      <c r="B525" s="19" t="s">
        <v>1991</v>
      </c>
      <c r="C525" s="1" t="n">
        <v>2022</v>
      </c>
      <c r="E525" s="1" t="n">
        <v>2010</v>
      </c>
      <c r="G525" s="1" t="str">
        <f aca="false">IF($F525&lt;&gt;"",_xlfn.CONCAT(VLOOKUP($CE525, Constants!$T:$U, 2, FALSE()),",",$F525),VLOOKUP($CE525, Constants!$T:$U, 2, FALSE()))</f>
        <v>role/mixed</v>
      </c>
      <c r="H525" s="1" t="str">
        <f aca="false">IF($G525&lt;&gt;"",_xlfn.CONCAT(VLOOKUP($CG525, Constants!$M:$P, 4, FALSE()),",",$G525),VLOOKUP($CG525, Constants!$M:$P, 4, FALSE()))</f>
        <v>flag/GB,power/diesel,role/mixed</v>
      </c>
      <c r="I525" s="1" t="s">
        <v>198</v>
      </c>
      <c r="J525" s="1" t="s">
        <v>206</v>
      </c>
      <c r="K525" s="1" t="s">
        <v>482</v>
      </c>
      <c r="L525" s="1" t="s">
        <v>1952</v>
      </c>
      <c r="M525" s="1" t="n">
        <v>1950</v>
      </c>
      <c r="Q525" s="1" t="n">
        <v>75</v>
      </c>
      <c r="W525" s="18" t="n">
        <f aca="false">((($AE525/2)/60)*5280)/($X525*3.2*PI())</f>
        <v>200.080499886954</v>
      </c>
      <c r="X525" s="3" t="n">
        <v>0.7</v>
      </c>
      <c r="Y525" s="3" t="n">
        <f aca="false">((($S525*$S525/4)*PI())*($T525/12)*$U525*$V525*$W525)/(33000*1.1)</f>
        <v>0</v>
      </c>
      <c r="Z525" s="1" t="n">
        <v>10</v>
      </c>
      <c r="AB525" s="1" t="n">
        <v>5</v>
      </c>
      <c r="AC525" s="1" t="n">
        <v>28</v>
      </c>
      <c r="AD525" s="4" t="n">
        <f aca="false">IF(AND(Z525&gt;0,AC525&gt;0),(AC525/((Z525+AA525)*10)),"")</f>
        <v>0.28</v>
      </c>
      <c r="AE525" s="1" t="n">
        <v>32</v>
      </c>
      <c r="AF525" s="1" t="n">
        <f aca="false">ROUND(AE525*1.6, 0)</f>
        <v>51</v>
      </c>
      <c r="AJ525" s="1" t="n">
        <v>6</v>
      </c>
      <c r="AM525" s="5" t="n">
        <v>0</v>
      </c>
      <c r="AN525" s="16" t="s">
        <v>237</v>
      </c>
      <c r="AO525" s="16" t="n">
        <f aca="false">ROUND(15*((AJ525*10)/256),0)</f>
        <v>4</v>
      </c>
      <c r="AQ525" s="1" t="str">
        <f aca="false">CONCATENATE(VLOOKUP(AO525,Constants!$A$2:$C$16,IF(AP525&lt;&gt;"", 3, 2), FALSE()),IF(AP525&lt;&gt;"",CONCATENATE(",",VLOOKUP(AP525,$B:$AQ,42,FALSE())),""))</f>
        <v>1,2,1</v>
      </c>
      <c r="AY525" s="1" t="n">
        <v>1</v>
      </c>
      <c r="BA525" s="1" t="n">
        <v>125</v>
      </c>
      <c r="BB525" s="16" t="str">
        <f aca="false">IF(O525&lt;&gt;"",MAX(16,(O525-M525)+8),"")</f>
        <v/>
      </c>
      <c r="BC525" s="1" t="n">
        <v>-9</v>
      </c>
      <c r="BD525" s="1" t="n">
        <v>-12</v>
      </c>
      <c r="BE525" s="20" t="n">
        <f aca="false">MIN(AE525/150, 1)*30</f>
        <v>6.4</v>
      </c>
      <c r="BF525" s="20" t="n">
        <f aca="false">MIN(Q525/4000, 1)*20</f>
        <v>0.375</v>
      </c>
      <c r="BG525" s="20" t="n">
        <f aca="false">MIN(AC525/400,1)*20</f>
        <v>1.4</v>
      </c>
      <c r="BH525" s="21" t="n">
        <f aca="false">1-(MAX(M525-1900, 0)/750)</f>
        <v>0.933333333333333</v>
      </c>
      <c r="BI525" s="20" t="n">
        <f aca="false">((MAX($P525,1)*MIN($AM525/300,1)))*IF(J525="Wagon",50,10)</f>
        <v>0</v>
      </c>
      <c r="BJ525" s="1" t="n">
        <f aca="false">VLOOKUP($K525,Constants!$I:$K, 2, FALSE())</f>
        <v>1</v>
      </c>
      <c r="BK525" s="1" t="n">
        <f aca="false">VLOOKUP($K525,Constants!$I:$K, 3, FALSE())*IF(AND(J525="multiple_unit",AE525&lt;110),0.75,1)</f>
        <v>2</v>
      </c>
      <c r="BL525" s="20" t="n">
        <v>16</v>
      </c>
      <c r="BM525" s="20" t="n">
        <v>31</v>
      </c>
      <c r="BN525" s="22" t="n">
        <f aca="false">BL525*IF($J525="wagon",62.5,781.25)</f>
        <v>12500</v>
      </c>
      <c r="BO525" s="22" t="n">
        <f aca="false">BM525*IF($J525="wagon",2.73,81.25)</f>
        <v>2518.75</v>
      </c>
      <c r="BY525" s="1" t="n">
        <v>3</v>
      </c>
      <c r="CD525" s="23" t="s">
        <v>538</v>
      </c>
      <c r="CE525" s="1" t="s">
        <v>316</v>
      </c>
      <c r="CF525" s="23" t="str">
        <f aca="false">CONCATENATE(CD525,"_",CE525)</f>
        <v>ebr_Cheap</v>
      </c>
      <c r="CG525" s="23" t="str">
        <f aca="false">_xlfn.CONCAT(K525, "_",L525)</f>
        <v>diesel_NARROW_GAUGE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1992</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tiles{}{SILVER}The Hunslet 0-4-0DM is powered by a Gardner 4LW engine and is typical of a narrow gauge locomotive used for engineering duties.</v>
      </c>
    </row>
    <row r="526" customFormat="false" ht="14.25" hidden="false" customHeight="false" outlineLevel="0" collapsed="false">
      <c r="A526" s="1" t="s">
        <v>1993</v>
      </c>
      <c r="B526" s="19" t="s">
        <v>1994</v>
      </c>
      <c r="C526" s="1" t="n">
        <v>2023</v>
      </c>
      <c r="E526" s="1" t="n">
        <v>2011</v>
      </c>
      <c r="G526" s="1" t="str">
        <f aca="false">IF($F526&lt;&gt;"",_xlfn.CONCAT(VLOOKUP($CE526, Constants!$T:$U, 2, FALSE()),",",$F526),VLOOKUP($CE526, Constants!$T:$U, 2, FALSE()))</f>
        <v>role/mixed</v>
      </c>
      <c r="H526" s="1" t="str">
        <f aca="false">IF($G526&lt;&gt;"",_xlfn.CONCAT(VLOOKUP($CG526, Constants!$M:$P, 4, FALSE()),",",$G526),VLOOKUP($CG526, Constants!$M:$P, 4, FALSE()))</f>
        <v>flag/GB,power/diesel,role/mixed</v>
      </c>
      <c r="I526" s="1" t="s">
        <v>198</v>
      </c>
      <c r="J526" s="1" t="s">
        <v>206</v>
      </c>
      <c r="K526" s="1" t="s">
        <v>758</v>
      </c>
      <c r="L526" s="1" t="s">
        <v>1952</v>
      </c>
      <c r="M526" s="1" t="n">
        <v>1954</v>
      </c>
      <c r="Q526" s="1" t="n">
        <v>30</v>
      </c>
      <c r="W526" s="18" t="n">
        <f aca="false">((($AE526/2)/60)*5280)/($X526*3.2*PI())</f>
        <v>150.060374915216</v>
      </c>
      <c r="X526" s="3" t="n">
        <v>0.7</v>
      </c>
      <c r="Y526" s="3" t="n">
        <f aca="false">((($S526*$S526/4)*PI())*($T526/12)*$U526*$V526*$W526)/(33000*1.1)</f>
        <v>0</v>
      </c>
      <c r="Z526" s="1" t="n">
        <v>5</v>
      </c>
      <c r="AB526" s="1" t="n">
        <v>5</v>
      </c>
      <c r="AC526" s="1" t="n">
        <v>16</v>
      </c>
      <c r="AD526" s="4" t="n">
        <f aca="false">IF(AND(Z526&gt;0,AC526&gt;0),(AC526/((Z526+AA526)*10)),"")</f>
        <v>0.32</v>
      </c>
      <c r="AE526" s="1" t="n">
        <v>24</v>
      </c>
      <c r="AF526" s="1" t="n">
        <f aca="false">ROUND(AE526*1.6, 0)</f>
        <v>38</v>
      </c>
      <c r="AJ526" s="1" t="n">
        <v>6</v>
      </c>
      <c r="AM526" s="5" t="n">
        <v>0</v>
      </c>
      <c r="AN526" s="16" t="s">
        <v>237</v>
      </c>
      <c r="AO526" s="16" t="n">
        <f aca="false">ROUND(15*((AJ526*10)/256),0)</f>
        <v>4</v>
      </c>
      <c r="AQ526" s="1" t="str">
        <f aca="false">CONCATENATE(VLOOKUP(AO526,Constants!$A$2:$C$16,IF(AP526&lt;&gt;"", 3, 2), FALSE()),IF(AP526&lt;&gt;"",CONCATENATE(",",VLOOKUP(AP526,$B:$AQ,42,FALSE())),""))</f>
        <v>1,2,1</v>
      </c>
      <c r="BA526" s="1" t="n">
        <v>125</v>
      </c>
      <c r="BB526" s="16" t="str">
        <f aca="false">IF(O526&lt;&gt;"",MAX(16,(O526-M526)+8),"")</f>
        <v/>
      </c>
      <c r="BC526" s="1" t="n">
        <v>-9</v>
      </c>
      <c r="BD526" s="1" t="n">
        <v>-12</v>
      </c>
      <c r="BE526" s="20" t="n">
        <f aca="false">MIN(AE526/150, 1)*30</f>
        <v>4.8</v>
      </c>
      <c r="BF526" s="20" t="n">
        <f aca="false">MIN(Q526/4000, 1)*20</f>
        <v>0.15</v>
      </c>
      <c r="BG526" s="20" t="n">
        <f aca="false">MIN(AC526/400,1)*20</f>
        <v>0.8</v>
      </c>
      <c r="BH526" s="21" t="n">
        <f aca="false">1-(MAX(M526-1900, 0)/750)</f>
        <v>0.928</v>
      </c>
      <c r="BI526" s="20" t="n">
        <f aca="false">((MAX($P526,1)*MIN($AM526/300,1)))*IF(J526="Wagon",50,10)</f>
        <v>0</v>
      </c>
      <c r="BJ526" s="1" t="n">
        <f aca="false">VLOOKUP($K526,Constants!$I:$K, 2, FALSE())</f>
        <v>1.05</v>
      </c>
      <c r="BK526" s="1" t="n">
        <f aca="false">VLOOKUP($K526,Constants!$I:$K, 3, FALSE())*IF(AND(J526="multiple_unit",AE526&lt;110),0.75,1)</f>
        <v>1.9</v>
      </c>
      <c r="BL526" s="20" t="n">
        <v>9</v>
      </c>
      <c r="BM526" s="20" t="n">
        <v>27</v>
      </c>
      <c r="BN526" s="22" t="n">
        <f aca="false">BL526*IF($J526="wagon",62.5,781.25)</f>
        <v>7031.25</v>
      </c>
      <c r="BO526" s="22" t="n">
        <f aca="false">BM526*IF($J526="wagon",2.73,81.25)</f>
        <v>2193.75</v>
      </c>
      <c r="BY526" s="1" t="n">
        <v>7</v>
      </c>
      <c r="CD526" s="23" t="s">
        <v>538</v>
      </c>
      <c r="CE526" s="1" t="s">
        <v>316</v>
      </c>
      <c r="CF526" s="23" t="str">
        <f aca="false">CONCATENATE(CD526,"_",CE526)</f>
        <v>ebr_Cheap</v>
      </c>
      <c r="CG526" s="23" t="str">
        <f aca="false">_xlfn.CONCAT(K526, "_",L526)</f>
        <v>petrol_NARROW_GAUGE</v>
      </c>
      <c r="CH526" s="7" t="str">
        <f aca="false">_xlfn.CONCAT("{BLACK}Length: {GOLD}", TEXT(ROUNDUP(IF(AT526&lt;&gt;"",SUM(VALUE(_xlfn.TEXTSPLIT(AT526, ","))), SUM(VALUE(_xlfn.TEXTSPLIT(AQ526, ",")))*IF(P526, P526, 1))/16, 1), "#,##0.0"), " tiles{}")</f>
        <v>{BLACK}Length: {GOLD}0.3 tiles{}</v>
      </c>
      <c r="CI526" s="1" t="n">
        <f aca="false">VLOOKUP($CG526, Constants!$M:$N, 2, FALSE())</f>
        <v>0</v>
      </c>
      <c r="CJ526" s="1" t="str">
        <f aca="false">IF(P526&gt;1,_xlfn.CONCAT("{BLACK}Cars: {GOLD}", P526),"")</f>
        <v/>
      </c>
      <c r="CK526" s="1" t="s">
        <v>1995</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{GOLD}0.3 tiles{}{SILVER}Talyllyn Railway volunteer John Bate built this small locomotive using the engine from a Austin Seven. The canopy was added later.</v>
      </c>
    </row>
    <row r="527" customFormat="false" ht="14.25" hidden="false" customHeight="false" outlineLevel="0" collapsed="false">
      <c r="A527" s="1" t="s">
        <v>1996</v>
      </c>
      <c r="B527" s="19" t="s">
        <v>1997</v>
      </c>
      <c r="C527" s="1" t="n">
        <v>2024</v>
      </c>
      <c r="E527" s="1" t="n">
        <v>2012</v>
      </c>
      <c r="G527" s="1" t="str">
        <f aca="false">IF($F527&lt;&gt;"",_xlfn.CONCAT(VLOOKUP($CE527, Constants!$T:$U, 2, FALSE()),",",$F527),VLOOKUP($CE527, Constants!$T:$U, 2, FALSE()))</f>
        <v>role/mixed</v>
      </c>
      <c r="H527" s="1" t="str">
        <f aca="false">IF($G527&lt;&gt;"",_xlfn.CONCAT(VLOOKUP($CG527, Constants!$M:$P, 4, FALSE()),",",$G527),VLOOKUP($CG527, Constants!$M:$P, 4, FALSE()))</f>
        <v>flag/GB,power/diesel,role/mixed</v>
      </c>
      <c r="I527" s="1" t="s">
        <v>198</v>
      </c>
      <c r="J527" s="1" t="s">
        <v>206</v>
      </c>
      <c r="K527" s="1" t="s">
        <v>482</v>
      </c>
      <c r="L527" s="1" t="s">
        <v>1952</v>
      </c>
      <c r="M527" s="1" t="n">
        <v>1982</v>
      </c>
      <c r="Q527" s="1" t="n">
        <v>100</v>
      </c>
      <c r="W527" s="18" t="n">
        <f aca="false">((($AE527/2)/60)*5280)/($X527*3.2*PI())</f>
        <v>218.838046751356</v>
      </c>
      <c r="X527" s="3" t="n">
        <v>0.7</v>
      </c>
      <c r="Y527" s="3" t="n">
        <f aca="false">((($S527*$S527/4)*PI())*($T527/12)*$U527*$V527*$W527)/(33000*1.1)</f>
        <v>0</v>
      </c>
      <c r="Z527" s="1" t="n">
        <v>10</v>
      </c>
      <c r="AB527" s="1" t="n">
        <v>5</v>
      </c>
      <c r="AC527" s="1" t="n">
        <v>36</v>
      </c>
      <c r="AD527" s="4" t="n">
        <f aca="false">IF(AND(Z527&gt;0,AC527&gt;0),(AC527/((Z527+AA527)*10)),"")</f>
        <v>0.36</v>
      </c>
      <c r="AE527" s="1" t="n">
        <v>35</v>
      </c>
      <c r="AF527" s="1" t="n">
        <f aca="false">ROUND(AE527*1.6, 0)</f>
        <v>56</v>
      </c>
      <c r="AJ527" s="1" t="n">
        <v>7</v>
      </c>
      <c r="AM527" s="5" t="n">
        <v>0</v>
      </c>
      <c r="AN527" s="16" t="s">
        <v>237</v>
      </c>
      <c r="AO527" s="16" t="n">
        <f aca="false">ROUND(15*((AJ527*10)/256),0)</f>
        <v>4</v>
      </c>
      <c r="AQ527" s="1" t="str">
        <f aca="false">CONCATENATE(VLOOKUP(AO527,Constants!$A$2:$C$16,IF(AP527&lt;&gt;"", 3, 2), FALSE()),IF(AP527&lt;&gt;"",CONCATENATE(",",VLOOKUP(AP527,$B:$AQ,42,FALSE())),""))</f>
        <v>1,2,1</v>
      </c>
      <c r="BA527" s="1" t="n">
        <v>125</v>
      </c>
      <c r="BB527" s="16" t="str">
        <f aca="false">IF(O527&lt;&gt;"",MAX(16,(O527-M527)+8),"")</f>
        <v/>
      </c>
      <c r="BC527" s="1" t="n">
        <v>-7</v>
      </c>
      <c r="BD527" s="1" t="n">
        <v>-6</v>
      </c>
      <c r="BE527" s="20" t="n">
        <f aca="false">MIN(AE527/150, 1)*30</f>
        <v>7</v>
      </c>
      <c r="BF527" s="20" t="n">
        <f aca="false">MIN(Q527/4000, 1)*20</f>
        <v>0.5</v>
      </c>
      <c r="BG527" s="20" t="n">
        <f aca="false">MIN(AC527/400,1)*20</f>
        <v>1.8</v>
      </c>
      <c r="BH527" s="21" t="n">
        <f aca="false">1-(MAX(M527-1900, 0)/750)</f>
        <v>0.890666666666667</v>
      </c>
      <c r="BI527" s="20" t="n">
        <f aca="false">((MAX($P527,1)*MIN($AM527/300,1)))*IF(J527="Wagon",50,10)</f>
        <v>0</v>
      </c>
      <c r="BJ527" s="1" t="n">
        <f aca="false">VLOOKUP($K527,Constants!$I:$K, 2, FALSE())</f>
        <v>1</v>
      </c>
      <c r="BK527" s="1" t="n">
        <f aca="false">VLOOKUP($K527,Constants!$I:$K, 3, FALSE())*IF(AND(J527="multiple_unit",AE527&lt;110),0.75,1)</f>
        <v>2</v>
      </c>
      <c r="BL527" s="20" t="n">
        <v>23</v>
      </c>
      <c r="BM527" s="20" t="n">
        <v>33</v>
      </c>
      <c r="BN527" s="22" t="n">
        <f aca="false">BL527*IF($J527="wagon",62.5,781.25)</f>
        <v>17968.75</v>
      </c>
      <c r="BO527" s="22" t="n">
        <f aca="false">BM527*IF($J527="wagon",2.73,81.25)</f>
        <v>2681.25</v>
      </c>
      <c r="BY527" s="1" t="n">
        <v>4</v>
      </c>
      <c r="CD527" s="23" t="s">
        <v>605</v>
      </c>
      <c r="CE527" s="1" t="s">
        <v>316</v>
      </c>
      <c r="CF527" s="23" t="str">
        <f aca="false">CONCATENATE(CD527,"_",CE527)</f>
        <v>lbr_Cheap</v>
      </c>
      <c r="CG527" s="23" t="str">
        <f aca="false">_xlfn.CONCAT(K527, "_",L527)</f>
        <v>diesel_NARROW_GAUGE</v>
      </c>
      <c r="CH527" s="7" t="str">
        <f aca="false">_xlfn.CONCAT("{BLACK}Length: {GOLD}", TEXT(ROUNDUP(IF(AT527&lt;&gt;"",SUM(VALUE(_xlfn.TEXTSPLIT(AT527, ","))), SUM(VALUE(_xlfn.TEXTSPLIT(AQ527, ",")))*IF(P527, P527, 1))/16, 1), "#,##0.0"), " tiles{}")</f>
        <v>{BLACK}Length: {GOLD}0.3 tiles{}</v>
      </c>
      <c r="CI527" s="1" t="n">
        <f aca="false">VLOOKUP($CG527, Constants!$M:$N, 2, FALSE())</f>
        <v>0</v>
      </c>
      <c r="CJ527" s="1" t="str">
        <f aca="false">IF(P527&gt;1,_xlfn.CONCAT("{BLACK}Cars: {GOLD}", P527),"")</f>
        <v/>
      </c>
      <c r="CK527" s="1" t="s">
        <v>1998</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{GOLD}0.3 tiles{}{SILVER}Larger and more powerful diesel shunters displaced steam from industrial lines as they were more economical to run. Even preservation railways keep some around for utility duties.</v>
      </c>
    </row>
    <row r="528" customFormat="false" ht="14.25" hidden="false" customHeight="false" outlineLevel="0" collapsed="false">
      <c r="A528" s="24" t="s">
        <v>1999</v>
      </c>
      <c r="B528" s="19" t="s">
        <v>2000</v>
      </c>
      <c r="C528" s="1" t="n">
        <v>2025</v>
      </c>
      <c r="E528" s="1" t="n">
        <v>-1</v>
      </c>
      <c r="G528" s="1" t="str">
        <f aca="false">IF($F528&lt;&gt;"",_xlfn.CONCAT(VLOOKUP($CE528, Constants!$T:$U, 2, FALSE()),",",$F528),VLOOKUP($CE528, Constants!$T:$U, 2, FALSE()))</f>
        <v>role/freight</v>
      </c>
      <c r="H528" s="1" t="str">
        <f aca="false">IF($G528&lt;&gt;"",_xlfn.CONCAT(VLOOKUP($CG528, Constants!$M:$P, 4, FALSE()),",",$G528),VLOOKUP($CG528, Constants!$M:$P, 4, FALSE()))</f>
        <v>flag/GB,role/freight</v>
      </c>
      <c r="J528" s="1" t="s">
        <v>309</v>
      </c>
      <c r="K528" s="1" t="s">
        <v>1476</v>
      </c>
      <c r="L528" s="1" t="s">
        <v>1952</v>
      </c>
      <c r="M528" s="1" t="n">
        <v>1800</v>
      </c>
      <c r="O528" s="1" t="n">
        <v>1880</v>
      </c>
      <c r="Z528" s="1" t="n">
        <v>3</v>
      </c>
      <c r="AB528" s="1" t="n">
        <v>3</v>
      </c>
      <c r="AD528" s="4" t="str">
        <f aca="false">IF(AND(Z528&gt;0,AC528&gt;0),(AC528/((Z528+AA528)*10)),"")</f>
        <v/>
      </c>
      <c r="AE528" s="1" t="n">
        <v>25</v>
      </c>
      <c r="AF528" s="1" t="n">
        <f aca="false">ROUND(AE528*1.6, 0)</f>
        <v>40</v>
      </c>
      <c r="AI528" s="1" t="n">
        <v>6</v>
      </c>
      <c r="AJ528" s="1" t="n">
        <v>6</v>
      </c>
      <c r="AM528" s="5" t="n">
        <v>12</v>
      </c>
      <c r="AN528" s="16" t="s">
        <v>237</v>
      </c>
      <c r="AO528" s="16" t="n">
        <f aca="false">ROUND(15*((AJ528*10)/256),0)</f>
        <v>4</v>
      </c>
      <c r="AQ528" s="1" t="str">
        <f aca="false">CONCATENATE(VLOOKUP(AO528,Constants!$A$2:$C$16,IF(AP528&lt;&gt;"", 3, 2), FALSE()),IF(AP528&lt;&gt;"",CONCATENATE(",",VLOOKUP(AP528,$B:$AQ,42,FALSE())),""))</f>
        <v>1,2,1</v>
      </c>
      <c r="BA528" s="1" t="n">
        <v>80</v>
      </c>
      <c r="BB528" s="16" t="n">
        <f aca="false">IF(O528&lt;&gt;"",MAX(16,(O528-M528)+8),"")</f>
        <v>88</v>
      </c>
      <c r="BE528" s="20" t="n">
        <f aca="false">MIN(AE528/150, 1)*30</f>
        <v>5</v>
      </c>
      <c r="BF528" s="20" t="n">
        <f aca="false">MIN(Q528/4000, 1)*20</f>
        <v>0</v>
      </c>
      <c r="BG528" s="20" t="n">
        <f aca="false">MIN(AC528/400,1)*20</f>
        <v>0</v>
      </c>
      <c r="BH528" s="21" t="n">
        <f aca="false">1-(MAX(M528-1900, 0)/750)</f>
        <v>1</v>
      </c>
      <c r="BI528" s="20" t="n">
        <f aca="false">((MAX($P528,1)*MIN($AM528/300,1)))*IF(J528="Wagon",50,10)</f>
        <v>0.4</v>
      </c>
      <c r="BJ528" s="1" t="n">
        <f aca="false">VLOOKUP($K528,Constants!$I:$K, 2, FALSE())</f>
        <v>1</v>
      </c>
      <c r="BK528" s="1" t="n">
        <f aca="false">VLOOKUP($K528,Constants!$I:$K, 3, FALSE())*IF(AND(J528="multiple_unit",AE528&lt;110),0.75,1)</f>
        <v>0.45</v>
      </c>
      <c r="BL528" s="20" t="n">
        <v>5</v>
      </c>
      <c r="BM528" s="20" t="n">
        <v>37</v>
      </c>
      <c r="BN528" s="22" t="n">
        <f aca="false">BL528*IF($J528="wagon",62.5,781.25)</f>
        <v>3906.25</v>
      </c>
      <c r="BO528" s="22" t="n">
        <f aca="false">BM528*IF($J528="wagon",2.73,81.25)</f>
        <v>3006.25</v>
      </c>
      <c r="BY528" s="1" t="n">
        <v>1</v>
      </c>
      <c r="BZ528" s="1" t="n">
        <v>74</v>
      </c>
      <c r="CB528" s="1" t="s">
        <v>1934</v>
      </c>
      <c r="CC528" s="1" t="s">
        <v>327</v>
      </c>
      <c r="CD528" s="23" t="s">
        <v>230</v>
      </c>
      <c r="CE528" s="1" t="s">
        <v>1703</v>
      </c>
      <c r="CF528" s="23" t="str">
        <f aca="false">CONCATENATE(CD528,"_",CE528)</f>
        <v>early_Open Wagon</v>
      </c>
      <c r="CG528" s="23" t="str">
        <f aca="false">_xlfn.CONCAT(K528, "_",L528)</f>
        <v>wagon_NARROW_GAUGE</v>
      </c>
      <c r="CH528" s="7" t="str">
        <f aca="false">_xlfn.CONCAT("{BLACK}Length: {GOLD}", TEXT(ROUNDUP(IF(AT528&lt;&gt;"",SUM(VALUE(_xlfn.TEXTSPLIT(AT528, ","))), SUM(VALUE(_xlfn.TEXTSPLIT(AQ528, ",")))*IF(P528, P528, 1))/16, 1), "#,##0.0"), " tiles{}")</f>
        <v>{BLACK}Length: {GOLD}0.3 tiles{}</v>
      </c>
      <c r="CI528" s="1" t="n">
        <f aca="false">VLOOKUP($CG528, Constants!$M:$N, 2, FALSE())</f>
        <v>0</v>
      </c>
      <c r="CJ528" s="1" t="str">
        <f aca="false">IF(P528&gt;1,_xlfn.CONCAT("{BLACK}Cars: {GOLD}", P528),"")</f>
        <v/>
      </c>
      <c r="CK528" s="1" t="s">
        <v>2001</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{YELLOW}Preserved railway bonus: passengers pay more when hauled by old locomotives{}</v>
      </c>
      <c r="CN528" s="1" t="str">
        <f aca="false">_xlfn.CONCAT(CI528,IF(CI528&lt;&gt;""," ",""),CJ528,IF(OR(CJ528&lt;&gt;"",CI528&lt;&gt;""),"{}",""),CH528,CM528,"{SILVER}",CK528,IF(CL528&lt;&gt;"","{}{}",""),CL528)</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29" customFormat="false" ht="14.25" hidden="false" customHeight="false" outlineLevel="0" collapsed="false">
      <c r="A529" s="1" t="s">
        <v>1480</v>
      </c>
      <c r="B529" s="19" t="s">
        <v>2002</v>
      </c>
      <c r="C529" s="1" t="n">
        <v>2026</v>
      </c>
      <c r="E529" s="1" t="n">
        <v>3001</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198</v>
      </c>
      <c r="J529" s="1" t="s">
        <v>1476</v>
      </c>
      <c r="K529" s="1" t="s">
        <v>1476</v>
      </c>
      <c r="L529" s="1" t="s">
        <v>1952</v>
      </c>
      <c r="M529" s="1" t="n">
        <v>1863</v>
      </c>
      <c r="Z529" s="1" t="n">
        <v>5</v>
      </c>
      <c r="AB529" s="1" t="n">
        <v>4</v>
      </c>
      <c r="AD529" s="4" t="str">
        <f aca="false">IF(AND(Z529&gt;0,AC529&gt;0),(AC529/((Z529+AA529)*10)),"")</f>
        <v/>
      </c>
      <c r="AE529" s="1" t="n">
        <v>35</v>
      </c>
      <c r="AF529" s="1" t="n">
        <f aca="false">ROUND(AE529*1.6, 0)</f>
        <v>56</v>
      </c>
      <c r="AI529" s="1" t="n">
        <v>8</v>
      </c>
      <c r="AJ529" s="1" t="n">
        <v>8</v>
      </c>
      <c r="AM529" s="5" t="n">
        <v>18</v>
      </c>
      <c r="AN529" s="16" t="s">
        <v>229</v>
      </c>
      <c r="AO529" s="16" t="n">
        <f aca="false">ROUND(15*((AJ529*10)/256),0)</f>
        <v>5</v>
      </c>
      <c r="AQ529" s="1" t="str">
        <f aca="false">CONCATENATE(VLOOKUP(AO529,Constants!$A$2:$C$16,IF(AP529&lt;&gt;"", 3, 2), FALSE()),IF(AP529&lt;&gt;"",CONCATENATE(",",VLOOKUP(AP529,$B:$AQ,42,FALSE())),""))</f>
        <v>2,1,2</v>
      </c>
      <c r="BA529" s="1" t="n">
        <v>80</v>
      </c>
      <c r="BB529" s="16" t="str">
        <f aca="false">IF(O529&lt;&gt;"",MAX(16,(O529-M529)+8),"")</f>
        <v/>
      </c>
      <c r="BC529" s="1" t="n">
        <v>5</v>
      </c>
      <c r="BD529" s="1" t="n">
        <v>10</v>
      </c>
      <c r="BE529" s="20" t="n">
        <f aca="false">MIN(AE529/150, 1)*30</f>
        <v>7</v>
      </c>
      <c r="BF529" s="20" t="n">
        <f aca="false">MIN(Q529/4000, 1)*20</f>
        <v>0</v>
      </c>
      <c r="BG529" s="20" t="n">
        <f aca="false">MIN(AC529/400,1)*20</f>
        <v>0</v>
      </c>
      <c r="BH529" s="21" t="n">
        <f aca="false">1-(MAX(M529-1900, 0)/750)</f>
        <v>1</v>
      </c>
      <c r="BI529" s="20" t="n">
        <f aca="false">((MAX($P529,1)*MIN($AM529/300,1)))*IF(J529="Wagon",50,10)</f>
        <v>3</v>
      </c>
      <c r="BJ529" s="1" t="n">
        <f aca="false">VLOOKUP($K529,Constants!$I:$K, 2, FALSE())</f>
        <v>1</v>
      </c>
      <c r="BK529" s="1" t="n">
        <f aca="false">VLOOKUP($K529,Constants!$I:$K, 3, FALSE())*IF(AND(J529="multiple_unit",AE529&lt;110),0.75,1)</f>
        <v>0.45</v>
      </c>
      <c r="BL529" s="20" t="n">
        <v>17</v>
      </c>
      <c r="BM529" s="20" t="n">
        <v>30</v>
      </c>
      <c r="BN529" s="22" t="n">
        <f aca="false">BL529*IF($J529="wagon",62.5,781.25)</f>
        <v>1062.5</v>
      </c>
      <c r="BO529" s="22" t="n">
        <f aca="false">BM529*IF($J529="wagon",2.73,81.25)</f>
        <v>81.9</v>
      </c>
      <c r="BY529" s="1" t="n">
        <v>1</v>
      </c>
      <c r="BZ529" s="1" t="n">
        <v>74</v>
      </c>
      <c r="CB529" s="1" t="s">
        <v>1934</v>
      </c>
      <c r="CC529" s="1" t="s">
        <v>327</v>
      </c>
      <c r="CD529" s="23" t="s">
        <v>265</v>
      </c>
      <c r="CE529" s="1" t="s">
        <v>1703</v>
      </c>
      <c r="CF529" s="23" t="str">
        <f aca="false">CONCATENATE(CD529,"_",CE529)</f>
        <v>vct_Open Wagon</v>
      </c>
      <c r="CG529" s="23" t="str">
        <f aca="false">_xlfn.CONCAT(K529, "_",L529)</f>
        <v>wagon_NARROW_GAUGE</v>
      </c>
      <c r="CH529" s="7" t="str">
        <f aca="false">_xlfn.CONCAT("{BLACK}Length: {GOLD}", TEXT(ROUNDUP(IF(AT529&lt;&gt;"",SUM(VALUE(_xlfn.TEXTSPLIT(AT529, ","))), SUM(VALUE(_xlfn.TEXTSPLIT(AQ529, ",")))*IF(P529, P529, 1))/16, 1), "#,##0.0"), " tiles{}")</f>
        <v>{BLACK}Length: {GOLD}0.4 tiles{}</v>
      </c>
      <c r="CI529" s="1" t="n">
        <f aca="false">VLOOKUP($CG529, Constants!$M:$N, 2, FALSE())</f>
        <v>0</v>
      </c>
      <c r="CJ529" s="1" t="str">
        <f aca="false">IF(P529&gt;1,_xlfn.CONCAT("{BLACK}Cars: {GOLD}", P529),"")</f>
        <v/>
      </c>
      <c r="CK529" s="1" t="s">
        <v>2003</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{YELLOW}Preserved railway bonus: passengers pay more when hauled by old locomotives{}</v>
      </c>
      <c r="CN529" s="1" t="str">
        <f aca="false">_xlfn.CONCAT(CI529,IF(CI529&lt;&gt;""," ",""),CJ529,IF(OR(CJ529&lt;&gt;"",CI529&lt;&gt;""),"{}",""),CH529,CM529,"{SILVER}",CK529,IF(CL529&lt;&gt;"","{}{}",""),CL529)</f>
        <v>{BLACK}Length: {GOLD}0.4 tiles{}{YELLOW}Preserved railway bonus: passengers pay more when hauled by old locomotives{}{SILVER}When narrow gauge began operating passenger services, carriages were simple, flat-sided vehicles build around wooden frames on a four-wheel chassis.</v>
      </c>
    </row>
    <row r="530" customFormat="false" ht="14.25" hidden="false" customHeight="false" outlineLevel="0" collapsed="false">
      <c r="A530" s="1" t="s">
        <v>2004</v>
      </c>
      <c r="B530" s="19" t="s">
        <v>2005</v>
      </c>
      <c r="C530" s="1" t="n">
        <v>2027</v>
      </c>
      <c r="E530" s="1" t="n">
        <v>3002</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198</v>
      </c>
      <c r="J530" s="1" t="s">
        <v>1476</v>
      </c>
      <c r="K530" s="1" t="s">
        <v>1476</v>
      </c>
      <c r="L530" s="1" t="s">
        <v>1952</v>
      </c>
      <c r="M530" s="1" t="n">
        <v>1900</v>
      </c>
      <c r="Z530" s="1" t="n">
        <v>7</v>
      </c>
      <c r="AB530" s="1" t="n">
        <v>4</v>
      </c>
      <c r="AD530" s="4" t="str">
        <f aca="false">IF(AND(Z530&gt;0,AC530&gt;0),(AC530/((Z530+AA530)*10)),"")</f>
        <v/>
      </c>
      <c r="AE530" s="1" t="n">
        <v>45</v>
      </c>
      <c r="AF530" s="1" t="n">
        <f aca="false">ROUND(AE530*1.6, 0)</f>
        <v>72</v>
      </c>
      <c r="AI530" s="1" t="n">
        <v>12</v>
      </c>
      <c r="AJ530" s="1" t="n">
        <v>12</v>
      </c>
      <c r="AM530" s="5" t="n">
        <v>36</v>
      </c>
      <c r="AN530" s="16" t="s">
        <v>280</v>
      </c>
      <c r="AO530" s="16" t="n">
        <f aca="false">ROUND(15*((AJ530*10)/256),0)</f>
        <v>7</v>
      </c>
      <c r="AQ530" s="1" t="str">
        <f aca="false">CONCATENATE(VLOOKUP(AO530,Constants!$A$2:$C$16,IF(AP530&lt;&gt;"", 3, 2), FALSE()),IF(AP530&lt;&gt;"",CONCATENATE(",",VLOOKUP(AP530,$B:$AQ,42,FALSE())),""))</f>
        <v>2,3,2</v>
      </c>
      <c r="BA530" s="1" t="n">
        <v>80</v>
      </c>
      <c r="BB530" s="16" t="str">
        <f aca="false">IF(O530&lt;&gt;"",MAX(16,(O530-M530)+8),"")</f>
        <v/>
      </c>
      <c r="BC530" s="1" t="n">
        <v>10</v>
      </c>
      <c r="BD530" s="1" t="n">
        <v>20</v>
      </c>
      <c r="BE530" s="20" t="n">
        <f aca="false">MIN(AE530/150, 1)*30</f>
        <v>9</v>
      </c>
      <c r="BF530" s="20" t="n">
        <f aca="false">MIN(Q530/4000, 1)*20</f>
        <v>0</v>
      </c>
      <c r="BG530" s="20" t="n">
        <f aca="false">MIN(AC530/400,1)*20</f>
        <v>0</v>
      </c>
      <c r="BH530" s="21" t="n">
        <f aca="false">1-(MAX(M530-1900, 0)/750)</f>
        <v>1</v>
      </c>
      <c r="BI530" s="20" t="n">
        <f aca="false">((MAX($P530,1)*MIN($AM530/300,1)))*IF(J530="Wagon",50,10)</f>
        <v>6</v>
      </c>
      <c r="BJ530" s="1" t="n">
        <f aca="false">VLOOKUP($K530,Constants!$I:$K, 2, FALSE())</f>
        <v>1</v>
      </c>
      <c r="BK530" s="1" t="n">
        <f aca="false">VLOOKUP($K530,Constants!$I:$K, 3, FALSE())*IF(AND(J530="multiple_unit",AE530&lt;110),0.75,1)</f>
        <v>0.45</v>
      </c>
      <c r="BL530" s="20" t="n">
        <v>30</v>
      </c>
      <c r="BM530" s="20" t="n">
        <v>40</v>
      </c>
      <c r="BN530" s="22" t="n">
        <f aca="false">BL530*IF($J530="wagon",62.5,781.25)</f>
        <v>1875</v>
      </c>
      <c r="BO530" s="22" t="n">
        <f aca="false">BM530*IF($J530="wagon",2.73,81.25)</f>
        <v>109.2</v>
      </c>
      <c r="BY530" s="1" t="n">
        <v>1</v>
      </c>
      <c r="BZ530" s="1" t="n">
        <v>74</v>
      </c>
      <c r="CB530" s="1" t="s">
        <v>1934</v>
      </c>
      <c r="CC530" s="1" t="s">
        <v>327</v>
      </c>
      <c r="CD530" s="23" t="s">
        <v>343</v>
      </c>
      <c r="CE530" s="1" t="s">
        <v>1703</v>
      </c>
      <c r="CF530" s="23" t="str">
        <f aca="false">CONCATENATE(CD530,"_",CE530)</f>
        <v>edw_Open Wagon</v>
      </c>
      <c r="CG530" s="23" t="str">
        <f aca="false">_xlfn.CONCAT(K530, "_",L530)</f>
        <v>wagon_NARROW_GAUGE</v>
      </c>
      <c r="CH530" s="7" t="str">
        <f aca="false">_xlfn.CONCAT("{BLACK}Length: {GOLD}", TEXT(ROUNDUP(IF(AT530&lt;&gt;"",SUM(VALUE(_xlfn.TEXTSPLIT(AT530, ","))), SUM(VALUE(_xlfn.TEXTSPLIT(AQ530, ",")))*IF(P530, P530, 1))/16, 1), "#,##0.0"), " tiles{}")</f>
        <v>{BLACK}Length: {GOLD}0.5 tiles{}</v>
      </c>
      <c r="CI530" s="1" t="n">
        <f aca="false">VLOOKUP($CG530, Constants!$M:$N, 2, FALSE())</f>
        <v>0</v>
      </c>
      <c r="CJ530" s="1" t="str">
        <f aca="false">IF(P530&gt;1,_xlfn.CONCAT("{BLACK}Cars: {GOLD}", P530),"")</f>
        <v/>
      </c>
      <c r="CK530" s="1" t="s">
        <v>2006</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{YELLOW}Preserved railway bonus: passengers pay more when hauled by old locomotives{}</v>
      </c>
      <c r="CN530" s="1" t="str">
        <f aca="false">_xlfn.CONCAT(CI530,IF(CI530&lt;&gt;""," ",""),CJ530,IF(OR(CJ530&lt;&gt;"",CI530&lt;&gt;""),"{}",""),CH530,CM530,"{SILVER}",CK530,IF(CL530&lt;&gt;"","{}{}",""),CL530)</f>
        <v>{BLACK}Length: {GOLD}0.5 tiles{}{YELLOW}Preserved railway bonus: passengers pay more when hauled by old locomotives{}{SILVER}Later narrow gauge carriages increased in length where loading gauges allowed, using bogies to help negotiate tight curves.</v>
      </c>
    </row>
    <row r="531" customFormat="false" ht="14.25" hidden="false" customHeight="false" outlineLevel="0" collapsed="false">
      <c r="A531" s="1" t="s">
        <v>1678</v>
      </c>
      <c r="B531" s="19" t="s">
        <v>2007</v>
      </c>
      <c r="C531" s="1" t="n">
        <v>2028</v>
      </c>
      <c r="E531" s="1" t="n">
        <v>3003</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198</v>
      </c>
      <c r="J531" s="1" t="s">
        <v>1476</v>
      </c>
      <c r="K531" s="1" t="s">
        <v>1476</v>
      </c>
      <c r="L531" s="1" t="s">
        <v>1952</v>
      </c>
      <c r="M531" s="1" t="n">
        <v>1863</v>
      </c>
      <c r="Z531" s="1" t="n">
        <v>4</v>
      </c>
      <c r="AB531" s="1" t="n">
        <v>4</v>
      </c>
      <c r="AD531" s="4" t="str">
        <f aca="false">IF(AND(Z531&gt;0,AC531&gt;0),(AC531/((Z531+AA531)*10)),"")</f>
        <v/>
      </c>
      <c r="AE531" s="1" t="n">
        <v>35</v>
      </c>
      <c r="AF531" s="1" t="n">
        <f aca="false">ROUND(AE531*1.6, 0)</f>
        <v>56</v>
      </c>
      <c r="AI531" s="1" t="n">
        <v>8</v>
      </c>
      <c r="AJ531" s="1" t="n">
        <v>8</v>
      </c>
      <c r="AM531" s="5" t="n">
        <v>24</v>
      </c>
      <c r="AN531" s="16" t="s">
        <v>229</v>
      </c>
      <c r="AO531" s="16" t="n">
        <f aca="false">ROUND(15*((AJ531*10)/256),0)</f>
        <v>5</v>
      </c>
      <c r="AQ531" s="1" t="str">
        <f aca="false">CONCATENATE(VLOOKUP(AO531,Constants!$A$2:$C$16,IF(AP531&lt;&gt;"", 3, 2), FALSE()),IF(AP531&lt;&gt;"",CONCATENATE(",",VLOOKUP(AP531,$B:$AQ,42,FALSE())),""))</f>
        <v>2,1,2</v>
      </c>
      <c r="BA531" s="1" t="n">
        <v>80</v>
      </c>
      <c r="BB531" s="16" t="str">
        <f aca="false">IF(O531&lt;&gt;"",MAX(16,(O531-M531)+8),"")</f>
        <v/>
      </c>
      <c r="BC531" s="1" t="n">
        <v>5</v>
      </c>
      <c r="BD531" s="1" t="n">
        <v>10</v>
      </c>
      <c r="BE531" s="20" t="n">
        <f aca="false">MIN(AE531/150, 1)*30</f>
        <v>7</v>
      </c>
      <c r="BF531" s="20" t="n">
        <f aca="false">MIN(Q531/4000, 1)*20</f>
        <v>0</v>
      </c>
      <c r="BG531" s="20" t="n">
        <f aca="false">MIN(AC531/400,1)*20</f>
        <v>0</v>
      </c>
      <c r="BH531" s="21" t="n">
        <f aca="false">1-(MAX(M531-1900, 0)/750)</f>
        <v>1</v>
      </c>
      <c r="BI531" s="20" t="n">
        <f aca="false">((MAX($P531,1)*MIN($AM531/300,1)))*IF(J531="Wagon",50,10)</f>
        <v>4</v>
      </c>
      <c r="BJ531" s="1" t="n">
        <f aca="false">VLOOKUP($K531,Constants!$I:$K, 2, FALSE())</f>
        <v>1</v>
      </c>
      <c r="BK531" s="1" t="n">
        <f aca="false">VLOOKUP($K531,Constants!$I:$K, 3, FALSE())*IF(AND(J531="multiple_unit",AE531&lt;110),0.75,1)</f>
        <v>0.45</v>
      </c>
      <c r="BL531" s="20" t="n">
        <v>17</v>
      </c>
      <c r="BM531" s="20" t="n">
        <v>31</v>
      </c>
      <c r="BN531" s="22" t="n">
        <f aca="false">BL531*IF($J531="wagon",62.5,781.25)</f>
        <v>1062.5</v>
      </c>
      <c r="BO531" s="22" t="n">
        <f aca="false">BM531*IF($J531="wagon",2.73,81.25)</f>
        <v>84.63</v>
      </c>
      <c r="BY531" s="1" t="n">
        <v>1</v>
      </c>
      <c r="BZ531" s="1" t="n">
        <v>225</v>
      </c>
      <c r="CB531" s="1" t="s">
        <v>661</v>
      </c>
      <c r="CC531" s="1" t="s">
        <v>662</v>
      </c>
      <c r="CD531" s="23" t="s">
        <v>265</v>
      </c>
      <c r="CE531" s="1" t="s">
        <v>1703</v>
      </c>
      <c r="CF531" s="23" t="str">
        <f aca="false">CONCATENATE(CD531,"_",CE531)</f>
        <v>vct_Open Wagon</v>
      </c>
      <c r="CG531" s="23" t="str">
        <f aca="false">_xlfn.CONCAT(K531, "_",L531)</f>
        <v>wagon_NARROW_GAUGE</v>
      </c>
      <c r="CH531" s="7" t="str">
        <f aca="false">_xlfn.CONCAT("{BLACK}Length: {GOLD}", TEXT(ROUNDUP(IF(AT531&lt;&gt;"",SUM(VALUE(_xlfn.TEXTSPLIT(AT531, ","))), SUM(VALUE(_xlfn.TEXTSPLIT(AQ531, ",")))*IF(P531, P531, 1))/16, 1), "#,##0.0"), " tiles{}")</f>
        <v>{BLACK}Length: {GOLD}0.4 tiles{}</v>
      </c>
      <c r="CI531" s="1" t="n">
        <f aca="false">VLOOKUP($CG531, Constants!$M:$N, 2, FALSE())</f>
        <v>0</v>
      </c>
      <c r="CJ531" s="1" t="str">
        <f aca="false">IF(P531&gt;1,_xlfn.CONCAT("{BLACK}Cars: {GOLD}", P531),"")</f>
        <v/>
      </c>
      <c r="CK531" s="1" t="s">
        <v>2008</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{GOLD}0.4 tiles{}{SILVER}Brake vans were rarer on narrow gauge railways, but passenger services would typically have a guard's wagon which could also carry parcels.</v>
      </c>
    </row>
    <row r="532" customFormat="false" ht="14.25" hidden="false" customHeight="false" outlineLevel="0" collapsed="false">
      <c r="A532" s="1" t="s">
        <v>2009</v>
      </c>
      <c r="B532" s="19" t="s">
        <v>2010</v>
      </c>
      <c r="C532" s="1" t="n">
        <v>2029</v>
      </c>
      <c r="E532" s="1" t="n">
        <v>3004</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198</v>
      </c>
      <c r="J532" s="1" t="s">
        <v>1476</v>
      </c>
      <c r="K532" s="1" t="s">
        <v>1476</v>
      </c>
      <c r="L532" s="1" t="s">
        <v>1952</v>
      </c>
      <c r="M532" s="1" t="n">
        <v>1900</v>
      </c>
      <c r="Z532" s="1" t="n">
        <v>6</v>
      </c>
      <c r="AB532" s="1" t="n">
        <v>4</v>
      </c>
      <c r="AD532" s="4" t="str">
        <f aca="false">IF(AND(Z532&gt;0,AC532&gt;0),(AC532/((Z532+AA532)*10)),"")</f>
        <v/>
      </c>
      <c r="AE532" s="1" t="n">
        <v>45</v>
      </c>
      <c r="AF532" s="1" t="n">
        <f aca="false">ROUND(AE532*1.6, 0)</f>
        <v>72</v>
      </c>
      <c r="AI532" s="1" t="n">
        <v>12</v>
      </c>
      <c r="AJ532" s="1" t="n">
        <v>12</v>
      </c>
      <c r="AM532" s="5" t="n">
        <v>42</v>
      </c>
      <c r="AN532" s="16" t="s">
        <v>280</v>
      </c>
      <c r="AO532" s="16" t="n">
        <f aca="false">ROUND(15*((AJ532*10)/256),0)</f>
        <v>7</v>
      </c>
      <c r="AQ532" s="1" t="str">
        <f aca="false">CONCATENATE(VLOOKUP(AO532,Constants!$A$2:$C$16,IF(AP532&lt;&gt;"", 3, 2), FALSE()),IF(AP532&lt;&gt;"",CONCATENATE(",",VLOOKUP(AP532,$B:$AQ,42,FALSE())),""))</f>
        <v>2,3,2</v>
      </c>
      <c r="BA532" s="1" t="n">
        <v>80</v>
      </c>
      <c r="BB532" s="16" t="str">
        <f aca="false">IF(O532&lt;&gt;"",MAX(16,(O532-M532)+8),"")</f>
        <v/>
      </c>
      <c r="BC532" s="1" t="n">
        <v>10</v>
      </c>
      <c r="BD532" s="1" t="n">
        <v>20</v>
      </c>
      <c r="BE532" s="20" t="n">
        <f aca="false">MIN(AE532/150, 1)*30</f>
        <v>9</v>
      </c>
      <c r="BF532" s="20" t="n">
        <f aca="false">MIN(Q532/4000, 1)*20</f>
        <v>0</v>
      </c>
      <c r="BG532" s="20" t="n">
        <f aca="false">MIN(AC532/400,1)*20</f>
        <v>0</v>
      </c>
      <c r="BH532" s="21" t="n">
        <f aca="false">1-(MAX(M532-1900, 0)/750)</f>
        <v>1</v>
      </c>
      <c r="BI532" s="20" t="n">
        <f aca="false">((MAX($P532,1)*MIN($AM532/300,1)))*IF(J532="Wagon",50,10)</f>
        <v>7</v>
      </c>
      <c r="BJ532" s="1" t="n">
        <f aca="false">VLOOKUP($K532,Constants!$I:$K, 2, FALSE())</f>
        <v>1</v>
      </c>
      <c r="BK532" s="1" t="n">
        <f aca="false">VLOOKUP($K532,Constants!$I:$K, 3, FALSE())*IF(AND(J532="multiple_unit",AE532&lt;110),0.75,1)</f>
        <v>0.45</v>
      </c>
      <c r="BL532" s="20" t="n">
        <v>30</v>
      </c>
      <c r="BM532" s="20" t="n">
        <v>41</v>
      </c>
      <c r="BN532" s="22" t="n">
        <f aca="false">BL532*IF($J532="wagon",62.5,781.25)</f>
        <v>1875</v>
      </c>
      <c r="BO532" s="22" t="n">
        <f aca="false">BM532*IF($J532="wagon",2.73,81.25)</f>
        <v>111.93</v>
      </c>
      <c r="BY532" s="1" t="n">
        <v>1</v>
      </c>
      <c r="BZ532" s="1" t="n">
        <v>225</v>
      </c>
      <c r="CB532" s="1" t="s">
        <v>661</v>
      </c>
      <c r="CC532" s="1" t="s">
        <v>662</v>
      </c>
      <c r="CD532" s="23" t="s">
        <v>343</v>
      </c>
      <c r="CE532" s="1" t="s">
        <v>1703</v>
      </c>
      <c r="CF532" s="23" t="str">
        <f aca="false">CONCATENATE(CD532,"_",CE532)</f>
        <v>edw_Open Wagon</v>
      </c>
      <c r="CG532" s="23" t="str">
        <f aca="false">_xlfn.CONCAT(K532, "_",L532)</f>
        <v>wagon_NARROW_GAUGE</v>
      </c>
      <c r="CH532" s="7" t="str">
        <f aca="false">_xlfn.CONCAT("{BLACK}Length: {GOLD}", TEXT(ROUNDUP(IF(AT532&lt;&gt;"",SUM(VALUE(_xlfn.TEXTSPLIT(AT532, ","))), SUM(VALUE(_xlfn.TEXTSPLIT(AQ532, ",")))*IF(P532, P532, 1))/16, 1), "#,##0.0"), " tiles{}")</f>
        <v>{BLACK}Length: {GOLD}0.5 tiles{}</v>
      </c>
      <c r="CI532" s="1" t="n">
        <f aca="false">VLOOKUP($CG532, Constants!$M:$N, 2, FALSE())</f>
        <v>0</v>
      </c>
      <c r="CJ532" s="1" t="str">
        <f aca="false">IF(P532&gt;1,_xlfn.CONCAT("{BLACK}Cars: {GOLD}", P532),"")</f>
        <v/>
      </c>
      <c r="CK532" s="1" t="s">
        <v>2011</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{GOLD}0.5 tiles{}{SILVER}Larger and heavier carriages also meant larger and heavier guard's vans.</v>
      </c>
    </row>
    <row r="533" customFormat="false" ht="14.25" hidden="false" customHeight="false" outlineLevel="0" collapsed="false">
      <c r="A533" s="1" t="s">
        <v>1699</v>
      </c>
      <c r="B533" s="19" t="s">
        <v>2012</v>
      </c>
      <c r="C533" s="1" t="n">
        <v>2030</v>
      </c>
      <c r="E533" s="1" t="n">
        <v>3005</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198</v>
      </c>
      <c r="J533" s="1" t="s">
        <v>1476</v>
      </c>
      <c r="K533" s="1" t="s">
        <v>1476</v>
      </c>
      <c r="L533" s="1" t="s">
        <v>1952</v>
      </c>
      <c r="M533" s="1" t="n">
        <v>1800</v>
      </c>
      <c r="O533" s="1" t="n">
        <v>1900</v>
      </c>
      <c r="Z533" s="1" t="n">
        <v>1</v>
      </c>
      <c r="AB533" s="1" t="n">
        <v>3</v>
      </c>
      <c r="AD533" s="4" t="str">
        <f aca="false">IF(AND(Z533&gt;0,AC533&gt;0),(AC533/((Z533+AA533)*10)),"")</f>
        <v/>
      </c>
      <c r="AE533" s="1" t="n">
        <v>25</v>
      </c>
      <c r="AF533" s="1" t="n">
        <f aca="false">ROUND(AE533*1.6, 0)</f>
        <v>40</v>
      </c>
      <c r="AI533" s="1" t="n">
        <v>4.9</v>
      </c>
      <c r="AJ533" s="1" t="n">
        <v>6</v>
      </c>
      <c r="AM533" s="5" t="n">
        <v>9</v>
      </c>
      <c r="AN533" s="16" t="s">
        <v>237</v>
      </c>
      <c r="AO533" s="16" t="n">
        <f aca="false">ROUND(15*((AJ533*10)/256),0)</f>
        <v>4</v>
      </c>
      <c r="AQ533" s="1" t="str">
        <f aca="false">CONCATENATE(VLOOKUP(AO533,Constants!$A$2:$C$16,IF(AP533&lt;&gt;"", 3, 2), FALSE()),IF(AP533&lt;&gt;"",CONCATENATE(",",VLOOKUP(AP533,$B:$AQ,42,FALSE())),""))</f>
        <v>1,2,1</v>
      </c>
      <c r="BA533" s="1" t="n">
        <v>80</v>
      </c>
      <c r="BB533" s="16" t="n">
        <f aca="false">IF(O533&lt;&gt;"",MAX(16,(O533-M533)+8),"")</f>
        <v>108</v>
      </c>
      <c r="BC533" s="1" t="n">
        <v>-15</v>
      </c>
      <c r="BD533" s="1" t="n">
        <v>-3</v>
      </c>
      <c r="BE533" s="20" t="n">
        <f aca="false">MIN(AE533/150, 1)*30</f>
        <v>5</v>
      </c>
      <c r="BF533" s="20" t="n">
        <f aca="false">MIN(Q533/4000, 1)*20</f>
        <v>0</v>
      </c>
      <c r="BG533" s="20" t="n">
        <f aca="false">MIN(AC533/400,1)*20</f>
        <v>0</v>
      </c>
      <c r="BH533" s="21" t="n">
        <f aca="false">1-(MAX(M533-1900, 0)/750)</f>
        <v>1</v>
      </c>
      <c r="BI533" s="20" t="n">
        <f aca="false">((MAX($P533,1)*MIN($AM533/300,1)))*IF(J533="Wagon",50,10)</f>
        <v>1.5</v>
      </c>
      <c r="BJ533" s="1" t="n">
        <f aca="false">VLOOKUP($K533,Constants!$I:$K, 2, FALSE())</f>
        <v>1</v>
      </c>
      <c r="BK533" s="1" t="n">
        <f aca="false">VLOOKUP($K533,Constants!$I:$K, 3, FALSE())*IF(AND(J533="multiple_unit",AE533&lt;110),0.75,1)</f>
        <v>0.45</v>
      </c>
      <c r="BL533" s="20" t="n">
        <v>2</v>
      </c>
      <c r="BM533" s="20" t="n">
        <v>6</v>
      </c>
      <c r="BN533" s="22" t="n">
        <f aca="false">BL533*IF($J533="wagon",62.5,781.25)</f>
        <v>125</v>
      </c>
      <c r="BO533" s="22" t="n">
        <f aca="false">BM533*IF($J533="wagon",2.73,81.25)</f>
        <v>16.38</v>
      </c>
      <c r="BY533" s="1" t="n">
        <v>1</v>
      </c>
      <c r="BZ533" s="1" t="n">
        <v>225</v>
      </c>
      <c r="CB533" s="1" t="s">
        <v>1701</v>
      </c>
      <c r="CC533" s="1" t="s">
        <v>1702</v>
      </c>
      <c r="CD533" s="23" t="s">
        <v>230</v>
      </c>
      <c r="CE533" s="1" t="s">
        <v>1703</v>
      </c>
      <c r="CF533" s="23" t="str">
        <f aca="false">CONCATENATE(CD533,"_",CE533)</f>
        <v>early_Open Wagon</v>
      </c>
      <c r="CG533" s="23" t="str">
        <f aca="false">_xlfn.CONCAT(K533, "_",L533)</f>
        <v>wagon_NARROW_GAUGE</v>
      </c>
      <c r="CH533" s="7" t="str">
        <f aca="false">_xlfn.CONCAT("{BLACK}Length: {GOLD}", TEXT(ROUNDUP(IF(AT533&lt;&gt;"",SUM(VALUE(_xlfn.TEXTSPLIT(AT533, ","))), SUM(VALUE(_xlfn.TEXTSPLIT(AQ533, ",")))*IF(P533, P533, 1))/16, 1), "#,##0.0"), " tiles{}")</f>
        <v>{BLACK}Length: {GOLD}0.3 tiles{}</v>
      </c>
      <c r="CI533" s="1" t="n">
        <f aca="false">VLOOKUP($CG533, Constants!$M:$N, 2, FALSE())</f>
        <v>0</v>
      </c>
      <c r="CJ533" s="1" t="str">
        <f aca="false">IF(P533&gt;1,_xlfn.CONCAT("{BLACK}Cars: {GOLD}", P533),"")</f>
        <v/>
      </c>
      <c r="CK533" s="1" t="s">
        <v>2013</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{GOLD}0.3 tiles{}{SILVER}An open wagon for carrying bulk cargo on narrow gauge railways.</v>
      </c>
    </row>
    <row r="534" customFormat="false" ht="14.25" hidden="false" customHeight="false" outlineLevel="0" collapsed="false">
      <c r="A534" s="1" t="s">
        <v>2014</v>
      </c>
      <c r="B534" s="19" t="s">
        <v>2015</v>
      </c>
      <c r="C534" s="1" t="n">
        <v>2031</v>
      </c>
      <c r="E534" s="1" t="n">
        <v>3006</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198</v>
      </c>
      <c r="J534" s="1" t="s">
        <v>1476</v>
      </c>
      <c r="K534" s="1" t="s">
        <v>1476</v>
      </c>
      <c r="L534" s="1" t="s">
        <v>1952</v>
      </c>
      <c r="M534" s="1" t="n">
        <v>1870</v>
      </c>
      <c r="Z534" s="1" t="n">
        <v>1</v>
      </c>
      <c r="AB534" s="1" t="n">
        <v>4</v>
      </c>
      <c r="AD534" s="4" t="str">
        <f aca="false">IF(AND(Z534&gt;0,AC534&gt;0),(AC534/((Z534+AA534)*10)),"")</f>
        <v/>
      </c>
      <c r="AE534" s="1" t="n">
        <v>30</v>
      </c>
      <c r="AF534" s="1" t="n">
        <f aca="false">ROUND(AE534*1.6, 0)</f>
        <v>48</v>
      </c>
      <c r="AI534" s="1" t="n">
        <v>8</v>
      </c>
      <c r="AJ534" s="1" t="n">
        <v>8</v>
      </c>
      <c r="AM534" s="5" t="n">
        <v>12</v>
      </c>
      <c r="AN534" s="16" t="s">
        <v>229</v>
      </c>
      <c r="AO534" s="16" t="n">
        <f aca="false">ROUND(15*((AJ534*10)/256),0)</f>
        <v>5</v>
      </c>
      <c r="AQ534" s="1" t="str">
        <f aca="false">CONCATENATE(VLOOKUP(AO534,Constants!$A$2:$C$16,IF(AP534&lt;&gt;"", 3, 2), FALSE()),IF(AP534&lt;&gt;"",CONCATENATE(",",VLOOKUP(AP534,$B:$AQ,42,FALSE())),""))</f>
        <v>2,1,2</v>
      </c>
      <c r="BA534" s="1" t="n">
        <v>80</v>
      </c>
      <c r="BB534" s="16" t="str">
        <f aca="false">IF(O534&lt;&gt;"",MAX(16,(O534-M534)+8),"")</f>
        <v/>
      </c>
      <c r="BC534" s="1" t="n">
        <v>-15</v>
      </c>
      <c r="BD534" s="1" t="n">
        <v>-3</v>
      </c>
      <c r="BE534" s="20" t="n">
        <f aca="false">MIN(AE534/150, 1)*30</f>
        <v>6</v>
      </c>
      <c r="BF534" s="20" t="n">
        <f aca="false">MIN(Q534/4000, 1)*20</f>
        <v>0</v>
      </c>
      <c r="BG534" s="20" t="n">
        <f aca="false">MIN(AC534/400,1)*20</f>
        <v>0</v>
      </c>
      <c r="BH534" s="21" t="n">
        <f aca="false">1-(MAX(M534-1900, 0)/750)</f>
        <v>1</v>
      </c>
      <c r="BI534" s="20" t="n">
        <f aca="false">((MAX($P534,1)*MIN($AM534/300,1)))*IF(J534="Wagon",50,10)</f>
        <v>2</v>
      </c>
      <c r="BJ534" s="1" t="n">
        <f aca="false">VLOOKUP($K534,Constants!$I:$K, 2, FALSE())</f>
        <v>1</v>
      </c>
      <c r="BK534" s="1" t="n">
        <f aca="false">VLOOKUP($K534,Constants!$I:$K, 3, FALSE())*IF(AND(J534="multiple_unit",AE534&lt;110),0.75,1)</f>
        <v>0.45</v>
      </c>
      <c r="BL534" s="20" t="n">
        <v>3</v>
      </c>
      <c r="BM534" s="20" t="n">
        <v>8</v>
      </c>
      <c r="BN534" s="22" t="n">
        <f aca="false">BL534*IF($J534="wagon",62.5,781.25)</f>
        <v>187.5</v>
      </c>
      <c r="BO534" s="22" t="n">
        <f aca="false">BM534*IF($J534="wagon",2.73,81.25)</f>
        <v>21.84</v>
      </c>
      <c r="BY534" s="1" t="n">
        <v>1</v>
      </c>
      <c r="BZ534" s="1" t="n">
        <v>225</v>
      </c>
      <c r="CB534" s="1" t="s">
        <v>1710</v>
      </c>
      <c r="CC534" s="1" t="s">
        <v>1702</v>
      </c>
      <c r="CD534" s="23" t="s">
        <v>265</v>
      </c>
      <c r="CE534" s="1" t="s">
        <v>1703</v>
      </c>
      <c r="CF534" s="23" t="str">
        <f aca="false">CONCATENATE(CD534,"_",CE534)</f>
        <v>vct_Open Wagon</v>
      </c>
      <c r="CG534" s="23" t="str">
        <f aca="false">_xlfn.CONCAT(K534, "_",L534)</f>
        <v>wagon_NARROW_GAUGE</v>
      </c>
      <c r="CH534" s="7" t="str">
        <f aca="false">_xlfn.CONCAT("{BLACK}Length: {GOLD}", TEXT(ROUNDUP(IF(AT534&lt;&gt;"",SUM(VALUE(_xlfn.TEXTSPLIT(AT534, ","))), SUM(VALUE(_xlfn.TEXTSPLIT(AQ534, ",")))*IF(P534, P534, 1))/16, 1), "#,##0.0"), " tiles{}")</f>
        <v>{BLACK}Length: {GOLD}0.4 tiles{}</v>
      </c>
      <c r="CI534" s="1" t="n">
        <f aca="false">VLOOKUP($CG534, Constants!$M:$N, 2, FALSE())</f>
        <v>0</v>
      </c>
      <c r="CJ534" s="1" t="str">
        <f aca="false">IF(P534&gt;1,_xlfn.CONCAT("{BLACK}Cars: {GOLD}", P534),"")</f>
        <v/>
      </c>
      <c r="CK534" s="1" t="s">
        <v>2016</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{GOLD}0.4 tiles{}{SILVER}Heavier mineral wagons allowed larger amounts of cargo to be carried.</v>
      </c>
    </row>
    <row r="535" customFormat="false" ht="14.25" hidden="false" customHeight="false" outlineLevel="0" collapsed="false">
      <c r="A535" s="1" t="s">
        <v>1749</v>
      </c>
      <c r="B535" s="19" t="s">
        <v>2017</v>
      </c>
      <c r="C535" s="1" t="n">
        <v>2032</v>
      </c>
      <c r="E535" s="1" t="n">
        <v>3007</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198</v>
      </c>
      <c r="J535" s="1" t="s">
        <v>1476</v>
      </c>
      <c r="K535" s="1" t="s">
        <v>1476</v>
      </c>
      <c r="L535" s="1" t="s">
        <v>1952</v>
      </c>
      <c r="M535" s="1" t="n">
        <v>1800</v>
      </c>
      <c r="O535" s="1" t="n">
        <v>1900</v>
      </c>
      <c r="Z535" s="1" t="n">
        <v>1</v>
      </c>
      <c r="AB535" s="1" t="n">
        <v>3</v>
      </c>
      <c r="AD535" s="4" t="str">
        <f aca="false">IF(AND(Z535&gt;0,AC535&gt;0),(AC535/((Z535+AA535)*10)),"")</f>
        <v/>
      </c>
      <c r="AE535" s="1" t="n">
        <v>25</v>
      </c>
      <c r="AF535" s="1" t="n">
        <f aca="false">ROUND(AE535*1.6, 0)</f>
        <v>40</v>
      </c>
      <c r="AI535" s="1" t="n">
        <v>4.9</v>
      </c>
      <c r="AJ535" s="1" t="n">
        <v>6</v>
      </c>
      <c r="AM535" s="5" t="n">
        <v>10</v>
      </c>
      <c r="AN535" s="16" t="s">
        <v>237</v>
      </c>
      <c r="AO535" s="16" t="n">
        <f aca="false">ROUND(15*((AJ535*10)/256),0)</f>
        <v>4</v>
      </c>
      <c r="AQ535" s="1" t="str">
        <f aca="false">CONCATENATE(VLOOKUP(AO535,Constants!$A$2:$C$16,IF(AP535&lt;&gt;"", 3, 2), FALSE()),IF(AP535&lt;&gt;"",CONCATENATE(",",VLOOKUP(AP535,$B:$AQ,42,FALSE())),""))</f>
        <v>1,2,1</v>
      </c>
      <c r="BA535" s="1" t="n">
        <v>80</v>
      </c>
      <c r="BB535" s="16" t="n">
        <f aca="false">IF(O535&lt;&gt;"",MAX(16,(O535-M535)+8),"")</f>
        <v>108</v>
      </c>
      <c r="BC535" s="1" t="n">
        <v>-15</v>
      </c>
      <c r="BD535" s="1" t="n">
        <v>-3</v>
      </c>
      <c r="BE535" s="20" t="n">
        <f aca="false">MIN(AE535/150, 1)*30</f>
        <v>5</v>
      </c>
      <c r="BF535" s="20" t="n">
        <f aca="false">MIN(Q535/4000, 1)*20</f>
        <v>0</v>
      </c>
      <c r="BG535" s="20" t="n">
        <f aca="false">MIN(AC535/400,1)*20</f>
        <v>0</v>
      </c>
      <c r="BH535" s="21" t="n">
        <f aca="false">1-(MAX(M535-1900, 0)/750)</f>
        <v>1</v>
      </c>
      <c r="BI535" s="20" t="n">
        <f aca="false">((MAX($P535,1)*MIN($AM535/300,1)))*IF(J535="Wagon",50,10)</f>
        <v>1.66666666666667</v>
      </c>
      <c r="BJ535" s="1" t="n">
        <f aca="false">VLOOKUP($K535,Constants!$I:$K, 2, FALSE())</f>
        <v>1</v>
      </c>
      <c r="BK535" s="1" t="n">
        <f aca="false">VLOOKUP($K535,Constants!$I:$K, 3, FALSE())*IF(AND(J535="multiple_unit",AE535&lt;110),0.75,1)</f>
        <v>0.45</v>
      </c>
      <c r="BL535" s="20" t="n">
        <v>2</v>
      </c>
      <c r="BM535" s="20" t="n">
        <v>6</v>
      </c>
      <c r="BN535" s="22" t="n">
        <f aca="false">BL535*IF($J535="wagon",62.5,781.25)</f>
        <v>125</v>
      </c>
      <c r="BO535" s="22" t="n">
        <f aca="false">BM535*IF($J535="wagon",2.73,81.25)</f>
        <v>16.38</v>
      </c>
      <c r="BY535" s="1" t="n">
        <v>1</v>
      </c>
      <c r="BZ535" s="1" t="n">
        <v>225</v>
      </c>
      <c r="CB535" s="1" t="s">
        <v>1751</v>
      </c>
      <c r="CC535" s="1" t="s">
        <v>1752</v>
      </c>
      <c r="CD535" s="23" t="s">
        <v>230</v>
      </c>
      <c r="CE535" s="1" t="s">
        <v>1703</v>
      </c>
      <c r="CF535" s="23" t="str">
        <f aca="false">CONCATENATE(CD535,"_",CE535)</f>
        <v>early_Open Wagon</v>
      </c>
      <c r="CG535" s="23" t="str">
        <f aca="false">_xlfn.CONCAT(K535, "_",L535)</f>
        <v>wagon_NARROW_GAUGE</v>
      </c>
      <c r="CH535" s="7" t="str">
        <f aca="false">_xlfn.CONCAT("{BLACK}Length: {GOLD}", TEXT(ROUNDUP(IF(AT535&lt;&gt;"",SUM(VALUE(_xlfn.TEXTSPLIT(AT535, ","))), SUM(VALUE(_xlfn.TEXTSPLIT(AQ535, ",")))*IF(P535, P535, 1))/16, 1), "#,##0.0"), " tiles{}")</f>
        <v>{BLACK}Length: {GOLD}0.3 tiles{}</v>
      </c>
      <c r="CI535" s="1" t="n">
        <f aca="false">VLOOKUP($CG535, Constants!$M:$N, 2, FALSE())</f>
        <v>0</v>
      </c>
      <c r="CJ535" s="1" t="str">
        <f aca="false">IF(P535&gt;1,_xlfn.CONCAT("{BLACK}Cars: {GOLD}", P535),"")</f>
        <v/>
      </c>
      <c r="CK535" s="1" t="s">
        <v>2018</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tiles{}{SILVER}While many narrow gauge railways were quarry lines carrying bulk goods or slate, flat wagons were used for transporting equipment.</v>
      </c>
    </row>
    <row r="536" customFormat="false" ht="14.25" hidden="false" customHeight="false" outlineLevel="0" collapsed="false">
      <c r="A536" s="1" t="s">
        <v>1755</v>
      </c>
      <c r="B536" s="19" t="s">
        <v>2019</v>
      </c>
      <c r="C536" s="1" t="n">
        <v>2033</v>
      </c>
      <c r="E536" s="1" t="n">
        <v>3008</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198</v>
      </c>
      <c r="J536" s="1" t="s">
        <v>1476</v>
      </c>
      <c r="K536" s="1" t="s">
        <v>1476</v>
      </c>
      <c r="L536" s="1" t="s">
        <v>1952</v>
      </c>
      <c r="M536" s="1" t="n">
        <v>1870</v>
      </c>
      <c r="Z536" s="1" t="n">
        <v>1</v>
      </c>
      <c r="AB536" s="1" t="n">
        <v>4</v>
      </c>
      <c r="AD536" s="4" t="str">
        <f aca="false">IF(AND(Z536&gt;0,AC536&gt;0),(AC536/((Z536+AA536)*10)),"")</f>
        <v/>
      </c>
      <c r="AE536" s="1" t="n">
        <v>30</v>
      </c>
      <c r="AF536" s="1" t="n">
        <f aca="false">ROUND(AE536*1.6, 0)</f>
        <v>48</v>
      </c>
      <c r="AI536" s="1" t="n">
        <v>4.9</v>
      </c>
      <c r="AJ536" s="1" t="n">
        <v>8</v>
      </c>
      <c r="AM536" s="5" t="n">
        <v>12</v>
      </c>
      <c r="AN536" s="16" t="s">
        <v>229</v>
      </c>
      <c r="AO536" s="16" t="n">
        <f aca="false">ROUND(15*((AJ536*10)/256),0)</f>
        <v>5</v>
      </c>
      <c r="AQ536" s="1" t="str">
        <f aca="false">CONCATENATE(VLOOKUP(AO536,Constants!$A$2:$C$16,IF(AP536&lt;&gt;"", 3, 2), FALSE()),IF(AP536&lt;&gt;"",CONCATENATE(",",VLOOKUP(AP536,$B:$AQ,42,FALSE())),""))</f>
        <v>2,1,2</v>
      </c>
      <c r="BA536" s="1" t="n">
        <v>80</v>
      </c>
      <c r="BB536" s="16" t="str">
        <f aca="false">IF(O536&lt;&gt;"",MAX(16,(O536-M536)+8),"")</f>
        <v/>
      </c>
      <c r="BC536" s="1" t="n">
        <v>-15</v>
      </c>
      <c r="BD536" s="1" t="n">
        <v>-3</v>
      </c>
      <c r="BE536" s="20" t="n">
        <f aca="false">MIN(AE536/150, 1)*30</f>
        <v>6</v>
      </c>
      <c r="BF536" s="20" t="n">
        <f aca="false">MIN(Q536/4000, 1)*20</f>
        <v>0</v>
      </c>
      <c r="BG536" s="20" t="n">
        <f aca="false">MIN(AC536/400,1)*20</f>
        <v>0</v>
      </c>
      <c r="BH536" s="21" t="n">
        <f aca="false">1-(MAX(M536-1900, 0)/750)</f>
        <v>1</v>
      </c>
      <c r="BI536" s="20" t="n">
        <f aca="false">((MAX($P536,1)*MIN($AM536/300,1)))*IF(J536="Wagon",50,10)</f>
        <v>2</v>
      </c>
      <c r="BJ536" s="1" t="n">
        <f aca="false">VLOOKUP($K536,Constants!$I:$K, 2, FALSE())</f>
        <v>1</v>
      </c>
      <c r="BK536" s="1" t="n">
        <f aca="false">VLOOKUP($K536,Constants!$I:$K, 3, FALSE())*IF(AND(J536="multiple_unit",AE536&lt;110),0.75,1)</f>
        <v>0.45</v>
      </c>
      <c r="BL536" s="20" t="n">
        <v>3</v>
      </c>
      <c r="BM536" s="20" t="n">
        <v>8</v>
      </c>
      <c r="BN536" s="22" t="n">
        <f aca="false">BL536*IF($J536="wagon",62.5,781.25)</f>
        <v>187.5</v>
      </c>
      <c r="BO536" s="22" t="n">
        <f aca="false">BM536*IF($J536="wagon",2.73,81.25)</f>
        <v>21.84</v>
      </c>
      <c r="BY536" s="1" t="n">
        <v>1</v>
      </c>
      <c r="BZ536" s="1" t="n">
        <v>225</v>
      </c>
      <c r="CB536" s="1" t="s">
        <v>1751</v>
      </c>
      <c r="CC536" s="1" t="s">
        <v>1752</v>
      </c>
      <c r="CD536" s="23" t="s">
        <v>265</v>
      </c>
      <c r="CE536" s="1" t="s">
        <v>1703</v>
      </c>
      <c r="CF536" s="23" t="str">
        <f aca="false">CONCATENATE(CD536,"_",CE536)</f>
        <v>vct_Open Wagon</v>
      </c>
      <c r="CG536" s="23" t="str">
        <f aca="false">_xlfn.CONCAT(K536, "_",L536)</f>
        <v>wagon_NARROW_GAUGE</v>
      </c>
      <c r="CH536" s="7" t="str">
        <f aca="false">_xlfn.CONCAT("{BLACK}Length: {GOLD}", TEXT(ROUNDUP(IF(AT536&lt;&gt;"",SUM(VALUE(_xlfn.TEXTSPLIT(AT536, ","))), SUM(VALUE(_xlfn.TEXTSPLIT(AQ536, ",")))*IF(P536, P536, 1))/16, 1), "#,##0.0"), " tiles{}")</f>
        <v>{BLACK}Length: {GOLD}0.4 tiles{}</v>
      </c>
      <c r="CI536" s="1" t="n">
        <f aca="false">VLOOKUP($CG536, Constants!$M:$N, 2, FALSE())</f>
        <v>0</v>
      </c>
      <c r="CJ536" s="1" t="str">
        <f aca="false">IF(P536&gt;1,_xlfn.CONCAT("{BLACK}Cars: {GOLD}", P536),"")</f>
        <v/>
      </c>
      <c r="CK536" s="1" t="s">
        <v>2020</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{GOLD}0.4 tiles{}{SILVER}As per standard gauge practice, bolster wagons were used for carrying long, rigid cargo.</v>
      </c>
    </row>
    <row r="537" customFormat="false" ht="14.25" hidden="false" customHeight="false" outlineLevel="0" collapsed="false">
      <c r="A537" s="1" t="s">
        <v>2021</v>
      </c>
      <c r="B537" s="19" t="s">
        <v>2022</v>
      </c>
      <c r="C537" s="1" t="n">
        <v>2034</v>
      </c>
      <c r="E537" s="1" t="n">
        <v>3009</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198</v>
      </c>
      <c r="J537" s="1" t="s">
        <v>1476</v>
      </c>
      <c r="K537" s="1" t="s">
        <v>1476</v>
      </c>
      <c r="L537" s="1" t="s">
        <v>1952</v>
      </c>
      <c r="M537" s="1" t="n">
        <v>1890</v>
      </c>
      <c r="Z537" s="1" t="n">
        <v>2</v>
      </c>
      <c r="AB537" s="1" t="n">
        <v>4</v>
      </c>
      <c r="AD537" s="4" t="str">
        <f aca="false">IF(AND(Z537&gt;0,AC537&gt;0),(AC537/((Z537+AA537)*10)),"")</f>
        <v/>
      </c>
      <c r="AE537" s="1" t="n">
        <v>30</v>
      </c>
      <c r="AF537" s="1" t="n">
        <f aca="false">ROUND(AE537*1.6, 0)</f>
        <v>48</v>
      </c>
      <c r="AI537" s="1" t="n">
        <v>10</v>
      </c>
      <c r="AJ537" s="1" t="n">
        <v>10</v>
      </c>
      <c r="AM537" s="5" t="n">
        <v>18</v>
      </c>
      <c r="AN537" s="16" t="s">
        <v>268</v>
      </c>
      <c r="AO537" s="16" t="n">
        <f aca="false">ROUND(15*((AJ537*10)/256),0)</f>
        <v>6</v>
      </c>
      <c r="AQ537" s="1" t="str">
        <f aca="false">CONCATENATE(VLOOKUP(AO537,Constants!$A$2:$C$16,IF(AP537&lt;&gt;"", 3, 2), FALSE()),IF(AP537&lt;&gt;"",CONCATENATE(",",VLOOKUP(AP537,$B:$AQ,42,FALSE())),""))</f>
        <v>2,2,2</v>
      </c>
      <c r="BA537" s="1" t="n">
        <v>80</v>
      </c>
      <c r="BB537" s="16" t="str">
        <f aca="false">IF(O537&lt;&gt;"",MAX(16,(O537-M537)+8),"")</f>
        <v/>
      </c>
      <c r="BC537" s="1" t="n">
        <v>-15</v>
      </c>
      <c r="BD537" s="1" t="n">
        <v>-2</v>
      </c>
      <c r="BE537" s="20" t="n">
        <f aca="false">MIN(AE537/150, 1)*30</f>
        <v>6</v>
      </c>
      <c r="BF537" s="20" t="n">
        <f aca="false">MIN(Q537/4000, 1)*20</f>
        <v>0</v>
      </c>
      <c r="BG537" s="20" t="n">
        <f aca="false">MIN(AC537/400,1)*20</f>
        <v>0</v>
      </c>
      <c r="BH537" s="21" t="n">
        <f aca="false">1-(MAX(M537-1900, 0)/750)</f>
        <v>1</v>
      </c>
      <c r="BI537" s="20" t="n">
        <f aca="false">((MAX($P537,1)*MIN($AM537/300,1)))*IF(J537="Wagon",50,10)</f>
        <v>3</v>
      </c>
      <c r="BJ537" s="1" t="n">
        <f aca="false">VLOOKUP($K537,Constants!$I:$K, 2, FALSE())</f>
        <v>1</v>
      </c>
      <c r="BK537" s="1" t="n">
        <f aca="false">VLOOKUP($K537,Constants!$I:$K, 3, FALSE())*IF(AND(J537="multiple_unit",AE537&lt;110),0.75,1)</f>
        <v>0.45</v>
      </c>
      <c r="BL537" s="20" t="n">
        <v>4</v>
      </c>
      <c r="BM537" s="20" t="n">
        <v>9</v>
      </c>
      <c r="BN537" s="22" t="n">
        <f aca="false">BL537*IF($J537="wagon",62.5,781.25)</f>
        <v>250</v>
      </c>
      <c r="BO537" s="22" t="n">
        <f aca="false">BM537*IF($J537="wagon",2.73,81.25)</f>
        <v>24.57</v>
      </c>
      <c r="BY537" s="1" t="n">
        <v>1</v>
      </c>
      <c r="BZ537" s="1" t="n">
        <v>225</v>
      </c>
      <c r="CB537" s="1" t="s">
        <v>1751</v>
      </c>
      <c r="CC537" s="1" t="s">
        <v>1752</v>
      </c>
      <c r="CD537" s="23" t="s">
        <v>265</v>
      </c>
      <c r="CE537" s="1" t="s">
        <v>1703</v>
      </c>
      <c r="CF537" s="23" t="str">
        <f aca="false">CONCATENATE(CD537,"_",CE537)</f>
        <v>vct_Open Wagon</v>
      </c>
      <c r="CG537" s="23" t="str">
        <f aca="false">_xlfn.CONCAT(K537, "_",L537)</f>
        <v>wagon_NARROW_GAUGE</v>
      </c>
      <c r="CH537" s="7" t="str">
        <f aca="false">_xlfn.CONCAT("{BLACK}Length: {GOLD}", TEXT(ROUNDUP(IF(AT537&lt;&gt;"",SUM(VALUE(_xlfn.TEXTSPLIT(AT537, ","))), SUM(VALUE(_xlfn.TEXTSPLIT(AQ537, ",")))*IF(P537, P537, 1))/16, 1), "#,##0.0"), " tiles{}")</f>
        <v>{BLACK}Length: {GOLD}0.4 tiles{}</v>
      </c>
      <c r="CI537" s="1" t="n">
        <f aca="false">VLOOKUP($CG537, Constants!$M:$N, 2, FALSE())</f>
        <v>0</v>
      </c>
      <c r="CJ537" s="1" t="str">
        <f aca="false">IF(P537&gt;1,_xlfn.CONCAT("{BLACK}Cars: {GOLD}", P537),"")</f>
        <v/>
      </c>
      <c r="CK537" s="1" t="s">
        <v>2023</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tiles{}{SILVER}Narrow gauge railways tend to use smaller vehicles capable of traversing tight turns, but the occasional larger wagon can be found on straighter routes.</v>
      </c>
    </row>
    <row r="538" customFormat="false" ht="14.25" hidden="false" customHeight="false" outlineLevel="0" collapsed="false">
      <c r="A538" s="1" t="s">
        <v>2024</v>
      </c>
      <c r="B538" s="19" t="s">
        <v>2025</v>
      </c>
      <c r="C538" s="1" t="n">
        <v>2035</v>
      </c>
      <c r="E538" s="1" t="n">
        <v>3010</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198</v>
      </c>
      <c r="J538" s="1" t="s">
        <v>1476</v>
      </c>
      <c r="K538" s="1" t="s">
        <v>1476</v>
      </c>
      <c r="L538" s="1" t="s">
        <v>1952</v>
      </c>
      <c r="M538" s="1" t="n">
        <v>1870</v>
      </c>
      <c r="Z538" s="1" t="n">
        <v>1</v>
      </c>
      <c r="AB538" s="1" t="n">
        <v>4</v>
      </c>
      <c r="AD538" s="4" t="str">
        <f aca="false">IF(AND(Z538&gt;0,AC538&gt;0),(AC538/((Z538+AA538)*10)),"")</f>
        <v/>
      </c>
      <c r="AE538" s="1" t="n">
        <v>30</v>
      </c>
      <c r="AF538" s="1" t="n">
        <f aca="false">ROUND(AE538*1.6, 0)</f>
        <v>48</v>
      </c>
      <c r="AI538" s="1" t="n">
        <v>4.9</v>
      </c>
      <c r="AJ538" s="1" t="n">
        <v>6</v>
      </c>
      <c r="AM538" s="5" t="n">
        <v>12</v>
      </c>
      <c r="AN538" s="16" t="s">
        <v>237</v>
      </c>
      <c r="AO538" s="16" t="n">
        <f aca="false">ROUND(15*((AJ538*10)/256),0)</f>
        <v>4</v>
      </c>
      <c r="AQ538" s="1" t="str">
        <f aca="false">CONCATENATE(VLOOKUP(AO538,Constants!$A$2:$C$16,IF(AP538&lt;&gt;"", 3, 2), FALSE()),IF(AP538&lt;&gt;"",CONCATENATE(",",VLOOKUP(AP538,$B:$AQ,42,FALSE())),""))</f>
        <v>1,2,1</v>
      </c>
      <c r="BA538" s="1" t="n">
        <v>80</v>
      </c>
      <c r="BB538" s="16" t="str">
        <f aca="false">IF(O538&lt;&gt;"",MAX(16,(O538-M538)+8),"")</f>
        <v/>
      </c>
      <c r="BC538" s="1" t="n">
        <v>-15</v>
      </c>
      <c r="BD538" s="1" t="n">
        <v>-3</v>
      </c>
      <c r="BE538" s="20" t="n">
        <f aca="false">MIN(AE538/150, 1)*30</f>
        <v>6</v>
      </c>
      <c r="BF538" s="20" t="n">
        <f aca="false">MIN(Q538/4000, 1)*20</f>
        <v>0</v>
      </c>
      <c r="BG538" s="20" t="n">
        <f aca="false">MIN(AC538/400,1)*20</f>
        <v>0</v>
      </c>
      <c r="BH538" s="21" t="n">
        <f aca="false">1-(MAX(M538-1900, 0)/750)</f>
        <v>1</v>
      </c>
      <c r="BI538" s="20" t="n">
        <f aca="false">((MAX($P538,1)*MIN($AM538/300,1)))*IF(J538="Wagon",50,10)</f>
        <v>2</v>
      </c>
      <c r="BJ538" s="1" t="n">
        <f aca="false">VLOOKUP($K538,Constants!$I:$K, 2, FALSE())</f>
        <v>1</v>
      </c>
      <c r="BK538" s="1" t="n">
        <f aca="false">VLOOKUP($K538,Constants!$I:$K, 3, FALSE())*IF(AND(J538="multiple_unit",AE538&lt;110),0.75,1)</f>
        <v>0.45</v>
      </c>
      <c r="BL538" s="20" t="n">
        <v>3</v>
      </c>
      <c r="BM538" s="20" t="n">
        <v>8</v>
      </c>
      <c r="BN538" s="22" t="n">
        <f aca="false">BL538*IF($J538="wagon",62.5,781.25)</f>
        <v>187.5</v>
      </c>
      <c r="BO538" s="22" t="n">
        <f aca="false">BM538*IF($J538="wagon",2.73,81.25)</f>
        <v>21.84</v>
      </c>
      <c r="BY538" s="1" t="n">
        <v>1</v>
      </c>
      <c r="BZ538" s="1" t="n">
        <v>225</v>
      </c>
      <c r="CB538" s="1" t="s">
        <v>1795</v>
      </c>
      <c r="CC538" s="1" t="s">
        <v>1796</v>
      </c>
      <c r="CD538" s="23" t="s">
        <v>265</v>
      </c>
      <c r="CE538" s="1" t="s">
        <v>1703</v>
      </c>
      <c r="CF538" s="23" t="str">
        <f aca="false">CONCATENATE(CD538,"_",CE538)</f>
        <v>vct_Open Wagon</v>
      </c>
      <c r="CG538" s="23" t="str">
        <f aca="false">_xlfn.CONCAT(K538, "_",L538)</f>
        <v>wagon_NARROW_GAUGE</v>
      </c>
      <c r="CH538" s="7" t="str">
        <f aca="false">_xlfn.CONCAT("{BLACK}Length: {GOLD}", TEXT(ROUNDUP(IF(AT538&lt;&gt;"",SUM(VALUE(_xlfn.TEXTSPLIT(AT538, ","))), SUM(VALUE(_xlfn.TEXTSPLIT(AQ538, ",")))*IF(P538, P538, 1))/16, 1), "#,##0.0"), " tiles{}")</f>
        <v>{BLACK}Length: {GOLD}0.3 tiles{}</v>
      </c>
      <c r="CI538" s="1" t="n">
        <f aca="false">VLOOKUP($CG538, Constants!$M:$N, 2, FALSE())</f>
        <v>0</v>
      </c>
      <c r="CJ538" s="1" t="str">
        <f aca="false">IF(P538&gt;1,_xlfn.CONCAT("{BLACK}Cars: {GOLD}", P538),"")</f>
        <v/>
      </c>
      <c r="CK538" s="1" t="s">
        <v>2026</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{GOLD}0.3 tiles{}{SILVER}With specialised equipment at stations, tank wagons made liquid cargo easier to handle than loading drums into open wagons.</v>
      </c>
    </row>
    <row r="539" customFormat="false" ht="14.25" hidden="false" customHeight="false" outlineLevel="0" collapsed="false">
      <c r="A539" s="1" t="s">
        <v>1824</v>
      </c>
      <c r="B539" s="19" t="s">
        <v>2027</v>
      </c>
      <c r="C539" s="1" t="n">
        <v>2036</v>
      </c>
      <c r="E539" s="1" t="n">
        <v>3011</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198</v>
      </c>
      <c r="J539" s="1" t="s">
        <v>1476</v>
      </c>
      <c r="K539" s="1" t="s">
        <v>1476</v>
      </c>
      <c r="L539" s="1" t="s">
        <v>1952</v>
      </c>
      <c r="M539" s="1" t="n">
        <v>1870</v>
      </c>
      <c r="Z539" s="1" t="n">
        <v>1</v>
      </c>
      <c r="AB539" s="1" t="n">
        <v>4</v>
      </c>
      <c r="AD539" s="4" t="str">
        <f aca="false">IF(AND(Z539&gt;0,AC539&gt;0),(AC539/((Z539+AA539)*10)),"")</f>
        <v/>
      </c>
      <c r="AE539" s="1" t="n">
        <v>30</v>
      </c>
      <c r="AF539" s="1" t="n">
        <f aca="false">ROUND(AE539*1.6, 0)</f>
        <v>48</v>
      </c>
      <c r="AI539" s="1" t="n">
        <v>4.9</v>
      </c>
      <c r="AJ539" s="1" t="n">
        <v>6</v>
      </c>
      <c r="AM539" s="5" t="n">
        <v>12</v>
      </c>
      <c r="AN539" s="16" t="s">
        <v>237</v>
      </c>
      <c r="AO539" s="16" t="n">
        <f aca="false">ROUND(15*((AJ539*10)/256),0)</f>
        <v>4</v>
      </c>
      <c r="AQ539" s="1" t="str">
        <f aca="false">CONCATENATE(VLOOKUP(AO539,Constants!$A$2:$C$16,IF(AP539&lt;&gt;"", 3, 2), FALSE()),IF(AP539&lt;&gt;"",CONCATENATE(",",VLOOKUP(AP539,$B:$AQ,42,FALSE())),""))</f>
        <v>1,2,1</v>
      </c>
      <c r="BA539" s="1" t="n">
        <v>80</v>
      </c>
      <c r="BB539" s="16" t="str">
        <f aca="false">IF(O539&lt;&gt;"",MAX(16,(O539-M539)+8),"")</f>
        <v/>
      </c>
      <c r="BC539" s="1" t="n">
        <v>-15</v>
      </c>
      <c r="BD539" s="1" t="n">
        <v>-3</v>
      </c>
      <c r="BE539" s="20" t="n">
        <f aca="false">MIN(AE539/150, 1)*30</f>
        <v>6</v>
      </c>
      <c r="BF539" s="20" t="n">
        <f aca="false">MIN(Q539/4000, 1)*20</f>
        <v>0</v>
      </c>
      <c r="BG539" s="20" t="n">
        <f aca="false">MIN(AC539/400,1)*20</f>
        <v>0</v>
      </c>
      <c r="BH539" s="21" t="n">
        <f aca="false">1-(MAX(M539-1900, 0)/750)</f>
        <v>1</v>
      </c>
      <c r="BI539" s="20" t="n">
        <f aca="false">((MAX($P539,1)*MIN($AM539/300,1)))*IF(J539="Wagon",50,10)</f>
        <v>2</v>
      </c>
      <c r="BJ539" s="1" t="n">
        <f aca="false">VLOOKUP($K539,Constants!$I:$K, 2, FALSE())</f>
        <v>1</v>
      </c>
      <c r="BK539" s="1" t="n">
        <f aca="false">VLOOKUP($K539,Constants!$I:$K, 3, FALSE())*IF(AND(J539="multiple_unit",AE539&lt;110),0.75,1)</f>
        <v>0.45</v>
      </c>
      <c r="BL539" s="20" t="n">
        <v>3</v>
      </c>
      <c r="BM539" s="20" t="n">
        <v>8</v>
      </c>
      <c r="BN539" s="22" t="n">
        <f aca="false">BL539*IF($J539="wagon",62.5,781.25)</f>
        <v>187.5</v>
      </c>
      <c r="BO539" s="22" t="n">
        <f aca="false">BM539*IF($J539="wagon",2.73,81.25)</f>
        <v>21.84</v>
      </c>
      <c r="BY539" s="1" t="n">
        <v>1</v>
      </c>
      <c r="BZ539" s="1" t="n">
        <v>225</v>
      </c>
      <c r="CB539" s="1" t="s">
        <v>1826</v>
      </c>
      <c r="CC539" s="1" t="s">
        <v>1827</v>
      </c>
      <c r="CD539" s="23" t="s">
        <v>265</v>
      </c>
      <c r="CE539" s="1" t="s">
        <v>1703</v>
      </c>
      <c r="CF539" s="23" t="str">
        <f aca="false">CONCATENATE(CD539,"_",CE539)</f>
        <v>vct_Open Wagon</v>
      </c>
      <c r="CG539" s="23" t="str">
        <f aca="false">_xlfn.CONCAT(K539, "_",L539)</f>
        <v>wagon_NARROW_GAUGE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2028</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tiles{}{SILVER}A van for carrying livestock on narrow gauge railways.</v>
      </c>
    </row>
    <row r="540" customFormat="false" ht="14.25" hidden="false" customHeight="false" outlineLevel="0" collapsed="false">
      <c r="A540" s="1" t="s">
        <v>1860</v>
      </c>
      <c r="B540" s="19" t="s">
        <v>2029</v>
      </c>
      <c r="C540" s="1" t="n">
        <v>2037</v>
      </c>
      <c r="E540" s="1" t="n">
        <v>3012</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198</v>
      </c>
      <c r="J540" s="1" t="s">
        <v>1476</v>
      </c>
      <c r="K540" s="1" t="s">
        <v>1476</v>
      </c>
      <c r="L540" s="1" t="s">
        <v>1952</v>
      </c>
      <c r="M540" s="1" t="n">
        <v>1800</v>
      </c>
      <c r="O540" s="1" t="n">
        <v>1900</v>
      </c>
      <c r="Z540" s="1" t="n">
        <v>1</v>
      </c>
      <c r="AB540" s="1" t="n">
        <v>3</v>
      </c>
      <c r="AD540" s="4" t="str">
        <f aca="false">IF(AND(Z540&gt;0,AC540&gt;0),(AC540/((Z540+AA540)*10)),"")</f>
        <v/>
      </c>
      <c r="AE540" s="1" t="n">
        <v>25</v>
      </c>
      <c r="AF540" s="1" t="n">
        <f aca="false">ROUND(AE540*1.6, 0)</f>
        <v>40</v>
      </c>
      <c r="AI540" s="1" t="n">
        <v>4.9</v>
      </c>
      <c r="AJ540" s="1" t="n">
        <v>6</v>
      </c>
      <c r="AM540" s="5" t="n">
        <v>12</v>
      </c>
      <c r="AN540" s="16" t="s">
        <v>237</v>
      </c>
      <c r="AO540" s="16" t="n">
        <f aca="false">ROUND(15*((AJ540*10)/256),0)</f>
        <v>4</v>
      </c>
      <c r="AQ540" s="1" t="str">
        <f aca="false">CONCATENATE(VLOOKUP(AO540,Constants!$A$2:$C$16,IF(AP540&lt;&gt;"", 3, 2), FALSE()),IF(AP540&lt;&gt;"",CONCATENATE(",",VLOOKUP(AP540,$B:$AQ,42,FALSE())),""))</f>
        <v>1,2,1</v>
      </c>
      <c r="BA540" s="1" t="n">
        <v>80</v>
      </c>
      <c r="BB540" s="16" t="n">
        <f aca="false">IF(O540&lt;&gt;"",MAX(16,(O540-M540)+8),"")</f>
        <v>108</v>
      </c>
      <c r="BC540" s="1" t="n">
        <v>-15</v>
      </c>
      <c r="BD540" s="1" t="n">
        <v>-3</v>
      </c>
      <c r="BE540" s="20" t="n">
        <f aca="false">MIN(AE540/150, 1)*30</f>
        <v>5</v>
      </c>
      <c r="BF540" s="20" t="n">
        <f aca="false">MIN(Q540/4000, 1)*20</f>
        <v>0</v>
      </c>
      <c r="BG540" s="20" t="n">
        <f aca="false">MIN(AC540/400,1)*20</f>
        <v>0</v>
      </c>
      <c r="BH540" s="21" t="n">
        <f aca="false">1-(MAX(M540-1900, 0)/750)</f>
        <v>1</v>
      </c>
      <c r="BI540" s="20" t="n">
        <f aca="false">((MAX($P540,1)*MIN($AM540/300,1)))*IF(J540="Wagon",50,10)</f>
        <v>2</v>
      </c>
      <c r="BJ540" s="1" t="n">
        <f aca="false">VLOOKUP($K540,Constants!$I:$K, 2, FALSE())</f>
        <v>1</v>
      </c>
      <c r="BK540" s="1" t="n">
        <f aca="false">VLOOKUP($K540,Constants!$I:$K, 3, FALSE())*IF(AND(J540="multiple_unit",AE540&lt;110),0.75,1)</f>
        <v>0.45</v>
      </c>
      <c r="BL540" s="20" t="n">
        <v>2</v>
      </c>
      <c r="BM540" s="20" t="n">
        <v>7</v>
      </c>
      <c r="BN540" s="22" t="n">
        <f aca="false">BL540*IF($J540="wagon",62.5,781.25)</f>
        <v>125</v>
      </c>
      <c r="BO540" s="22" t="n">
        <f aca="false">BM540*IF($J540="wagon",2.73,81.25)</f>
        <v>19.11</v>
      </c>
      <c r="BY540" s="1" t="n">
        <v>1</v>
      </c>
      <c r="BZ540" s="1" t="n">
        <v>225</v>
      </c>
      <c r="CB540" s="1" t="s">
        <v>1828</v>
      </c>
      <c r="CC540" s="1" t="s">
        <v>1378</v>
      </c>
      <c r="CD540" s="23" t="s">
        <v>230</v>
      </c>
      <c r="CE540" s="1" t="s">
        <v>1703</v>
      </c>
      <c r="CF540" s="23" t="str">
        <f aca="false">CONCATENATE(CD540,"_",CE540)</f>
        <v>early_Open Wagon</v>
      </c>
      <c r="CG540" s="23" t="str">
        <f aca="false">_xlfn.CONCAT(K540, "_",L540)</f>
        <v>wagon_NARROW_GAUGE</v>
      </c>
      <c r="CH540" s="7" t="str">
        <f aca="false">_xlfn.CONCAT("{BLACK}Length: {GOLD}", TEXT(ROUNDUP(IF(AT540&lt;&gt;"",SUM(VALUE(_xlfn.TEXTSPLIT(AT540, ","))), SUM(VALUE(_xlfn.TEXTSPLIT(AQ540, ",")))*IF(P540, P540, 1))/16, 1), "#,##0.0"), " tiles{}")</f>
        <v>{BLACK}Length: {GOLD}0.3 tiles{}</v>
      </c>
      <c r="CI540" s="1" t="n">
        <f aca="false">VLOOKUP($CG540, Constants!$M:$N, 2, FALSE())</f>
        <v>0</v>
      </c>
      <c r="CJ540" s="1" t="str">
        <f aca="false">IF(P540&gt;1,_xlfn.CONCAT("{BLACK}Cars: {GOLD}", P540),"")</f>
        <v/>
      </c>
      <c r="CK540" s="1" t="s">
        <v>2030</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{GOLD}0.3 tiles{}{SILVER}Like their larger counterparts, narrow gauge railways built many vans for carrying piece goods.</v>
      </c>
    </row>
    <row r="541" customFormat="false" ht="14.25" hidden="false" customHeight="false" outlineLevel="0" collapsed="false">
      <c r="A541" s="1" t="s">
        <v>2031</v>
      </c>
      <c r="B541" s="19" t="s">
        <v>2032</v>
      </c>
      <c r="C541" s="1" t="n">
        <v>2038</v>
      </c>
      <c r="E541" s="1" t="n">
        <v>3013</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198</v>
      </c>
      <c r="J541" s="1" t="s">
        <v>1476</v>
      </c>
      <c r="K541" s="1" t="s">
        <v>1476</v>
      </c>
      <c r="L541" s="1" t="s">
        <v>1952</v>
      </c>
      <c r="M541" s="1" t="n">
        <v>1860</v>
      </c>
      <c r="Z541" s="1" t="n">
        <v>3</v>
      </c>
      <c r="AB541" s="1" t="n">
        <v>4</v>
      </c>
      <c r="AD541" s="4" t="str">
        <f aca="false">IF(AND(Z541&gt;0,AC541&gt;0),(AC541/((Z541+AA541)*10)),"")</f>
        <v/>
      </c>
      <c r="AE541" s="1" t="n">
        <v>35</v>
      </c>
      <c r="AF541" s="1" t="n">
        <f aca="false">ROUND(AE541*1.6, 0)</f>
        <v>56</v>
      </c>
      <c r="AI541" s="1" t="n">
        <v>4.9</v>
      </c>
      <c r="AJ541" s="1" t="n">
        <v>6</v>
      </c>
      <c r="AM541" s="5" t="n">
        <v>15</v>
      </c>
      <c r="AN541" s="16" t="s">
        <v>237</v>
      </c>
      <c r="AO541" s="16" t="n">
        <f aca="false">ROUND(15*((AJ541*10)/256),0)</f>
        <v>4</v>
      </c>
      <c r="AQ541" s="1" t="str">
        <f aca="false">CONCATENATE(VLOOKUP(AO541,Constants!$A$2:$C$16,IF(AP541&lt;&gt;"", 3, 2), FALSE()),IF(AP541&lt;&gt;"",CONCATENATE(",",VLOOKUP(AP541,$B:$AQ,42,FALSE())),""))</f>
        <v>1,2,1</v>
      </c>
      <c r="BA541" s="1" t="n">
        <v>80</v>
      </c>
      <c r="BB541" s="16" t="str">
        <f aca="false">IF(O541&lt;&gt;"",MAX(16,(O541-M541)+8),"")</f>
        <v/>
      </c>
      <c r="BC541" s="1" t="n">
        <v>-14</v>
      </c>
      <c r="BD541" s="1" t="n">
        <v>-3</v>
      </c>
      <c r="BE541" s="20" t="n">
        <f aca="false">MIN(AE541/150, 1)*30</f>
        <v>7</v>
      </c>
      <c r="BF541" s="20" t="n">
        <f aca="false">MIN(Q541/4000, 1)*20</f>
        <v>0</v>
      </c>
      <c r="BG541" s="20" t="n">
        <f aca="false">MIN(AC541/400,1)*20</f>
        <v>0</v>
      </c>
      <c r="BH541" s="21" t="n">
        <f aca="false">1-(MAX(M541-1900, 0)/750)</f>
        <v>1</v>
      </c>
      <c r="BI541" s="20" t="n">
        <f aca="false">((MAX($P541,1)*MIN($AM541/300,1)))*IF(J541="Wagon",50,10)</f>
        <v>2.5</v>
      </c>
      <c r="BJ541" s="1" t="n">
        <f aca="false">VLOOKUP($K541,Constants!$I:$K, 2, FALSE())</f>
        <v>1</v>
      </c>
      <c r="BK541" s="1" t="n">
        <f aca="false">VLOOKUP($K541,Constants!$I:$K, 3, FALSE())*IF(AND(J541="multiple_unit",AE541&lt;110),0.75,1)</f>
        <v>0.45</v>
      </c>
      <c r="BL541" s="20" t="n">
        <v>4</v>
      </c>
      <c r="BM541" s="20" t="n">
        <v>10</v>
      </c>
      <c r="BN541" s="22" t="n">
        <f aca="false">BL541*IF($J541="wagon",62.5,781.25)</f>
        <v>250</v>
      </c>
      <c r="BO541" s="22" t="n">
        <f aca="false">BM541*IF($J541="wagon",2.73,81.25)</f>
        <v>27.3</v>
      </c>
      <c r="BY541" s="1" t="n">
        <v>1</v>
      </c>
      <c r="BZ541" s="1" t="n">
        <v>225</v>
      </c>
      <c r="CB541" s="1" t="s">
        <v>1828</v>
      </c>
      <c r="CC541" s="1" t="s">
        <v>2033</v>
      </c>
      <c r="CD541" s="23" t="s">
        <v>265</v>
      </c>
      <c r="CE541" s="1" t="s">
        <v>1703</v>
      </c>
      <c r="CF541" s="23" t="str">
        <f aca="false">CONCATENATE(CD541,"_",CE541)</f>
        <v>vct_Open Wagon</v>
      </c>
      <c r="CG541" s="23" t="str">
        <f aca="false">_xlfn.CONCAT(K541, "_",L541)</f>
        <v>wagon_NARROW_GAUGE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2034</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tiles{}{SILVER}Gunpowder vans carried explosives to the quarries served by narrow gauge railways. This example has solid iron construction.</v>
      </c>
    </row>
    <row r="542" customFormat="false" ht="14.25" hidden="false" customHeight="false" outlineLevel="0" collapsed="false">
      <c r="A542" s="1" t="s">
        <v>1863</v>
      </c>
      <c r="B542" s="19" t="s">
        <v>2035</v>
      </c>
      <c r="C542" s="1" t="n">
        <v>2039</v>
      </c>
      <c r="E542" s="1" t="n">
        <v>3014</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198</v>
      </c>
      <c r="J542" s="1" t="s">
        <v>1476</v>
      </c>
      <c r="K542" s="1" t="s">
        <v>1476</v>
      </c>
      <c r="L542" s="1" t="s">
        <v>1952</v>
      </c>
      <c r="M542" s="1" t="n">
        <v>1870</v>
      </c>
      <c r="Z542" s="1" t="n">
        <v>2</v>
      </c>
      <c r="AB542" s="1" t="n">
        <v>4</v>
      </c>
      <c r="AD542" s="4" t="str">
        <f aca="false">IF(AND(Z542&gt;0,AC542&gt;0),(AC542/((Z542+AA542)*10)),"")</f>
        <v/>
      </c>
      <c r="AE542" s="1" t="n">
        <v>35</v>
      </c>
      <c r="AF542" s="1" t="n">
        <f aca="false">ROUND(AE542*1.6, 0)</f>
        <v>56</v>
      </c>
      <c r="AI542" s="1" t="n">
        <v>4.9</v>
      </c>
      <c r="AJ542" s="1" t="n">
        <v>6</v>
      </c>
      <c r="AM542" s="5" t="n">
        <v>15</v>
      </c>
      <c r="AN542" s="16" t="s">
        <v>237</v>
      </c>
      <c r="AO542" s="16" t="n">
        <f aca="false">ROUND(15*((AJ542*10)/256),0)</f>
        <v>4</v>
      </c>
      <c r="AQ542" s="1" t="str">
        <f aca="false">CONCATENATE(VLOOKUP(AO542,Constants!$A$2:$C$16,IF(AP542&lt;&gt;"", 3, 2), FALSE()),IF(AP542&lt;&gt;"",CONCATENATE(",",VLOOKUP(AP542,$B:$AQ,42,FALSE())),""))</f>
        <v>1,2,1</v>
      </c>
      <c r="BA542" s="1" t="n">
        <v>80</v>
      </c>
      <c r="BB542" s="16" t="str">
        <f aca="false">IF(O542&lt;&gt;"",MAX(16,(O542-M542)+8),"")</f>
        <v/>
      </c>
      <c r="BC542" s="1" t="n">
        <v>-15</v>
      </c>
      <c r="BD542" s="1" t="n">
        <v>-3</v>
      </c>
      <c r="BE542" s="20" t="n">
        <f aca="false">MIN(AE542/150, 1)*30</f>
        <v>7</v>
      </c>
      <c r="BF542" s="20" t="n">
        <f aca="false">MIN(Q542/4000, 1)*20</f>
        <v>0</v>
      </c>
      <c r="BG542" s="20" t="n">
        <f aca="false">MIN(AC542/400,1)*20</f>
        <v>0</v>
      </c>
      <c r="BH542" s="21" t="n">
        <f aca="false">1-(MAX(M542-1900, 0)/750)</f>
        <v>1</v>
      </c>
      <c r="BI542" s="20" t="n">
        <f aca="false">((MAX($P542,1)*MIN($AM542/300,1)))*IF(J542="Wagon",50,10)</f>
        <v>2.5</v>
      </c>
      <c r="BJ542" s="1" t="n">
        <f aca="false">VLOOKUP($K542,Constants!$I:$K, 2, FALSE())</f>
        <v>1</v>
      </c>
      <c r="BK542" s="1" t="n">
        <f aca="false">VLOOKUP($K542,Constants!$I:$K, 3, FALSE())*IF(AND(J542="multiple_unit",AE542&lt;110),0.75,1)</f>
        <v>0.45</v>
      </c>
      <c r="BL542" s="20" t="n">
        <v>4</v>
      </c>
      <c r="BM542" s="20" t="n">
        <v>9</v>
      </c>
      <c r="BN542" s="22" t="n">
        <f aca="false">BL542*IF($J542="wagon",62.5,781.25)</f>
        <v>250</v>
      </c>
      <c r="BO542" s="22" t="n">
        <f aca="false">BM542*IF($J542="wagon",2.73,81.25)</f>
        <v>24.57</v>
      </c>
      <c r="BY542" s="1" t="n">
        <v>1</v>
      </c>
      <c r="BZ542" s="1" t="n">
        <v>225</v>
      </c>
      <c r="CB542" s="1" t="s">
        <v>1828</v>
      </c>
      <c r="CC542" s="1" t="s">
        <v>1378</v>
      </c>
      <c r="CD542" s="23" t="s">
        <v>265</v>
      </c>
      <c r="CE542" s="1" t="s">
        <v>1703</v>
      </c>
      <c r="CF542" s="23" t="str">
        <f aca="false">CONCATENATE(CD542,"_",CE542)</f>
        <v>vct_Open Wagon</v>
      </c>
      <c r="CG542" s="23" t="str">
        <f aca="false">_xlfn.CONCAT(K542, "_",L542)</f>
        <v>wagon_NARROW_GAUGE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2036</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tiles{}{SILVER}Later vans used iron frames to increase their strength and enable running at faster speeds.</v>
      </c>
    </row>
    <row r="543" customFormat="false" ht="14.25" hidden="false" customHeight="false" outlineLevel="0" collapsed="false">
      <c r="A543" s="1" t="s">
        <v>2037</v>
      </c>
      <c r="B543" s="19" t="s">
        <v>2038</v>
      </c>
      <c r="C543" s="1" t="n">
        <v>2040</v>
      </c>
      <c r="E543" s="1" t="n">
        <v>3015</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198</v>
      </c>
      <c r="J543" s="1" t="s">
        <v>1476</v>
      </c>
      <c r="K543" s="1" t="s">
        <v>1476</v>
      </c>
      <c r="L543" s="1" t="s">
        <v>1952</v>
      </c>
      <c r="M543" s="1" t="n">
        <v>1800</v>
      </c>
      <c r="O543" s="1" t="n">
        <v>1880</v>
      </c>
      <c r="Z543" s="1" t="n">
        <v>1</v>
      </c>
      <c r="AB543" s="1" t="n">
        <v>3</v>
      </c>
      <c r="AD543" s="4" t="str">
        <f aca="false">IF(AND(Z543&gt;0,AC543&gt;0),(AC543/((Z543+AA543)*10)),"")</f>
        <v/>
      </c>
      <c r="AE543" s="1" t="n">
        <v>45</v>
      </c>
      <c r="AF543" s="1" t="n">
        <f aca="false">ROUND(AE543*1.6, 0)</f>
        <v>72</v>
      </c>
      <c r="AI543" s="1" t="n">
        <v>4.9</v>
      </c>
      <c r="AJ543" s="1" t="n">
        <v>6</v>
      </c>
      <c r="AM543" s="5" t="n">
        <v>0</v>
      </c>
      <c r="AN543" s="16" t="s">
        <v>237</v>
      </c>
      <c r="AO543" s="16" t="n">
        <f aca="false">ROUND(15*((AJ543*10)/256),0)</f>
        <v>4</v>
      </c>
      <c r="AQ543" s="1" t="str">
        <f aca="false">CONCATENATE(VLOOKUP(AO543,Constants!$A$2:$C$16,IF(AP543&lt;&gt;"", 3, 2), FALSE()),IF(AP543&lt;&gt;"",CONCATENATE(",",VLOOKUP(AP543,$B:$AQ,42,FALSE())),""))</f>
        <v>1,2,1</v>
      </c>
      <c r="BA543" s="1" t="n">
        <v>80</v>
      </c>
      <c r="BB543" s="16" t="n">
        <f aca="false">IF(O543&lt;&gt;"",MAX(16,(O543-M543)+8),"")</f>
        <v>88</v>
      </c>
      <c r="BC543" s="1" t="n">
        <v>-5</v>
      </c>
      <c r="BD543" s="1" t="n">
        <v>-2</v>
      </c>
      <c r="BE543" s="20" t="n">
        <f aca="false">MIN(AE543/150, 1)*30</f>
        <v>9</v>
      </c>
      <c r="BF543" s="20" t="n">
        <f aca="false">MIN(Q543/4000, 1)*20</f>
        <v>0</v>
      </c>
      <c r="BG543" s="20" t="n">
        <f aca="false">MIN(AC543/400,1)*20</f>
        <v>0</v>
      </c>
      <c r="BH543" s="21" t="n">
        <f aca="false">1-(MAX(M543-1900, 0)/750)</f>
        <v>1</v>
      </c>
      <c r="BI543" s="20" t="n">
        <f aca="false">((MAX($P543,1)*MIN($AM543/300,1)))*IF(J543="Wagon",50,10)</f>
        <v>0</v>
      </c>
      <c r="BJ543" s="1" t="n">
        <f aca="false">VLOOKUP($K543,Constants!$I:$K, 2, FALSE())</f>
        <v>1</v>
      </c>
      <c r="BK543" s="1" t="n">
        <f aca="false">VLOOKUP($K543,Constants!$I:$K, 3, FALSE())*IF(AND(J543="multiple_unit",AE543&lt;110),0.75,1)</f>
        <v>0.45</v>
      </c>
      <c r="BL543" s="20" t="n">
        <v>4</v>
      </c>
      <c r="BM543" s="20" t="n">
        <v>19</v>
      </c>
      <c r="BN543" s="22" t="n">
        <f aca="false">BL543*IF($J543="wagon",62.5,781.25)</f>
        <v>250</v>
      </c>
      <c r="BO543" s="22" t="n">
        <f aca="false">BM543*IF($J543="wagon",2.73,81.25)</f>
        <v>51.87</v>
      </c>
      <c r="BY543" s="1" t="n">
        <v>1</v>
      </c>
      <c r="CB543" s="1" t="s">
        <v>2039</v>
      </c>
      <c r="CC543" s="1" t="s">
        <v>2040</v>
      </c>
      <c r="CD543" s="23" t="s">
        <v>230</v>
      </c>
      <c r="CE543" s="1" t="s">
        <v>1703</v>
      </c>
      <c r="CF543" s="23" t="str">
        <f aca="false">CONCATENATE(CD543,"_",CE543)</f>
        <v>early_Open Wagon</v>
      </c>
      <c r="CG543" s="23" t="str">
        <f aca="false">_xlfn.CONCAT(K543, "_",L543)</f>
        <v>wagon_NARROW_GAUGE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2041</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tiles{}{SILVER}Early gravity railways sent cargo downhill with horses riding in dandy wagons. At the bottom the horses would be unloaded and used to haul the empty train back up the hill.</v>
      </c>
    </row>
    <row r="544" customFormat="false" ht="14.25" hidden="false" customHeight="false" outlineLevel="0" collapsed="false">
      <c r="R544" s="1"/>
      <c r="S544" s="1"/>
      <c r="T544" s="1"/>
      <c r="U544" s="1"/>
      <c r="V544" s="1"/>
      <c r="W544" s="1"/>
      <c r="X544" s="1"/>
      <c r="Y544" s="1"/>
      <c r="AA544" s="1"/>
      <c r="AD544" s="1"/>
      <c r="AM544" s="1"/>
      <c r="AS544" s="1"/>
      <c r="AT544" s="1"/>
      <c r="CH544" s="1"/>
    </row>
    <row r="545" customFormat="false" ht="14.25" hidden="false" customHeight="false" outlineLevel="0" collapsed="false">
      <c r="R545" s="1"/>
      <c r="S545" s="1"/>
      <c r="T545" s="1"/>
      <c r="U545" s="1"/>
      <c r="V545" s="1"/>
      <c r="W545" s="1"/>
      <c r="X545" s="1"/>
      <c r="Y545" s="1"/>
      <c r="AA545" s="1"/>
      <c r="AD545" s="1"/>
      <c r="AM545" s="1"/>
      <c r="AS545" s="1"/>
      <c r="AT545" s="1"/>
      <c r="CH545" s="1"/>
    </row>
    <row r="546" customFormat="false" ht="14.25" hidden="false" customHeight="false" outlineLevel="0" collapsed="false">
      <c r="R546" s="1"/>
      <c r="S546" s="1"/>
      <c r="T546" s="1"/>
      <c r="U546" s="1"/>
      <c r="V546" s="1"/>
      <c r="W546" s="1"/>
      <c r="X546" s="1"/>
      <c r="Y546" s="1"/>
      <c r="AA546" s="1"/>
      <c r="AD546" s="1"/>
      <c r="AM546" s="1"/>
      <c r="AS546" s="1"/>
      <c r="AT546" s="1"/>
      <c r="CH546" s="1"/>
    </row>
    <row r="547" customFormat="false" ht="14.25" hidden="false" customHeight="false" outlineLevel="0" collapsed="false">
      <c r="R547" s="1"/>
      <c r="S547" s="1"/>
      <c r="T547" s="1"/>
      <c r="U547" s="1"/>
      <c r="V547" s="1"/>
      <c r="W547" s="1"/>
      <c r="X547" s="1"/>
      <c r="Y547" s="1"/>
      <c r="AA547" s="1"/>
      <c r="AD547" s="1"/>
      <c r="AM547" s="1"/>
      <c r="AS547" s="1"/>
      <c r="AT547" s="1"/>
      <c r="CH547" s="1"/>
    </row>
    <row r="548" customFormat="false" ht="14.25" hidden="false" customHeight="false" outlineLevel="0" collapsed="false">
      <c r="R548" s="1"/>
      <c r="S548" s="1"/>
      <c r="T548" s="1"/>
      <c r="U548" s="1"/>
      <c r="V548" s="1"/>
      <c r="W548" s="1"/>
      <c r="X548" s="1"/>
      <c r="Y548" s="1"/>
      <c r="AA548" s="1"/>
      <c r="AD548" s="1"/>
      <c r="AM548" s="1"/>
      <c r="AS548" s="1"/>
      <c r="AT548" s="1"/>
      <c r="CH548" s="1"/>
    </row>
    <row r="549" customFormat="false" ht="14.25" hidden="false" customHeight="false" outlineLevel="0" collapsed="false">
      <c r="R549" s="1"/>
      <c r="S549" s="1"/>
      <c r="T549" s="1"/>
      <c r="U549" s="1"/>
      <c r="V549" s="1"/>
      <c r="W549" s="1"/>
      <c r="X549" s="1"/>
      <c r="Y549" s="1"/>
      <c r="AA549" s="1"/>
      <c r="AD549" s="1"/>
      <c r="AM549" s="1"/>
      <c r="AS549" s="1"/>
      <c r="AT549" s="1"/>
      <c r="CH549" s="1"/>
    </row>
    <row r="550" customFormat="false" ht="14.25" hidden="false" customHeight="false" outlineLevel="0" collapsed="false">
      <c r="R550" s="1"/>
      <c r="S550" s="1"/>
      <c r="T550" s="1"/>
      <c r="U550" s="1"/>
      <c r="V550" s="1"/>
      <c r="W550" s="1"/>
      <c r="X550" s="1"/>
      <c r="Y550" s="1"/>
      <c r="AA550" s="1"/>
      <c r="AD550" s="1"/>
      <c r="AM550" s="1"/>
      <c r="AS550" s="1"/>
      <c r="AT550" s="1"/>
      <c r="CH550" s="1"/>
    </row>
    <row r="551" customFormat="false" ht="14.25" hidden="false" customHeight="false" outlineLevel="0" collapsed="false">
      <c r="R551" s="1"/>
      <c r="S551" s="1"/>
      <c r="T551" s="1"/>
      <c r="U551" s="1"/>
      <c r="V551" s="1"/>
      <c r="W551" s="1"/>
      <c r="X551" s="1"/>
      <c r="Y551" s="1"/>
      <c r="AA551" s="1"/>
      <c r="AD551" s="1"/>
      <c r="AM551" s="1"/>
      <c r="AS551" s="1"/>
      <c r="AT551" s="1"/>
      <c r="CH551" s="1"/>
    </row>
    <row r="552" customFormat="false" ht="14.25" hidden="false" customHeight="false" outlineLevel="0" collapsed="false">
      <c r="R552" s="1"/>
      <c r="S552" s="1"/>
      <c r="T552" s="1"/>
      <c r="U552" s="1"/>
      <c r="V552" s="1"/>
      <c r="W552" s="1"/>
      <c r="X552" s="1"/>
      <c r="Y552" s="1"/>
      <c r="AA552" s="1"/>
      <c r="AD552" s="1"/>
      <c r="AM552" s="1"/>
      <c r="AS552" s="1"/>
      <c r="AT552" s="1"/>
      <c r="CH552" s="1"/>
    </row>
    <row r="553" customFormat="false" ht="14.25" hidden="false" customHeight="false" outlineLevel="0" collapsed="false">
      <c r="R553" s="1"/>
      <c r="S553" s="1"/>
      <c r="T553" s="1"/>
      <c r="U553" s="1"/>
      <c r="V553" s="1"/>
      <c r="W553" s="1"/>
      <c r="X553" s="1"/>
      <c r="Y553" s="1"/>
      <c r="AA553" s="1"/>
      <c r="AD553" s="1"/>
      <c r="AM553" s="1"/>
      <c r="AS553" s="1"/>
      <c r="AT553" s="1"/>
      <c r="CH553" s="1"/>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1048451" customFormat="false" ht="12.8" hidden="false" customHeight="false" outlineLevel="0" collapsed="false"/>
    <row r="1048452" customFormat="false" ht="12.8" hidden="false" customHeight="false" outlineLevel="0" collapsed="false"/>
    <row r="1048453" customFormat="false" ht="12.8" hidden="false" customHeight="false" outlineLevel="0" collapsed="false"/>
    <row r="1048454" customFormat="false" ht="12.8" hidden="false" customHeight="false" outlineLevel="0" collapsed="false"/>
    <row r="1048455" customFormat="false" ht="12.8" hidden="false" customHeight="false" outlineLevel="0" collapsed="false"/>
    <row r="1048456" customFormat="false" ht="12.8" hidden="false" customHeight="false" outlineLevel="0" collapsed="false"/>
    <row r="1048457" customFormat="false" ht="12.8" hidden="false" customHeight="false" outlineLevel="0" collapsed="false"/>
    <row r="1048458" customFormat="false" ht="12.8" hidden="false" customHeight="false" outlineLevel="0" collapsed="false"/>
    <row r="1048459" customFormat="false" ht="12.8" hidden="false" customHeight="false" outlineLevel="0" collapsed="false"/>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3">
    <sortState ref="A2:CK373">
      <sortCondition ref="A2:A373"/>
    </sortState>
  </autoFilter>
  <conditionalFormatting sqref="C577:C1048576 C299:C301 C270 C256 C246 C261 C263 C273 C277:C278 C286 C289 C190:C193 C248:C249 C303:C312 C329 C173:C187 C337:C342 C198:C208 C317:C326 C332:C335 C235:C241 C355:C380 C406 C409:C413 C382:C388 C390:C402 C418 C491:C492 C483:C487 C489 C429:C462 C464:C469 C474:C478 C494:C499 C504:C506 C52:C91 C93:C132 C210:C214 C2:C44 C216:C224 C135:C171">
    <cfRule type="duplicateValues" priority="2" aboveAverage="0" equalAverage="0" bottom="0" percent="0" rank="0" text="" dxfId="19"/>
  </conditionalFormatting>
  <conditionalFormatting sqref="C302 C331 C188:C190 C226:C234 C133:C134 C271:C272 C257:C259 C250:C255 C243:C245 C262 C264:C269 C274:C276 C279:C284 C287:C288 C194:C197 C215 C247 C313:C316 C290:C298 C343:C354 C172 C209 C327:C328 C336 C407:C408 C381 C414:C417 C389 C419:C428 C500:C503 C488 C490 C463 C493 C470:C473 C479:C482 C403:C405">
    <cfRule type="duplicateValues" priority="3" aboveAverage="0" equalAverage="0" bottom="0" percent="0" rank="0" text="" dxfId="20"/>
  </conditionalFormatting>
  <conditionalFormatting sqref="C330">
    <cfRule type="duplicateValues" priority="4" aboveAverage="0" equalAverage="0" bottom="0" percent="0" rank="0" text="" dxfId="19"/>
  </conditionalFormatting>
  <conditionalFormatting sqref="C226:C234">
    <cfRule type="duplicateValues" priority="5" aboveAverage="0" equalAverage="0" bottom="0" percent="0" rank="0" text="" dxfId="20"/>
  </conditionalFormatting>
  <conditionalFormatting sqref="C225:C234">
    <cfRule type="duplicateValues" priority="6" aboveAverage="0" equalAverage="0" bottom="0" percent="0" rank="0" text="" dxfId="20"/>
  </conditionalFormatting>
  <conditionalFormatting sqref="C258:C260">
    <cfRule type="duplicateValues" priority="7" aboveAverage="0" equalAverage="0" bottom="0" percent="0" rank="0" text="" dxfId="19"/>
  </conditionalFormatting>
  <conditionalFormatting sqref="C243:C245">
    <cfRule type="duplicateValues" priority="8" aboveAverage="0" equalAverage="0" bottom="0" percent="0" rank="0" text="" dxfId="20"/>
  </conditionalFormatting>
  <conditionalFormatting sqref="C242:C245">
    <cfRule type="duplicateValues" priority="9" aboveAverage="0" equalAverage="0" bottom="0" percent="0" rank="0" text="" dxfId="20"/>
  </conditionalFormatting>
  <conditionalFormatting sqref="C285">
    <cfRule type="duplicateValues" priority="10" aboveAverage="0" equalAverage="0" bottom="0" percent="0" rank="0" text="" dxfId="19"/>
  </conditionalFormatting>
  <conditionalFormatting sqref="C344:C349">
    <cfRule type="duplicateValues" priority="11" aboveAverage="0" equalAverage="0" bottom="0" percent="0" rank="0" text="" dxfId="19"/>
  </conditionalFormatting>
  <conditionalFormatting sqref="C350">
    <cfRule type="duplicateValues" priority="12" aboveAverage="0" equalAverage="0" bottom="0" percent="0" rank="0" text="" dxfId="20"/>
  </conditionalFormatting>
  <conditionalFormatting sqref="C1">
    <cfRule type="duplicateValues" priority="13" aboveAverage="0" equalAverage="0" bottom="0" percent="0" rank="0" text="" dxfId="19"/>
  </conditionalFormatting>
  <conditionalFormatting sqref="C45:C51 C56:C57 C60:C61 C73:C74 C65:C66 C69:C70 C78 C83 C80 C85:C86 C90:C91 C96 C100 C102:C103 C109:C110 C121 C140">
    <cfRule type="duplicateValues" priority="14" aboveAverage="0" equalAverage="0" bottom="0" percent="0" rank="0" text="" dxfId="19"/>
  </conditionalFormatting>
  <conditionalFormatting sqref="C507:C543">
    <cfRule type="duplicateValues" priority="15" aboveAverage="0" equalAverage="0" bottom="0" percent="0" rank="0" text="" dxfId="19"/>
  </conditionalFormatting>
  <conditionalFormatting sqref="C551:C555">
    <cfRule type="duplicateValues" priority="16" aboveAverage="0" equalAverage="0" bottom="0" percent="0" rank="0" text="" dxfId="20"/>
  </conditionalFormatting>
  <conditionalFormatting sqref="C91:C92">
    <cfRule type="duplicateValues" priority="17" aboveAverage="0" equalAverage="0" bottom="0" percent="0" rank="0" text="" dxfId="19"/>
  </conditionalFormatting>
  <dataValidations count="20">
    <dataValidation allowBlank="true" errorStyle="stop" operator="between" showDropDown="false" showErrorMessage="true" showInputMessage="true" sqref="CE1:CE53 CE55 CE58:CE59 CE62:CE64 CE67:CE68 CE71 CE75:CE77 CE79 CE81:CE82 CE84 CE87:CE89 CE92:CE95 CE97:CE99 CE101 CE104:CE108 CE111:CE115 CE117:CE120 CE122:CE132 CE135:CE139 CE141:CE149 CE151:CE159 CE161:CE171 CE173:CE176 CE178:CE184 CE186:CE187 CE191:CE193 CE198:CE208 CE210:CE213 CE216:CE217 CE219:CE224 CE235:CE238 CE240 CE246 CE256 CE260:CE261 CE263 CE270 CE273 CE277:CE278 CE285:CE286 CE289 CE299:CE301 CE303:CE312 CE317:CE320 CE322:CE326 CE329:CE330 CE332:CE335 CE337:CE341 CE355:CE379 CE382:CE388 CE390 CE392:CE394 CE399:CE402 CE406 CE409:CE413 CE429:CE462 CE464:CE469 CE474:CE478 CE483:CE487 CE489 CE491:CE492 CE494:CE495 CE497:CE499 CE504 CE577:CE1543" type="list">
      <formula1>'Gameplay Planning'!$1:$1</formula1>
      <formula2>0</formula2>
    </dataValidation>
    <dataValidation allowBlank="true" errorStyle="stop" operator="between" showDropDown="false" showErrorMessage="true" showInputMessage="true" sqref="CE218 CE380 CE391 CE395:CE398 CE418 CE496 CE505:CE506" type="list">
      <formula1>'Gameplay Planning'!$1:$1</formula1>
      <formula2>0</formula2>
    </dataValidation>
    <dataValidation allowBlank="true" errorStyle="stop" operator="equal" showDropDown="false" showErrorMessage="true" showInputMessage="true" sqref="CE225:CE234" type="list">
      <formula1>'Gameplay Planning'!$1:$1</formula1>
      <formula2>0</formula2>
    </dataValidation>
    <dataValidation allowBlank="true" errorStyle="stop" operator="equal" showDropDown="false" showErrorMessage="true" showInputMessage="true" sqref="CE242:CE245 CE247 CE250:CE251 CE271:CE272" type="list">
      <formula1>'Gameplay Planning'!$1:$1</formula1>
      <formula2>0</formula2>
    </dataValidation>
    <dataValidation allowBlank="true" errorStyle="stop" operator="equal" showDropDown="false" showErrorMessage="true" showInputMessage="true" sqref="CE254:CE255" type="list">
      <formula1>'Gameplay Planning'!$1:$1</formula1>
      <formula2>0</formula2>
    </dataValidation>
    <dataValidation allowBlank="true" errorStyle="stop" operator="equal" showDropDown="false" showErrorMessage="true" showInputMessage="true" sqref="CE252 CE257:CE259 CE262 CE276 CE296 CE302 CE327:CE328 CE350:CE354" type="list">
      <formula1>'Gameplay Planning'!$1:$1</formula1>
      <formula2>0</formula2>
    </dataValidation>
    <dataValidation allowBlank="true" errorStyle="stop" operator="between" showDropDown="false" showErrorMessage="true" showInputMessage="true" sqref="CE264 CE274:CE275 CE281:CE284 CE297:CE298" type="list">
      <formula1>'Gameplay Planning'!$1:$1</formula1>
      <formula2>0</formula2>
    </dataValidation>
    <dataValidation allowBlank="true" errorStyle="stop" operator="equal" showDropDown="false" showErrorMessage="true" showInputMessage="true" sqref="CE287" type="list">
      <formula1>'Gameplay Planning'!$1:$1</formula1>
      <formula2>0</formula2>
    </dataValidation>
    <dataValidation allowBlank="true" errorStyle="stop" operator="equal" showDropDown="false" showErrorMessage="true" showInputMessage="true" sqref="CE265:CE269 CE407:CE408" type="list">
      <formula1>'Gameplay Planning'!$1:$1</formula1>
      <formula2>0</formula2>
    </dataValidation>
    <dataValidation allowBlank="true" errorStyle="stop" operator="equal" showDropDown="false" showErrorMessage="true" showInputMessage="true" sqref="CE196:CE197" type="list">
      <formula1>'Gameplay Planning'!$1:$1</formula1>
      <formula2>0</formula2>
    </dataValidation>
    <dataValidation allowBlank="true" errorStyle="stop" operator="equal" showDropDown="false" showErrorMessage="true" showInputMessage="true" sqref="CE188:CE190 CE215 CE349" type="list">
      <formula1>'Gameplay Planning'!$1:$1</formula1>
      <formula2>0</formula2>
    </dataValidation>
    <dataValidation allowBlank="true" errorStyle="stop" operator="equal" showDropDown="false" showErrorMessage="true" showInputMessage="true" sqref="CE194:CE195" type="list">
      <formula1>'Gameplay Planning'!$1:$1</formula1>
      <formula2>0</formula2>
    </dataValidation>
    <dataValidation allowBlank="true" errorStyle="stop" operator="between" showDropDown="false" showErrorMessage="true" showInputMessage="true" sqref="CE279:CE280 CE295" type="list">
      <formula1>'Gameplay Planning'!$1:$1</formula1>
      <formula2>0</formula2>
    </dataValidation>
    <dataValidation allowBlank="true" errorStyle="stop" operator="equal" showDropDown="false" showErrorMessage="true" showInputMessage="true" sqref="CE172 CE290:CE294" type="list">
      <formula1>'Gameplay Planning'!$1:$1</formula1>
      <formula2>0</formula2>
    </dataValidation>
    <dataValidation allowBlank="true" errorStyle="stop" operator="between" showDropDown="false" showErrorMessage="true" showInputMessage="true" sqref="CE313:CE316 CE331 CE336" type="list">
      <formula1>'Gameplay Planning'!$1:$1</formula1>
      <formula2>0</formula2>
    </dataValidation>
    <dataValidation allowBlank="true" errorStyle="stop" operator="equal" showDropDown="false" showErrorMessage="true" showInputMessage="true" sqref="CE209" type="list">
      <formula1>'Gameplay Planning'!$1:$1</formula1>
      <formula2>0</formula2>
    </dataValidation>
    <dataValidation allowBlank="true" errorStyle="stop" operator="between" showDropDown="false" showErrorMessage="true" showInputMessage="true" sqref="CE343:CE348" type="list">
      <formula1>'Gameplay Planning'!$1:$1</formula1>
      <formula2>0</formula2>
    </dataValidation>
    <dataValidation allowBlank="true" errorStyle="stop" operator="equal" showDropDown="false" showErrorMessage="true" showInputMessage="true" sqref="CE470:CE471 CE479:CE481 CE500:CE503" type="list">
      <formula1>'Gameplay Planning'!$1:$1</formula1>
      <formula2>0</formula2>
    </dataValidation>
    <dataValidation allowBlank="true" errorStyle="stop" operator="equal" showDropDown="false" showErrorMessage="true" showInputMessage="true" sqref="CE463 CE472:CE473 CE482 CE488 CE490 CE493" type="list">
      <formula1>'Gameplay Planning'!$1:$1</formula1>
      <formula2>0</formula2>
    </dataValidation>
    <dataValidation allowBlank="true" errorStyle="stop" operator="equal" showDropDown="false" showErrorMessage="true" showInputMessage="true" sqref="CE381 CE389 CE403:CE405 CE414:CE417 CE419:CE428"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316</v>
      </c>
      <c r="F1" s="8" t="s">
        <v>241</v>
      </c>
      <c r="G1" s="8" t="s">
        <v>132</v>
      </c>
      <c r="H1" s="8" t="s">
        <v>499</v>
      </c>
      <c r="I1" s="8" t="s">
        <v>556</v>
      </c>
      <c r="J1" s="8" t="s">
        <v>351</v>
      </c>
      <c r="K1" s="8" t="s">
        <v>760</v>
      </c>
      <c r="L1" s="8" t="s">
        <v>779</v>
      </c>
      <c r="M1" s="8" t="s">
        <v>939</v>
      </c>
      <c r="N1" s="8" t="s">
        <v>785</v>
      </c>
      <c r="O1" s="8" t="s">
        <v>842</v>
      </c>
      <c r="P1" s="8" t="s">
        <v>1397</v>
      </c>
      <c r="Q1" s="8" t="s">
        <v>1478</v>
      </c>
      <c r="R1" s="8" t="s">
        <v>1583</v>
      </c>
      <c r="S1" s="8" t="s">
        <v>1703</v>
      </c>
      <c r="T1" s="8" t="s">
        <v>1753</v>
      </c>
      <c r="U1" s="8" t="s">
        <v>1828</v>
      </c>
      <c r="V1" s="8" t="s">
        <v>1795</v>
      </c>
      <c r="W1" s="8" t="s">
        <v>1738</v>
      </c>
    </row>
    <row r="2" customFormat="false" ht="14.25" hidden="false" customHeight="false" outlineLevel="0" collapsed="false">
      <c r="A2" s="8" t="s">
        <v>2042</v>
      </c>
      <c r="B2" s="8" t="s">
        <v>2043</v>
      </c>
    </row>
    <row r="3" customFormat="false" ht="14.25" hidden="false" customHeight="false" outlineLevel="0" collapsed="false">
      <c r="A3" s="1" t="s">
        <v>230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265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343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0</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428</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538</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5</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569</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7</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2</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605</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15</v>
      </c>
      <c r="R9" s="1" t="n">
        <f aca="false">COUNTIF(Table!$CF:$CF,CONCATENATE($A9,"_",R$1))</f>
        <v>4</v>
      </c>
      <c r="S9" s="1" t="n">
        <f aca="false">COUNTIF(Table!$CF:$CF,CONCATENATE($A9,"_",S$1))</f>
        <v>2</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1161</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754</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2044</v>
      </c>
      <c r="B1" s="8" t="s">
        <v>2045</v>
      </c>
      <c r="C1" s="8" t="s">
        <v>2046</v>
      </c>
    </row>
    <row r="2" customFormat="false" ht="14.25" hidden="false" customHeight="false" outlineLevel="0" collapsed="false">
      <c r="A2" s="1" t="n">
        <v>1700</v>
      </c>
      <c r="B2" s="1" t="s">
        <v>230</v>
      </c>
      <c r="C2" s="1" t="s">
        <v>2047</v>
      </c>
    </row>
    <row r="3" customFormat="false" ht="14.25" hidden="false" customHeight="false" outlineLevel="0" collapsed="false">
      <c r="A3" s="1" t="n">
        <v>1850</v>
      </c>
      <c r="B3" s="1" t="s">
        <v>265</v>
      </c>
      <c r="C3" s="1" t="s">
        <v>2048</v>
      </c>
    </row>
    <row r="4" customFormat="false" ht="14.25" hidden="false" customHeight="false" outlineLevel="0" collapsed="false">
      <c r="A4" s="1" t="n">
        <v>1900</v>
      </c>
      <c r="B4" s="1" t="s">
        <v>343</v>
      </c>
      <c r="C4" s="1" t="s">
        <v>2049</v>
      </c>
    </row>
    <row r="5" customFormat="false" ht="14.25" hidden="false" customHeight="false" outlineLevel="0" collapsed="false">
      <c r="A5" s="1" t="n">
        <v>1923</v>
      </c>
      <c r="B5" s="1" t="s">
        <v>428</v>
      </c>
      <c r="C5" s="1" t="s">
        <v>2050</v>
      </c>
    </row>
    <row r="6" customFormat="false" ht="14.25" hidden="false" customHeight="false" outlineLevel="0" collapsed="false">
      <c r="A6" s="1" t="n">
        <v>1948</v>
      </c>
      <c r="B6" s="1" t="s">
        <v>538</v>
      </c>
      <c r="C6" s="1" t="s">
        <v>2051</v>
      </c>
    </row>
    <row r="7" customFormat="false" ht="14.25" hidden="false" customHeight="false" outlineLevel="0" collapsed="false">
      <c r="A7" s="1" t="n">
        <v>1955</v>
      </c>
      <c r="B7" s="1" t="s">
        <v>569</v>
      </c>
      <c r="C7" s="1" t="s">
        <v>2052</v>
      </c>
    </row>
    <row r="8" customFormat="false" ht="14.25" hidden="false" customHeight="false" outlineLevel="0" collapsed="false">
      <c r="A8" s="1" t="n">
        <v>1970</v>
      </c>
      <c r="B8" s="1" t="s">
        <v>605</v>
      </c>
      <c r="C8" s="1" t="s">
        <v>2053</v>
      </c>
    </row>
    <row r="9" customFormat="false" ht="14.25" hidden="false" customHeight="false" outlineLevel="0" collapsed="false">
      <c r="A9" s="1" t="n">
        <v>1995</v>
      </c>
      <c r="B9" s="1" t="s">
        <v>1161</v>
      </c>
      <c r="C9" s="1" t="s">
        <v>2054</v>
      </c>
    </row>
    <row r="10" customFormat="false" ht="14.25" hidden="false" customHeight="false" outlineLevel="0" collapsed="false">
      <c r="A10" s="1" t="n">
        <v>2005</v>
      </c>
      <c r="B10" s="1" t="s">
        <v>754</v>
      </c>
      <c r="C10" s="1" t="s">
        <v>2055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2056</v>
      </c>
      <c r="B1" s="8" t="s">
        <v>2057</v>
      </c>
      <c r="C1" s="8" t="s">
        <v>2058</v>
      </c>
      <c r="F1" s="8" t="s">
        <v>2059</v>
      </c>
      <c r="G1" s="1" t="n">
        <v>15</v>
      </c>
      <c r="I1" s="8" t="s">
        <v>2060</v>
      </c>
      <c r="J1" s="8" t="s">
        <v>2061</v>
      </c>
      <c r="K1" s="8" t="s">
        <v>2062</v>
      </c>
      <c r="M1" s="8" t="s">
        <v>2063</v>
      </c>
      <c r="N1" s="8" t="s">
        <v>2064</v>
      </c>
      <c r="O1" s="8" t="s">
        <v>16</v>
      </c>
      <c r="P1" s="8" t="s">
        <v>7</v>
      </c>
      <c r="T1" s="8" t="s">
        <v>121</v>
      </c>
      <c r="U1" s="8" t="s">
        <v>95</v>
      </c>
    </row>
    <row r="2" customFormat="false" ht="14.25" hidden="false" customHeight="false" outlineLevel="0" collapsed="false">
      <c r="A2" s="1" t="n">
        <v>0</v>
      </c>
      <c r="B2" s="1" t="s">
        <v>309</v>
      </c>
      <c r="F2" s="8" t="s">
        <v>2065</v>
      </c>
      <c r="G2" s="1" t="n">
        <v>5</v>
      </c>
      <c r="I2" s="1" t="s">
        <v>482</v>
      </c>
      <c r="J2" s="1" t="n">
        <v>1</v>
      </c>
      <c r="K2" s="1" t="n">
        <v>2</v>
      </c>
      <c r="M2" s="1" t="s">
        <v>1107</v>
      </c>
      <c r="O2" s="1" t="s">
        <v>103</v>
      </c>
      <c r="P2" s="25" t="s">
        <v>2066</v>
      </c>
      <c r="T2" s="25" t="s">
        <v>123</v>
      </c>
      <c r="U2" s="1" t="s">
        <v>125</v>
      </c>
    </row>
    <row r="3" customFormat="false" ht="14.25" hidden="false" customHeight="false" outlineLevel="0" collapsed="false">
      <c r="A3" s="1" t="n">
        <v>3</v>
      </c>
      <c r="B3" s="1" t="s">
        <v>425</v>
      </c>
      <c r="C3" s="1" t="s">
        <v>425</v>
      </c>
      <c r="I3" s="1" t="s">
        <v>349</v>
      </c>
      <c r="J3" s="1" t="n">
        <v>0.85</v>
      </c>
      <c r="K3" s="1" t="n">
        <v>2.3</v>
      </c>
      <c r="M3" s="1" t="s">
        <v>2067</v>
      </c>
      <c r="O3" s="1" t="s">
        <v>100</v>
      </c>
      <c r="P3" s="25" t="s">
        <v>2068</v>
      </c>
      <c r="T3" s="25" t="s">
        <v>129</v>
      </c>
      <c r="U3" s="1" t="s">
        <v>131</v>
      </c>
    </row>
    <row r="4" customFormat="false" ht="14.25" hidden="false" customHeight="false" outlineLevel="0" collapsed="false">
      <c r="A4" s="1" t="n">
        <v>4</v>
      </c>
      <c r="B4" s="1" t="s">
        <v>2069</v>
      </c>
      <c r="C4" s="1" t="s">
        <v>2069</v>
      </c>
      <c r="I4" s="1" t="s">
        <v>207</v>
      </c>
      <c r="J4" s="1" t="n">
        <v>1.15</v>
      </c>
      <c r="K4" s="1" t="n">
        <v>1.7</v>
      </c>
      <c r="M4" s="1" t="s">
        <v>2070</v>
      </c>
      <c r="O4" s="1" t="s">
        <v>2071</v>
      </c>
      <c r="P4" s="25" t="s">
        <v>2072</v>
      </c>
      <c r="T4" s="25" t="s">
        <v>316</v>
      </c>
      <c r="U4" s="1" t="s">
        <v>131</v>
      </c>
    </row>
    <row r="5" customFormat="false" ht="14.25" hidden="false" customHeight="false" outlineLevel="0" collapsed="false">
      <c r="A5" s="1" t="n">
        <v>5</v>
      </c>
      <c r="B5" s="1" t="s">
        <v>2073</v>
      </c>
      <c r="C5" s="1" t="s">
        <v>2073</v>
      </c>
      <c r="I5" s="1" t="s">
        <v>637</v>
      </c>
      <c r="J5" s="1" t="n">
        <v>0.9</v>
      </c>
      <c r="K5" s="1" t="n">
        <v>2.5</v>
      </c>
      <c r="M5" s="1" t="s">
        <v>2074</v>
      </c>
      <c r="O5" s="1" t="s">
        <v>2075</v>
      </c>
      <c r="P5" s="25" t="s">
        <v>2072</v>
      </c>
      <c r="T5" s="25" t="s">
        <v>241</v>
      </c>
      <c r="U5" s="1" t="s">
        <v>128</v>
      </c>
    </row>
    <row r="6" customFormat="false" ht="14.25" hidden="false" customHeight="false" outlineLevel="0" collapsed="false">
      <c r="A6" s="1" t="n">
        <v>6</v>
      </c>
      <c r="B6" s="1" t="s">
        <v>2076</v>
      </c>
      <c r="C6" s="1" t="s">
        <v>2076</v>
      </c>
      <c r="I6" s="1" t="s">
        <v>666</v>
      </c>
      <c r="J6" s="1" t="n">
        <v>0.85</v>
      </c>
      <c r="K6" s="1" t="n">
        <v>2.4</v>
      </c>
      <c r="M6" s="1" t="s">
        <v>2077</v>
      </c>
      <c r="P6" s="25" t="s">
        <v>2078</v>
      </c>
      <c r="T6" s="25" t="s">
        <v>132</v>
      </c>
      <c r="U6" s="1" t="s">
        <v>134</v>
      </c>
    </row>
    <row r="7" customFormat="false" ht="14.25" hidden="false" customHeight="false" outlineLevel="0" collapsed="false">
      <c r="A7" s="1" t="n">
        <v>7</v>
      </c>
      <c r="B7" s="1" t="s">
        <v>2079</v>
      </c>
      <c r="C7" s="1" t="s">
        <v>2079</v>
      </c>
      <c r="I7" s="1" t="s">
        <v>1477</v>
      </c>
      <c r="J7" s="1" t="n">
        <v>1.2</v>
      </c>
      <c r="K7" s="1" t="n">
        <v>0.6</v>
      </c>
      <c r="M7" s="1" t="s">
        <v>2080</v>
      </c>
      <c r="P7" s="25" t="s">
        <v>2078</v>
      </c>
      <c r="T7" s="25" t="s">
        <v>499</v>
      </c>
      <c r="U7" s="1" t="s">
        <v>131</v>
      </c>
    </row>
    <row r="8" customFormat="false" ht="14.25" hidden="false" customHeight="false" outlineLevel="0" collapsed="false">
      <c r="A8" s="1" t="n">
        <v>8</v>
      </c>
      <c r="B8" s="1" t="s">
        <v>2081</v>
      </c>
      <c r="C8" s="1" t="s">
        <v>2081</v>
      </c>
      <c r="I8" s="1" t="s">
        <v>1501</v>
      </c>
      <c r="J8" s="1" t="n">
        <v>1.5</v>
      </c>
      <c r="K8" s="1" t="n">
        <v>0.7</v>
      </c>
      <c r="M8" s="1" t="s">
        <v>2082</v>
      </c>
      <c r="P8" s="25" t="s">
        <v>2078</v>
      </c>
      <c r="T8" s="25" t="s">
        <v>556</v>
      </c>
      <c r="U8" s="1" t="s">
        <v>128</v>
      </c>
    </row>
    <row r="9" customFormat="false" ht="14.25" hidden="false" customHeight="false" outlineLevel="0" collapsed="false">
      <c r="A9" s="1" t="n">
        <v>9</v>
      </c>
      <c r="B9" s="1" t="s">
        <v>2083</v>
      </c>
      <c r="C9" s="1" t="s">
        <v>2083</v>
      </c>
      <c r="I9" s="1" t="s">
        <v>1476</v>
      </c>
      <c r="J9" s="1" t="n">
        <v>1</v>
      </c>
      <c r="K9" s="1" t="n">
        <v>0.45</v>
      </c>
      <c r="M9" s="1" t="s">
        <v>2084</v>
      </c>
      <c r="P9" s="25" t="s">
        <v>2078</v>
      </c>
      <c r="T9" s="25" t="s">
        <v>351</v>
      </c>
      <c r="U9" s="1" t="s">
        <v>134</v>
      </c>
    </row>
    <row r="10" customFormat="false" ht="14.25" hidden="false" customHeight="false" outlineLevel="0" collapsed="false">
      <c r="A10" s="1" t="n">
        <v>10</v>
      </c>
      <c r="B10" s="1" t="s">
        <v>1497</v>
      </c>
      <c r="C10" s="1" t="s">
        <v>1497</v>
      </c>
      <c r="I10" s="1" t="s">
        <v>1906</v>
      </c>
      <c r="J10" s="1" t="n">
        <v>1</v>
      </c>
      <c r="K10" s="1" t="n">
        <v>0.4</v>
      </c>
      <c r="M10" s="1" t="s">
        <v>2085</v>
      </c>
      <c r="P10" s="25" t="s">
        <v>2068</v>
      </c>
      <c r="T10" s="25" t="s">
        <v>760</v>
      </c>
      <c r="U10" s="1" t="s">
        <v>125</v>
      </c>
    </row>
    <row r="11" customFormat="false" ht="14.25" hidden="false" customHeight="false" outlineLevel="0" collapsed="false">
      <c r="A11" s="1" t="n">
        <v>11</v>
      </c>
      <c r="B11" s="1" t="s">
        <v>2086</v>
      </c>
      <c r="C11" s="1" t="s">
        <v>2086</v>
      </c>
      <c r="I11" s="1" t="s">
        <v>1395</v>
      </c>
      <c r="J11" s="1" t="n">
        <v>0.9</v>
      </c>
      <c r="K11" s="1" t="n">
        <v>1.6</v>
      </c>
      <c r="M11" s="1" t="s">
        <v>2087</v>
      </c>
      <c r="O11" s="1" t="s">
        <v>2088</v>
      </c>
      <c r="P11" s="25" t="s">
        <v>2089</v>
      </c>
      <c r="T11" s="25" t="s">
        <v>779</v>
      </c>
      <c r="U11" s="1" t="s">
        <v>125</v>
      </c>
    </row>
    <row r="12" customFormat="false" ht="14.25" hidden="false" customHeight="false" outlineLevel="0" collapsed="false">
      <c r="A12" s="1" t="n">
        <v>12</v>
      </c>
      <c r="B12" s="1" t="s">
        <v>1535</v>
      </c>
      <c r="C12" s="1" t="s">
        <v>1535</v>
      </c>
      <c r="I12" s="1" t="s">
        <v>41</v>
      </c>
      <c r="J12" s="1" t="n">
        <v>0</v>
      </c>
      <c r="K12" s="1" t="n">
        <v>0</v>
      </c>
      <c r="M12" s="1" t="s">
        <v>2090</v>
      </c>
      <c r="O12" s="1" t="s">
        <v>2091</v>
      </c>
      <c r="P12" s="25" t="s">
        <v>2072</v>
      </c>
      <c r="T12" s="25" t="s">
        <v>939</v>
      </c>
      <c r="U12" s="1" t="s">
        <v>128</v>
      </c>
    </row>
    <row r="13" customFormat="false" ht="14.25" hidden="false" customHeight="false" outlineLevel="0" collapsed="false">
      <c r="A13" s="1" t="n">
        <v>13</v>
      </c>
      <c r="B13" s="1" t="s">
        <v>1633</v>
      </c>
      <c r="C13" s="1" t="s">
        <v>1633</v>
      </c>
      <c r="I13" s="1" t="s">
        <v>758</v>
      </c>
      <c r="J13" s="1" t="n">
        <v>1.05</v>
      </c>
      <c r="K13" s="1" t="n">
        <v>1.9</v>
      </c>
      <c r="M13" s="1" t="s">
        <v>2092</v>
      </c>
      <c r="P13" s="25" t="s">
        <v>2078</v>
      </c>
      <c r="T13" s="25" t="s">
        <v>785</v>
      </c>
      <c r="U13" s="1" t="s">
        <v>125</v>
      </c>
    </row>
    <row r="14" customFormat="false" ht="14.25" hidden="false" customHeight="false" outlineLevel="0" collapsed="false">
      <c r="A14" s="1" t="n">
        <v>14</v>
      </c>
      <c r="B14" s="1" t="s">
        <v>2093</v>
      </c>
      <c r="C14" s="1" t="s">
        <v>2093</v>
      </c>
      <c r="I14" s="1" t="s">
        <v>1255</v>
      </c>
      <c r="J14" s="1" t="n">
        <v>0.98</v>
      </c>
      <c r="K14" s="1" t="n">
        <v>1.88</v>
      </c>
      <c r="M14" s="1" t="s">
        <v>2094</v>
      </c>
      <c r="P14" s="25" t="s">
        <v>2078</v>
      </c>
      <c r="T14" s="25" t="s">
        <v>842</v>
      </c>
      <c r="U14" s="1" t="s">
        <v>128</v>
      </c>
    </row>
    <row r="15" customFormat="false" ht="14.25" hidden="false" customHeight="false" outlineLevel="0" collapsed="false">
      <c r="A15" s="1" t="n">
        <v>15</v>
      </c>
      <c r="B15" s="1" t="s">
        <v>2095</v>
      </c>
      <c r="C15" s="1" t="s">
        <v>2095</v>
      </c>
      <c r="I15" s="1" t="s">
        <v>199</v>
      </c>
      <c r="J15" s="1" t="n">
        <v>0.5</v>
      </c>
      <c r="K15" s="1" t="n">
        <v>0.5</v>
      </c>
      <c r="M15" s="1" t="s">
        <v>2096</v>
      </c>
      <c r="P15" s="25" t="s">
        <v>2078</v>
      </c>
      <c r="T15" s="25" t="s">
        <v>1397</v>
      </c>
      <c r="U15" s="1" t="s">
        <v>125</v>
      </c>
    </row>
    <row r="16" customFormat="false" ht="14.25" hidden="false" customHeight="false" outlineLevel="0" collapsed="false">
      <c r="A16" s="1" t="n">
        <v>16</v>
      </c>
      <c r="B16" s="1" t="s">
        <v>2097</v>
      </c>
      <c r="C16" s="1" t="s">
        <v>2097</v>
      </c>
      <c r="I16" s="1" t="s">
        <v>659</v>
      </c>
      <c r="J16" s="1" t="n">
        <v>0.85</v>
      </c>
      <c r="K16" s="1" t="n">
        <v>2.3</v>
      </c>
      <c r="M16" s="1" t="s">
        <v>2098</v>
      </c>
      <c r="O16" s="1" t="s">
        <v>106</v>
      </c>
      <c r="P16" s="25" t="s">
        <v>2099</v>
      </c>
      <c r="T16" s="25" t="s">
        <v>1478</v>
      </c>
      <c r="U16" s="1" t="s">
        <v>125</v>
      </c>
    </row>
    <row r="17" customFormat="false" ht="14.25" hidden="false" customHeight="false" outlineLevel="0" collapsed="false">
      <c r="I17" s="1" t="s">
        <v>536</v>
      </c>
      <c r="J17" s="1" t="n">
        <v>1</v>
      </c>
      <c r="K17" s="1" t="n">
        <v>2</v>
      </c>
      <c r="M17" s="1" t="s">
        <v>2100</v>
      </c>
      <c r="O17" s="1" t="s">
        <v>2101</v>
      </c>
      <c r="P17" s="25" t="s">
        <v>2078</v>
      </c>
      <c r="T17" s="25" t="s">
        <v>1583</v>
      </c>
      <c r="U17" s="1" t="s">
        <v>146</v>
      </c>
    </row>
    <row r="18" customFormat="false" ht="14.25" hidden="false" customHeight="false" outlineLevel="0" collapsed="false">
      <c r="I18" s="32" t="s">
        <v>1627</v>
      </c>
      <c r="J18" s="1" t="n">
        <v>1</v>
      </c>
      <c r="K18" s="1" t="n">
        <v>1.5</v>
      </c>
      <c r="M18" s="1" t="s">
        <v>2102</v>
      </c>
      <c r="O18" s="1" t="s">
        <v>2103</v>
      </c>
      <c r="P18" s="25" t="s">
        <v>2066</v>
      </c>
      <c r="T18" s="25" t="s">
        <v>1703</v>
      </c>
      <c r="U18" s="1" t="s">
        <v>134</v>
      </c>
    </row>
    <row r="19" customFormat="false" ht="14.25" hidden="false" customHeight="false" outlineLevel="0" collapsed="false">
      <c r="M19" s="1" t="s">
        <v>2104</v>
      </c>
      <c r="P19" s="25" t="s">
        <v>2078</v>
      </c>
      <c r="T19" s="25" t="s">
        <v>1753</v>
      </c>
      <c r="U19" s="1" t="s">
        <v>134</v>
      </c>
    </row>
    <row r="20" customFormat="false" ht="14.25" hidden="false" customHeight="false" outlineLevel="0" collapsed="false">
      <c r="M20" s="1" t="s">
        <v>2105</v>
      </c>
      <c r="O20" s="1" t="s">
        <v>100</v>
      </c>
      <c r="P20" s="25" t="s">
        <v>2068</v>
      </c>
      <c r="T20" s="25" t="s">
        <v>1828</v>
      </c>
      <c r="U20" s="1" t="s">
        <v>134</v>
      </c>
    </row>
    <row r="21" customFormat="false" ht="14.25" hidden="false" customHeight="false" outlineLevel="0" collapsed="false">
      <c r="M21" s="1" t="s">
        <v>2106</v>
      </c>
      <c r="P21" s="25" t="s">
        <v>2078</v>
      </c>
      <c r="T21" s="25" t="s">
        <v>1795</v>
      </c>
      <c r="U21" s="1" t="s">
        <v>134</v>
      </c>
    </row>
    <row r="22" customFormat="false" ht="14.25" hidden="false" customHeight="false" outlineLevel="0" collapsed="false">
      <c r="M22" s="1" t="s">
        <v>2107</v>
      </c>
      <c r="O22" s="1" t="s">
        <v>2108</v>
      </c>
      <c r="P22" s="25" t="s">
        <v>2109</v>
      </c>
      <c r="T22" s="25" t="s">
        <v>1738</v>
      </c>
      <c r="U22" s="1" t="s">
        <v>134</v>
      </c>
    </row>
    <row r="23" customFormat="false" ht="14.25" hidden="false" customHeight="false" outlineLevel="0" collapsed="false">
      <c r="M23" s="1" t="s">
        <v>2110</v>
      </c>
      <c r="O23" s="1" t="s">
        <v>2111</v>
      </c>
      <c r="P23" s="25" t="s">
        <v>2072</v>
      </c>
      <c r="T23" s="25" t="s">
        <v>238</v>
      </c>
    </row>
    <row r="24" customFormat="false" ht="14.25" hidden="false" customHeight="false" outlineLevel="0" collapsed="false">
      <c r="M24" s="1" t="s">
        <v>2112</v>
      </c>
      <c r="P24" s="25" t="s">
        <v>2078</v>
      </c>
      <c r="T24" s="1" t="s">
        <v>144</v>
      </c>
      <c r="U24" s="1" t="s">
        <v>146</v>
      </c>
    </row>
    <row r="25" customFormat="false" ht="14.25" hidden="false" customHeight="false" outlineLevel="0" collapsed="false">
      <c r="M25" s="1" t="s">
        <v>2113</v>
      </c>
      <c r="P25" s="25" t="s">
        <v>2078</v>
      </c>
    </row>
    <row r="26" customFormat="false" ht="14.25" hidden="false" customHeight="false" outlineLevel="0" collapsed="false">
      <c r="M26" s="1" t="s">
        <v>2114</v>
      </c>
      <c r="P26" s="25" t="s">
        <v>2078</v>
      </c>
    </row>
    <row r="27" customFormat="false" ht="14.25" hidden="false" customHeight="false" outlineLevel="0" collapsed="false">
      <c r="M27" s="1" t="s">
        <v>2115</v>
      </c>
      <c r="O27" s="1" t="s">
        <v>115</v>
      </c>
      <c r="P27" s="25" t="s">
        <v>2116</v>
      </c>
    </row>
    <row r="28" customFormat="false" ht="14.25" hidden="false" customHeight="false" outlineLevel="0" collapsed="false">
      <c r="M28" s="1" t="s">
        <v>2117</v>
      </c>
      <c r="O28" s="1" t="s">
        <v>2118</v>
      </c>
      <c r="P28" s="25" t="s">
        <v>2119</v>
      </c>
    </row>
    <row r="29" customFormat="false" ht="14.25" hidden="false" customHeight="false" outlineLevel="0" collapsed="false">
      <c r="M29" s="32" t="s">
        <v>2120</v>
      </c>
      <c r="P29" s="25" t="s">
        <v>2078</v>
      </c>
    </row>
    <row r="30" customFormat="false" ht="14.25" hidden="false" customHeight="false" outlineLevel="0" collapsed="false">
      <c r="M30" s="1" t="s">
        <v>2121</v>
      </c>
      <c r="P30" s="25" t="s">
        <v>2072</v>
      </c>
    </row>
    <row r="31" customFormat="false" ht="14.25" hidden="false" customHeight="false" outlineLevel="0" collapsed="false">
      <c r="M31" s="1" t="s">
        <v>2122</v>
      </c>
      <c r="O31" s="1" t="s">
        <v>2108</v>
      </c>
      <c r="P31" s="25" t="s">
        <v>2109</v>
      </c>
    </row>
    <row r="32" customFormat="false" ht="14.25" hidden="false" customHeight="false" outlineLevel="0" collapsed="false">
      <c r="M32" s="1" t="s">
        <v>2123</v>
      </c>
      <c r="P32" s="25" t="s">
        <v>2078</v>
      </c>
    </row>
    <row r="33" customFormat="false" ht="14.25" hidden="false" customHeight="false" outlineLevel="0" collapsed="false">
      <c r="M33" s="1" t="s">
        <v>2124</v>
      </c>
      <c r="O33" s="1" t="s">
        <v>103</v>
      </c>
      <c r="P33" s="25" t="s">
        <v>2066</v>
      </c>
    </row>
    <row r="34" customFormat="false" ht="14.25" hidden="false" customHeight="false" outlineLevel="0" collapsed="false">
      <c r="M34" s="1" t="s">
        <v>2125</v>
      </c>
      <c r="O34" s="1" t="s">
        <v>106</v>
      </c>
      <c r="P34" s="25" t="s">
        <v>2066</v>
      </c>
    </row>
    <row r="35" customFormat="false" ht="14.25" hidden="false" customHeight="false" outlineLevel="0" collapsed="false">
      <c r="M35" s="1" t="s">
        <v>2126</v>
      </c>
      <c r="O35" s="1" t="s">
        <v>100</v>
      </c>
      <c r="P35" s="25" t="s">
        <v>2068</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K1" colorId="64" zoomScale="100" zoomScaleNormal="100" zoomScalePageLayoutView="100" workbookViewId="0">
      <selection pane="topLeft" activeCell="D5" activeCellId="0" sqref="D5"/>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2127</v>
      </c>
      <c r="B1" s="8" t="s">
        <v>2128</v>
      </c>
      <c r="C1" s="8" t="s">
        <v>2129</v>
      </c>
      <c r="D1" s="8" t="s">
        <v>2130</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4" activeCellId="0" sqref="B144"/>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2131</v>
      </c>
    </row>
    <row r="3" customFormat="false" ht="14.25" hidden="false" customHeight="false" outlineLevel="0" collapsed="false">
      <c r="A3" s="1" t="s">
        <v>2132</v>
      </c>
      <c r="B3" s="1" t="s">
        <v>993</v>
      </c>
      <c r="C3" s="1" t="s">
        <v>2133</v>
      </c>
      <c r="D3" s="1" t="s">
        <v>2133</v>
      </c>
      <c r="E3" s="1" t="s">
        <v>2133</v>
      </c>
      <c r="F3" s="1" t="s">
        <v>2133</v>
      </c>
      <c r="G3" s="1" t="s">
        <v>2134</v>
      </c>
      <c r="H3" s="1" t="s">
        <v>2135</v>
      </c>
      <c r="I3" s="1" t="s">
        <v>2135</v>
      </c>
      <c r="J3" s="1" t="s">
        <v>1589</v>
      </c>
      <c r="K3" s="1" t="s">
        <v>2133</v>
      </c>
      <c r="L3" s="1" t="s">
        <v>2133</v>
      </c>
      <c r="M3" s="1" t="s">
        <v>2133</v>
      </c>
      <c r="N3" s="1" t="s">
        <v>2133</v>
      </c>
      <c r="O3" s="1" t="s">
        <v>2136</v>
      </c>
    </row>
    <row r="4" customFormat="false" ht="14.25" hidden="false" customHeight="false" outlineLevel="0" collapsed="false">
      <c r="A4" s="1" t="s">
        <v>2137</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2138</v>
      </c>
    </row>
    <row r="7" customFormat="false" ht="14.25" hidden="false" customHeight="false" outlineLevel="0" collapsed="false">
      <c r="A7" s="1" t="s">
        <v>2132</v>
      </c>
      <c r="B7" s="1" t="s">
        <v>1135</v>
      </c>
      <c r="C7" s="1" t="s">
        <v>2139</v>
      </c>
      <c r="D7" s="1" t="s">
        <v>2140</v>
      </c>
      <c r="E7" s="1" t="s">
        <v>2140</v>
      </c>
      <c r="F7" s="1" t="s">
        <v>2140</v>
      </c>
      <c r="G7" s="1" t="s">
        <v>2140</v>
      </c>
      <c r="H7" s="1" t="s">
        <v>2141</v>
      </c>
      <c r="I7" s="1" t="s">
        <v>2140</v>
      </c>
      <c r="J7" s="1" t="s">
        <v>2140</v>
      </c>
      <c r="K7" s="1" t="s">
        <v>2140</v>
      </c>
      <c r="L7" s="1" t="s">
        <v>2140</v>
      </c>
      <c r="M7" s="1" t="s">
        <v>2140</v>
      </c>
      <c r="N7" s="1" t="s">
        <v>2140</v>
      </c>
      <c r="O7" s="1" t="s">
        <v>2141</v>
      </c>
      <c r="P7" s="1" t="s">
        <v>2140</v>
      </c>
      <c r="Q7" s="1" t="s">
        <v>2140</v>
      </c>
      <c r="R7" s="1" t="s">
        <v>2140</v>
      </c>
      <c r="S7" s="1" t="s">
        <v>2140</v>
      </c>
      <c r="T7" s="1" t="s">
        <v>2142</v>
      </c>
      <c r="U7" s="1" t="s">
        <v>2143</v>
      </c>
    </row>
    <row r="8" customFormat="false" ht="14.25" hidden="false" customHeight="false" outlineLevel="0" collapsed="false">
      <c r="A8" s="1" t="s">
        <v>2137</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2056</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2144</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2145</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2146</v>
      </c>
    </row>
    <row r="19" customFormat="false" ht="14.25" hidden="false" customHeight="false" outlineLevel="0" collapsed="false">
      <c r="A19" s="1" t="s">
        <v>2132</v>
      </c>
      <c r="B19" s="1" t="s">
        <v>1135</v>
      </c>
      <c r="C19" s="1" t="s">
        <v>2139</v>
      </c>
      <c r="D19" s="1" t="s">
        <v>2140</v>
      </c>
      <c r="E19" s="1" t="s">
        <v>2141</v>
      </c>
      <c r="F19" s="1" t="s">
        <v>2140</v>
      </c>
      <c r="G19" s="1" t="s">
        <v>2141</v>
      </c>
      <c r="H19" s="1" t="s">
        <v>2142</v>
      </c>
      <c r="I19" s="1" t="s">
        <v>2143</v>
      </c>
    </row>
    <row r="20" customFormat="false" ht="14.25" hidden="false" customHeight="false" outlineLevel="0" collapsed="false">
      <c r="A20" s="1" t="s">
        <v>2137</v>
      </c>
      <c r="B20" s="1" t="n">
        <v>0</v>
      </c>
      <c r="C20" s="1" t="n">
        <v>0</v>
      </c>
      <c r="D20" s="1" t="n">
        <v>0</v>
      </c>
      <c r="E20" s="1" t="n">
        <v>0</v>
      </c>
      <c r="F20" s="1" t="n">
        <v>0</v>
      </c>
      <c r="G20" s="1" t="n">
        <v>0</v>
      </c>
      <c r="H20" s="1" t="n">
        <v>0</v>
      </c>
      <c r="I20" s="1" t="n">
        <v>0</v>
      </c>
    </row>
    <row r="21" customFormat="false" ht="14.25" hidden="false" customHeight="false" outlineLevel="0" collapsed="false">
      <c r="A21" s="1" t="s">
        <v>2056</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2144</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2145</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2147</v>
      </c>
    </row>
    <row r="31" customFormat="false" ht="14.25" hidden="false" customHeight="false" outlineLevel="0" collapsed="false">
      <c r="A31" s="1" t="s">
        <v>2132</v>
      </c>
      <c r="B31" s="1" t="s">
        <v>1135</v>
      </c>
      <c r="C31" s="1" t="s">
        <v>2139</v>
      </c>
      <c r="D31" s="1" t="s">
        <v>2140</v>
      </c>
      <c r="E31" s="1" t="s">
        <v>2142</v>
      </c>
      <c r="F31" s="1" t="s">
        <v>2143</v>
      </c>
    </row>
    <row r="32" customFormat="false" ht="14.25" hidden="false" customHeight="false" outlineLevel="0" collapsed="false">
      <c r="A32" s="1" t="s">
        <v>2137</v>
      </c>
      <c r="B32" s="1" t="n">
        <v>0</v>
      </c>
      <c r="C32" s="1" t="n">
        <v>0</v>
      </c>
      <c r="D32" s="1" t="n">
        <v>0</v>
      </c>
      <c r="E32" s="1" t="n">
        <v>0</v>
      </c>
      <c r="F32" s="1" t="n">
        <v>0</v>
      </c>
    </row>
    <row r="33" customFormat="false" ht="14.25" hidden="false" customHeight="false" outlineLevel="0" collapsed="false">
      <c r="A33" s="1" t="s">
        <v>2056</v>
      </c>
      <c r="B33" s="1" t="n">
        <v>22.15</v>
      </c>
      <c r="C33" s="1" t="n">
        <v>21.84</v>
      </c>
      <c r="D33" s="1" t="n">
        <v>18.7</v>
      </c>
      <c r="E33" s="1" t="n">
        <v>21.84</v>
      </c>
      <c r="F33" s="1" t="n">
        <v>22.15</v>
      </c>
    </row>
    <row r="34" customFormat="false" ht="14.25" hidden="false" customHeight="false" outlineLevel="0" collapsed="false">
      <c r="A34" s="1" t="s">
        <v>2144</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2145</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2148</v>
      </c>
    </row>
    <row r="43" customFormat="false" ht="14.25" hidden="false" customHeight="false" outlineLevel="0" collapsed="false">
      <c r="A43" s="1" t="s">
        <v>2132</v>
      </c>
      <c r="B43" s="1" t="s">
        <v>1286</v>
      </c>
      <c r="C43" s="1" t="s">
        <v>2149</v>
      </c>
      <c r="D43" s="1" t="s">
        <v>2150</v>
      </c>
      <c r="E43" s="1" t="s">
        <v>1290</v>
      </c>
      <c r="F43" s="1" t="s">
        <v>2151</v>
      </c>
    </row>
    <row r="44" customFormat="false" ht="14.25" hidden="false" customHeight="false" outlineLevel="0" collapsed="false">
      <c r="A44" s="1" t="s">
        <v>2137</v>
      </c>
      <c r="B44" s="1" t="n">
        <v>1</v>
      </c>
      <c r="C44" s="1" t="n">
        <v>1</v>
      </c>
      <c r="D44" s="1" t="n">
        <v>1</v>
      </c>
      <c r="E44" s="1" t="n">
        <v>1</v>
      </c>
      <c r="F44" s="1" t="n">
        <v>1</v>
      </c>
    </row>
    <row r="45" customFormat="false" ht="14.25" hidden="false" customHeight="false" outlineLevel="0" collapsed="false">
      <c r="A45" s="1" t="s">
        <v>2056</v>
      </c>
      <c r="B45" s="1" t="n">
        <v>20.2</v>
      </c>
      <c r="C45" s="1" t="n">
        <v>15.7</v>
      </c>
      <c r="D45" s="1" t="n">
        <v>10</v>
      </c>
      <c r="E45" s="1" t="n">
        <v>15.7</v>
      </c>
      <c r="F45" s="1" t="n">
        <v>20.2</v>
      </c>
    </row>
    <row r="46" customFormat="false" ht="14.25" hidden="false" customHeight="false" outlineLevel="0" collapsed="false">
      <c r="A46" s="1" t="s">
        <v>2144</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2145</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2152</v>
      </c>
      <c r="C54" s="31"/>
      <c r="D54" s="31"/>
      <c r="E54" s="31"/>
      <c r="F54" s="31"/>
      <c r="G54" s="31"/>
      <c r="H54" s="31"/>
      <c r="I54" s="31"/>
      <c r="J54" s="31"/>
      <c r="K54" s="31"/>
      <c r="L54" s="31"/>
      <c r="M54" s="31"/>
    </row>
    <row r="55" customFormat="false" ht="14.25" hidden="false" customHeight="false" outlineLevel="0" collapsed="false">
      <c r="A55" s="31" t="s">
        <v>2132</v>
      </c>
      <c r="B55" s="31" t="s">
        <v>1286</v>
      </c>
      <c r="C55" s="31" t="s">
        <v>2153</v>
      </c>
      <c r="D55" s="31" t="s">
        <v>2154</v>
      </c>
      <c r="E55" s="31" t="s">
        <v>2155</v>
      </c>
      <c r="F55" s="31" t="s">
        <v>2154</v>
      </c>
      <c r="G55" s="31" t="s">
        <v>2155</v>
      </c>
      <c r="H55" s="31" t="s">
        <v>2154</v>
      </c>
      <c r="I55" s="31" t="s">
        <v>2155</v>
      </c>
      <c r="J55" s="31" t="s">
        <v>2154</v>
      </c>
      <c r="K55" s="31" t="s">
        <v>2155</v>
      </c>
      <c r="L55" s="31" t="s">
        <v>2156</v>
      </c>
      <c r="M55" s="31" t="s">
        <v>2151</v>
      </c>
    </row>
    <row r="56" customFormat="false" ht="14.25" hidden="false" customHeight="false" outlineLevel="0" collapsed="false">
      <c r="A56" s="31" t="s">
        <v>2137</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2056</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2144</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2145</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2132</v>
      </c>
      <c r="B67" s="31" t="s">
        <v>1119</v>
      </c>
      <c r="C67" s="31" t="s">
        <v>2139</v>
      </c>
      <c r="D67" s="31" t="s">
        <v>2157</v>
      </c>
      <c r="E67" s="31" t="s">
        <v>2157</v>
      </c>
      <c r="F67" s="31" t="s">
        <v>2157</v>
      </c>
      <c r="G67" s="31" t="s">
        <v>2157</v>
      </c>
      <c r="H67" s="31" t="s">
        <v>2158</v>
      </c>
      <c r="I67" s="31" t="s">
        <v>2157</v>
      </c>
      <c r="J67" s="31" t="s">
        <v>2157</v>
      </c>
      <c r="K67" s="31" t="s">
        <v>2159</v>
      </c>
      <c r="L67" s="31" t="s">
        <v>2160</v>
      </c>
      <c r="M67" s="31" t="s">
        <v>2140</v>
      </c>
      <c r="N67" s="31" t="s">
        <v>2140</v>
      </c>
      <c r="O67" s="31" t="s">
        <v>2141</v>
      </c>
      <c r="P67" s="31" t="s">
        <v>2140</v>
      </c>
      <c r="Q67" s="31" t="s">
        <v>2140</v>
      </c>
      <c r="R67" s="31" t="s">
        <v>2140</v>
      </c>
      <c r="S67" s="31" t="s">
        <v>2140</v>
      </c>
      <c r="T67" s="31" t="s">
        <v>2142</v>
      </c>
      <c r="U67" s="31" t="s">
        <v>1123</v>
      </c>
    </row>
    <row r="68" customFormat="false" ht="14.25" hidden="false" customHeight="false" outlineLevel="0" collapsed="false">
      <c r="A68" s="31" t="s">
        <v>2137</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2056</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2144</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2145</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2161</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2132</v>
      </c>
      <c r="B80" s="31" t="s">
        <v>1127</v>
      </c>
      <c r="C80" s="31" t="s">
        <v>2139</v>
      </c>
      <c r="D80" s="31" t="s">
        <v>2157</v>
      </c>
      <c r="E80" s="31" t="s">
        <v>2157</v>
      </c>
      <c r="F80" s="31" t="s">
        <v>2157</v>
      </c>
      <c r="G80" s="31" t="s">
        <v>2158</v>
      </c>
      <c r="H80" s="31" t="s">
        <v>2157</v>
      </c>
      <c r="I80" s="31" t="s">
        <v>2159</v>
      </c>
      <c r="J80" s="31" t="s">
        <v>2160</v>
      </c>
      <c r="K80" s="31" t="s">
        <v>2140</v>
      </c>
      <c r="L80" s="31" t="s">
        <v>2141</v>
      </c>
      <c r="M80" s="31" t="s">
        <v>2140</v>
      </c>
      <c r="N80" s="31" t="s">
        <v>2140</v>
      </c>
      <c r="O80" s="31" t="s">
        <v>2140</v>
      </c>
      <c r="P80" s="31" t="s">
        <v>2142</v>
      </c>
      <c r="Q80" s="31" t="s">
        <v>1131</v>
      </c>
      <c r="R80" s="31"/>
      <c r="S80" s="31"/>
      <c r="T80" s="31"/>
      <c r="U80" s="31"/>
    </row>
    <row r="81" customFormat="false" ht="14.25" hidden="false" customHeight="false" outlineLevel="0" collapsed="false">
      <c r="A81" s="31" t="s">
        <v>2137</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2056</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2144</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2145</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2162</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2132</v>
      </c>
      <c r="B93" s="31" t="s">
        <v>801</v>
      </c>
      <c r="C93" s="31" t="s">
        <v>2163</v>
      </c>
      <c r="D93" s="31" t="s">
        <v>832</v>
      </c>
      <c r="E93" s="31" t="s">
        <v>801</v>
      </c>
      <c r="F93" s="31" t="s">
        <v>2163</v>
      </c>
      <c r="G93" s="31"/>
      <c r="H93" s="31"/>
      <c r="I93" s="31"/>
      <c r="J93" s="31"/>
      <c r="K93" s="31"/>
      <c r="L93" s="31"/>
      <c r="M93" s="31"/>
      <c r="N93" s="31"/>
      <c r="O93" s="31"/>
      <c r="P93" s="31"/>
      <c r="Q93" s="31"/>
    </row>
    <row r="94" customFormat="false" ht="14.25" hidden="false" customHeight="false" outlineLevel="0" collapsed="false">
      <c r="A94" s="31" t="s">
        <v>2137</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2056</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2144</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2145</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2164</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2165</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2132</v>
      </c>
      <c r="B106" s="31" t="s">
        <v>1617</v>
      </c>
      <c r="C106" s="31" t="s">
        <v>2166</v>
      </c>
      <c r="D106" s="31" t="s">
        <v>2167</v>
      </c>
      <c r="E106" s="31" t="s">
        <v>2168</v>
      </c>
      <c r="F106" s="31" t="s">
        <v>2168</v>
      </c>
      <c r="G106" s="31" t="s">
        <v>2168</v>
      </c>
      <c r="H106" s="31" t="s">
        <v>2168</v>
      </c>
      <c r="I106" s="31" t="s">
        <v>2169</v>
      </c>
      <c r="J106" s="31"/>
      <c r="K106" s="31"/>
      <c r="L106" s="31"/>
      <c r="M106" s="31"/>
      <c r="N106" s="31"/>
      <c r="O106" s="31"/>
      <c r="P106" s="31"/>
      <c r="Q106" s="31"/>
    </row>
    <row r="107" customFormat="false" ht="14.25" hidden="false" customHeight="false" outlineLevel="0" collapsed="false">
      <c r="A107" s="31" t="s">
        <v>2137</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2056</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2144</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2145</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2164</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2170</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2132</v>
      </c>
      <c r="B118" s="31" t="s">
        <v>1617</v>
      </c>
      <c r="C118" s="31" t="s">
        <v>2166</v>
      </c>
      <c r="D118" s="31" t="s">
        <v>2166</v>
      </c>
      <c r="E118" s="31" t="s">
        <v>2167</v>
      </c>
      <c r="F118" s="31" t="s">
        <v>2168</v>
      </c>
      <c r="G118" s="31" t="s">
        <v>2168</v>
      </c>
      <c r="H118" s="31" t="s">
        <v>2169</v>
      </c>
      <c r="I118" s="31"/>
      <c r="J118" s="31"/>
      <c r="K118" s="31"/>
      <c r="L118" s="31"/>
      <c r="M118" s="31"/>
      <c r="N118" s="31"/>
      <c r="O118" s="31"/>
      <c r="P118" s="31"/>
      <c r="Q118" s="31"/>
    </row>
    <row r="119" customFormat="false" ht="14.25" hidden="false" customHeight="false" outlineLevel="0" collapsed="false">
      <c r="A119" s="31" t="s">
        <v>2137</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2056</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2144</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2145</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2164</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2171</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2132</v>
      </c>
      <c r="B134" s="31" t="s">
        <v>1276</v>
      </c>
      <c r="C134" s="31" t="s">
        <v>2172</v>
      </c>
      <c r="D134" s="31" t="s">
        <v>2173</v>
      </c>
      <c r="E134" s="31" t="s">
        <v>2174</v>
      </c>
      <c r="F134" s="31" t="s">
        <v>2174</v>
      </c>
      <c r="G134" s="31" t="s">
        <v>2173</v>
      </c>
      <c r="H134" s="31" t="s">
        <v>2174</v>
      </c>
      <c r="I134" s="31" t="s">
        <v>2175</v>
      </c>
      <c r="J134" s="31" t="s">
        <v>2175</v>
      </c>
      <c r="K134" s="31" t="s">
        <v>2176</v>
      </c>
      <c r="L134" s="31" t="s">
        <v>2177</v>
      </c>
      <c r="M134" s="31" t="s">
        <v>2176</v>
      </c>
      <c r="N134" s="31" t="s">
        <v>2176</v>
      </c>
      <c r="O134" s="31" t="s">
        <v>2177</v>
      </c>
      <c r="P134" s="31" t="s">
        <v>2178</v>
      </c>
      <c r="Q134" s="31" t="s">
        <v>2179</v>
      </c>
      <c r="R134" s="31"/>
      <c r="S134" s="31"/>
      <c r="T134" s="31"/>
      <c r="U134" s="31"/>
    </row>
    <row r="135" customFormat="false" ht="14.25" hidden="false" customHeight="false" outlineLevel="0" collapsed="false">
      <c r="A135" s="31" t="s">
        <v>2137</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2056</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2144</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2145</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2180</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2132</v>
      </c>
      <c r="B147" s="31" t="s">
        <v>1276</v>
      </c>
      <c r="C147" s="31" t="s">
        <v>2172</v>
      </c>
      <c r="D147" s="31" t="s">
        <v>2174</v>
      </c>
      <c r="E147" s="31" t="s">
        <v>2173</v>
      </c>
      <c r="F147" s="31" t="s">
        <v>2174</v>
      </c>
      <c r="G147" s="31" t="s">
        <v>2175</v>
      </c>
      <c r="H147" s="31" t="s">
        <v>2175</v>
      </c>
      <c r="I147" s="31" t="s">
        <v>2176</v>
      </c>
      <c r="J147" s="31" t="s">
        <v>2177</v>
      </c>
      <c r="K147" s="31" t="s">
        <v>2176</v>
      </c>
      <c r="L147" s="31" t="s">
        <v>2178</v>
      </c>
      <c r="M147" s="31" t="s">
        <v>2179</v>
      </c>
      <c r="N147" s="31"/>
      <c r="O147" s="31"/>
      <c r="P147" s="1"/>
      <c r="Q147" s="1"/>
      <c r="R147" s="31"/>
      <c r="S147" s="31"/>
      <c r="T147" s="31"/>
      <c r="U147" s="31"/>
    </row>
    <row r="148" customFormat="false" ht="14.25" hidden="false" customHeight="false" outlineLevel="0" collapsed="false">
      <c r="A148" s="31" t="s">
        <v>2137</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2056</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2144</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2145</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2181</v>
      </c>
      <c r="B1" s="31" t="s">
        <v>2182</v>
      </c>
      <c r="C1" s="31" t="s">
        <v>2183</v>
      </c>
      <c r="D1" s="31" t="s">
        <v>15</v>
      </c>
      <c r="E1" s="31" t="s">
        <v>2184</v>
      </c>
    </row>
    <row r="2" customFormat="false" ht="13.8" hidden="false" customHeight="false" outlineLevel="0" collapsed="false">
      <c r="A2" s="31" t="s">
        <v>2185</v>
      </c>
      <c r="B2" s="31" t="n">
        <f aca="false">(33.7+24+26.75+24.15+24.3+31.9)</f>
        <v>164.8</v>
      </c>
      <c r="C2" s="31" t="n">
        <f aca="false">52+72+28+43+47+25</f>
        <v>267</v>
      </c>
      <c r="D2" s="31" t="n">
        <v>6</v>
      </c>
      <c r="E2" s="31" t="n">
        <f aca="false">C2/D2</f>
        <v>44.5</v>
      </c>
    </row>
    <row r="3" customFormat="false" ht="13.8" hidden="false" customHeight="false" outlineLevel="0" collapsed="false">
      <c r="A3" s="31" t="s">
        <v>2186</v>
      </c>
      <c r="B3" s="31" t="n">
        <f aca="false">B2+24</f>
        <v>188.8</v>
      </c>
      <c r="C3" s="31" t="n">
        <f aca="false">C2+72+72-42</f>
        <v>369</v>
      </c>
      <c r="D3" s="31" t="n">
        <v>7</v>
      </c>
      <c r="E3" s="31" t="n">
        <f aca="false">C3/D3</f>
        <v>52.7142857142857</v>
      </c>
    </row>
    <row r="4" customFormat="false" ht="13.8" hidden="false" customHeight="false" outlineLevel="0" collapsed="false">
      <c r="A4" s="31" t="s">
        <v>2187</v>
      </c>
      <c r="B4" s="31" t="n">
        <f aca="false">(33.7+31.9)</f>
        <v>65.6</v>
      </c>
      <c r="C4" s="31" t="n">
        <f aca="false">52+25</f>
        <v>77</v>
      </c>
      <c r="D4" s="31" t="n">
        <v>2</v>
      </c>
      <c r="E4" s="31" t="n">
        <f aca="false">C4/D4</f>
        <v>38.5</v>
      </c>
    </row>
    <row r="5" customFormat="false" ht="13.8" hidden="false" customHeight="false" outlineLevel="0" collapsed="false">
      <c r="A5" s="31" t="s">
        <v>2188</v>
      </c>
      <c r="B5" s="31" t="n">
        <f aca="false">(31.9 * 2) + (24.3 * 8)</f>
        <v>258.2</v>
      </c>
      <c r="C5" s="31" t="n">
        <f aca="false">60+72+72+72+72+18+47+47+36</f>
        <v>496</v>
      </c>
      <c r="D5" s="31" t="n">
        <v>10</v>
      </c>
      <c r="E5" s="31" t="n">
        <f aca="false">C5/D5</f>
        <v>49.6</v>
      </c>
    </row>
    <row r="6" customFormat="false" ht="13.8" hidden="false" customHeight="false" outlineLevel="0" collapsed="false">
      <c r="A6" s="31" t="s">
        <v>2189</v>
      </c>
      <c r="B6" s="31" t="n">
        <f aca="false">(31.9 * 2) + (24.3 * 6)</f>
        <v>209.6</v>
      </c>
      <c r="C6" s="31" t="n">
        <f aca="false">60+72+72+18+47+36</f>
        <v>305</v>
      </c>
      <c r="D6" s="31" t="n">
        <v>6</v>
      </c>
      <c r="E6" s="31" t="n">
        <f aca="false">C6/D6</f>
        <v>50.8333333333333</v>
      </c>
    </row>
    <row r="7" customFormat="false" ht="13.8" hidden="false" customHeight="false" outlineLevel="0" collapsed="false">
      <c r="A7" s="31" t="s">
        <v>2190</v>
      </c>
      <c r="B7" s="31" t="s">
        <v>2191</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2192</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2193</v>
      </c>
      <c r="B12" s="31" t="s">
        <v>2194</v>
      </c>
    </row>
    <row r="13" customFormat="false" ht="13.8" hidden="false" customHeight="false" outlineLevel="0" collapsed="false">
      <c r="A13" s="31" t="s">
        <v>990</v>
      </c>
      <c r="B13" s="33" t="s">
        <v>921</v>
      </c>
    </row>
    <row r="14" customFormat="false" ht="13.8" hidden="false" customHeight="false" outlineLevel="0" collapsed="false">
      <c r="A14" s="31" t="s">
        <v>997</v>
      </c>
      <c r="B14" s="33" t="s">
        <v>927</v>
      </c>
    </row>
    <row r="15" customFormat="false" ht="13.8" hidden="false" customHeight="false" outlineLevel="0" collapsed="false">
      <c r="A15" s="31" t="s">
        <v>1015</v>
      </c>
      <c r="B15" s="33" t="s">
        <v>949</v>
      </c>
    </row>
    <row r="16" customFormat="false" ht="13.8" hidden="false" customHeight="false" outlineLevel="0" collapsed="false">
      <c r="A16" s="31" t="s">
        <v>1005</v>
      </c>
      <c r="B16" s="33" t="s">
        <v>955</v>
      </c>
    </row>
    <row r="17" customFormat="false" ht="13.8" hidden="false" customHeight="false" outlineLevel="0" collapsed="false">
      <c r="A17" s="31" t="s">
        <v>1010</v>
      </c>
      <c r="B17" s="33" t="s">
        <v>963</v>
      </c>
    </row>
    <row r="18" customFormat="false" ht="13.8" hidden="false" customHeight="false" outlineLevel="0" collapsed="false">
      <c r="A18" s="31" t="s">
        <v>689</v>
      </c>
    </row>
    <row r="19" customFormat="false" ht="13.8" hidden="false" customHeight="false" outlineLevel="0" collapsed="false">
      <c r="A19" s="31" t="s">
        <v>685</v>
      </c>
    </row>
    <row r="20" customFormat="false" ht="13.8" hidden="false" customHeight="false" outlineLevel="0" collapsed="false">
      <c r="A20" s="31" t="s">
        <v>1586</v>
      </c>
    </row>
    <row r="21" customFormat="false" ht="13.8" hidden="false" customHeight="false" outlineLevel="0" collapsed="false">
      <c r="A21" s="31" t="s">
        <v>1594</v>
      </c>
    </row>
    <row r="22" customFormat="false" ht="13.8" hidden="false" customHeight="false" outlineLevel="0" collapsed="false"/>
    <row r="29" customFormat="false" ht="12.8" hidden="false" customHeight="true" outlineLevel="0" collapsed="false">
      <c r="A29" s="31" t="s">
        <v>2195</v>
      </c>
      <c r="B29" s="31" t="s">
        <v>2196</v>
      </c>
    </row>
    <row r="30" customFormat="false" ht="12.8" hidden="false" customHeight="true" outlineLevel="0" collapsed="false">
      <c r="A30" s="1" t="s">
        <v>1038</v>
      </c>
    </row>
    <row r="31" customFormat="false" ht="12.8" hidden="false" customHeight="true" outlineLevel="0" collapsed="false">
      <c r="A31" s="1" t="s">
        <v>1044</v>
      </c>
    </row>
    <row r="32" customFormat="false" ht="12.8" hidden="false" customHeight="true" outlineLevel="0" collapsed="false">
      <c r="A32" s="32" t="s">
        <v>1051</v>
      </c>
    </row>
    <row r="33" customFormat="false" ht="12.8" hidden="false" customHeight="true" outlineLevel="0" collapsed="false">
      <c r="A33" s="32" t="s">
        <v>1104</v>
      </c>
    </row>
    <row r="34" customFormat="false" ht="12.8" hidden="false" customHeight="true" outlineLevel="0" collapsed="false">
      <c r="A34" s="32" t="s">
        <v>1110</v>
      </c>
    </row>
    <row r="35" customFormat="false" ht="12.8" hidden="false" customHeight="true" outlineLevel="0" collapsed="false">
      <c r="A35" s="1" t="s">
        <v>1076</v>
      </c>
    </row>
    <row r="36" customFormat="false" ht="12.8" hidden="false" customHeight="true" outlineLevel="0" collapsed="false">
      <c r="A36" s="1" t="s">
        <v>1082</v>
      </c>
    </row>
    <row r="37" customFormat="false" ht="12.8" hidden="false" customHeight="true" outlineLevel="0" collapsed="false">
      <c r="A37" s="1" t="s">
        <v>1088</v>
      </c>
    </row>
    <row r="38" customFormat="false" ht="12.8" hidden="false" customHeight="true" outlineLevel="0" collapsed="false">
      <c r="A38" s="1" t="s">
        <v>1092</v>
      </c>
    </row>
    <row r="39" customFormat="false" ht="12.8" hidden="false" customHeight="true" outlineLevel="0" collapsed="false">
      <c r="A39" s="1" t="s">
        <v>1156</v>
      </c>
    </row>
    <row r="40" customFormat="false" ht="12.8" hidden="false" customHeight="true" outlineLevel="0" collapsed="false">
      <c r="A40" s="1" t="s">
        <v>1163</v>
      </c>
    </row>
    <row r="42" customFormat="false" ht="12.8" hidden="false" customHeight="true" outlineLevel="0" collapsed="false">
      <c r="A42" s="31" t="s">
        <v>2197</v>
      </c>
      <c r="B42" s="31" t="str">
        <f aca="false">_xlfn.TEXTJOIN(",",1,A43:A53)</f>
        <v>class_800_azuma,class_800_9,class_801_5,class_801_9,class_802_5,class_802_9</v>
      </c>
    </row>
    <row r="43" customFormat="false" ht="12.8" hidden="false" customHeight="true" outlineLevel="0" collapsed="false">
      <c r="A43" s="1" t="s">
        <v>1344</v>
      </c>
    </row>
    <row r="44" customFormat="false" ht="12.8" hidden="false" customHeight="true" outlineLevel="0" collapsed="false">
      <c r="A44" s="1" t="s">
        <v>1351</v>
      </c>
    </row>
    <row r="45" customFormat="false" ht="12.8" hidden="false" customHeight="true" outlineLevel="0" collapsed="false">
      <c r="A45" s="1" t="s">
        <v>1355</v>
      </c>
    </row>
    <row r="46" customFormat="false" ht="12.8" hidden="false" customHeight="true" outlineLevel="0" collapsed="false">
      <c r="A46" s="1" t="s">
        <v>1359</v>
      </c>
    </row>
    <row r="47" customFormat="false" ht="12.8" hidden="false" customHeight="true" outlineLevel="0" collapsed="false">
      <c r="A47" s="1" t="s">
        <v>1362</v>
      </c>
    </row>
    <row r="48" customFormat="false" ht="12.8" hidden="false" customHeight="true" outlineLevel="0" collapsed="false">
      <c r="A48" s="1" t="s">
        <v>1366</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2198</v>
      </c>
      <c r="B1" s="8" t="s">
        <v>2199</v>
      </c>
      <c r="C1" s="8" t="s">
        <v>2200</v>
      </c>
      <c r="F1" s="8" t="s">
        <v>2201</v>
      </c>
      <c r="G1" s="8" t="s">
        <v>2046</v>
      </c>
      <c r="H1" s="8" t="s">
        <v>2202</v>
      </c>
      <c r="J1" s="8" t="s">
        <v>2203</v>
      </c>
      <c r="K1" s="8" t="s">
        <v>2204</v>
      </c>
      <c r="L1" s="8" t="s">
        <v>2205</v>
      </c>
      <c r="M1" s="8" t="s">
        <v>2206</v>
      </c>
      <c r="N1" s="8" t="s">
        <v>2207</v>
      </c>
      <c r="O1" s="8" t="s">
        <v>2208</v>
      </c>
      <c r="P1" s="8" t="s">
        <v>2209</v>
      </c>
      <c r="Q1" s="8" t="s">
        <v>2210</v>
      </c>
      <c r="R1" s="8" t="s">
        <v>2211</v>
      </c>
    </row>
    <row r="2" customFormat="false" ht="15.75" hidden="false" customHeight="true" outlineLevel="0" collapsed="false">
      <c r="A2" s="1" t="s">
        <v>2212</v>
      </c>
      <c r="B2" s="1" t="s">
        <v>2213</v>
      </c>
      <c r="C2" s="1" t="s">
        <v>2214</v>
      </c>
      <c r="D2" s="1" t="str">
        <f aca="false">CONCATENATE("""", A2, """,")</f>
        <v>"ACID",</v>
      </c>
      <c r="F2" s="1" t="s">
        <v>2215</v>
      </c>
      <c r="G2" s="34" t="str">
        <f aca="false">VLOOKUP(F2,A:B,2, FALSE())</f>
        <v>Batteries</v>
      </c>
      <c r="H2" s="34" t="s">
        <v>2208</v>
      </c>
      <c r="J2" s="1" t="s">
        <v>2216</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2217</v>
      </c>
      <c r="B3" s="1" t="s">
        <v>2218</v>
      </c>
      <c r="C3" s="1" t="s">
        <v>2219</v>
      </c>
      <c r="D3" s="1" t="str">
        <f aca="false">CONCATENATE("""", A3, """,")</f>
        <v>"AORE",</v>
      </c>
      <c r="F3" s="1" t="s">
        <v>1849</v>
      </c>
      <c r="G3" s="34" t="str">
        <f aca="false">VLOOKUP(F3,A:B,2, FALSE())</f>
        <v>Bulding Materials</v>
      </c>
      <c r="H3" s="34" t="s">
        <v>2207</v>
      </c>
      <c r="J3" s="1" t="s">
        <v>2220</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2215</v>
      </c>
      <c r="B4" s="1" t="s">
        <v>2221</v>
      </c>
      <c r="C4" s="1" t="s">
        <v>2222</v>
      </c>
      <c r="D4" s="1" t="str">
        <f aca="false">CONCATENATE("""", A4, """,")</f>
        <v>"BATT",</v>
      </c>
      <c r="F4" s="1" t="s">
        <v>2223</v>
      </c>
      <c r="G4" s="34" t="str">
        <f aca="false">VLOOKUP(F4,A:B,2, FALSE())</f>
        <v>Beer</v>
      </c>
      <c r="H4" s="34" t="s">
        <v>2208</v>
      </c>
      <c r="J4" s="1" t="s">
        <v>2224</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1849</v>
      </c>
      <c r="B5" s="1" t="s">
        <v>2225</v>
      </c>
      <c r="C5" s="1" t="s">
        <v>2226</v>
      </c>
      <c r="D5" s="1" t="str">
        <f aca="false">CONCATENATE("""", A5, """,")</f>
        <v>"BDMT",</v>
      </c>
      <c r="F5" s="1" t="s">
        <v>2033</v>
      </c>
      <c r="G5" s="34" t="str">
        <f aca="false">VLOOKUP(F5,A:B,2, FALSE())</f>
        <v>Explosives</v>
      </c>
      <c r="H5" s="34" t="s">
        <v>2208</v>
      </c>
      <c r="J5" s="1" t="s">
        <v>2227</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2228</v>
      </c>
      <c r="B6" s="1" t="s">
        <v>2229</v>
      </c>
      <c r="C6" s="1" t="s">
        <v>2219</v>
      </c>
      <c r="D6" s="1" t="str">
        <f aca="false">CONCATENATE("""", A6, """,")</f>
        <v>"BEAN",</v>
      </c>
      <c r="F6" s="1" t="s">
        <v>2230</v>
      </c>
      <c r="G6" s="34" t="str">
        <f aca="false">VLOOKUP(F6,A:B,2, FALSE())</f>
        <v>Bricks</v>
      </c>
      <c r="H6" s="34" t="s">
        <v>2207</v>
      </c>
      <c r="J6" s="1" t="s">
        <v>2231</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2223</v>
      </c>
      <c r="B7" s="1" t="s">
        <v>2232</v>
      </c>
      <c r="C7" s="1" t="s">
        <v>2233</v>
      </c>
      <c r="D7" s="1" t="str">
        <f aca="false">CONCATENATE("""", A7, """,")</f>
        <v>"BEER",</v>
      </c>
      <c r="F7" s="1" t="s">
        <v>2234</v>
      </c>
      <c r="G7" s="34" t="str">
        <f aca="false">VLOOKUP(F7,A:B,2, FALSE())</f>
        <v>Bubbles</v>
      </c>
      <c r="H7" s="34" t="s">
        <v>2208</v>
      </c>
      <c r="J7" s="1" t="s">
        <v>2235</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2033</v>
      </c>
      <c r="B8" s="1" t="s">
        <v>2236</v>
      </c>
      <c r="C8" s="1" t="s">
        <v>2237</v>
      </c>
      <c r="D8" s="1" t="str">
        <f aca="false">CONCATENATE("""", A8, """,")</f>
        <v>"BOOM",</v>
      </c>
      <c r="F8" s="1" t="s">
        <v>2238</v>
      </c>
      <c r="G8" s="34" t="str">
        <f aca="false">VLOOKUP(F8,A:B,2, FALSE())</f>
        <v>Ceramics</v>
      </c>
      <c r="H8" s="34" t="s">
        <v>2208</v>
      </c>
      <c r="J8" s="1" t="s">
        <v>2239</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2230</v>
      </c>
      <c r="B9" s="1" t="s">
        <v>2240</v>
      </c>
      <c r="C9" s="1" t="s">
        <v>2222</v>
      </c>
      <c r="D9" s="1" t="str">
        <f aca="false">CONCATENATE("""", A9, """,")</f>
        <v>"BRCK",</v>
      </c>
      <c r="F9" s="1" t="s">
        <v>2241</v>
      </c>
      <c r="G9" s="34" t="str">
        <f aca="false">VLOOKUP(F9,A:B,2, FALSE())</f>
        <v>Copper</v>
      </c>
      <c r="H9" s="34" t="s">
        <v>2242</v>
      </c>
      <c r="J9" s="1" t="s">
        <v>2243</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2234</v>
      </c>
      <c r="B10" s="1" t="s">
        <v>2244</v>
      </c>
      <c r="C10" s="1" t="s">
        <v>2222</v>
      </c>
      <c r="D10" s="1" t="str">
        <f aca="false">CONCATENATE("""", A10, """,")</f>
        <v>"BUBL",</v>
      </c>
      <c r="F10" s="1" t="s">
        <v>2245</v>
      </c>
      <c r="G10" s="34" t="str">
        <f aca="false">VLOOKUP(F10,A:B,2, FALSE())</f>
        <v>Cast Iron</v>
      </c>
      <c r="H10" s="34" t="s">
        <v>2242</v>
      </c>
    </row>
    <row r="11" customFormat="false" ht="14.25" hidden="false" customHeight="false" outlineLevel="0" collapsed="false">
      <c r="A11" s="1" t="s">
        <v>2246</v>
      </c>
      <c r="B11" s="1" t="s">
        <v>2247</v>
      </c>
      <c r="C11" s="1" t="s">
        <v>2219</v>
      </c>
      <c r="D11" s="1" t="str">
        <f aca="false">CONCATENATE("""", A11, """,")</f>
        <v>"CASS",</v>
      </c>
      <c r="F11" s="1" t="s">
        <v>2248</v>
      </c>
      <c r="G11" s="34" t="str">
        <f aca="false">VLOOKUP(F11,A:B,2, FALSE())</f>
        <v>Fizzy Drinks</v>
      </c>
      <c r="H11" s="34" t="s">
        <v>2208</v>
      </c>
    </row>
    <row r="12" customFormat="false" ht="14.25" hidden="false" customHeight="false" outlineLevel="0" collapsed="false">
      <c r="A12" s="1" t="s">
        <v>2249</v>
      </c>
      <c r="B12" s="1" t="s">
        <v>2250</v>
      </c>
      <c r="C12" s="1" t="s">
        <v>2251</v>
      </c>
      <c r="D12" s="1" t="str">
        <f aca="false">CONCATENATE("""", A12, """,")</f>
        <v>"CBLK",</v>
      </c>
      <c r="F12" s="1" t="s">
        <v>2252</v>
      </c>
      <c r="G12" s="34" t="str">
        <f aca="false">VLOOKUP(F12,A:B,2, FALSE())</f>
        <v>Iron</v>
      </c>
      <c r="H12" s="34" t="s">
        <v>2242</v>
      </c>
    </row>
    <row r="13" customFormat="false" ht="14.25" hidden="false" customHeight="false" outlineLevel="0" collapsed="false">
      <c r="A13" s="1" t="s">
        <v>2238</v>
      </c>
      <c r="B13" s="1" t="s">
        <v>2253</v>
      </c>
      <c r="C13" s="1" t="s">
        <v>2222</v>
      </c>
      <c r="D13" s="1" t="str">
        <f aca="false">CONCATENATE("""", A13, """,")</f>
        <v>"CERA",</v>
      </c>
      <c r="F13" s="1" t="s">
        <v>2254</v>
      </c>
      <c r="G13" s="34" t="str">
        <f aca="false">VLOOKUP(F13,A:B,2, FALSE())</f>
        <v>Coffee</v>
      </c>
      <c r="H13" s="34" t="s">
        <v>2208</v>
      </c>
    </row>
    <row r="14" customFormat="false" ht="14.25" hidden="false" customHeight="false" outlineLevel="0" collapsed="false">
      <c r="A14" s="1" t="s">
        <v>2255</v>
      </c>
      <c r="B14" s="1" t="s">
        <v>2256</v>
      </c>
      <c r="C14" s="1" t="s">
        <v>2257</v>
      </c>
      <c r="D14" s="1" t="str">
        <f aca="false">CONCATENATE("""", A14, """,")</f>
        <v>"CERE",</v>
      </c>
      <c r="F14" s="1" t="s">
        <v>2258</v>
      </c>
      <c r="G14" s="34" t="str">
        <f aca="false">VLOOKUP(F14,A:B,2, FALSE())</f>
        <v>Metal</v>
      </c>
      <c r="H14" s="34" t="s">
        <v>2242</v>
      </c>
    </row>
    <row r="15" customFormat="false" ht="14.25" hidden="false" customHeight="false" outlineLevel="0" collapsed="false">
      <c r="A15" s="1" t="s">
        <v>2259</v>
      </c>
      <c r="B15" s="1" t="s">
        <v>2260</v>
      </c>
      <c r="C15" s="1" t="s">
        <v>2214</v>
      </c>
      <c r="D15" s="1" t="str">
        <f aca="false">CONCATENATE("""", A15, """,")</f>
        <v>"CHLO",</v>
      </c>
      <c r="F15" s="1" t="s">
        <v>2261</v>
      </c>
      <c r="G15" s="34" t="str">
        <f aca="false">VLOOKUP(F15,A:B,2, FALSE())</f>
        <v>Nuts</v>
      </c>
      <c r="H15" s="34" t="s">
        <v>2208</v>
      </c>
    </row>
    <row r="16" customFormat="false" ht="14.25" hidden="false" customHeight="false" outlineLevel="0" collapsed="false">
      <c r="A16" s="1" t="s">
        <v>2262</v>
      </c>
      <c r="B16" s="1" t="s">
        <v>2263</v>
      </c>
      <c r="C16" s="1" t="s">
        <v>2264</v>
      </c>
      <c r="D16" s="1" t="str">
        <f aca="false">CONCATENATE("""", A16, """,")</f>
        <v>"CLAY",</v>
      </c>
      <c r="F16" s="1" t="s">
        <v>2265</v>
      </c>
      <c r="G16" s="34" t="str">
        <f aca="false">VLOOKUP(F16,A:B,2, FALSE())</f>
        <v>Paper</v>
      </c>
      <c r="H16" s="34" t="s">
        <v>2208</v>
      </c>
    </row>
    <row r="17" customFormat="false" ht="14.25" hidden="false" customHeight="false" outlineLevel="0" collapsed="false">
      <c r="A17" s="1" t="s">
        <v>2266</v>
      </c>
      <c r="B17" s="1" t="s">
        <v>2267</v>
      </c>
      <c r="C17" s="1" t="s">
        <v>2264</v>
      </c>
      <c r="D17" s="1" t="str">
        <f aca="false">CONCATENATE("""", A17, """,")</f>
        <v>"CMNT",</v>
      </c>
      <c r="F17" s="1" t="s">
        <v>2268</v>
      </c>
      <c r="G17" s="34" t="str">
        <f aca="false">VLOOKUP(F17,A:B,2, FALSE())</f>
        <v>Pipe</v>
      </c>
      <c r="H17" s="34" t="s">
        <v>2269</v>
      </c>
    </row>
    <row r="18" customFormat="false" ht="14.25" hidden="false" customHeight="false" outlineLevel="0" collapsed="false">
      <c r="A18" s="1" t="s">
        <v>1702</v>
      </c>
      <c r="B18" s="1" t="s">
        <v>2270</v>
      </c>
      <c r="C18" s="1" t="s">
        <v>2219</v>
      </c>
      <c r="D18" s="1" t="str">
        <f aca="false">CONCATENATE("""", A18, """,")</f>
        <v>"COAL",</v>
      </c>
      <c r="F18" s="1" t="s">
        <v>2271</v>
      </c>
      <c r="G18" s="34" t="str">
        <f aca="false">VLOOKUP(F18,A:B,2, FALSE())</f>
        <v>Electrical Equipment</v>
      </c>
      <c r="H18" s="34" t="s">
        <v>2208</v>
      </c>
    </row>
    <row r="19" customFormat="false" ht="14.25" hidden="false" customHeight="false" outlineLevel="0" collapsed="false">
      <c r="A19" s="1" t="s">
        <v>2272</v>
      </c>
      <c r="B19" s="1" t="s">
        <v>2273</v>
      </c>
      <c r="C19" s="1" t="s">
        <v>2219</v>
      </c>
      <c r="D19" s="1" t="str">
        <f aca="false">CONCATENATE("""", A19, """,")</f>
        <v>"COKE",</v>
      </c>
      <c r="F19" s="1" t="s">
        <v>2274</v>
      </c>
      <c r="G19" s="34" t="str">
        <f aca="false">VLOOKUP(F19,A:B,2, FALSE())</f>
        <v>Alloy Steel</v>
      </c>
      <c r="H19" s="34" t="s">
        <v>2242</v>
      </c>
    </row>
    <row r="20" customFormat="false" ht="14.25" hidden="false" customHeight="false" outlineLevel="0" collapsed="false">
      <c r="A20" s="1" t="s">
        <v>2275</v>
      </c>
      <c r="B20" s="1" t="s">
        <v>2276</v>
      </c>
      <c r="C20" s="1" t="s">
        <v>2277</v>
      </c>
      <c r="D20" s="1" t="str">
        <f aca="false">CONCATENATE("""", A20, """,")</f>
        <v>"COLA",</v>
      </c>
      <c r="F20" s="1" t="s">
        <v>2278</v>
      </c>
      <c r="G20" s="34" t="str">
        <f aca="false">VLOOKUP(F20,A:B,2, FALSE())</f>
        <v>Carbon Steel</v>
      </c>
      <c r="H20" s="34" t="s">
        <v>2242</v>
      </c>
    </row>
    <row r="21" customFormat="false" ht="14.25" hidden="false" customHeight="false" outlineLevel="0" collapsed="false">
      <c r="A21" s="1" t="s">
        <v>2241</v>
      </c>
      <c r="B21" s="1" t="s">
        <v>2279</v>
      </c>
      <c r="C21" s="1" t="s">
        <v>2222</v>
      </c>
      <c r="D21" s="1" t="str">
        <f aca="false">CONCATENATE("""", A21, """,")</f>
        <v>"COPR",</v>
      </c>
      <c r="F21" s="1" t="s">
        <v>1785</v>
      </c>
      <c r="G21" s="34" t="str">
        <f aca="false">VLOOKUP(F21,A:B,2, FALSE())</f>
        <v>Steel</v>
      </c>
      <c r="H21" s="34" t="s">
        <v>2242</v>
      </c>
    </row>
    <row r="22" customFormat="false" ht="14.25" hidden="false" customHeight="false" outlineLevel="0" collapsed="false">
      <c r="A22" s="1" t="s">
        <v>2280</v>
      </c>
      <c r="B22" s="1" t="s">
        <v>2281</v>
      </c>
      <c r="C22" s="1" t="s">
        <v>2219</v>
      </c>
      <c r="D22" s="1" t="str">
        <f aca="false">CONCATENATE("""", A22, """,")</f>
        <v>"CORE",</v>
      </c>
      <c r="F22" s="1" t="s">
        <v>2282</v>
      </c>
      <c r="G22" s="34" t="str">
        <f aca="false">VLOOKUP(F22,A:B,2, FALSE())</f>
        <v>Stainless Steel</v>
      </c>
      <c r="H22" s="34" t="s">
        <v>2242</v>
      </c>
    </row>
    <row r="23" customFormat="false" ht="14.25" hidden="false" customHeight="false" outlineLevel="0" collapsed="false">
      <c r="A23" s="1" t="s">
        <v>2245</v>
      </c>
      <c r="B23" s="1" t="s">
        <v>2283</v>
      </c>
      <c r="C23" s="1" t="s">
        <v>2222</v>
      </c>
      <c r="D23" s="1" t="str">
        <f aca="false">CONCATENATE("""", A23, """,")</f>
        <v>"CSTI",</v>
      </c>
      <c r="F23" s="1" t="s">
        <v>2284</v>
      </c>
      <c r="G23" s="34" t="str">
        <f aca="false">VLOOKUP(F23,A:B,2, FALSE())</f>
        <v>Toys</v>
      </c>
      <c r="H23" s="34" t="s">
        <v>2208</v>
      </c>
    </row>
    <row r="24" customFormat="false" ht="14.25" hidden="false" customHeight="false" outlineLevel="0" collapsed="false">
      <c r="A24" s="1" t="s">
        <v>2285</v>
      </c>
      <c r="B24" s="1" t="s">
        <v>2286</v>
      </c>
      <c r="C24" s="1" t="s">
        <v>2214</v>
      </c>
      <c r="D24" s="1" t="str">
        <f aca="false">CONCATENATE("""", A24, """,")</f>
        <v>"CTAR",</v>
      </c>
      <c r="F24" s="1" t="s">
        <v>2287</v>
      </c>
      <c r="G24" s="34" t="str">
        <f aca="false">VLOOKUP(F24,A:B,2, FALSE())</f>
        <v>Tyres</v>
      </c>
      <c r="H24" s="34" t="s">
        <v>2288</v>
      </c>
    </row>
    <row r="25" customFormat="false" ht="14.25" hidden="false" customHeight="false" outlineLevel="0" collapsed="false">
      <c r="A25" s="1" t="s">
        <v>2289</v>
      </c>
      <c r="B25" s="1" t="s">
        <v>2290</v>
      </c>
      <c r="C25" s="1" t="s">
        <v>2219</v>
      </c>
      <c r="D25" s="1" t="str">
        <f aca="false">CONCATENATE("""", A25, """,")</f>
        <v>"CTCD",</v>
      </c>
      <c r="F25" s="1" t="s">
        <v>2291</v>
      </c>
      <c r="G25" s="34" t="str">
        <f aca="false">VLOOKUP(F25,A:B,2, FALSE())</f>
        <v>Vehicle Bodies</v>
      </c>
      <c r="H25" s="34" t="s">
        <v>2292</v>
      </c>
    </row>
    <row r="26" customFormat="false" ht="14.25" hidden="false" customHeight="false" outlineLevel="0" collapsed="false">
      <c r="A26" s="1" t="s">
        <v>2293</v>
      </c>
      <c r="B26" s="1" t="s">
        <v>2294</v>
      </c>
      <c r="C26" s="1" t="s">
        <v>2295</v>
      </c>
      <c r="D26" s="1" t="str">
        <f aca="false">CONCATENATE("""", A26, """,")</f>
        <v>"DIAM",</v>
      </c>
      <c r="F26" s="1" t="s">
        <v>2296</v>
      </c>
      <c r="G26" s="34" t="str">
        <f aca="false">VLOOKUP(F26,A:B,2, FALSE())</f>
        <v>Vehicle Engines</v>
      </c>
      <c r="H26" s="34" t="s">
        <v>2208</v>
      </c>
    </row>
    <row r="27" customFormat="false" ht="14.25" hidden="false" customHeight="false" outlineLevel="0" collapsed="false">
      <c r="A27" s="1" t="s">
        <v>2297</v>
      </c>
      <c r="B27" s="1" t="s">
        <v>2298</v>
      </c>
      <c r="C27" s="1" t="s">
        <v>2299</v>
      </c>
      <c r="D27" s="1" t="str">
        <f aca="false">CONCATENATE("""", A27, """,")</f>
        <v>"DYES",</v>
      </c>
      <c r="F27" s="1" t="s">
        <v>1752</v>
      </c>
      <c r="G27" s="34" t="str">
        <f aca="false">VLOOKUP(F27,A:B,2, FALSE())</f>
        <v>Wood</v>
      </c>
      <c r="H27" s="34" t="s">
        <v>2300</v>
      </c>
    </row>
    <row r="28" customFormat="false" ht="14.25" hidden="false" customHeight="false" outlineLevel="0" collapsed="false">
      <c r="A28" s="1" t="s">
        <v>2301</v>
      </c>
      <c r="B28" s="1" t="s">
        <v>2302</v>
      </c>
      <c r="C28" s="1" t="s">
        <v>2237</v>
      </c>
      <c r="D28" s="1" t="str">
        <f aca="false">CONCATENATE("""", A28, """,")</f>
        <v>"ENSP",</v>
      </c>
      <c r="F28" s="1" t="s">
        <v>2303</v>
      </c>
      <c r="G28" s="34" t="str">
        <f aca="false">VLOOKUP(F28,A:B,2, FALSE())</f>
        <v>Zinc</v>
      </c>
      <c r="H28" s="34" t="s">
        <v>2242</v>
      </c>
    </row>
    <row r="29" customFormat="false" ht="14.25" hidden="false" customHeight="false" outlineLevel="0" collapsed="false">
      <c r="A29" s="1" t="s">
        <v>2304</v>
      </c>
      <c r="B29" s="1" t="s">
        <v>2305</v>
      </c>
      <c r="C29" s="1" t="s">
        <v>2299</v>
      </c>
      <c r="D29" s="1" t="str">
        <f aca="false">CONCATENATE("""", A29, """,")</f>
        <v>"EOIL",</v>
      </c>
      <c r="F29" s="1" t="s">
        <v>2301</v>
      </c>
      <c r="G29" s="34" t="str">
        <f aca="false">VLOOKUP(F29,A:B,2, FALSE())</f>
        <v>Engineering Supplies</v>
      </c>
      <c r="H29" s="34" t="s">
        <v>2306</v>
      </c>
    </row>
    <row r="30" customFormat="false" ht="14.25" hidden="false" customHeight="false" outlineLevel="0" collapsed="false">
      <c r="A30" s="1" t="s">
        <v>2307</v>
      </c>
      <c r="B30" s="1" t="s">
        <v>2308</v>
      </c>
      <c r="C30" s="1" t="s">
        <v>2219</v>
      </c>
      <c r="D30" s="1" t="str">
        <f aca="false">CONCATENATE("""", A30, """,")</f>
        <v>"FECR",</v>
      </c>
      <c r="F30" s="1" t="s">
        <v>2309</v>
      </c>
      <c r="G30" s="34" t="str">
        <f aca="false">VLOOKUP(F30,A:B,2, FALSE())</f>
        <v>Farm Supplies</v>
      </c>
      <c r="H30" s="34" t="s">
        <v>2210</v>
      </c>
    </row>
    <row r="31" customFormat="false" ht="14.25" hidden="false" customHeight="false" outlineLevel="0" collapsed="false">
      <c r="A31" s="1" t="s">
        <v>2310</v>
      </c>
      <c r="B31" s="1" t="s">
        <v>2311</v>
      </c>
      <c r="C31" s="1" t="s">
        <v>2312</v>
      </c>
      <c r="D31" s="1" t="str">
        <f aca="false">CONCATENATE("""", A31, """,")</f>
        <v>"FERT",</v>
      </c>
      <c r="F31" s="1" t="s">
        <v>2313</v>
      </c>
      <c r="G31" s="34" t="str">
        <f aca="false">VLOOKUP(F31,A:B,2, FALSE())</f>
        <v>Vehicle Parts</v>
      </c>
      <c r="H31" s="34" t="s">
        <v>2208</v>
      </c>
    </row>
    <row r="32" customFormat="false" ht="14.25" hidden="false" customHeight="false" outlineLevel="0" collapsed="false">
      <c r="A32" s="1" t="s">
        <v>2314</v>
      </c>
      <c r="B32" s="1" t="s">
        <v>2315</v>
      </c>
      <c r="C32" s="1" t="s">
        <v>2312</v>
      </c>
      <c r="D32" s="1" t="str">
        <f aca="false">CONCATENATE("""", A32, """,")</f>
        <v>"FICR",</v>
      </c>
      <c r="F32" s="1" t="s">
        <v>2316</v>
      </c>
      <c r="G32" s="34" t="str">
        <f aca="false">VLOOKUP(F32,A:B,2, FALSE())</f>
        <v>Timber</v>
      </c>
      <c r="H32" s="34" t="s">
        <v>2209</v>
      </c>
    </row>
    <row r="33" customFormat="false" ht="14.25" hidden="false" customHeight="false" outlineLevel="0" collapsed="false">
      <c r="A33" s="1" t="s">
        <v>2317</v>
      </c>
      <c r="B33" s="1" t="s">
        <v>2318</v>
      </c>
      <c r="C33" s="1" t="s">
        <v>2319</v>
      </c>
      <c r="D33" s="1" t="str">
        <f aca="false">CONCATENATE("""", A33, """,")</f>
        <v>"FISH",</v>
      </c>
      <c r="F33" s="1" t="s">
        <v>2320</v>
      </c>
      <c r="G33" s="34" t="str">
        <f aca="false">VLOOKUP(F33,A:B,2, FALSE())</f>
        <v>Plastics</v>
      </c>
      <c r="H33" s="34" t="s">
        <v>2208</v>
      </c>
    </row>
    <row r="34" customFormat="false" ht="14.25" hidden="false" customHeight="false" outlineLevel="0" collapsed="false">
      <c r="A34" s="1" t="s">
        <v>2309</v>
      </c>
      <c r="B34" s="1" t="s">
        <v>2321</v>
      </c>
      <c r="C34" s="1" t="s">
        <v>2237</v>
      </c>
      <c r="D34" s="1" t="str">
        <f aca="false">CONCATENATE("""", A34, """,")</f>
        <v>"FMSP",</v>
      </c>
      <c r="F34" s="1" t="s">
        <v>2297</v>
      </c>
      <c r="G34" s="34" t="str">
        <f aca="false">VLOOKUP(F34,A:B,2, FALSE())</f>
        <v>Dyes</v>
      </c>
      <c r="H34" s="34" t="s">
        <v>2208</v>
      </c>
    </row>
    <row r="35" customFormat="false" ht="14.25" hidden="false" customHeight="false" outlineLevel="0" collapsed="false">
      <c r="A35" s="1" t="s">
        <v>2322</v>
      </c>
      <c r="B35" s="1" t="s">
        <v>2323</v>
      </c>
      <c r="C35" s="1" t="s">
        <v>2319</v>
      </c>
      <c r="D35" s="1" t="str">
        <f aca="false">CONCATENATE("""", A35, """,")</f>
        <v>"FOOD",</v>
      </c>
      <c r="F35" s="1" t="s">
        <v>2324</v>
      </c>
      <c r="G35" s="34" t="str">
        <f aca="false">VLOOKUP(F35,A:B,2, FALSE())</f>
        <v>Vehicles</v>
      </c>
      <c r="H35" s="34" t="s">
        <v>2325</v>
      </c>
    </row>
    <row r="36" customFormat="false" ht="14.25" hidden="false" customHeight="false" outlineLevel="0" collapsed="false">
      <c r="A36" s="1" t="s">
        <v>2326</v>
      </c>
      <c r="B36" s="1" t="s">
        <v>2327</v>
      </c>
      <c r="C36" s="1" t="s">
        <v>2328</v>
      </c>
      <c r="D36" s="1" t="str">
        <f aca="false">CONCATENATE("""", A36, """,")</f>
        <v>"FRUT",</v>
      </c>
      <c r="F36" s="1" t="s">
        <v>2314</v>
      </c>
      <c r="G36" s="34" t="str">
        <f aca="false">VLOOKUP(F36,A:B,2, FALSE())</f>
        <v>Fibre Crops</v>
      </c>
      <c r="H36" s="34" t="s">
        <v>2208</v>
      </c>
    </row>
    <row r="37" customFormat="false" ht="14.25" hidden="false" customHeight="false" outlineLevel="0" collapsed="false">
      <c r="A37" s="1" t="s">
        <v>2329</v>
      </c>
      <c r="B37" s="1" t="s">
        <v>2330</v>
      </c>
      <c r="C37" s="1" t="s">
        <v>2331</v>
      </c>
      <c r="D37" s="1" t="str">
        <f aca="false">CONCATENATE("""", A37, """,")</f>
        <v>"FRVG",</v>
      </c>
      <c r="F37" s="1" t="s">
        <v>2332</v>
      </c>
      <c r="G37" s="34" t="str">
        <f aca="false">VLOOKUP(F37,A:B,2, FALSE())</f>
        <v>Packaging</v>
      </c>
      <c r="H37" s="34" t="s">
        <v>2208</v>
      </c>
    </row>
    <row r="38" customFormat="false" ht="14.25" hidden="false" customHeight="false" outlineLevel="0" collapsed="false">
      <c r="A38" s="1" t="s">
        <v>2248</v>
      </c>
      <c r="B38" s="1" t="s">
        <v>2333</v>
      </c>
      <c r="C38" s="1" t="s">
        <v>2222</v>
      </c>
      <c r="D38" s="1" t="str">
        <f aca="false">CONCATENATE("""", A38, """,")</f>
        <v>"FZDR",</v>
      </c>
      <c r="F38" s="1" t="s">
        <v>2334</v>
      </c>
      <c r="G38" s="34" t="str">
        <f aca="false">VLOOKUP(F38,A:B,2, FALSE())</f>
        <v>Steel Sheet</v>
      </c>
      <c r="H38" s="34"/>
    </row>
    <row r="39" customFormat="false" ht="14.25" hidden="false" customHeight="false" outlineLevel="0" collapsed="false">
      <c r="A39" s="1" t="s">
        <v>2335</v>
      </c>
      <c r="B39" s="1" t="s">
        <v>2336</v>
      </c>
      <c r="C39" s="1" t="s">
        <v>2295</v>
      </c>
      <c r="D39" s="1" t="str">
        <f aca="false">CONCATENATE("""", A39, """,")</f>
        <v>"GOLD",</v>
      </c>
      <c r="F39" s="1" t="s">
        <v>2337</v>
      </c>
      <c r="G39" s="34" t="str">
        <f aca="false">VLOOKUP(F39,A:B,2, FALSE())</f>
        <v>Steel Wire Rod</v>
      </c>
      <c r="H39" s="34"/>
    </row>
    <row r="40" customFormat="false" ht="14.25" hidden="false" customHeight="false" outlineLevel="0" collapsed="false">
      <c r="A40" s="1" t="s">
        <v>1378</v>
      </c>
      <c r="B40" s="1" t="s">
        <v>2338</v>
      </c>
      <c r="C40" s="1" t="s">
        <v>2339</v>
      </c>
      <c r="D40" s="1" t="str">
        <f aca="false">CONCATENATE("""", A40, """,")</f>
        <v>"GOOD",</v>
      </c>
      <c r="F40" s="1" t="s">
        <v>2340</v>
      </c>
      <c r="G40" s="34" t="str">
        <f aca="false">VLOOKUP(F40,A:B,2, FALSE())</f>
        <v>Rebar</v>
      </c>
      <c r="H40" s="34"/>
    </row>
    <row r="41" customFormat="false" ht="14.25" hidden="false" customHeight="false" outlineLevel="0" collapsed="false">
      <c r="A41" s="1" t="s">
        <v>1813</v>
      </c>
      <c r="B41" s="1" t="s">
        <v>2341</v>
      </c>
      <c r="C41" s="1" t="s">
        <v>2219</v>
      </c>
      <c r="D41" s="1" t="str">
        <f aca="false">CONCATENATE("""", A41, """,")</f>
        <v>"GRAI",</v>
      </c>
      <c r="F41" s="34" t="s">
        <v>2342</v>
      </c>
      <c r="G41" s="34" t="str">
        <f aca="false">VLOOKUP(F41,A:B,2, FALSE())</f>
        <v>Cleaning Agents</v>
      </c>
      <c r="H41" s="34" t="s">
        <v>2208</v>
      </c>
    </row>
    <row r="42" customFormat="false" ht="14.25" hidden="false" customHeight="false" outlineLevel="0" collapsed="false">
      <c r="A42" s="1" t="s">
        <v>2343</v>
      </c>
      <c r="B42" s="1" t="s">
        <v>2344</v>
      </c>
      <c r="C42" s="1" t="s">
        <v>2219</v>
      </c>
      <c r="D42" s="1" t="str">
        <f aca="false">CONCATENATE("""", A42, """,")</f>
        <v>"GRVL",</v>
      </c>
      <c r="F42" s="34" t="s">
        <v>2345</v>
      </c>
      <c r="G42" s="34" t="str">
        <f aca="false">VLOOKUP(F42,A:B,2, FALSE())</f>
        <v>Paints and coatings</v>
      </c>
      <c r="H42" s="34" t="s">
        <v>2208</v>
      </c>
    </row>
    <row r="43" customFormat="false" ht="14.25" hidden="false" customHeight="false" outlineLevel="0" collapsed="false">
      <c r="A43" s="1" t="s">
        <v>2346</v>
      </c>
      <c r="B43" s="1" t="s">
        <v>2347</v>
      </c>
      <c r="C43" s="1" t="s">
        <v>2219</v>
      </c>
      <c r="D43" s="1" t="str">
        <f aca="false">CONCATENATE("""", A43, """,")</f>
        <v>"IORE",</v>
      </c>
    </row>
    <row r="44" customFormat="false" ht="14.25" hidden="false" customHeight="false" outlineLevel="0" collapsed="false">
      <c r="A44" s="1" t="s">
        <v>2252</v>
      </c>
      <c r="B44" s="1" t="s">
        <v>2348</v>
      </c>
      <c r="C44" s="1" t="s">
        <v>2222</v>
      </c>
      <c r="D44" s="1" t="str">
        <f aca="false">CONCATENATE("""", A44, """,")</f>
        <v>"IRON",</v>
      </c>
    </row>
    <row r="45" customFormat="false" ht="14.25" hidden="false" customHeight="false" outlineLevel="0" collapsed="false">
      <c r="A45" s="1" t="s">
        <v>2254</v>
      </c>
      <c r="B45" s="1" t="s">
        <v>2349</v>
      </c>
      <c r="C45" s="1" t="s">
        <v>2222</v>
      </c>
      <c r="D45" s="1" t="str">
        <f aca="false">CONCATENATE("""", A45, """,")</f>
        <v>"JAVA",</v>
      </c>
    </row>
    <row r="46" customFormat="false" ht="14.25" hidden="false" customHeight="false" outlineLevel="0" collapsed="false">
      <c r="A46" s="1" t="s">
        <v>2350</v>
      </c>
      <c r="B46" s="1" t="s">
        <v>2351</v>
      </c>
      <c r="C46" s="1" t="s">
        <v>2352</v>
      </c>
      <c r="D46" s="1" t="str">
        <f aca="false">CONCATENATE("""", A46, """,")</f>
        <v>"KAOL",</v>
      </c>
    </row>
    <row r="47" customFormat="false" ht="14.25" hidden="false" customHeight="false" outlineLevel="0" collapsed="false">
      <c r="A47" s="1" t="s">
        <v>2353</v>
      </c>
      <c r="B47" s="1" t="s">
        <v>2354</v>
      </c>
      <c r="C47" s="1" t="s">
        <v>2219</v>
      </c>
      <c r="D47" s="1" t="str">
        <f aca="false">CONCATENATE("""", A47, """,")</f>
        <v>"LIME",</v>
      </c>
    </row>
    <row r="48" customFormat="false" ht="14.25" hidden="false" customHeight="false" outlineLevel="0" collapsed="false">
      <c r="A48" s="1" t="s">
        <v>1827</v>
      </c>
      <c r="B48" s="1" t="s">
        <v>1826</v>
      </c>
      <c r="C48" s="1" t="s">
        <v>2222</v>
      </c>
      <c r="D48" s="1" t="str">
        <f aca="false">CONCATENATE("""", A48, """,")</f>
        <v>"LVST",</v>
      </c>
    </row>
    <row r="49" customFormat="false" ht="14.25" hidden="false" customHeight="false" outlineLevel="0" collapsed="false">
      <c r="A49" s="1" t="s">
        <v>662</v>
      </c>
      <c r="B49" s="1" t="s">
        <v>144</v>
      </c>
      <c r="C49" s="1" t="s">
        <v>2355</v>
      </c>
      <c r="D49" s="1" t="str">
        <f aca="false">CONCATENATE("""", A49, """,")</f>
        <v>"MAIL",</v>
      </c>
    </row>
    <row r="50" customFormat="false" ht="14.25" hidden="false" customHeight="false" outlineLevel="0" collapsed="false">
      <c r="A50" s="1" t="s">
        <v>2356</v>
      </c>
      <c r="B50" s="1" t="s">
        <v>2357</v>
      </c>
      <c r="C50" s="1" t="s">
        <v>2219</v>
      </c>
      <c r="D50" s="1" t="str">
        <f aca="false">CONCATENATE("""", A50, """,")</f>
        <v>"MAIZ",</v>
      </c>
    </row>
    <row r="51" customFormat="false" ht="14.25" hidden="false" customHeight="false" outlineLevel="0" collapsed="false">
      <c r="A51" s="1" t="s">
        <v>2258</v>
      </c>
      <c r="B51" s="1" t="s">
        <v>2358</v>
      </c>
      <c r="C51" s="1" t="s">
        <v>2222</v>
      </c>
      <c r="D51" s="1" t="str">
        <f aca="false">CONCATENATE("""", A51, """,")</f>
        <v>"METL",</v>
      </c>
    </row>
    <row r="52" customFormat="false" ht="14.25" hidden="false" customHeight="false" outlineLevel="0" collapsed="false">
      <c r="A52" s="1" t="s">
        <v>2359</v>
      </c>
      <c r="B52" s="1" t="s">
        <v>2360</v>
      </c>
      <c r="C52" s="1" t="s">
        <v>2361</v>
      </c>
      <c r="D52" s="1" t="str">
        <f aca="false">CONCATENATE("""", A52, """,")</f>
        <v>"MILK",</v>
      </c>
    </row>
    <row r="53" customFormat="false" ht="14.25" hidden="false" customHeight="false" outlineLevel="0" collapsed="false">
      <c r="A53" s="1" t="s">
        <v>2362</v>
      </c>
      <c r="B53" s="1" t="s">
        <v>2363</v>
      </c>
      <c r="C53" s="1" t="s">
        <v>2219</v>
      </c>
      <c r="D53" s="1" t="str">
        <f aca="false">CONCATENATE("""", A53, """,")</f>
        <v>"MNO2",</v>
      </c>
    </row>
    <row r="54" customFormat="false" ht="14.25" hidden="false" customHeight="false" outlineLevel="0" collapsed="false">
      <c r="A54" s="1" t="s">
        <v>2332</v>
      </c>
      <c r="B54" s="1" t="s">
        <v>2364</v>
      </c>
      <c r="C54" s="1" t="s">
        <v>2365</v>
      </c>
      <c r="D54" s="1" t="str">
        <f aca="false">CONCATENATE("""", A54, """,")</f>
        <v>"MNSP",</v>
      </c>
    </row>
    <row r="55" customFormat="false" ht="14.25" hidden="false" customHeight="false" outlineLevel="0" collapsed="false">
      <c r="A55" s="1" t="s">
        <v>2366</v>
      </c>
      <c r="B55" s="1" t="s">
        <v>2367</v>
      </c>
      <c r="C55" s="1" t="s">
        <v>2219</v>
      </c>
      <c r="D55" s="1" t="str">
        <f aca="false">CONCATENATE("""", A55, """,")</f>
        <v>"NITR",</v>
      </c>
    </row>
    <row r="56" customFormat="false" ht="14.25" hidden="false" customHeight="false" outlineLevel="0" collapsed="false">
      <c r="A56" s="1" t="s">
        <v>2261</v>
      </c>
      <c r="B56" s="1" t="s">
        <v>2368</v>
      </c>
      <c r="C56" s="1" t="s">
        <v>2222</v>
      </c>
      <c r="D56" s="1" t="str">
        <f aca="false">CONCATENATE("""", A56, """,")</f>
        <v>"NUTS",</v>
      </c>
    </row>
    <row r="57" customFormat="false" ht="14.25" hidden="false" customHeight="false" outlineLevel="0" collapsed="false">
      <c r="A57" s="1" t="s">
        <v>1796</v>
      </c>
      <c r="B57" s="1" t="s">
        <v>2369</v>
      </c>
      <c r="C57" s="1" t="s">
        <v>2277</v>
      </c>
      <c r="D57" s="1" t="str">
        <f aca="false">CONCATENATE("""", A57, """,")</f>
        <v>"OIL_",</v>
      </c>
    </row>
    <row r="58" customFormat="false" ht="14.25" hidden="false" customHeight="false" outlineLevel="0" collapsed="false">
      <c r="A58" s="1" t="s">
        <v>2370</v>
      </c>
      <c r="B58" s="1" t="s">
        <v>2371</v>
      </c>
      <c r="C58" s="1" t="s">
        <v>2257</v>
      </c>
      <c r="D58" s="1" t="str">
        <f aca="false">CONCATENATE("""", A58, """,")</f>
        <v>"OLSD",</v>
      </c>
    </row>
    <row r="59" customFormat="false" ht="14.25" hidden="false" customHeight="false" outlineLevel="0" collapsed="false">
      <c r="A59" s="1" t="s">
        <v>2265</v>
      </c>
      <c r="B59" s="1" t="s">
        <v>2372</v>
      </c>
      <c r="C59" s="1" t="s">
        <v>2222</v>
      </c>
      <c r="D59" s="1" t="str">
        <f aca="false">CONCATENATE("""", A59, """,")</f>
        <v>"PAPR",</v>
      </c>
    </row>
    <row r="60" customFormat="false" ht="14.25" hidden="false" customHeight="false" outlineLevel="0" collapsed="false">
      <c r="A60" s="1" t="s">
        <v>327</v>
      </c>
      <c r="B60" s="1" t="s">
        <v>326</v>
      </c>
      <c r="C60" s="1" t="s">
        <v>2373</v>
      </c>
      <c r="D60" s="1" t="str">
        <f aca="false">CONCATENATE("""", A60, """,")</f>
        <v>"PASS",</v>
      </c>
    </row>
    <row r="61" customFormat="false" ht="14.25" hidden="false" customHeight="false" outlineLevel="0" collapsed="false">
      <c r="A61" s="1" t="s">
        <v>2374</v>
      </c>
      <c r="B61" s="1" t="s">
        <v>2375</v>
      </c>
      <c r="C61" s="1" t="s">
        <v>2219</v>
      </c>
      <c r="D61" s="1" t="str">
        <f aca="false">CONCATENATE("""", A61, """,")</f>
        <v>"PEAT",</v>
      </c>
    </row>
    <row r="62" customFormat="false" ht="14.25" hidden="false" customHeight="false" outlineLevel="0" collapsed="false">
      <c r="A62" s="1" t="s">
        <v>2376</v>
      </c>
      <c r="B62" s="1" t="s">
        <v>106</v>
      </c>
      <c r="C62" s="1" t="s">
        <v>2277</v>
      </c>
      <c r="D62" s="1" t="str">
        <f aca="false">CONCATENATE("""", A62, """,")</f>
        <v>"PETR",</v>
      </c>
    </row>
    <row r="63" customFormat="false" ht="14.25" hidden="false" customHeight="false" outlineLevel="0" collapsed="false">
      <c r="A63" s="1" t="s">
        <v>2377</v>
      </c>
      <c r="B63" s="1" t="s">
        <v>2378</v>
      </c>
      <c r="C63" s="1" t="s">
        <v>2219</v>
      </c>
      <c r="D63" s="1" t="str">
        <f aca="false">CONCATENATE("""", A63, """,")</f>
        <v>"PHOS",</v>
      </c>
    </row>
    <row r="64" customFormat="false" ht="14.25" hidden="false" customHeight="false" outlineLevel="0" collapsed="false">
      <c r="A64" s="1" t="s">
        <v>2268</v>
      </c>
      <c r="B64" s="1" t="s">
        <v>2379</v>
      </c>
      <c r="C64" s="1" t="s">
        <v>2222</v>
      </c>
      <c r="D64" s="1" t="str">
        <f aca="false">CONCATENATE("""", A64, """,")</f>
        <v>"PIPE",</v>
      </c>
    </row>
    <row r="65" customFormat="false" ht="14.25" hidden="false" customHeight="false" outlineLevel="0" collapsed="false">
      <c r="A65" s="1" t="s">
        <v>2320</v>
      </c>
      <c r="B65" s="1" t="s">
        <v>2380</v>
      </c>
      <c r="C65" s="1" t="s">
        <v>2381</v>
      </c>
      <c r="D65" s="1" t="str">
        <f aca="false">CONCATENATE("""", A65, """,")</f>
        <v>"PLAS",</v>
      </c>
    </row>
    <row r="66" customFormat="false" ht="14.25" hidden="false" customHeight="false" outlineLevel="0" collapsed="false">
      <c r="A66" s="1" t="s">
        <v>2382</v>
      </c>
      <c r="B66" s="1" t="s">
        <v>2383</v>
      </c>
      <c r="C66" s="1" t="s">
        <v>2277</v>
      </c>
      <c r="D66" s="1" t="str">
        <f aca="false">CONCATENATE("""", A66, """,")</f>
        <v>"PLST",</v>
      </c>
    </row>
    <row r="67" customFormat="false" ht="14.25" hidden="false" customHeight="false" outlineLevel="0" collapsed="false">
      <c r="A67" s="1" t="s">
        <v>2384</v>
      </c>
      <c r="B67" s="1" t="s">
        <v>2385</v>
      </c>
      <c r="C67" s="1" t="s">
        <v>2219</v>
      </c>
      <c r="D67" s="1" t="str">
        <f aca="false">CONCATENATE("""", A67, """,")</f>
        <v>"PORE",</v>
      </c>
    </row>
    <row r="68" customFormat="false" ht="14.25" hidden="false" customHeight="false" outlineLevel="0" collapsed="false">
      <c r="A68" s="1" t="s">
        <v>2386</v>
      </c>
      <c r="B68" s="1" t="s">
        <v>2387</v>
      </c>
      <c r="C68" s="1" t="s">
        <v>2257</v>
      </c>
      <c r="D68" s="1" t="str">
        <f aca="false">CONCATENATE("""", A68, """,")</f>
        <v>"POTA",</v>
      </c>
    </row>
    <row r="69" customFormat="false" ht="14.25" hidden="false" customHeight="false" outlineLevel="0" collapsed="false">
      <c r="A69" s="1" t="s">
        <v>2271</v>
      </c>
      <c r="B69" s="1" t="s">
        <v>2388</v>
      </c>
      <c r="C69" s="1" t="s">
        <v>2222</v>
      </c>
      <c r="D69" s="1" t="str">
        <f aca="false">CONCATENATE("""", A69, """,")</f>
        <v>"POWR",</v>
      </c>
    </row>
    <row r="70" customFormat="false" ht="14.25" hidden="false" customHeight="false" outlineLevel="0" collapsed="false">
      <c r="A70" s="1" t="s">
        <v>2389</v>
      </c>
      <c r="B70" s="1" t="s">
        <v>2390</v>
      </c>
      <c r="C70" s="1" t="s">
        <v>2257</v>
      </c>
      <c r="D70" s="1" t="str">
        <f aca="false">CONCATENATE("""", A70, """,")</f>
        <v>"QLME",</v>
      </c>
    </row>
    <row r="71" customFormat="false" ht="14.25" hidden="false" customHeight="false" outlineLevel="0" collapsed="false">
      <c r="A71" s="1" t="s">
        <v>2391</v>
      </c>
      <c r="B71" s="1" t="s">
        <v>2392</v>
      </c>
      <c r="C71" s="1" t="s">
        <v>2393</v>
      </c>
      <c r="D71" s="1" t="str">
        <f aca="false">CONCATENATE("""", A71, """,")</f>
        <v>"RCYC",</v>
      </c>
    </row>
    <row r="72" customFormat="false" ht="14.25" hidden="false" customHeight="false" outlineLevel="0" collapsed="false">
      <c r="A72" s="1" t="s">
        <v>2394</v>
      </c>
      <c r="B72" s="1" t="s">
        <v>2395</v>
      </c>
      <c r="C72" s="1" t="s">
        <v>2277</v>
      </c>
      <c r="D72" s="1" t="str">
        <f aca="false">CONCATENATE("""", A72, """,")</f>
        <v>"RFPR",</v>
      </c>
    </row>
    <row r="73" customFormat="false" ht="14.25" hidden="false" customHeight="false" outlineLevel="0" collapsed="false">
      <c r="A73" s="1" t="s">
        <v>2396</v>
      </c>
      <c r="B73" s="1" t="s">
        <v>2397</v>
      </c>
      <c r="C73" s="1" t="s">
        <v>2277</v>
      </c>
      <c r="D73" s="1" t="str">
        <f aca="false">CONCATENATE("""", A73, """,")</f>
        <v>"RUBR",</v>
      </c>
    </row>
    <row r="74" customFormat="false" ht="14.25" hidden="false" customHeight="false" outlineLevel="0" collapsed="false">
      <c r="A74" s="1" t="s">
        <v>1845</v>
      </c>
      <c r="B74" s="1" t="s">
        <v>2398</v>
      </c>
      <c r="C74" s="1" t="s">
        <v>2219</v>
      </c>
      <c r="D74" s="1" t="str">
        <f aca="false">CONCATENATE("""", A74, """,")</f>
        <v>"SALT",</v>
      </c>
    </row>
    <row r="75" customFormat="false" ht="14.25" hidden="false" customHeight="false" outlineLevel="0" collapsed="false">
      <c r="A75" s="1" t="s">
        <v>2399</v>
      </c>
      <c r="B75" s="1" t="s">
        <v>2400</v>
      </c>
      <c r="C75" s="1" t="s">
        <v>2219</v>
      </c>
      <c r="D75" s="1" t="str">
        <f aca="false">CONCATENATE("""", A75, """,")</f>
        <v>"SAND",</v>
      </c>
    </row>
    <row r="76" customFormat="false" ht="14.25" hidden="false" customHeight="false" outlineLevel="0" collapsed="false">
      <c r="A76" s="1" t="s">
        <v>2401</v>
      </c>
      <c r="B76" s="1" t="s">
        <v>2402</v>
      </c>
      <c r="C76" s="1" t="s">
        <v>2257</v>
      </c>
      <c r="D76" s="1" t="str">
        <f aca="false">CONCATENATE("""", A76, """,")</f>
        <v>"SASH",</v>
      </c>
    </row>
    <row r="77" customFormat="false" ht="14.25" hidden="false" customHeight="false" outlineLevel="0" collapsed="false">
      <c r="A77" s="1" t="s">
        <v>2403</v>
      </c>
      <c r="B77" s="1" t="s">
        <v>2404</v>
      </c>
      <c r="C77" s="1" t="s">
        <v>2405</v>
      </c>
      <c r="D77" s="1" t="str">
        <f aca="false">CONCATENATE("""", A77, """,")</f>
        <v>"SCMT",</v>
      </c>
    </row>
    <row r="78" customFormat="false" ht="14.25" hidden="false" customHeight="false" outlineLevel="0" collapsed="false">
      <c r="A78" s="1" t="s">
        <v>2406</v>
      </c>
      <c r="B78" s="1" t="s">
        <v>2407</v>
      </c>
      <c r="C78" s="1" t="s">
        <v>2219</v>
      </c>
      <c r="D78" s="1" t="str">
        <f aca="false">CONCATENATE("""", A78, """,")</f>
        <v>"SGBT",</v>
      </c>
    </row>
    <row r="79" customFormat="false" ht="14.25" hidden="false" customHeight="false" outlineLevel="0" collapsed="false">
      <c r="A79" s="1" t="s">
        <v>2408</v>
      </c>
      <c r="B79" s="1" t="s">
        <v>2409</v>
      </c>
      <c r="C79" s="1" t="s">
        <v>2405</v>
      </c>
      <c r="D79" s="1" t="str">
        <f aca="false">CONCATENATE("""", A79, """,")</f>
        <v>"SGCN",</v>
      </c>
    </row>
    <row r="80" customFormat="false" ht="14.25" hidden="false" customHeight="false" outlineLevel="0" collapsed="false">
      <c r="A80" s="1" t="s">
        <v>2410</v>
      </c>
      <c r="B80" s="1" t="s">
        <v>2411</v>
      </c>
      <c r="C80" s="1" t="s">
        <v>2219</v>
      </c>
      <c r="D80" s="1" t="str">
        <f aca="false">CONCATENATE("""", A80, """,")</f>
        <v>"SLAG",</v>
      </c>
    </row>
    <row r="81" customFormat="false" ht="14.25" hidden="false" customHeight="false" outlineLevel="0" collapsed="false">
      <c r="A81" s="1" t="s">
        <v>2274</v>
      </c>
      <c r="B81" s="1" t="s">
        <v>2412</v>
      </c>
      <c r="C81" s="1" t="s">
        <v>2222</v>
      </c>
      <c r="D81" s="1" t="str">
        <f aca="false">CONCATENATE("""", A81, """,")</f>
        <v>"STAL",</v>
      </c>
    </row>
    <row r="82" customFormat="false" ht="14.25" hidden="false" customHeight="false" outlineLevel="0" collapsed="false">
      <c r="A82" s="1" t="s">
        <v>2278</v>
      </c>
      <c r="B82" s="1" t="s">
        <v>2413</v>
      </c>
      <c r="C82" s="1" t="s">
        <v>2222</v>
      </c>
      <c r="D82" s="1" t="str">
        <f aca="false">CONCATENATE("""", A82, """,")</f>
        <v>"STCB",</v>
      </c>
    </row>
    <row r="83" customFormat="false" ht="14.25" hidden="false" customHeight="false" outlineLevel="0" collapsed="false">
      <c r="A83" s="1" t="s">
        <v>1785</v>
      </c>
      <c r="B83" s="1" t="s">
        <v>1784</v>
      </c>
      <c r="C83" s="1" t="s">
        <v>2222</v>
      </c>
      <c r="D83" s="1" t="str">
        <f aca="false">CONCATENATE("""", A83, """,")</f>
        <v>"STEL",</v>
      </c>
    </row>
    <row r="84" customFormat="false" ht="14.25" hidden="false" customHeight="false" outlineLevel="0" collapsed="false">
      <c r="A84" s="1" t="s">
        <v>2282</v>
      </c>
      <c r="B84" s="1" t="s">
        <v>2414</v>
      </c>
      <c r="C84" s="1" t="s">
        <v>2222</v>
      </c>
      <c r="D84" s="1" t="str">
        <f aca="false">CONCATENATE("""", A84, """,")</f>
        <v>"STST",</v>
      </c>
    </row>
    <row r="85" customFormat="false" ht="14.25" hidden="false" customHeight="false" outlineLevel="0" collapsed="false">
      <c r="A85" s="1" t="s">
        <v>2415</v>
      </c>
      <c r="B85" s="1" t="s">
        <v>2416</v>
      </c>
      <c r="C85" s="1" t="s">
        <v>2219</v>
      </c>
      <c r="D85" s="1" t="str">
        <f aca="false">CONCATENATE("""", A85, """,")</f>
        <v>"SUGR",</v>
      </c>
    </row>
    <row r="86" customFormat="false" ht="14.25" hidden="false" customHeight="false" outlineLevel="0" collapsed="false">
      <c r="A86" s="1" t="s">
        <v>2417</v>
      </c>
      <c r="B86" s="1" t="s">
        <v>2418</v>
      </c>
      <c r="C86" s="1" t="s">
        <v>2257</v>
      </c>
      <c r="D86" s="1" t="str">
        <f aca="false">CONCATENATE("""", A86, """,")</f>
        <v>"SULP",</v>
      </c>
    </row>
    <row r="87" customFormat="false" ht="14.25" hidden="false" customHeight="false" outlineLevel="0" collapsed="false">
      <c r="A87" s="1" t="s">
        <v>2419</v>
      </c>
      <c r="B87" s="1" t="s">
        <v>2420</v>
      </c>
      <c r="C87" s="1" t="s">
        <v>2339</v>
      </c>
      <c r="D87" s="1" t="str">
        <f aca="false">CONCATENATE("""", A87, """,")</f>
        <v>"SWET",</v>
      </c>
    </row>
    <row r="88" customFormat="false" ht="14.25" hidden="false" customHeight="false" outlineLevel="0" collapsed="false">
      <c r="A88" s="1" t="s">
        <v>2421</v>
      </c>
      <c r="B88" s="1" t="s">
        <v>2422</v>
      </c>
      <c r="C88" s="1" t="s">
        <v>2219</v>
      </c>
      <c r="D88" s="1" t="str">
        <f aca="false">CONCATENATE("""", A88, """,")</f>
        <v>"TOFF",</v>
      </c>
    </row>
    <row r="89" customFormat="false" ht="14.25" hidden="false" customHeight="false" outlineLevel="0" collapsed="false">
      <c r="A89" s="1" t="s">
        <v>2423</v>
      </c>
      <c r="B89" s="1" t="s">
        <v>2424</v>
      </c>
      <c r="C89" s="1" t="s">
        <v>2425</v>
      </c>
      <c r="D89" s="1" t="str">
        <f aca="false">CONCATENATE("""", A89, """,")</f>
        <v>"TOUR",</v>
      </c>
    </row>
    <row r="90" customFormat="false" ht="14.25" hidden="false" customHeight="false" outlineLevel="0" collapsed="false">
      <c r="A90" s="1" t="s">
        <v>2284</v>
      </c>
      <c r="B90" s="1" t="s">
        <v>2426</v>
      </c>
      <c r="C90" s="1" t="s">
        <v>2222</v>
      </c>
      <c r="D90" s="1" t="str">
        <f aca="false">CONCATENATE("""", A90, """,")</f>
        <v>"TOYS",</v>
      </c>
    </row>
    <row r="91" customFormat="false" ht="14.25" hidden="false" customHeight="false" outlineLevel="0" collapsed="false">
      <c r="A91" s="1" t="s">
        <v>2287</v>
      </c>
      <c r="B91" s="1" t="s">
        <v>2427</v>
      </c>
      <c r="C91" s="1" t="s">
        <v>2222</v>
      </c>
      <c r="D91" s="1" t="str">
        <f aca="false">CONCATENATE("""", A91, """,")</f>
        <v>"TYRE",</v>
      </c>
    </row>
    <row r="92" customFormat="false" ht="14.25" hidden="false" customHeight="false" outlineLevel="0" collapsed="false">
      <c r="A92" s="1" t="s">
        <v>2428</v>
      </c>
      <c r="B92" s="1" t="s">
        <v>2429</v>
      </c>
      <c r="C92" s="1" t="s">
        <v>2430</v>
      </c>
      <c r="D92" s="1" t="str">
        <f aca="false">CONCATENATE("""", A92, """,")</f>
        <v>"URAN",</v>
      </c>
    </row>
    <row r="93" customFormat="false" ht="14.25" hidden="false" customHeight="false" outlineLevel="0" collapsed="false">
      <c r="A93" s="1" t="s">
        <v>2431</v>
      </c>
      <c r="B93" s="1" t="s">
        <v>2432</v>
      </c>
      <c r="C93" s="1" t="s">
        <v>2295</v>
      </c>
      <c r="D93" s="1" t="str">
        <f aca="false">CONCATENATE("""", A93, """,")</f>
        <v>"VALU",</v>
      </c>
    </row>
    <row r="94" customFormat="false" ht="14.25" hidden="false" customHeight="false" outlineLevel="0" collapsed="false">
      <c r="A94" s="1" t="s">
        <v>2291</v>
      </c>
      <c r="B94" s="1" t="s">
        <v>2433</v>
      </c>
      <c r="C94" s="1" t="s">
        <v>2222</v>
      </c>
      <c r="D94" s="1" t="str">
        <f aca="false">CONCATENATE("""", A94, """,")</f>
        <v>"VBOD",</v>
      </c>
    </row>
    <row r="95" customFormat="false" ht="14.25" hidden="false" customHeight="false" outlineLevel="0" collapsed="false">
      <c r="A95" s="1" t="s">
        <v>2324</v>
      </c>
      <c r="B95" s="1" t="s">
        <v>2434</v>
      </c>
      <c r="C95" s="1" t="s">
        <v>2435</v>
      </c>
      <c r="D95" s="1" t="str">
        <f aca="false">CONCATENATE("""", A95, """,")</f>
        <v>"VEHI",</v>
      </c>
    </row>
    <row r="96" customFormat="false" ht="14.25" hidden="false" customHeight="false" outlineLevel="0" collapsed="false">
      <c r="A96" s="1" t="s">
        <v>2296</v>
      </c>
      <c r="B96" s="1" t="s">
        <v>2436</v>
      </c>
      <c r="C96" s="1" t="s">
        <v>2222</v>
      </c>
      <c r="D96" s="1" t="str">
        <f aca="false">CONCATENATE("""", A96, """,")</f>
        <v>"VENG",</v>
      </c>
    </row>
    <row r="97" customFormat="false" ht="14.25" hidden="false" customHeight="false" outlineLevel="0" collapsed="false">
      <c r="A97" s="1" t="s">
        <v>2313</v>
      </c>
      <c r="B97" s="1" t="s">
        <v>2437</v>
      </c>
      <c r="C97" s="1" t="s">
        <v>2365</v>
      </c>
      <c r="D97" s="1" t="str">
        <f aca="false">CONCATENATE("""", A97, """,")</f>
        <v>"VPTS",</v>
      </c>
    </row>
    <row r="98" customFormat="false" ht="14.25" hidden="false" customHeight="false" outlineLevel="0" collapsed="false">
      <c r="A98" s="1" t="s">
        <v>2438</v>
      </c>
      <c r="B98" s="1" t="s">
        <v>2439</v>
      </c>
      <c r="C98" s="1" t="s">
        <v>2277</v>
      </c>
      <c r="D98" s="1" t="str">
        <f aca="false">CONCATENATE("""", A98, """,")</f>
        <v>"WATR",</v>
      </c>
    </row>
    <row r="99" customFormat="false" ht="14.25" hidden="false" customHeight="false" outlineLevel="0" collapsed="false">
      <c r="A99" s="1" t="s">
        <v>2316</v>
      </c>
      <c r="B99" s="1" t="s">
        <v>2440</v>
      </c>
      <c r="C99" s="1" t="s">
        <v>2312</v>
      </c>
      <c r="D99" s="1" t="str">
        <f aca="false">CONCATENATE("""", A99, """,")</f>
        <v>"WDPR",</v>
      </c>
    </row>
    <row r="100" customFormat="false" ht="14.25" hidden="false" customHeight="false" outlineLevel="0" collapsed="false">
      <c r="A100" s="1" t="s">
        <v>2441</v>
      </c>
      <c r="B100" s="1" t="s">
        <v>2442</v>
      </c>
      <c r="C100" s="1" t="s">
        <v>2219</v>
      </c>
      <c r="D100" s="1" t="str">
        <f aca="false">CONCATENATE("""", A100, """,")</f>
        <v>"WHEA",</v>
      </c>
    </row>
    <row r="101" customFormat="false" ht="14.25" hidden="false" customHeight="false" outlineLevel="0" collapsed="false">
      <c r="A101" s="1" t="s">
        <v>1752</v>
      </c>
      <c r="B101" s="1" t="s">
        <v>2443</v>
      </c>
      <c r="C101" s="1" t="s">
        <v>2222</v>
      </c>
      <c r="D101" s="1" t="str">
        <f aca="false">CONCATENATE("""", A101, """,")</f>
        <v>"WOOD",</v>
      </c>
    </row>
    <row r="102" customFormat="false" ht="14.25" hidden="false" customHeight="false" outlineLevel="0" collapsed="false">
      <c r="A102" s="1" t="s">
        <v>2444</v>
      </c>
      <c r="B102" s="1" t="s">
        <v>2445</v>
      </c>
      <c r="C102" s="1" t="s">
        <v>2226</v>
      </c>
      <c r="D102" s="1" t="str">
        <f aca="false">CONCATENATE("""", A102, """,")</f>
        <v>"WOOL",</v>
      </c>
    </row>
    <row r="103" customFormat="false" ht="14.25" hidden="false" customHeight="false" outlineLevel="0" collapsed="false">
      <c r="A103" s="1" t="s">
        <v>2446</v>
      </c>
      <c r="B103" s="1" t="s">
        <v>2447</v>
      </c>
      <c r="C103" s="1" t="s">
        <v>2448</v>
      </c>
      <c r="D103" s="1" t="str">
        <f aca="false">CONCATENATE("""", A103, """,")</f>
        <v>"YETI",</v>
      </c>
    </row>
    <row r="104" customFormat="false" ht="14.25" hidden="false" customHeight="false" outlineLevel="0" collapsed="false">
      <c r="A104" s="1" t="s">
        <v>2449</v>
      </c>
      <c r="B104" s="1" t="s">
        <v>2450</v>
      </c>
      <c r="C104" s="1" t="s">
        <v>2448</v>
      </c>
      <c r="D104" s="1" t="str">
        <f aca="false">CONCATENATE("""", A104, """,")</f>
        <v>"YETY",</v>
      </c>
    </row>
    <row r="105" customFormat="false" ht="14.25" hidden="false" customHeight="false" outlineLevel="0" collapsed="false">
      <c r="A105" s="1" t="s">
        <v>2303</v>
      </c>
      <c r="B105" s="1" t="s">
        <v>2451</v>
      </c>
      <c r="C105" s="1" t="s">
        <v>2222</v>
      </c>
      <c r="D105" s="1" t="str">
        <f aca="false">CONCATENATE("""", A105, """,")</f>
        <v>"ZINC",</v>
      </c>
    </row>
    <row r="106" customFormat="false" ht="14.25" hidden="false" customHeight="false" outlineLevel="0" collapsed="false">
      <c r="A106" s="1" t="s">
        <v>2342</v>
      </c>
      <c r="B106" s="1" t="s">
        <v>2452</v>
      </c>
      <c r="C106" s="1" t="s">
        <v>2381</v>
      </c>
      <c r="D106" s="1" t="str">
        <f aca="false">CONCATENATE("""", A106, """,")</f>
        <v>"SOAP",</v>
      </c>
    </row>
    <row r="107" customFormat="false" ht="14.25" hidden="false" customHeight="false" outlineLevel="0" collapsed="false">
      <c r="A107" s="1" t="s">
        <v>2453</v>
      </c>
      <c r="B107" s="1" t="s">
        <v>2454</v>
      </c>
      <c r="C107" s="1" t="s">
        <v>2214</v>
      </c>
      <c r="D107" s="1" t="str">
        <f aca="false">CONCATENATE("""", A107, """,")</f>
        <v>"NH3_",</v>
      </c>
    </row>
    <row r="108" customFormat="false" ht="14.25" hidden="false" customHeight="false" outlineLevel="0" collapsed="false">
      <c r="A108" s="1" t="s">
        <v>2455</v>
      </c>
      <c r="B108" s="1" t="s">
        <v>2456</v>
      </c>
      <c r="C108" s="1" t="s">
        <v>2214</v>
      </c>
      <c r="D108" s="1" t="str">
        <f aca="false">CONCATENATE("""", A108, """,")</f>
        <v>"O2__",</v>
      </c>
    </row>
    <row r="109" customFormat="false" ht="14.25" hidden="false" customHeight="false" outlineLevel="0" collapsed="false">
      <c r="A109" s="1" t="s">
        <v>2345</v>
      </c>
      <c r="B109" s="1" t="s">
        <v>2457</v>
      </c>
      <c r="C109" s="1" t="s">
        <v>2381</v>
      </c>
      <c r="D109" s="1" t="str">
        <f aca="false">CONCATENATE("""", A109, """,")</f>
        <v>"COAT",</v>
      </c>
    </row>
    <row r="110" customFormat="false" ht="14.25" hidden="false" customHeight="false" outlineLevel="0" collapsed="false">
      <c r="A110" s="1" t="s">
        <v>2340</v>
      </c>
      <c r="B110" s="1" t="s">
        <v>2458</v>
      </c>
      <c r="C110" s="1" t="s">
        <v>2222</v>
      </c>
      <c r="D110" s="1" t="str">
        <f aca="false">CONCATENATE("""", A110, """,")</f>
        <v>"RBAR",</v>
      </c>
    </row>
    <row r="111" customFormat="false" ht="14.25" hidden="false" customHeight="false" outlineLevel="0" collapsed="false">
      <c r="A111" s="1" t="s">
        <v>2334</v>
      </c>
      <c r="B111" s="1" t="s">
        <v>2459</v>
      </c>
      <c r="C111" s="1" t="s">
        <v>2222</v>
      </c>
      <c r="D111" s="1" t="str">
        <f aca="false">CONCATENATE("""", A111, """,")</f>
        <v>"STSH",</v>
      </c>
    </row>
    <row r="112" customFormat="false" ht="14.25" hidden="false" customHeight="false" outlineLevel="0" collapsed="false">
      <c r="A112" s="1" t="s">
        <v>2337</v>
      </c>
      <c r="B112" s="1" t="s">
        <v>2460</v>
      </c>
      <c r="C112" s="1" t="s">
        <v>2222</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1286</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2026-05-24T14:26:06Z</dcterms:modified>
  <cp:revision>170</cp:revision>
  <dc:subject/>
  <dc:title/>
</cp:coreProperties>
</file>

<file path=docProps/custom.xml><?xml version="1.0" encoding="utf-8"?>
<Properties xmlns="http://schemas.openxmlformats.org/officeDocument/2006/custom-properties" xmlns:vt="http://schemas.openxmlformats.org/officeDocument/2006/docPropsVTypes"/>
</file>